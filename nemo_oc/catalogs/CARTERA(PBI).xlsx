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gsvsai-my.sharepoint.com/personal/samuel_belmar_nemochile_cl/Documents/Escritorio/Analisis Recurrentes/Tablas de Dimensiones/PBI/"/>
    </mc:Choice>
  </mc:AlternateContent>
  <xr:revisionPtr revIDLastSave="2631" documentId="11_AD4D2F04E46CFB4ACB3E20484592EA9C683EDF1F" xr6:coauthVersionLast="47" xr6:coauthVersionMax="47" xr10:uidLastSave="{C71532E7-D115-43AB-A33B-122C8B8BC834}"/>
  <bookViews>
    <workbookView xWindow="-120" yWindow="-120" windowWidth="29040" windowHeight="15720" tabRatio="602" firstSheet="5" activeTab="5" xr2:uid="{00000000-000D-0000-FFFF-FFFF00000000}"/>
  </bookViews>
  <sheets>
    <sheet name="CARTERA 2024" sheetId="1" state="hidden" r:id="rId1"/>
    <sheet name="visitas ricardo" sheetId="16" state="hidden" r:id="rId2"/>
    <sheet name="clientes no en sap" sheetId="13" state="hidden" r:id="rId3"/>
    <sheet name="CARTERA 2025" sheetId="9" state="hidden" r:id="rId4"/>
    <sheet name="CARTERA 2025 (2)" sheetId="10" state="hidden" r:id="rId5"/>
    <sheet name="CARTERA 2026" sheetId="17" r:id="rId6"/>
    <sheet name="cnb" sheetId="5" r:id="rId7"/>
    <sheet name="dimensiones" sheetId="11" r:id="rId8"/>
    <sheet name="Hoja1" sheetId="12" r:id="rId9"/>
    <sheet name="sell" sheetId="8" state="hidden" r:id="rId10"/>
  </sheets>
  <definedNames>
    <definedName name="_xlnm._FilterDatabase" localSheetId="0" hidden="1">'CARTERA 2024'!$E$1:$E$1006</definedName>
    <definedName name="_xlnm._FilterDatabase" localSheetId="3" hidden="1">'CARTERA 2025'!$M$1:$M$1483</definedName>
    <definedName name="_xlnm._FilterDatabase" localSheetId="4" hidden="1">'CARTERA 2025 (2)'!#REF!</definedName>
    <definedName name="_xlnm._FilterDatabase" localSheetId="5" hidden="1">'CARTERA 2026'!$K$1:$M$1499</definedName>
    <definedName name="_xlnm._FilterDatabase" localSheetId="6" hidden="1">cnb!$G$1:$I$1325</definedName>
    <definedName name="_xlnm._FilterDatabase" localSheetId="8" hidden="1">Hoja1!$A$1:$H$1301</definedName>
    <definedName name="CARTERA_2025" localSheetId="4">Tabla134[#All]</definedName>
    <definedName name="CARTERA_2025" localSheetId="5">CARTERA_2026[#All]</definedName>
    <definedName name="CARTERA_2025">Tabla13[#All]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39" i="17" l="1"/>
  <c r="I1540" i="17"/>
  <c r="I1541" i="17"/>
  <c r="J1539" i="17"/>
  <c r="J1540" i="17"/>
  <c r="J1541" i="17"/>
  <c r="I1537" i="17"/>
  <c r="I1538" i="17"/>
  <c r="J1537" i="17"/>
  <c r="J1538" i="17"/>
  <c r="I229" i="17"/>
  <c r="I230" i="17"/>
  <c r="I231" i="17"/>
  <c r="I232" i="17"/>
  <c r="I233" i="17"/>
  <c r="I234" i="17"/>
  <c r="I235" i="17"/>
  <c r="I236" i="17"/>
  <c r="I237" i="17"/>
  <c r="I238" i="17"/>
  <c r="I239" i="17"/>
  <c r="I240" i="17"/>
  <c r="I241" i="17"/>
  <c r="I242" i="17"/>
  <c r="I243" i="17"/>
  <c r="I244" i="17"/>
  <c r="I245" i="17"/>
  <c r="I246" i="17"/>
  <c r="I247" i="17"/>
  <c r="I248" i="17"/>
  <c r="I249" i="17"/>
  <c r="I250" i="17"/>
  <c r="I251" i="17"/>
  <c r="I252" i="17"/>
  <c r="I253" i="17"/>
  <c r="I254" i="17"/>
  <c r="I255" i="17"/>
  <c r="I256" i="17"/>
  <c r="I257" i="17"/>
  <c r="I258" i="17"/>
  <c r="I259" i="17"/>
  <c r="I260" i="17"/>
  <c r="I261" i="17"/>
  <c r="I262" i="17"/>
  <c r="I263" i="17"/>
  <c r="I264" i="17"/>
  <c r="I265" i="17"/>
  <c r="I266" i="17"/>
  <c r="I267" i="17"/>
  <c r="I268" i="17"/>
  <c r="I269" i="17"/>
  <c r="I270" i="17"/>
  <c r="I271" i="17"/>
  <c r="I272" i="17"/>
  <c r="I273" i="17"/>
  <c r="I274" i="17"/>
  <c r="I275" i="17"/>
  <c r="I276" i="17"/>
  <c r="I277" i="17"/>
  <c r="I278" i="17"/>
  <c r="I279" i="17"/>
  <c r="I280" i="17"/>
  <c r="I281" i="17"/>
  <c r="I282" i="17"/>
  <c r="I283" i="17"/>
  <c r="I284" i="17"/>
  <c r="I285" i="17"/>
  <c r="I286" i="17"/>
  <c r="I287" i="17"/>
  <c r="I288" i="17"/>
  <c r="I289" i="17"/>
  <c r="I290" i="17"/>
  <c r="I291" i="17"/>
  <c r="I292" i="17"/>
  <c r="I293" i="17"/>
  <c r="I294" i="17"/>
  <c r="I295" i="17"/>
  <c r="I296" i="17"/>
  <c r="I297" i="17"/>
  <c r="I298" i="17"/>
  <c r="I299" i="17"/>
  <c r="I300" i="17"/>
  <c r="I301" i="17"/>
  <c r="I302" i="17"/>
  <c r="I303" i="17"/>
  <c r="I304" i="17"/>
  <c r="I305" i="17"/>
  <c r="I306" i="17"/>
  <c r="I307" i="17"/>
  <c r="I308" i="17"/>
  <c r="I309" i="17"/>
  <c r="I310" i="17"/>
  <c r="I311" i="17"/>
  <c r="I312" i="17"/>
  <c r="I313" i="17"/>
  <c r="I314" i="17"/>
  <c r="I315" i="17"/>
  <c r="I316" i="17"/>
  <c r="I317" i="17"/>
  <c r="I318" i="17"/>
  <c r="I319" i="17"/>
  <c r="I320" i="17"/>
  <c r="I321" i="17"/>
  <c r="I322" i="17"/>
  <c r="I323" i="17"/>
  <c r="I324" i="17"/>
  <c r="I325" i="17"/>
  <c r="I326" i="17"/>
  <c r="I327" i="17"/>
  <c r="I328" i="17"/>
  <c r="I329" i="17"/>
  <c r="I330" i="17"/>
  <c r="I331" i="17"/>
  <c r="I332" i="17"/>
  <c r="I333" i="17"/>
  <c r="I334" i="17"/>
  <c r="I335" i="17"/>
  <c r="I336" i="17"/>
  <c r="I337" i="17"/>
  <c r="I338" i="17"/>
  <c r="I339" i="17"/>
  <c r="I340" i="17"/>
  <c r="I341" i="17"/>
  <c r="I342" i="17"/>
  <c r="I343" i="17"/>
  <c r="I344" i="17"/>
  <c r="I345" i="17"/>
  <c r="I346" i="17"/>
  <c r="I347" i="17"/>
  <c r="I348" i="17"/>
  <c r="I349" i="17"/>
  <c r="I350" i="17"/>
  <c r="I351" i="17"/>
  <c r="I352" i="17"/>
  <c r="I353" i="17"/>
  <c r="I354" i="17"/>
  <c r="I355" i="17"/>
  <c r="I356" i="17"/>
  <c r="I357" i="17"/>
  <c r="I358" i="17"/>
  <c r="I359" i="17"/>
  <c r="I360" i="17"/>
  <c r="I361" i="17"/>
  <c r="I362" i="17"/>
  <c r="I363" i="17"/>
  <c r="I364" i="17"/>
  <c r="I365" i="17"/>
  <c r="I366" i="17"/>
  <c r="I367" i="17"/>
  <c r="I368" i="17"/>
  <c r="I369" i="17"/>
  <c r="I370" i="17"/>
  <c r="I371" i="17"/>
  <c r="I372" i="17"/>
  <c r="I373" i="17"/>
  <c r="I374" i="17"/>
  <c r="I375" i="17"/>
  <c r="I376" i="17"/>
  <c r="I377" i="17"/>
  <c r="I378" i="17"/>
  <c r="I379" i="17"/>
  <c r="I380" i="17"/>
  <c r="I381" i="17"/>
  <c r="I382" i="17"/>
  <c r="I383" i="17"/>
  <c r="I384" i="17"/>
  <c r="I385" i="17"/>
  <c r="I386" i="17"/>
  <c r="I387" i="17"/>
  <c r="I388" i="17"/>
  <c r="I389" i="17"/>
  <c r="I390" i="17"/>
  <c r="I391" i="17"/>
  <c r="I392" i="17"/>
  <c r="I393" i="17"/>
  <c r="I394" i="17"/>
  <c r="I395" i="17"/>
  <c r="I396" i="17"/>
  <c r="I397" i="17"/>
  <c r="I398" i="17"/>
  <c r="I399" i="17"/>
  <c r="I400" i="17"/>
  <c r="I401" i="17"/>
  <c r="I402" i="17"/>
  <c r="I403" i="17"/>
  <c r="I404" i="17"/>
  <c r="I405" i="17"/>
  <c r="I406" i="17"/>
  <c r="I407" i="17"/>
  <c r="I408" i="17"/>
  <c r="I409" i="17"/>
  <c r="I410" i="17"/>
  <c r="I411" i="17"/>
  <c r="I412" i="17"/>
  <c r="I413" i="17"/>
  <c r="I414" i="17"/>
  <c r="I415" i="17"/>
  <c r="I416" i="17"/>
  <c r="I417" i="17"/>
  <c r="I418" i="17"/>
  <c r="I419" i="17"/>
  <c r="I420" i="17"/>
  <c r="I421" i="17"/>
  <c r="I422" i="17"/>
  <c r="I423" i="17"/>
  <c r="I424" i="17"/>
  <c r="I425" i="17"/>
  <c r="I426" i="17"/>
  <c r="I427" i="17"/>
  <c r="I428" i="17"/>
  <c r="I429" i="17"/>
  <c r="I430" i="17"/>
  <c r="I431" i="17"/>
  <c r="I432" i="17"/>
  <c r="I433" i="17"/>
  <c r="I434" i="17"/>
  <c r="I435" i="17"/>
  <c r="I436" i="17"/>
  <c r="I437" i="17"/>
  <c r="I438" i="17"/>
  <c r="I439" i="17"/>
  <c r="I440" i="17"/>
  <c r="I441" i="17"/>
  <c r="I442" i="17"/>
  <c r="I443" i="17"/>
  <c r="I444" i="17"/>
  <c r="I445" i="17"/>
  <c r="I446" i="17"/>
  <c r="I447" i="17"/>
  <c r="I448" i="17"/>
  <c r="I449" i="17"/>
  <c r="I450" i="17"/>
  <c r="I451" i="17"/>
  <c r="I452" i="17"/>
  <c r="I453" i="17"/>
  <c r="I454" i="17"/>
  <c r="I455" i="17"/>
  <c r="I456" i="17"/>
  <c r="I457" i="17"/>
  <c r="I458" i="17"/>
  <c r="I459" i="17"/>
  <c r="I460" i="17"/>
  <c r="I461" i="17"/>
  <c r="I462" i="17"/>
  <c r="I463" i="17"/>
  <c r="I464" i="17"/>
  <c r="I465" i="17"/>
  <c r="I466" i="17"/>
  <c r="I467" i="17"/>
  <c r="I468" i="17"/>
  <c r="I469" i="17"/>
  <c r="I470" i="17"/>
  <c r="I471" i="17"/>
  <c r="I472" i="17"/>
  <c r="I473" i="17"/>
  <c r="I474" i="17"/>
  <c r="I475" i="17"/>
  <c r="I476" i="17"/>
  <c r="I477" i="17"/>
  <c r="I478" i="17"/>
  <c r="I479" i="17"/>
  <c r="I480" i="17"/>
  <c r="I481" i="17"/>
  <c r="I482" i="17"/>
  <c r="I483" i="17"/>
  <c r="I484" i="17"/>
  <c r="I485" i="17"/>
  <c r="I486" i="17"/>
  <c r="I487" i="17"/>
  <c r="I488" i="17"/>
  <c r="I489" i="17"/>
  <c r="I490" i="17"/>
  <c r="I491" i="17"/>
  <c r="I492" i="17"/>
  <c r="I493" i="17"/>
  <c r="I494" i="17"/>
  <c r="I495" i="17"/>
  <c r="I496" i="17"/>
  <c r="I497" i="17"/>
  <c r="I498" i="17"/>
  <c r="I499" i="17"/>
  <c r="I500" i="17"/>
  <c r="I501" i="17"/>
  <c r="I502" i="17"/>
  <c r="I503" i="17"/>
  <c r="I504" i="17"/>
  <c r="I505" i="17"/>
  <c r="I506" i="17"/>
  <c r="I507" i="17"/>
  <c r="I508" i="17"/>
  <c r="I509" i="17"/>
  <c r="I510" i="17"/>
  <c r="I511" i="17"/>
  <c r="I512" i="17"/>
  <c r="I513" i="17"/>
  <c r="I514" i="17"/>
  <c r="I515" i="17"/>
  <c r="I516" i="17"/>
  <c r="I517" i="17"/>
  <c r="I518" i="17"/>
  <c r="I519" i="17"/>
  <c r="I520" i="17"/>
  <c r="I521" i="17"/>
  <c r="I522" i="17"/>
  <c r="I523" i="17"/>
  <c r="I524" i="17"/>
  <c r="I525" i="17"/>
  <c r="I526" i="17"/>
  <c r="I527" i="17"/>
  <c r="I528" i="17"/>
  <c r="I529" i="17"/>
  <c r="I530" i="17"/>
  <c r="I531" i="17"/>
  <c r="I532" i="17"/>
  <c r="I533" i="17"/>
  <c r="I534" i="17"/>
  <c r="I535" i="17"/>
  <c r="I536" i="17"/>
  <c r="I537" i="17"/>
  <c r="I538" i="17"/>
  <c r="I539" i="17"/>
  <c r="I540" i="17"/>
  <c r="I541" i="17"/>
  <c r="I542" i="17"/>
  <c r="I543" i="17"/>
  <c r="I544" i="17"/>
  <c r="I545" i="17"/>
  <c r="I546" i="17"/>
  <c r="I547" i="17"/>
  <c r="I548" i="17"/>
  <c r="I549" i="17"/>
  <c r="I550" i="17"/>
  <c r="I551" i="17"/>
  <c r="I552" i="17"/>
  <c r="I553" i="17"/>
  <c r="I554" i="17"/>
  <c r="I555" i="17"/>
  <c r="I556" i="17"/>
  <c r="I557" i="17"/>
  <c r="I558" i="17"/>
  <c r="I559" i="17"/>
  <c r="I560" i="17"/>
  <c r="I561" i="17"/>
  <c r="I562" i="17"/>
  <c r="I563" i="17"/>
  <c r="I564" i="17"/>
  <c r="I565" i="17"/>
  <c r="I566" i="17"/>
  <c r="I567" i="17"/>
  <c r="I568" i="17"/>
  <c r="I569" i="17"/>
  <c r="I570" i="17"/>
  <c r="I571" i="17"/>
  <c r="I572" i="17"/>
  <c r="I573" i="17"/>
  <c r="I574" i="17"/>
  <c r="I575" i="17"/>
  <c r="I576" i="17"/>
  <c r="I577" i="17"/>
  <c r="I578" i="17"/>
  <c r="I579" i="17"/>
  <c r="I580" i="17"/>
  <c r="I581" i="17"/>
  <c r="I582" i="17"/>
  <c r="I583" i="17"/>
  <c r="I584" i="17"/>
  <c r="I585" i="17"/>
  <c r="I586" i="17"/>
  <c r="I587" i="17"/>
  <c r="I588" i="17"/>
  <c r="I589" i="17"/>
  <c r="I590" i="17"/>
  <c r="I591" i="17"/>
  <c r="I592" i="17"/>
  <c r="I593" i="17"/>
  <c r="I594" i="17"/>
  <c r="I595" i="17"/>
  <c r="I596" i="17"/>
  <c r="I597" i="17"/>
  <c r="I598" i="17"/>
  <c r="I599" i="17"/>
  <c r="I600" i="17"/>
  <c r="I601" i="17"/>
  <c r="I602" i="17"/>
  <c r="I603" i="17"/>
  <c r="I604" i="17"/>
  <c r="I605" i="17"/>
  <c r="I606" i="17"/>
  <c r="I607" i="17"/>
  <c r="I608" i="17"/>
  <c r="I609" i="17"/>
  <c r="I610" i="17"/>
  <c r="I611" i="17"/>
  <c r="I612" i="17"/>
  <c r="I613" i="17"/>
  <c r="I614" i="17"/>
  <c r="I615" i="17"/>
  <c r="I616" i="17"/>
  <c r="I617" i="17"/>
  <c r="I618" i="17"/>
  <c r="I619" i="17"/>
  <c r="I620" i="17"/>
  <c r="I621" i="17"/>
  <c r="I622" i="17"/>
  <c r="I623" i="17"/>
  <c r="I624" i="17"/>
  <c r="I625" i="17"/>
  <c r="I626" i="17"/>
  <c r="I627" i="17"/>
  <c r="I628" i="17"/>
  <c r="I629" i="17"/>
  <c r="I630" i="17"/>
  <c r="I631" i="17"/>
  <c r="I632" i="17"/>
  <c r="I633" i="17"/>
  <c r="I634" i="17"/>
  <c r="I635" i="17"/>
  <c r="I636" i="17"/>
  <c r="I637" i="17"/>
  <c r="I638" i="17"/>
  <c r="I639" i="17"/>
  <c r="I640" i="17"/>
  <c r="I641" i="17"/>
  <c r="I642" i="17"/>
  <c r="I643" i="17"/>
  <c r="I644" i="17"/>
  <c r="I645" i="17"/>
  <c r="I646" i="17"/>
  <c r="I647" i="17"/>
  <c r="I648" i="17"/>
  <c r="I649" i="17"/>
  <c r="I650" i="17"/>
  <c r="I651" i="17"/>
  <c r="I652" i="17"/>
  <c r="I653" i="17"/>
  <c r="I654" i="17"/>
  <c r="I655" i="17"/>
  <c r="I656" i="17"/>
  <c r="I657" i="17"/>
  <c r="I658" i="17"/>
  <c r="I659" i="17"/>
  <c r="I660" i="17"/>
  <c r="I661" i="17"/>
  <c r="I662" i="17"/>
  <c r="I663" i="17"/>
  <c r="I664" i="17"/>
  <c r="I665" i="17"/>
  <c r="I666" i="17"/>
  <c r="I667" i="17"/>
  <c r="I668" i="17"/>
  <c r="I669" i="17"/>
  <c r="I670" i="17"/>
  <c r="I671" i="17"/>
  <c r="I672" i="17"/>
  <c r="I673" i="17"/>
  <c r="I674" i="17"/>
  <c r="I675" i="17"/>
  <c r="I676" i="17"/>
  <c r="I677" i="17"/>
  <c r="I678" i="17"/>
  <c r="I679" i="17"/>
  <c r="I680" i="17"/>
  <c r="I681" i="17"/>
  <c r="I682" i="17"/>
  <c r="I683" i="17"/>
  <c r="I684" i="17"/>
  <c r="I685" i="17"/>
  <c r="I686" i="17"/>
  <c r="I687" i="17"/>
  <c r="I688" i="17"/>
  <c r="I689" i="17"/>
  <c r="I690" i="17"/>
  <c r="I691" i="17"/>
  <c r="I692" i="17"/>
  <c r="I693" i="17"/>
  <c r="I694" i="17"/>
  <c r="I695" i="17"/>
  <c r="I696" i="17"/>
  <c r="I697" i="17"/>
  <c r="I698" i="17"/>
  <c r="I699" i="17"/>
  <c r="I700" i="17"/>
  <c r="I701" i="17"/>
  <c r="I702" i="17"/>
  <c r="I703" i="17"/>
  <c r="I704" i="17"/>
  <c r="I705" i="17"/>
  <c r="I706" i="17"/>
  <c r="I707" i="17"/>
  <c r="I708" i="17"/>
  <c r="I709" i="17"/>
  <c r="I710" i="17"/>
  <c r="I711" i="17"/>
  <c r="I712" i="17"/>
  <c r="I713" i="17"/>
  <c r="I714" i="17"/>
  <c r="I715" i="17"/>
  <c r="I716" i="17"/>
  <c r="I717" i="17"/>
  <c r="I718" i="17"/>
  <c r="I719" i="17"/>
  <c r="I720" i="17"/>
  <c r="I721" i="17"/>
  <c r="I722" i="17"/>
  <c r="I723" i="17"/>
  <c r="I724" i="17"/>
  <c r="I725" i="17"/>
  <c r="I726" i="17"/>
  <c r="I727" i="17"/>
  <c r="I728" i="17"/>
  <c r="I729" i="17"/>
  <c r="I730" i="17"/>
  <c r="I731" i="17"/>
  <c r="I732" i="17"/>
  <c r="I733" i="17"/>
  <c r="I734" i="17"/>
  <c r="I735" i="17"/>
  <c r="I736" i="17"/>
  <c r="I737" i="17"/>
  <c r="I738" i="17"/>
  <c r="I739" i="17"/>
  <c r="I740" i="17"/>
  <c r="I741" i="17"/>
  <c r="I742" i="17"/>
  <c r="I743" i="17"/>
  <c r="I744" i="17"/>
  <c r="I745" i="17"/>
  <c r="I746" i="17"/>
  <c r="I747" i="17"/>
  <c r="I748" i="17"/>
  <c r="I749" i="17"/>
  <c r="I750" i="17"/>
  <c r="I751" i="17"/>
  <c r="I752" i="17"/>
  <c r="I753" i="17"/>
  <c r="I754" i="17"/>
  <c r="I755" i="17"/>
  <c r="I756" i="17"/>
  <c r="I757" i="17"/>
  <c r="I758" i="17"/>
  <c r="I759" i="17"/>
  <c r="I760" i="17"/>
  <c r="I761" i="17"/>
  <c r="I762" i="17"/>
  <c r="I763" i="17"/>
  <c r="I764" i="17"/>
  <c r="I765" i="17"/>
  <c r="I766" i="17"/>
  <c r="I767" i="17"/>
  <c r="I768" i="17"/>
  <c r="I769" i="17"/>
  <c r="I770" i="17"/>
  <c r="I771" i="17"/>
  <c r="I772" i="17"/>
  <c r="I773" i="17"/>
  <c r="I774" i="17"/>
  <c r="I775" i="17"/>
  <c r="I776" i="17"/>
  <c r="I777" i="17"/>
  <c r="I778" i="17"/>
  <c r="I779" i="17"/>
  <c r="I780" i="17"/>
  <c r="I781" i="17"/>
  <c r="I782" i="17"/>
  <c r="I783" i="17"/>
  <c r="I784" i="17"/>
  <c r="I785" i="17"/>
  <c r="I786" i="17"/>
  <c r="I787" i="17"/>
  <c r="I788" i="17"/>
  <c r="I789" i="17"/>
  <c r="I790" i="17"/>
  <c r="I791" i="17"/>
  <c r="I792" i="17"/>
  <c r="I793" i="17"/>
  <c r="I794" i="17"/>
  <c r="I795" i="17"/>
  <c r="I796" i="17"/>
  <c r="I797" i="17"/>
  <c r="I798" i="17"/>
  <c r="I799" i="17"/>
  <c r="I800" i="17"/>
  <c r="I801" i="17"/>
  <c r="I802" i="17"/>
  <c r="I803" i="17"/>
  <c r="I804" i="17"/>
  <c r="I805" i="17"/>
  <c r="I806" i="17"/>
  <c r="I807" i="17"/>
  <c r="I808" i="17"/>
  <c r="I809" i="17"/>
  <c r="I810" i="17"/>
  <c r="I811" i="17"/>
  <c r="I812" i="17"/>
  <c r="I813" i="17"/>
  <c r="I814" i="17"/>
  <c r="I815" i="17"/>
  <c r="I816" i="17"/>
  <c r="I817" i="17"/>
  <c r="I818" i="17"/>
  <c r="I819" i="17"/>
  <c r="I820" i="17"/>
  <c r="I821" i="17"/>
  <c r="I822" i="17"/>
  <c r="I823" i="17"/>
  <c r="I824" i="17"/>
  <c r="I825" i="17"/>
  <c r="I826" i="17"/>
  <c r="I827" i="17"/>
  <c r="I828" i="17"/>
  <c r="I829" i="17"/>
  <c r="I830" i="17"/>
  <c r="I831" i="17"/>
  <c r="I832" i="17"/>
  <c r="I833" i="17"/>
  <c r="I834" i="17"/>
  <c r="I835" i="17"/>
  <c r="I836" i="17"/>
  <c r="I837" i="17"/>
  <c r="I838" i="17"/>
  <c r="I839" i="17"/>
  <c r="I840" i="17"/>
  <c r="I841" i="17"/>
  <c r="I842" i="17"/>
  <c r="I843" i="17"/>
  <c r="I844" i="17"/>
  <c r="I845" i="17"/>
  <c r="I846" i="17"/>
  <c r="I847" i="17"/>
  <c r="I848" i="17"/>
  <c r="I849" i="17"/>
  <c r="I850" i="17"/>
  <c r="I851" i="17"/>
  <c r="I852" i="17"/>
  <c r="I853" i="17"/>
  <c r="I854" i="17"/>
  <c r="I855" i="17"/>
  <c r="I856" i="17"/>
  <c r="I857" i="17"/>
  <c r="I858" i="17"/>
  <c r="I859" i="17"/>
  <c r="I860" i="17"/>
  <c r="I861" i="17"/>
  <c r="I862" i="17"/>
  <c r="I863" i="17"/>
  <c r="I864" i="17"/>
  <c r="I865" i="17"/>
  <c r="I866" i="17"/>
  <c r="I867" i="17"/>
  <c r="I868" i="17"/>
  <c r="I869" i="17"/>
  <c r="I870" i="17"/>
  <c r="I871" i="17"/>
  <c r="I872" i="17"/>
  <c r="I873" i="17"/>
  <c r="I874" i="17"/>
  <c r="I875" i="17"/>
  <c r="I876" i="17"/>
  <c r="I877" i="17"/>
  <c r="I878" i="17"/>
  <c r="I879" i="17"/>
  <c r="I880" i="17"/>
  <c r="I881" i="17"/>
  <c r="I882" i="17"/>
  <c r="I883" i="17"/>
  <c r="I884" i="17"/>
  <c r="I885" i="17"/>
  <c r="I886" i="17"/>
  <c r="I887" i="17"/>
  <c r="I888" i="17"/>
  <c r="I889" i="17"/>
  <c r="I890" i="17"/>
  <c r="I891" i="17"/>
  <c r="I892" i="17"/>
  <c r="I893" i="17"/>
  <c r="I894" i="17"/>
  <c r="I895" i="17"/>
  <c r="I896" i="17"/>
  <c r="I897" i="17"/>
  <c r="I898" i="17"/>
  <c r="I899" i="17"/>
  <c r="I900" i="17"/>
  <c r="I901" i="17"/>
  <c r="I902" i="17"/>
  <c r="I903" i="17"/>
  <c r="I904" i="17"/>
  <c r="I905" i="17"/>
  <c r="I906" i="17"/>
  <c r="I907" i="17"/>
  <c r="I908" i="17"/>
  <c r="I909" i="17"/>
  <c r="I910" i="17"/>
  <c r="I911" i="17"/>
  <c r="I912" i="17"/>
  <c r="I913" i="17"/>
  <c r="I914" i="17"/>
  <c r="I915" i="17"/>
  <c r="I916" i="17"/>
  <c r="I917" i="17"/>
  <c r="I918" i="17"/>
  <c r="I919" i="17"/>
  <c r="I920" i="17"/>
  <c r="I921" i="17"/>
  <c r="I922" i="17"/>
  <c r="I923" i="17"/>
  <c r="I924" i="17"/>
  <c r="I925" i="17"/>
  <c r="I926" i="17"/>
  <c r="I927" i="17"/>
  <c r="I928" i="17"/>
  <c r="I929" i="17"/>
  <c r="I930" i="17"/>
  <c r="I931" i="17"/>
  <c r="I932" i="17"/>
  <c r="I933" i="17"/>
  <c r="I934" i="17"/>
  <c r="I935" i="17"/>
  <c r="I936" i="17"/>
  <c r="I937" i="17"/>
  <c r="I938" i="17"/>
  <c r="I939" i="17"/>
  <c r="I940" i="17"/>
  <c r="I941" i="17"/>
  <c r="I942" i="17"/>
  <c r="I943" i="17"/>
  <c r="I944" i="17"/>
  <c r="I945" i="17"/>
  <c r="I946" i="17"/>
  <c r="I947" i="17"/>
  <c r="I948" i="17"/>
  <c r="I949" i="17"/>
  <c r="I950" i="17"/>
  <c r="I951" i="17"/>
  <c r="I952" i="17"/>
  <c r="I953" i="17"/>
  <c r="I954" i="17"/>
  <c r="I955" i="17"/>
  <c r="I956" i="17"/>
  <c r="I957" i="17"/>
  <c r="I958" i="17"/>
  <c r="I959" i="17"/>
  <c r="I960" i="17"/>
  <c r="I961" i="17"/>
  <c r="I962" i="17"/>
  <c r="I963" i="17"/>
  <c r="I964" i="17"/>
  <c r="I965" i="17"/>
  <c r="I966" i="17"/>
  <c r="I967" i="17"/>
  <c r="I968" i="17"/>
  <c r="I969" i="17"/>
  <c r="I970" i="17"/>
  <c r="I971" i="17"/>
  <c r="I972" i="17"/>
  <c r="I973" i="17"/>
  <c r="I974" i="17"/>
  <c r="I975" i="17"/>
  <c r="I976" i="17"/>
  <c r="I977" i="17"/>
  <c r="I978" i="17"/>
  <c r="I979" i="17"/>
  <c r="I980" i="17"/>
  <c r="I981" i="17"/>
  <c r="I982" i="17"/>
  <c r="I983" i="17"/>
  <c r="I984" i="17"/>
  <c r="I985" i="17"/>
  <c r="I986" i="17"/>
  <c r="I987" i="17"/>
  <c r="I988" i="17"/>
  <c r="I989" i="17"/>
  <c r="I990" i="17"/>
  <c r="I991" i="17"/>
  <c r="I992" i="17"/>
  <c r="I993" i="17"/>
  <c r="I994" i="17"/>
  <c r="I995" i="17"/>
  <c r="I996" i="17"/>
  <c r="I997" i="17"/>
  <c r="I998" i="17"/>
  <c r="I999" i="17"/>
  <c r="I1000" i="17"/>
  <c r="I1001" i="17"/>
  <c r="I1002" i="17"/>
  <c r="I1003" i="17"/>
  <c r="I1004" i="17"/>
  <c r="I1005" i="17"/>
  <c r="I1006" i="17"/>
  <c r="I1007" i="17"/>
  <c r="I1008" i="17"/>
  <c r="I1009" i="17"/>
  <c r="I1010" i="17"/>
  <c r="I1011" i="17"/>
  <c r="I1012" i="17"/>
  <c r="I1013" i="17"/>
  <c r="I1014" i="17"/>
  <c r="I1015" i="17"/>
  <c r="I1016" i="17"/>
  <c r="I1017" i="17"/>
  <c r="I1018" i="17"/>
  <c r="I1019" i="17"/>
  <c r="I1020" i="17"/>
  <c r="I1021" i="17"/>
  <c r="I1022" i="17"/>
  <c r="I1023" i="17"/>
  <c r="I1024" i="17"/>
  <c r="I1025" i="17"/>
  <c r="I1026" i="17"/>
  <c r="I1027" i="17"/>
  <c r="I1028" i="17"/>
  <c r="I1029" i="17"/>
  <c r="I1030" i="17"/>
  <c r="I1031" i="17"/>
  <c r="I1032" i="17"/>
  <c r="I1033" i="17"/>
  <c r="I1034" i="17"/>
  <c r="I1035" i="17"/>
  <c r="I1036" i="17"/>
  <c r="I1037" i="17"/>
  <c r="I1038" i="17"/>
  <c r="I1039" i="17"/>
  <c r="I1040" i="17"/>
  <c r="I1041" i="17"/>
  <c r="I1042" i="17"/>
  <c r="I1043" i="17"/>
  <c r="I1044" i="17"/>
  <c r="I1045" i="17"/>
  <c r="I1046" i="17"/>
  <c r="I1047" i="17"/>
  <c r="I1048" i="17"/>
  <c r="I1049" i="17"/>
  <c r="I1050" i="17"/>
  <c r="I1051" i="17"/>
  <c r="I1052" i="17"/>
  <c r="I1053" i="17"/>
  <c r="I1054" i="17"/>
  <c r="I1055" i="17"/>
  <c r="I1056" i="17"/>
  <c r="I1057" i="17"/>
  <c r="I1058" i="17"/>
  <c r="I1059" i="17"/>
  <c r="I1060" i="17"/>
  <c r="I1061" i="17"/>
  <c r="I1062" i="17"/>
  <c r="I1063" i="17"/>
  <c r="I1064" i="17"/>
  <c r="I1065" i="17"/>
  <c r="I1066" i="17"/>
  <c r="I1067" i="17"/>
  <c r="I1068" i="17"/>
  <c r="I1069" i="17"/>
  <c r="I1070" i="17"/>
  <c r="I1071" i="17"/>
  <c r="I1072" i="17"/>
  <c r="I1073" i="17"/>
  <c r="I1074" i="17"/>
  <c r="I1075" i="17"/>
  <c r="I1076" i="17"/>
  <c r="I1077" i="17"/>
  <c r="I1078" i="17"/>
  <c r="I1079" i="17"/>
  <c r="I1080" i="17"/>
  <c r="I1081" i="17"/>
  <c r="I1082" i="17"/>
  <c r="I1083" i="17"/>
  <c r="I1084" i="17"/>
  <c r="I1085" i="17"/>
  <c r="I1086" i="17"/>
  <c r="I1087" i="17"/>
  <c r="I1088" i="17"/>
  <c r="I1089" i="17"/>
  <c r="I1090" i="17"/>
  <c r="I1091" i="17"/>
  <c r="I1092" i="17"/>
  <c r="I1093" i="17"/>
  <c r="I1094" i="17"/>
  <c r="I1095" i="17"/>
  <c r="I1096" i="17"/>
  <c r="I1097" i="17"/>
  <c r="I1098" i="17"/>
  <c r="I1099" i="17"/>
  <c r="I1100" i="17"/>
  <c r="I1101" i="17"/>
  <c r="I1102" i="17"/>
  <c r="I1103" i="17"/>
  <c r="I1104" i="17"/>
  <c r="I1105" i="17"/>
  <c r="I1106" i="17"/>
  <c r="I1107" i="17"/>
  <c r="I1108" i="17"/>
  <c r="I1109" i="17"/>
  <c r="I1110" i="17"/>
  <c r="I1111" i="17"/>
  <c r="I1112" i="17"/>
  <c r="I1113" i="17"/>
  <c r="I1114" i="17"/>
  <c r="I1115" i="17"/>
  <c r="I1116" i="17"/>
  <c r="I1117" i="17"/>
  <c r="I1118" i="17"/>
  <c r="I1119" i="17"/>
  <c r="I1120" i="17"/>
  <c r="I1121" i="17"/>
  <c r="I1122" i="17"/>
  <c r="I1123" i="17"/>
  <c r="I1124" i="17"/>
  <c r="I1125" i="17"/>
  <c r="I1126" i="17"/>
  <c r="I1127" i="17"/>
  <c r="I1128" i="17"/>
  <c r="I1129" i="17"/>
  <c r="I1130" i="17"/>
  <c r="I1131" i="17"/>
  <c r="I1132" i="17"/>
  <c r="I1133" i="17"/>
  <c r="I1134" i="17"/>
  <c r="I1135" i="17"/>
  <c r="I1136" i="17"/>
  <c r="I1137" i="17"/>
  <c r="I1138" i="17"/>
  <c r="I1139" i="17"/>
  <c r="I1140" i="17"/>
  <c r="I1141" i="17"/>
  <c r="I1142" i="17"/>
  <c r="I1143" i="17"/>
  <c r="I1144" i="17"/>
  <c r="I1145" i="17"/>
  <c r="I1146" i="17"/>
  <c r="I1147" i="17"/>
  <c r="I1148" i="17"/>
  <c r="I1149" i="17"/>
  <c r="I1150" i="17"/>
  <c r="I1151" i="17"/>
  <c r="I1152" i="17"/>
  <c r="I1153" i="17"/>
  <c r="I1154" i="17"/>
  <c r="I1155" i="17"/>
  <c r="I1156" i="17"/>
  <c r="I1157" i="17"/>
  <c r="I1158" i="17"/>
  <c r="I1159" i="17"/>
  <c r="I1160" i="17"/>
  <c r="I1161" i="17"/>
  <c r="I1162" i="17"/>
  <c r="I1163" i="17"/>
  <c r="I1164" i="17"/>
  <c r="I1165" i="17"/>
  <c r="I1166" i="17"/>
  <c r="I1167" i="17"/>
  <c r="I1168" i="17"/>
  <c r="I1169" i="17"/>
  <c r="I1170" i="17"/>
  <c r="I1171" i="17"/>
  <c r="I1172" i="17"/>
  <c r="I1173" i="17"/>
  <c r="I1174" i="17"/>
  <c r="I1175" i="17"/>
  <c r="I1176" i="17"/>
  <c r="I1177" i="17"/>
  <c r="I1178" i="17"/>
  <c r="I1179" i="17"/>
  <c r="I1180" i="17"/>
  <c r="I1181" i="17"/>
  <c r="I1182" i="17"/>
  <c r="I1183" i="17"/>
  <c r="I1184" i="17"/>
  <c r="I1185" i="17"/>
  <c r="I1186" i="17"/>
  <c r="I1187" i="17"/>
  <c r="I1188" i="17"/>
  <c r="I1189" i="17"/>
  <c r="I1190" i="17"/>
  <c r="I1191" i="17"/>
  <c r="I1192" i="17"/>
  <c r="I1193" i="17"/>
  <c r="I1194" i="17"/>
  <c r="I1195" i="17"/>
  <c r="I1196" i="17"/>
  <c r="I1197" i="17"/>
  <c r="I1198" i="17"/>
  <c r="I1199" i="17"/>
  <c r="I1200" i="17"/>
  <c r="I1201" i="17"/>
  <c r="I1202" i="17"/>
  <c r="I1203" i="17"/>
  <c r="I1204" i="17"/>
  <c r="I1205" i="17"/>
  <c r="I1206" i="17"/>
  <c r="I1207" i="17"/>
  <c r="I1208" i="17"/>
  <c r="I1209" i="17"/>
  <c r="I1210" i="17"/>
  <c r="I1211" i="17"/>
  <c r="I1212" i="17"/>
  <c r="I1213" i="17"/>
  <c r="I1214" i="17"/>
  <c r="I1215" i="17"/>
  <c r="I1216" i="17"/>
  <c r="I1217" i="17"/>
  <c r="I1218" i="17"/>
  <c r="I1219" i="17"/>
  <c r="I1220" i="17"/>
  <c r="I1221" i="17"/>
  <c r="I1222" i="17"/>
  <c r="I1223" i="17"/>
  <c r="I1224" i="17"/>
  <c r="I1225" i="17"/>
  <c r="I1226" i="17"/>
  <c r="I1227" i="17"/>
  <c r="I1228" i="17"/>
  <c r="I1229" i="17"/>
  <c r="I1230" i="17"/>
  <c r="I1231" i="17"/>
  <c r="I1232" i="17"/>
  <c r="I1233" i="17"/>
  <c r="I1234" i="17"/>
  <c r="I1235" i="17"/>
  <c r="I1236" i="17"/>
  <c r="I1237" i="17"/>
  <c r="I1238" i="17"/>
  <c r="I1239" i="17"/>
  <c r="I1240" i="17"/>
  <c r="I1241" i="17"/>
  <c r="I1242" i="17"/>
  <c r="I1243" i="17"/>
  <c r="I1244" i="17"/>
  <c r="I1245" i="17"/>
  <c r="I1246" i="17"/>
  <c r="I1247" i="17"/>
  <c r="I1248" i="17"/>
  <c r="I1249" i="17"/>
  <c r="I1250" i="17"/>
  <c r="I1251" i="17"/>
  <c r="I1252" i="17"/>
  <c r="I1253" i="17"/>
  <c r="I1254" i="17"/>
  <c r="I1255" i="17"/>
  <c r="I1256" i="17"/>
  <c r="I1257" i="17"/>
  <c r="I1258" i="17"/>
  <c r="I1259" i="17"/>
  <c r="I1260" i="17"/>
  <c r="I1261" i="17"/>
  <c r="I1262" i="17"/>
  <c r="I1263" i="17"/>
  <c r="I1264" i="17"/>
  <c r="I1265" i="17"/>
  <c r="I1266" i="17"/>
  <c r="I1267" i="17"/>
  <c r="I1268" i="17"/>
  <c r="I1269" i="17"/>
  <c r="I1270" i="17"/>
  <c r="I1271" i="17"/>
  <c r="I1272" i="17"/>
  <c r="I1273" i="17"/>
  <c r="I1274" i="17"/>
  <c r="I1275" i="17"/>
  <c r="I1276" i="17"/>
  <c r="I1277" i="17"/>
  <c r="I1278" i="17"/>
  <c r="I1279" i="17"/>
  <c r="I1280" i="17"/>
  <c r="I1281" i="17"/>
  <c r="I1282" i="17"/>
  <c r="I1283" i="17"/>
  <c r="I1284" i="17"/>
  <c r="I1285" i="17"/>
  <c r="I1286" i="17"/>
  <c r="I1287" i="17"/>
  <c r="I1288" i="17"/>
  <c r="I1289" i="17"/>
  <c r="I1290" i="17"/>
  <c r="I1291" i="17"/>
  <c r="I1292" i="17"/>
  <c r="I1293" i="17"/>
  <c r="I1294" i="17"/>
  <c r="I1295" i="17"/>
  <c r="I1296" i="17"/>
  <c r="I1297" i="17"/>
  <c r="I1298" i="17"/>
  <c r="I1299" i="17"/>
  <c r="I1300" i="17"/>
  <c r="I1301" i="17"/>
  <c r="I1302" i="17"/>
  <c r="I1303" i="17"/>
  <c r="I1304" i="17"/>
  <c r="I1305" i="17"/>
  <c r="I1306" i="17"/>
  <c r="I1307" i="17"/>
  <c r="I1308" i="17"/>
  <c r="I1309" i="17"/>
  <c r="I1310" i="17"/>
  <c r="I1311" i="17"/>
  <c r="I1312" i="17"/>
  <c r="I1313" i="17"/>
  <c r="I1314" i="17"/>
  <c r="I1315" i="17"/>
  <c r="I1316" i="17"/>
  <c r="I1317" i="17"/>
  <c r="I1318" i="17"/>
  <c r="I1319" i="17"/>
  <c r="I1320" i="17"/>
  <c r="I1321" i="17"/>
  <c r="I1322" i="17"/>
  <c r="I1323" i="17"/>
  <c r="I1324" i="17"/>
  <c r="I1325" i="17"/>
  <c r="I1326" i="17"/>
  <c r="I1327" i="17"/>
  <c r="I1328" i="17"/>
  <c r="I1329" i="17"/>
  <c r="I1330" i="17"/>
  <c r="I1331" i="17"/>
  <c r="I1332" i="17"/>
  <c r="I1333" i="17"/>
  <c r="I1334" i="17"/>
  <c r="I1335" i="17"/>
  <c r="I1336" i="17"/>
  <c r="I1337" i="17"/>
  <c r="I1338" i="17"/>
  <c r="I1339" i="17"/>
  <c r="I1340" i="17"/>
  <c r="I1341" i="17"/>
  <c r="I1342" i="17"/>
  <c r="I1343" i="17"/>
  <c r="I1344" i="17"/>
  <c r="I1345" i="17"/>
  <c r="I1346" i="17"/>
  <c r="I1347" i="17"/>
  <c r="I1348" i="17"/>
  <c r="I1349" i="17"/>
  <c r="I1350" i="17"/>
  <c r="I1351" i="17"/>
  <c r="I1352" i="17"/>
  <c r="I1353" i="17"/>
  <c r="I1354" i="17"/>
  <c r="I1355" i="17"/>
  <c r="I1356" i="17"/>
  <c r="I1357" i="17"/>
  <c r="I1358" i="17"/>
  <c r="I1359" i="17"/>
  <c r="I1360" i="17"/>
  <c r="I1361" i="17"/>
  <c r="I1362" i="17"/>
  <c r="I1363" i="17"/>
  <c r="I1364" i="17"/>
  <c r="I1365" i="17"/>
  <c r="I1366" i="17"/>
  <c r="I1367" i="17"/>
  <c r="I1368" i="17"/>
  <c r="I1369" i="17"/>
  <c r="I1370" i="17"/>
  <c r="I1371" i="17"/>
  <c r="I1372" i="17"/>
  <c r="I1373" i="17"/>
  <c r="I1374" i="17"/>
  <c r="I1375" i="17"/>
  <c r="I1376" i="17"/>
  <c r="I1377" i="17"/>
  <c r="I1378" i="17"/>
  <c r="I1379" i="17"/>
  <c r="I1380" i="17"/>
  <c r="I1381" i="17"/>
  <c r="I1382" i="17"/>
  <c r="I1383" i="17"/>
  <c r="I1384" i="17"/>
  <c r="I1385" i="17"/>
  <c r="I1386" i="17"/>
  <c r="I1387" i="17"/>
  <c r="I1388" i="17"/>
  <c r="I1389" i="17"/>
  <c r="I1390" i="17"/>
  <c r="I1391" i="17"/>
  <c r="I1392" i="17"/>
  <c r="I1393" i="17"/>
  <c r="I1394" i="17"/>
  <c r="I1395" i="17"/>
  <c r="I1396" i="17"/>
  <c r="I1397" i="17"/>
  <c r="I1398" i="17"/>
  <c r="I1399" i="17"/>
  <c r="I1400" i="17"/>
  <c r="I1401" i="17"/>
  <c r="I1402" i="17"/>
  <c r="I1403" i="17"/>
  <c r="I1404" i="17"/>
  <c r="I1405" i="17"/>
  <c r="I1406" i="17"/>
  <c r="I1407" i="17"/>
  <c r="I1408" i="17"/>
  <c r="I1409" i="17"/>
  <c r="I1410" i="17"/>
  <c r="I1411" i="17"/>
  <c r="I1412" i="17"/>
  <c r="I1413" i="17"/>
  <c r="I1414" i="17"/>
  <c r="I1415" i="17"/>
  <c r="I1416" i="17"/>
  <c r="I1417" i="17"/>
  <c r="I1418" i="17"/>
  <c r="I1419" i="17"/>
  <c r="I1420" i="17"/>
  <c r="I1421" i="17"/>
  <c r="I1422" i="17"/>
  <c r="I1423" i="17"/>
  <c r="I1424" i="17"/>
  <c r="I1425" i="17"/>
  <c r="I1426" i="17"/>
  <c r="I1427" i="17"/>
  <c r="I1428" i="17"/>
  <c r="I1429" i="17"/>
  <c r="I1430" i="17"/>
  <c r="I1431" i="17"/>
  <c r="I1432" i="17"/>
  <c r="I1433" i="17"/>
  <c r="I1434" i="17"/>
  <c r="I1435" i="17"/>
  <c r="I1436" i="17"/>
  <c r="I1437" i="17"/>
  <c r="I1438" i="17"/>
  <c r="I1439" i="17"/>
  <c r="I1440" i="17"/>
  <c r="I1441" i="17"/>
  <c r="I1442" i="17"/>
  <c r="I1443" i="17"/>
  <c r="I1444" i="17"/>
  <c r="I1445" i="17"/>
  <c r="I1446" i="17"/>
  <c r="I1447" i="17"/>
  <c r="I1448" i="17"/>
  <c r="I1449" i="17"/>
  <c r="I1450" i="17"/>
  <c r="I1451" i="17"/>
  <c r="I1452" i="17"/>
  <c r="I1453" i="17"/>
  <c r="I1454" i="17"/>
  <c r="I1455" i="17"/>
  <c r="I1456" i="17"/>
  <c r="I1457" i="17"/>
  <c r="I1458" i="17"/>
  <c r="I1459" i="17"/>
  <c r="I1460" i="17"/>
  <c r="I1461" i="17"/>
  <c r="I1462" i="17"/>
  <c r="I1463" i="17"/>
  <c r="I1464" i="17"/>
  <c r="I1465" i="17"/>
  <c r="I1466" i="17"/>
  <c r="I1467" i="17"/>
  <c r="I1468" i="17"/>
  <c r="I1469" i="17"/>
  <c r="I1470" i="17"/>
  <c r="I1471" i="17"/>
  <c r="I1472" i="17"/>
  <c r="I1473" i="17"/>
  <c r="I1474" i="17"/>
  <c r="I1475" i="17"/>
  <c r="I1476" i="17"/>
  <c r="I1477" i="17"/>
  <c r="I1478" i="17"/>
  <c r="I1479" i="17"/>
  <c r="I1480" i="17"/>
  <c r="I1481" i="17"/>
  <c r="I1482" i="17"/>
  <c r="I1483" i="17"/>
  <c r="I1484" i="17"/>
  <c r="I1485" i="17"/>
  <c r="I1486" i="17"/>
  <c r="I1487" i="17"/>
  <c r="I1488" i="17"/>
  <c r="I1489" i="17"/>
  <c r="I1490" i="17"/>
  <c r="I1491" i="17"/>
  <c r="I1492" i="17"/>
  <c r="I1493" i="17"/>
  <c r="I1494" i="17"/>
  <c r="I1495" i="17"/>
  <c r="I1496" i="17"/>
  <c r="I1497" i="17"/>
  <c r="I1498" i="17"/>
  <c r="I1499" i="17"/>
  <c r="I1500" i="17"/>
  <c r="I1501" i="17"/>
  <c r="I1502" i="17"/>
  <c r="I1503" i="17"/>
  <c r="I1504" i="17"/>
  <c r="I1505" i="17"/>
  <c r="I1506" i="17"/>
  <c r="I1507" i="17"/>
  <c r="I1508" i="17"/>
  <c r="I1509" i="17"/>
  <c r="I1510" i="17"/>
  <c r="I1511" i="17"/>
  <c r="I1512" i="17"/>
  <c r="I1513" i="17"/>
  <c r="I1514" i="17"/>
  <c r="I1515" i="17"/>
  <c r="I1516" i="17"/>
  <c r="I1517" i="17"/>
  <c r="I1518" i="17"/>
  <c r="I1519" i="17"/>
  <c r="I1520" i="17"/>
  <c r="I1521" i="17"/>
  <c r="I1522" i="17"/>
  <c r="I1523" i="17"/>
  <c r="I1524" i="17"/>
  <c r="I1525" i="17"/>
  <c r="I1526" i="17"/>
  <c r="I1527" i="17"/>
  <c r="I1528" i="17"/>
  <c r="I1529" i="17"/>
  <c r="I1530" i="17"/>
  <c r="I1531" i="17"/>
  <c r="I1532" i="17"/>
  <c r="I1533" i="17"/>
  <c r="I1534" i="17"/>
  <c r="I1535" i="17"/>
  <c r="I1536" i="17"/>
  <c r="J1536" i="17"/>
  <c r="J1533" i="17"/>
  <c r="J1534" i="17"/>
  <c r="J1535" i="17"/>
  <c r="J1530" i="17"/>
  <c r="J1531" i="17"/>
  <c r="J1532" i="17"/>
  <c r="J1529" i="17"/>
  <c r="J1528" i="17"/>
  <c r="J1525" i="17"/>
  <c r="J1526" i="17"/>
  <c r="J1527" i="17"/>
  <c r="J1523" i="17"/>
  <c r="J1524" i="17"/>
  <c r="J1516" i="17"/>
  <c r="J1517" i="17"/>
  <c r="J1518" i="17"/>
  <c r="J1519" i="17"/>
  <c r="J1520" i="17"/>
  <c r="J1521" i="17"/>
  <c r="J1522" i="17"/>
  <c r="J1514" i="17"/>
  <c r="J1515" i="17"/>
  <c r="J1511" i="17"/>
  <c r="J1512" i="17"/>
  <c r="J1513" i="17"/>
  <c r="J1505" i="17"/>
  <c r="J1506" i="17"/>
  <c r="J1507" i="17"/>
  <c r="J1508" i="17"/>
  <c r="J1509" i="17"/>
  <c r="J1510" i="17"/>
  <c r="J1501" i="17" l="1"/>
  <c r="J1502" i="17"/>
  <c r="J1503" i="17"/>
  <c r="J1504" i="17"/>
  <c r="J1500" i="17"/>
  <c r="J2" i="17"/>
  <c r="J3" i="17"/>
  <c r="J4" i="17"/>
  <c r="J5" i="17"/>
  <c r="J6" i="17"/>
  <c r="J7" i="17"/>
  <c r="J8" i="17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33" i="17"/>
  <c r="J34" i="17"/>
  <c r="J35" i="17"/>
  <c r="J36" i="17"/>
  <c r="J37" i="17"/>
  <c r="J38" i="17"/>
  <c r="J39" i="17"/>
  <c r="J40" i="17"/>
  <c r="J41" i="17"/>
  <c r="J42" i="17"/>
  <c r="J43" i="17"/>
  <c r="J44" i="17"/>
  <c r="J45" i="17"/>
  <c r="J46" i="17"/>
  <c r="J47" i="17"/>
  <c r="J48" i="17"/>
  <c r="J49" i="17"/>
  <c r="J50" i="17"/>
  <c r="J51" i="17"/>
  <c r="J52" i="17"/>
  <c r="J53" i="17"/>
  <c r="J54" i="17"/>
  <c r="J55" i="17"/>
  <c r="J56" i="17"/>
  <c r="J57" i="17"/>
  <c r="J58" i="17"/>
  <c r="J59" i="17"/>
  <c r="J60" i="17"/>
  <c r="J61" i="17"/>
  <c r="J62" i="17"/>
  <c r="J63" i="17"/>
  <c r="J64" i="17"/>
  <c r="J65" i="17"/>
  <c r="J66" i="17"/>
  <c r="J67" i="17"/>
  <c r="J68" i="17"/>
  <c r="J69" i="17"/>
  <c r="J70" i="17"/>
  <c r="J71" i="17"/>
  <c r="J72" i="17"/>
  <c r="J73" i="17"/>
  <c r="J74" i="17"/>
  <c r="J75" i="17"/>
  <c r="J76" i="17"/>
  <c r="J77" i="17"/>
  <c r="J78" i="17"/>
  <c r="J79" i="17"/>
  <c r="J80" i="17"/>
  <c r="J81" i="17"/>
  <c r="J82" i="17"/>
  <c r="J83" i="17"/>
  <c r="J84" i="17"/>
  <c r="J85" i="17"/>
  <c r="J86" i="17"/>
  <c r="J87" i="17"/>
  <c r="J88" i="17"/>
  <c r="J89" i="17"/>
  <c r="J90" i="17"/>
  <c r="J91" i="17"/>
  <c r="J92" i="17"/>
  <c r="J93" i="17"/>
  <c r="J94" i="17"/>
  <c r="J95" i="17"/>
  <c r="J96" i="17"/>
  <c r="J97" i="17"/>
  <c r="J98" i="17"/>
  <c r="J99" i="17"/>
  <c r="J100" i="17"/>
  <c r="J101" i="17"/>
  <c r="J102" i="17"/>
  <c r="J103" i="17"/>
  <c r="J104" i="17"/>
  <c r="J105" i="17"/>
  <c r="J106" i="17"/>
  <c r="J107" i="17"/>
  <c r="J108" i="17"/>
  <c r="J109" i="17"/>
  <c r="J110" i="17"/>
  <c r="J111" i="17"/>
  <c r="J112" i="17"/>
  <c r="J113" i="17"/>
  <c r="J114" i="17"/>
  <c r="J115" i="17"/>
  <c r="J116" i="17"/>
  <c r="J117" i="17"/>
  <c r="J118" i="17"/>
  <c r="J119" i="17"/>
  <c r="J120" i="17"/>
  <c r="J121" i="17"/>
  <c r="J122" i="17"/>
  <c r="J123" i="17"/>
  <c r="J124" i="17"/>
  <c r="J125" i="17"/>
  <c r="J126" i="17"/>
  <c r="J127" i="17"/>
  <c r="J128" i="17"/>
  <c r="J129" i="17"/>
  <c r="J130" i="17"/>
  <c r="J131" i="17"/>
  <c r="J132" i="17"/>
  <c r="J133" i="17"/>
  <c r="J134" i="17"/>
  <c r="J135" i="17"/>
  <c r="J136" i="17"/>
  <c r="J137" i="17"/>
  <c r="J138" i="17"/>
  <c r="J139" i="17"/>
  <c r="J140" i="17"/>
  <c r="J141" i="17"/>
  <c r="J142" i="17"/>
  <c r="J143" i="17"/>
  <c r="J144" i="17"/>
  <c r="J145" i="17"/>
  <c r="J146" i="17"/>
  <c r="J147" i="17"/>
  <c r="J148" i="17"/>
  <c r="J149" i="17"/>
  <c r="J150" i="17"/>
  <c r="J151" i="17"/>
  <c r="J152" i="17"/>
  <c r="J153" i="17"/>
  <c r="J154" i="17"/>
  <c r="J155" i="17"/>
  <c r="J156" i="17"/>
  <c r="J157" i="17"/>
  <c r="J158" i="17"/>
  <c r="J159" i="17"/>
  <c r="J160" i="17"/>
  <c r="J161" i="17"/>
  <c r="J162" i="17"/>
  <c r="J163" i="17"/>
  <c r="J164" i="17"/>
  <c r="J165" i="17"/>
  <c r="J166" i="17"/>
  <c r="J167" i="17"/>
  <c r="J168" i="17"/>
  <c r="J169" i="17"/>
  <c r="J170" i="17"/>
  <c r="J171" i="17"/>
  <c r="J172" i="17"/>
  <c r="J173" i="17"/>
  <c r="J174" i="17"/>
  <c r="J175" i="17"/>
  <c r="J176" i="17"/>
  <c r="J177" i="17"/>
  <c r="J178" i="17"/>
  <c r="J179" i="17"/>
  <c r="J180" i="17"/>
  <c r="J181" i="17"/>
  <c r="J182" i="17"/>
  <c r="J183" i="17"/>
  <c r="J184" i="17"/>
  <c r="J185" i="17"/>
  <c r="J186" i="17"/>
  <c r="J187" i="17"/>
  <c r="J188" i="17"/>
  <c r="J189" i="17"/>
  <c r="J190" i="17"/>
  <c r="J191" i="17"/>
  <c r="J192" i="17"/>
  <c r="J193" i="17"/>
  <c r="J194" i="17"/>
  <c r="J195" i="17"/>
  <c r="J196" i="17"/>
  <c r="J197" i="17"/>
  <c r="J198" i="17"/>
  <c r="J199" i="17"/>
  <c r="J200" i="17"/>
  <c r="J201" i="17"/>
  <c r="J202" i="17"/>
  <c r="J203" i="17"/>
  <c r="J204" i="17"/>
  <c r="J205" i="17"/>
  <c r="J206" i="17"/>
  <c r="J207" i="17"/>
  <c r="J208" i="17"/>
  <c r="J209" i="17"/>
  <c r="J210" i="17"/>
  <c r="J211" i="17"/>
  <c r="J212" i="17"/>
  <c r="J213" i="17"/>
  <c r="J214" i="17"/>
  <c r="J215" i="17"/>
  <c r="J216" i="17"/>
  <c r="J217" i="17"/>
  <c r="J218" i="17"/>
  <c r="J219" i="17"/>
  <c r="J220" i="17"/>
  <c r="J221" i="17"/>
  <c r="J222" i="17"/>
  <c r="J223" i="17"/>
  <c r="J224" i="17"/>
  <c r="J225" i="17"/>
  <c r="J226" i="17"/>
  <c r="J227" i="17"/>
  <c r="J228" i="17"/>
  <c r="J229" i="17"/>
  <c r="J230" i="17"/>
  <c r="J231" i="17"/>
  <c r="J232" i="17"/>
  <c r="J233" i="17"/>
  <c r="J234" i="17"/>
  <c r="J235" i="17"/>
  <c r="J236" i="17"/>
  <c r="J237" i="17"/>
  <c r="J238" i="17"/>
  <c r="J239" i="17"/>
  <c r="J240" i="17"/>
  <c r="J241" i="17"/>
  <c r="J242" i="17"/>
  <c r="J243" i="17"/>
  <c r="J244" i="17"/>
  <c r="J245" i="17"/>
  <c r="J246" i="17"/>
  <c r="J247" i="17"/>
  <c r="J248" i="17"/>
  <c r="J249" i="17"/>
  <c r="J250" i="17"/>
  <c r="J251" i="17"/>
  <c r="J252" i="17"/>
  <c r="J253" i="17"/>
  <c r="J254" i="17"/>
  <c r="J255" i="17"/>
  <c r="J256" i="17"/>
  <c r="J257" i="17"/>
  <c r="J258" i="17"/>
  <c r="J259" i="17"/>
  <c r="J260" i="17"/>
  <c r="J261" i="17"/>
  <c r="J262" i="17"/>
  <c r="J263" i="17"/>
  <c r="J264" i="17"/>
  <c r="J265" i="17"/>
  <c r="J266" i="17"/>
  <c r="J267" i="17"/>
  <c r="J268" i="17"/>
  <c r="J269" i="17"/>
  <c r="J270" i="17"/>
  <c r="J271" i="17"/>
  <c r="J272" i="17"/>
  <c r="J273" i="17"/>
  <c r="J274" i="17"/>
  <c r="J275" i="17"/>
  <c r="J276" i="17"/>
  <c r="J277" i="17"/>
  <c r="J278" i="17"/>
  <c r="J279" i="17"/>
  <c r="J280" i="17"/>
  <c r="J281" i="17"/>
  <c r="J282" i="17"/>
  <c r="J283" i="17"/>
  <c r="J284" i="17"/>
  <c r="J285" i="17"/>
  <c r="J286" i="17"/>
  <c r="J287" i="17"/>
  <c r="J288" i="17"/>
  <c r="J289" i="17"/>
  <c r="J290" i="17"/>
  <c r="J291" i="17"/>
  <c r="J292" i="17"/>
  <c r="J293" i="17"/>
  <c r="J294" i="17"/>
  <c r="J295" i="17"/>
  <c r="J296" i="17"/>
  <c r="J297" i="17"/>
  <c r="J298" i="17"/>
  <c r="J299" i="17"/>
  <c r="J300" i="17"/>
  <c r="J301" i="17"/>
  <c r="J302" i="17"/>
  <c r="J303" i="17"/>
  <c r="J304" i="17"/>
  <c r="J305" i="17"/>
  <c r="J306" i="17"/>
  <c r="J307" i="17"/>
  <c r="J308" i="17"/>
  <c r="J309" i="17"/>
  <c r="J310" i="17"/>
  <c r="J311" i="17"/>
  <c r="J312" i="17"/>
  <c r="J313" i="17"/>
  <c r="J314" i="17"/>
  <c r="J315" i="17"/>
  <c r="J316" i="17"/>
  <c r="J317" i="17"/>
  <c r="J318" i="17"/>
  <c r="J319" i="17"/>
  <c r="J320" i="17"/>
  <c r="J321" i="17"/>
  <c r="J322" i="17"/>
  <c r="J323" i="17"/>
  <c r="J324" i="17"/>
  <c r="J325" i="17"/>
  <c r="J326" i="17"/>
  <c r="J327" i="17"/>
  <c r="J328" i="17"/>
  <c r="J329" i="17"/>
  <c r="J330" i="17"/>
  <c r="J331" i="17"/>
  <c r="J332" i="17"/>
  <c r="J333" i="17"/>
  <c r="J334" i="17"/>
  <c r="J335" i="17"/>
  <c r="J336" i="17"/>
  <c r="J337" i="17"/>
  <c r="J338" i="17"/>
  <c r="J339" i="17"/>
  <c r="J340" i="17"/>
  <c r="J341" i="17"/>
  <c r="J342" i="17"/>
  <c r="J343" i="17"/>
  <c r="J344" i="17"/>
  <c r="J345" i="17"/>
  <c r="J346" i="17"/>
  <c r="J347" i="17"/>
  <c r="J348" i="17"/>
  <c r="J349" i="17"/>
  <c r="J350" i="17"/>
  <c r="J351" i="17"/>
  <c r="J352" i="17"/>
  <c r="J353" i="17"/>
  <c r="J354" i="17"/>
  <c r="J355" i="17"/>
  <c r="J356" i="17"/>
  <c r="J357" i="17"/>
  <c r="J358" i="17"/>
  <c r="J359" i="17"/>
  <c r="J360" i="17"/>
  <c r="J361" i="17"/>
  <c r="J362" i="17"/>
  <c r="J363" i="17"/>
  <c r="J364" i="17"/>
  <c r="J365" i="17"/>
  <c r="J366" i="17"/>
  <c r="J367" i="17"/>
  <c r="J368" i="17"/>
  <c r="J369" i="17"/>
  <c r="J370" i="17"/>
  <c r="J371" i="17"/>
  <c r="J372" i="17"/>
  <c r="J373" i="17"/>
  <c r="J374" i="17"/>
  <c r="J375" i="17"/>
  <c r="J376" i="17"/>
  <c r="J377" i="17"/>
  <c r="J378" i="17"/>
  <c r="J379" i="17"/>
  <c r="J380" i="17"/>
  <c r="J381" i="17"/>
  <c r="J382" i="17"/>
  <c r="J383" i="17"/>
  <c r="J384" i="17"/>
  <c r="J385" i="17"/>
  <c r="J386" i="17"/>
  <c r="J387" i="17"/>
  <c r="J388" i="17"/>
  <c r="J389" i="17"/>
  <c r="J390" i="17"/>
  <c r="J391" i="17"/>
  <c r="J392" i="17"/>
  <c r="J393" i="17"/>
  <c r="J394" i="17"/>
  <c r="J395" i="17"/>
  <c r="J396" i="17"/>
  <c r="J397" i="17"/>
  <c r="J398" i="17"/>
  <c r="J399" i="17"/>
  <c r="J400" i="17"/>
  <c r="J401" i="17"/>
  <c r="J402" i="17"/>
  <c r="J403" i="17"/>
  <c r="J404" i="17"/>
  <c r="J405" i="17"/>
  <c r="J406" i="17"/>
  <c r="J407" i="17"/>
  <c r="J408" i="17"/>
  <c r="J409" i="17"/>
  <c r="J410" i="17"/>
  <c r="J411" i="17"/>
  <c r="J412" i="17"/>
  <c r="J413" i="17"/>
  <c r="J414" i="17"/>
  <c r="J415" i="17"/>
  <c r="J416" i="17"/>
  <c r="J417" i="17"/>
  <c r="J418" i="17"/>
  <c r="J419" i="17"/>
  <c r="J420" i="17"/>
  <c r="J421" i="17"/>
  <c r="J422" i="17"/>
  <c r="J423" i="17"/>
  <c r="J424" i="17"/>
  <c r="J425" i="17"/>
  <c r="J426" i="17"/>
  <c r="J427" i="17"/>
  <c r="J428" i="17"/>
  <c r="J429" i="17"/>
  <c r="J430" i="17"/>
  <c r="J431" i="17"/>
  <c r="J432" i="17"/>
  <c r="J433" i="17"/>
  <c r="J434" i="17"/>
  <c r="J435" i="17"/>
  <c r="J436" i="17"/>
  <c r="J437" i="17"/>
  <c r="J438" i="17"/>
  <c r="J439" i="17"/>
  <c r="J440" i="17"/>
  <c r="J441" i="17"/>
  <c r="J442" i="17"/>
  <c r="J443" i="17"/>
  <c r="J444" i="17"/>
  <c r="J445" i="17"/>
  <c r="J446" i="17"/>
  <c r="J447" i="17"/>
  <c r="J448" i="17"/>
  <c r="J449" i="17"/>
  <c r="J450" i="17"/>
  <c r="J451" i="17"/>
  <c r="J452" i="17"/>
  <c r="J453" i="17"/>
  <c r="J454" i="17"/>
  <c r="J455" i="17"/>
  <c r="J456" i="17"/>
  <c r="J457" i="17"/>
  <c r="J458" i="17"/>
  <c r="J459" i="17"/>
  <c r="J460" i="17"/>
  <c r="J461" i="17"/>
  <c r="J462" i="17"/>
  <c r="J463" i="17"/>
  <c r="J464" i="17"/>
  <c r="J465" i="17"/>
  <c r="J466" i="17"/>
  <c r="J467" i="17"/>
  <c r="J468" i="17"/>
  <c r="J469" i="17"/>
  <c r="J470" i="17"/>
  <c r="J471" i="17"/>
  <c r="J472" i="17"/>
  <c r="J473" i="17"/>
  <c r="J474" i="17"/>
  <c r="J475" i="17"/>
  <c r="J476" i="17"/>
  <c r="J477" i="17"/>
  <c r="J478" i="17"/>
  <c r="J479" i="17"/>
  <c r="J480" i="17"/>
  <c r="J481" i="17"/>
  <c r="J482" i="17"/>
  <c r="J483" i="17"/>
  <c r="J484" i="17"/>
  <c r="J485" i="17"/>
  <c r="J486" i="17"/>
  <c r="J487" i="17"/>
  <c r="J488" i="17"/>
  <c r="J489" i="17"/>
  <c r="J490" i="17"/>
  <c r="J491" i="17"/>
  <c r="J492" i="17"/>
  <c r="J493" i="17"/>
  <c r="J494" i="17"/>
  <c r="J495" i="17"/>
  <c r="J496" i="17"/>
  <c r="J497" i="17"/>
  <c r="J498" i="17"/>
  <c r="J499" i="17"/>
  <c r="J500" i="17"/>
  <c r="J501" i="17"/>
  <c r="J502" i="17"/>
  <c r="J503" i="17"/>
  <c r="J504" i="17"/>
  <c r="J505" i="17"/>
  <c r="J506" i="17"/>
  <c r="J507" i="17"/>
  <c r="J508" i="17"/>
  <c r="J509" i="17"/>
  <c r="J510" i="17"/>
  <c r="J511" i="17"/>
  <c r="J512" i="17"/>
  <c r="J513" i="17"/>
  <c r="J514" i="17"/>
  <c r="J515" i="17"/>
  <c r="J516" i="17"/>
  <c r="J517" i="17"/>
  <c r="J518" i="17"/>
  <c r="J519" i="17"/>
  <c r="J520" i="17"/>
  <c r="J521" i="17"/>
  <c r="J522" i="17"/>
  <c r="J523" i="17"/>
  <c r="J524" i="17"/>
  <c r="J525" i="17"/>
  <c r="J526" i="17"/>
  <c r="J527" i="17"/>
  <c r="J528" i="17"/>
  <c r="J529" i="17"/>
  <c r="J530" i="17"/>
  <c r="J531" i="17"/>
  <c r="J532" i="17"/>
  <c r="J533" i="17"/>
  <c r="J534" i="17"/>
  <c r="J535" i="17"/>
  <c r="J536" i="17"/>
  <c r="J537" i="17"/>
  <c r="J538" i="17"/>
  <c r="J539" i="17"/>
  <c r="J540" i="17"/>
  <c r="J541" i="17"/>
  <c r="J542" i="17"/>
  <c r="J543" i="17"/>
  <c r="J544" i="17"/>
  <c r="J545" i="17"/>
  <c r="J546" i="17"/>
  <c r="J547" i="17"/>
  <c r="J548" i="17"/>
  <c r="J549" i="17"/>
  <c r="J550" i="17"/>
  <c r="J551" i="17"/>
  <c r="J552" i="17"/>
  <c r="J553" i="17"/>
  <c r="J554" i="17"/>
  <c r="J555" i="17"/>
  <c r="J556" i="17"/>
  <c r="J557" i="17"/>
  <c r="J558" i="17"/>
  <c r="J559" i="17"/>
  <c r="J560" i="17"/>
  <c r="J561" i="17"/>
  <c r="J562" i="17"/>
  <c r="J563" i="17"/>
  <c r="J564" i="17"/>
  <c r="J565" i="17"/>
  <c r="J566" i="17"/>
  <c r="J567" i="17"/>
  <c r="J568" i="17"/>
  <c r="J569" i="17"/>
  <c r="J570" i="17"/>
  <c r="J571" i="17"/>
  <c r="J572" i="17"/>
  <c r="J573" i="17"/>
  <c r="J574" i="17"/>
  <c r="J575" i="17"/>
  <c r="J576" i="17"/>
  <c r="J577" i="17"/>
  <c r="J578" i="17"/>
  <c r="J579" i="17"/>
  <c r="J580" i="17"/>
  <c r="J581" i="17"/>
  <c r="J582" i="17"/>
  <c r="J583" i="17"/>
  <c r="J584" i="17"/>
  <c r="J585" i="17"/>
  <c r="J586" i="17"/>
  <c r="J587" i="17"/>
  <c r="J588" i="17"/>
  <c r="J589" i="17"/>
  <c r="J590" i="17"/>
  <c r="J591" i="17"/>
  <c r="J592" i="17"/>
  <c r="J593" i="17"/>
  <c r="J594" i="17"/>
  <c r="J595" i="17"/>
  <c r="J596" i="17"/>
  <c r="J597" i="17"/>
  <c r="J598" i="17"/>
  <c r="J599" i="17"/>
  <c r="J600" i="17"/>
  <c r="J601" i="17"/>
  <c r="J602" i="17"/>
  <c r="J603" i="17"/>
  <c r="J604" i="17"/>
  <c r="J605" i="17"/>
  <c r="J606" i="17"/>
  <c r="J607" i="17"/>
  <c r="J608" i="17"/>
  <c r="J609" i="17"/>
  <c r="J610" i="17"/>
  <c r="J611" i="17"/>
  <c r="J612" i="17"/>
  <c r="J613" i="17"/>
  <c r="J614" i="17"/>
  <c r="J615" i="17"/>
  <c r="J616" i="17"/>
  <c r="J617" i="17"/>
  <c r="J618" i="17"/>
  <c r="J619" i="17"/>
  <c r="J620" i="17"/>
  <c r="J621" i="17"/>
  <c r="J622" i="17"/>
  <c r="J623" i="17"/>
  <c r="J624" i="17"/>
  <c r="J625" i="17"/>
  <c r="J626" i="17"/>
  <c r="J627" i="17"/>
  <c r="J628" i="17"/>
  <c r="J629" i="17"/>
  <c r="J630" i="17"/>
  <c r="J631" i="17"/>
  <c r="J632" i="17"/>
  <c r="J633" i="17"/>
  <c r="J634" i="17"/>
  <c r="J635" i="17"/>
  <c r="J636" i="17"/>
  <c r="J637" i="17"/>
  <c r="J638" i="17"/>
  <c r="J639" i="17"/>
  <c r="J640" i="17"/>
  <c r="J641" i="17"/>
  <c r="J642" i="17"/>
  <c r="J643" i="17"/>
  <c r="J644" i="17"/>
  <c r="J645" i="17"/>
  <c r="J646" i="17"/>
  <c r="J647" i="17"/>
  <c r="J648" i="17"/>
  <c r="J649" i="17"/>
  <c r="J650" i="17"/>
  <c r="J651" i="17"/>
  <c r="J652" i="17"/>
  <c r="J653" i="17"/>
  <c r="J654" i="17"/>
  <c r="J655" i="17"/>
  <c r="J656" i="17"/>
  <c r="J657" i="17"/>
  <c r="J658" i="17"/>
  <c r="J659" i="17"/>
  <c r="J660" i="17"/>
  <c r="J661" i="17"/>
  <c r="J662" i="17"/>
  <c r="J663" i="17"/>
  <c r="J664" i="17"/>
  <c r="J665" i="17"/>
  <c r="J666" i="17"/>
  <c r="J667" i="17"/>
  <c r="J668" i="17"/>
  <c r="J669" i="17"/>
  <c r="J670" i="17"/>
  <c r="J671" i="17"/>
  <c r="J672" i="17"/>
  <c r="J673" i="17"/>
  <c r="J674" i="17"/>
  <c r="J675" i="17"/>
  <c r="J676" i="17"/>
  <c r="J677" i="17"/>
  <c r="J678" i="17"/>
  <c r="J679" i="17"/>
  <c r="J680" i="17"/>
  <c r="J681" i="17"/>
  <c r="J682" i="17"/>
  <c r="J683" i="17"/>
  <c r="J684" i="17"/>
  <c r="J685" i="17"/>
  <c r="J686" i="17"/>
  <c r="J687" i="17"/>
  <c r="J688" i="17"/>
  <c r="J689" i="17"/>
  <c r="J690" i="17"/>
  <c r="J691" i="17"/>
  <c r="J692" i="17"/>
  <c r="J693" i="17"/>
  <c r="J694" i="17"/>
  <c r="J695" i="17"/>
  <c r="J696" i="17"/>
  <c r="J697" i="17"/>
  <c r="J698" i="17"/>
  <c r="J699" i="17"/>
  <c r="J700" i="17"/>
  <c r="J701" i="17"/>
  <c r="J702" i="17"/>
  <c r="J703" i="17"/>
  <c r="J704" i="17"/>
  <c r="J705" i="17"/>
  <c r="J706" i="17"/>
  <c r="J707" i="17"/>
  <c r="J708" i="17"/>
  <c r="J709" i="17"/>
  <c r="J710" i="17"/>
  <c r="J711" i="17"/>
  <c r="J712" i="17"/>
  <c r="J713" i="17"/>
  <c r="J714" i="17"/>
  <c r="J715" i="17"/>
  <c r="J716" i="17"/>
  <c r="J717" i="17"/>
  <c r="J718" i="17"/>
  <c r="J719" i="17"/>
  <c r="J720" i="17"/>
  <c r="J721" i="17"/>
  <c r="J722" i="17"/>
  <c r="J723" i="17"/>
  <c r="J724" i="17"/>
  <c r="J725" i="17"/>
  <c r="J726" i="17"/>
  <c r="J727" i="17"/>
  <c r="J728" i="17"/>
  <c r="J729" i="17"/>
  <c r="J730" i="17"/>
  <c r="J731" i="17"/>
  <c r="J732" i="17"/>
  <c r="J733" i="17"/>
  <c r="J734" i="17"/>
  <c r="J735" i="17"/>
  <c r="J736" i="17"/>
  <c r="J737" i="17"/>
  <c r="J738" i="17"/>
  <c r="J739" i="17"/>
  <c r="J740" i="17"/>
  <c r="J741" i="17"/>
  <c r="J742" i="17"/>
  <c r="J743" i="17"/>
  <c r="J744" i="17"/>
  <c r="J745" i="17"/>
  <c r="J746" i="17"/>
  <c r="J747" i="17"/>
  <c r="J748" i="17"/>
  <c r="J749" i="17"/>
  <c r="J750" i="17"/>
  <c r="J751" i="17"/>
  <c r="J752" i="17"/>
  <c r="J753" i="17"/>
  <c r="J754" i="17"/>
  <c r="J755" i="17"/>
  <c r="J756" i="17"/>
  <c r="J757" i="17"/>
  <c r="J758" i="17"/>
  <c r="J759" i="17"/>
  <c r="J760" i="17"/>
  <c r="J761" i="17"/>
  <c r="J762" i="17"/>
  <c r="J763" i="17"/>
  <c r="J764" i="17"/>
  <c r="J765" i="17"/>
  <c r="J766" i="17"/>
  <c r="J767" i="17"/>
  <c r="J768" i="17"/>
  <c r="J769" i="17"/>
  <c r="J770" i="17"/>
  <c r="J771" i="17"/>
  <c r="J772" i="17"/>
  <c r="J773" i="17"/>
  <c r="J774" i="17"/>
  <c r="J775" i="17"/>
  <c r="J776" i="17"/>
  <c r="J777" i="17"/>
  <c r="J778" i="17"/>
  <c r="J779" i="17"/>
  <c r="J780" i="17"/>
  <c r="J781" i="17"/>
  <c r="J782" i="17"/>
  <c r="J783" i="17"/>
  <c r="J784" i="17"/>
  <c r="J785" i="17"/>
  <c r="J786" i="17"/>
  <c r="J787" i="17"/>
  <c r="J788" i="17"/>
  <c r="J789" i="17"/>
  <c r="J790" i="17"/>
  <c r="J791" i="17"/>
  <c r="J792" i="17"/>
  <c r="J793" i="17"/>
  <c r="J794" i="17"/>
  <c r="J795" i="17"/>
  <c r="J796" i="17"/>
  <c r="J797" i="17"/>
  <c r="J798" i="17"/>
  <c r="J799" i="17"/>
  <c r="J800" i="17"/>
  <c r="J801" i="17"/>
  <c r="J802" i="17"/>
  <c r="J803" i="17"/>
  <c r="J804" i="17"/>
  <c r="J805" i="17"/>
  <c r="J806" i="17"/>
  <c r="J807" i="17"/>
  <c r="J808" i="17"/>
  <c r="J809" i="17"/>
  <c r="J810" i="17"/>
  <c r="J811" i="17"/>
  <c r="J812" i="17"/>
  <c r="J813" i="17"/>
  <c r="J814" i="17"/>
  <c r="J815" i="17"/>
  <c r="J816" i="17"/>
  <c r="J817" i="17"/>
  <c r="J818" i="17"/>
  <c r="J819" i="17"/>
  <c r="J820" i="17"/>
  <c r="J821" i="17"/>
  <c r="J822" i="17"/>
  <c r="J823" i="17"/>
  <c r="J824" i="17"/>
  <c r="J825" i="17"/>
  <c r="J826" i="17"/>
  <c r="J827" i="17"/>
  <c r="J828" i="17"/>
  <c r="J829" i="17"/>
  <c r="J830" i="17"/>
  <c r="J831" i="17"/>
  <c r="J832" i="17"/>
  <c r="J833" i="17"/>
  <c r="J834" i="17"/>
  <c r="J835" i="17"/>
  <c r="J836" i="17"/>
  <c r="J837" i="17"/>
  <c r="J838" i="17"/>
  <c r="J839" i="17"/>
  <c r="J840" i="17"/>
  <c r="J841" i="17"/>
  <c r="J842" i="17"/>
  <c r="J843" i="17"/>
  <c r="J844" i="17"/>
  <c r="J845" i="17"/>
  <c r="J846" i="17"/>
  <c r="J847" i="17"/>
  <c r="J848" i="17"/>
  <c r="J849" i="17"/>
  <c r="J850" i="17"/>
  <c r="J851" i="17"/>
  <c r="J852" i="17"/>
  <c r="J853" i="17"/>
  <c r="J854" i="17"/>
  <c r="J855" i="17"/>
  <c r="J856" i="17"/>
  <c r="J857" i="17"/>
  <c r="J858" i="17"/>
  <c r="J859" i="17"/>
  <c r="J860" i="17"/>
  <c r="J861" i="17"/>
  <c r="J862" i="17"/>
  <c r="J863" i="17"/>
  <c r="J864" i="17"/>
  <c r="J865" i="17"/>
  <c r="J866" i="17"/>
  <c r="J867" i="17"/>
  <c r="J868" i="17"/>
  <c r="J869" i="17"/>
  <c r="J870" i="17"/>
  <c r="J871" i="17"/>
  <c r="J872" i="17"/>
  <c r="J873" i="17"/>
  <c r="J874" i="17"/>
  <c r="J875" i="17"/>
  <c r="J876" i="17"/>
  <c r="J877" i="17"/>
  <c r="J878" i="17"/>
  <c r="J879" i="17"/>
  <c r="J880" i="17"/>
  <c r="J881" i="17"/>
  <c r="J882" i="17"/>
  <c r="J883" i="17"/>
  <c r="J884" i="17"/>
  <c r="J885" i="17"/>
  <c r="J886" i="17"/>
  <c r="J887" i="17"/>
  <c r="J888" i="17"/>
  <c r="J889" i="17"/>
  <c r="J890" i="17"/>
  <c r="J891" i="17"/>
  <c r="J892" i="17"/>
  <c r="J893" i="17"/>
  <c r="J894" i="17"/>
  <c r="J895" i="17"/>
  <c r="J896" i="17"/>
  <c r="J897" i="17"/>
  <c r="J898" i="17"/>
  <c r="J899" i="17"/>
  <c r="J900" i="17"/>
  <c r="J901" i="17"/>
  <c r="J902" i="17"/>
  <c r="J903" i="17"/>
  <c r="J904" i="17"/>
  <c r="J905" i="17"/>
  <c r="J906" i="17"/>
  <c r="J907" i="17"/>
  <c r="J908" i="17"/>
  <c r="J909" i="17"/>
  <c r="J910" i="17"/>
  <c r="J911" i="17"/>
  <c r="J912" i="17"/>
  <c r="J913" i="17"/>
  <c r="J914" i="17"/>
  <c r="J915" i="17"/>
  <c r="J916" i="17"/>
  <c r="J917" i="17"/>
  <c r="J918" i="17"/>
  <c r="J919" i="17"/>
  <c r="J920" i="17"/>
  <c r="J921" i="17"/>
  <c r="J922" i="17"/>
  <c r="J923" i="17"/>
  <c r="J924" i="17"/>
  <c r="J925" i="17"/>
  <c r="J926" i="17"/>
  <c r="J927" i="17"/>
  <c r="J928" i="17"/>
  <c r="J929" i="17"/>
  <c r="J930" i="17"/>
  <c r="J931" i="17"/>
  <c r="J932" i="17"/>
  <c r="J933" i="17"/>
  <c r="J934" i="17"/>
  <c r="J935" i="17"/>
  <c r="J936" i="17"/>
  <c r="J937" i="17"/>
  <c r="J938" i="17"/>
  <c r="J939" i="17"/>
  <c r="J940" i="17"/>
  <c r="J941" i="17"/>
  <c r="J942" i="17"/>
  <c r="J943" i="17"/>
  <c r="J944" i="17"/>
  <c r="J945" i="17"/>
  <c r="J946" i="17"/>
  <c r="J947" i="17"/>
  <c r="J948" i="17"/>
  <c r="J949" i="17"/>
  <c r="J950" i="17"/>
  <c r="J951" i="17"/>
  <c r="J952" i="17"/>
  <c r="J953" i="17"/>
  <c r="J954" i="17"/>
  <c r="J955" i="17"/>
  <c r="J956" i="17"/>
  <c r="J957" i="17"/>
  <c r="J958" i="17"/>
  <c r="J959" i="17"/>
  <c r="J960" i="17"/>
  <c r="J961" i="17"/>
  <c r="J962" i="17"/>
  <c r="J963" i="17"/>
  <c r="J964" i="17"/>
  <c r="J965" i="17"/>
  <c r="J966" i="17"/>
  <c r="J967" i="17"/>
  <c r="J968" i="17"/>
  <c r="J969" i="17"/>
  <c r="J970" i="17"/>
  <c r="J971" i="17"/>
  <c r="J972" i="17"/>
  <c r="J973" i="17"/>
  <c r="J974" i="17"/>
  <c r="J975" i="17"/>
  <c r="J976" i="17"/>
  <c r="J977" i="17"/>
  <c r="J978" i="17"/>
  <c r="J979" i="17"/>
  <c r="J980" i="17"/>
  <c r="J981" i="17"/>
  <c r="J982" i="17"/>
  <c r="J983" i="17"/>
  <c r="J984" i="17"/>
  <c r="J985" i="17"/>
  <c r="J986" i="17"/>
  <c r="J987" i="17"/>
  <c r="J988" i="17"/>
  <c r="J989" i="17"/>
  <c r="J990" i="17"/>
  <c r="J991" i="17"/>
  <c r="J992" i="17"/>
  <c r="J993" i="17"/>
  <c r="J994" i="17"/>
  <c r="J995" i="17"/>
  <c r="J996" i="17"/>
  <c r="J997" i="17"/>
  <c r="J998" i="17"/>
  <c r="J999" i="17"/>
  <c r="J1000" i="17"/>
  <c r="J1001" i="17"/>
  <c r="J1002" i="17"/>
  <c r="J1003" i="17"/>
  <c r="J1004" i="17"/>
  <c r="J1005" i="17"/>
  <c r="J1006" i="17"/>
  <c r="J1007" i="17"/>
  <c r="J1008" i="17"/>
  <c r="J1009" i="17"/>
  <c r="J1010" i="17"/>
  <c r="J1011" i="17"/>
  <c r="J1012" i="17"/>
  <c r="J1013" i="17"/>
  <c r="J1014" i="17"/>
  <c r="J1015" i="17"/>
  <c r="J1016" i="17"/>
  <c r="J1017" i="17"/>
  <c r="J1018" i="17"/>
  <c r="J1019" i="17"/>
  <c r="J1020" i="17"/>
  <c r="J1021" i="17"/>
  <c r="J1022" i="17"/>
  <c r="J1023" i="17"/>
  <c r="J1024" i="17"/>
  <c r="J1025" i="17"/>
  <c r="J1026" i="17"/>
  <c r="J1027" i="17"/>
  <c r="J1028" i="17"/>
  <c r="J1029" i="17"/>
  <c r="J1030" i="17"/>
  <c r="J1031" i="17"/>
  <c r="J1032" i="17"/>
  <c r="J1033" i="17"/>
  <c r="J1034" i="17"/>
  <c r="J1035" i="17"/>
  <c r="J1036" i="17"/>
  <c r="J1037" i="17"/>
  <c r="J1038" i="17"/>
  <c r="J1039" i="17"/>
  <c r="J1040" i="17"/>
  <c r="J1041" i="17"/>
  <c r="J1042" i="17"/>
  <c r="J1043" i="17"/>
  <c r="J1044" i="17"/>
  <c r="J1045" i="17"/>
  <c r="J1046" i="17"/>
  <c r="J1047" i="17"/>
  <c r="J1048" i="17"/>
  <c r="J1049" i="17"/>
  <c r="J1050" i="17"/>
  <c r="J1051" i="17"/>
  <c r="J1052" i="17"/>
  <c r="J1053" i="17"/>
  <c r="J1054" i="17"/>
  <c r="J1055" i="17"/>
  <c r="J1056" i="17"/>
  <c r="J1057" i="17"/>
  <c r="J1058" i="17"/>
  <c r="J1059" i="17"/>
  <c r="J1060" i="17"/>
  <c r="J1061" i="17"/>
  <c r="J1062" i="17"/>
  <c r="J1063" i="17"/>
  <c r="J1064" i="17"/>
  <c r="J1065" i="17"/>
  <c r="J1066" i="17"/>
  <c r="J1067" i="17"/>
  <c r="J1068" i="17"/>
  <c r="J1069" i="17"/>
  <c r="J1070" i="17"/>
  <c r="J1071" i="17"/>
  <c r="J1072" i="17"/>
  <c r="J1073" i="17"/>
  <c r="J1074" i="17"/>
  <c r="J1075" i="17"/>
  <c r="J1076" i="17"/>
  <c r="J1077" i="17"/>
  <c r="J1078" i="17"/>
  <c r="J1079" i="17"/>
  <c r="J1080" i="17"/>
  <c r="J1081" i="17"/>
  <c r="J1082" i="17"/>
  <c r="J1083" i="17"/>
  <c r="J1084" i="17"/>
  <c r="J1085" i="17"/>
  <c r="J1086" i="17"/>
  <c r="J1087" i="17"/>
  <c r="J1088" i="17"/>
  <c r="J1089" i="17"/>
  <c r="J1090" i="17"/>
  <c r="J1091" i="17"/>
  <c r="J1092" i="17"/>
  <c r="J1093" i="17"/>
  <c r="J1094" i="17"/>
  <c r="J1095" i="17"/>
  <c r="J1096" i="17"/>
  <c r="J1097" i="17"/>
  <c r="J1098" i="17"/>
  <c r="J1099" i="17"/>
  <c r="J1100" i="17"/>
  <c r="J1101" i="17"/>
  <c r="J1102" i="17"/>
  <c r="J1103" i="17"/>
  <c r="J1104" i="17"/>
  <c r="J1105" i="17"/>
  <c r="J1106" i="17"/>
  <c r="J1107" i="17"/>
  <c r="J1108" i="17"/>
  <c r="J1109" i="17"/>
  <c r="J1110" i="17"/>
  <c r="J1111" i="17"/>
  <c r="J1112" i="17"/>
  <c r="J1113" i="17"/>
  <c r="J1114" i="17"/>
  <c r="J1115" i="17"/>
  <c r="J1116" i="17"/>
  <c r="J1117" i="17"/>
  <c r="J1118" i="17"/>
  <c r="J1119" i="17"/>
  <c r="J1120" i="17"/>
  <c r="J1121" i="17"/>
  <c r="J1122" i="17"/>
  <c r="J1123" i="17"/>
  <c r="J1124" i="17"/>
  <c r="J1125" i="17"/>
  <c r="J1126" i="17"/>
  <c r="J1127" i="17"/>
  <c r="J1128" i="17"/>
  <c r="J1129" i="17"/>
  <c r="J1130" i="17"/>
  <c r="J1131" i="17"/>
  <c r="J1132" i="17"/>
  <c r="J1133" i="17"/>
  <c r="J1134" i="17"/>
  <c r="J1135" i="17"/>
  <c r="J1136" i="17"/>
  <c r="J1137" i="17"/>
  <c r="J1138" i="17"/>
  <c r="J1139" i="17"/>
  <c r="J1140" i="17"/>
  <c r="J1141" i="17"/>
  <c r="J1142" i="17"/>
  <c r="J1143" i="17"/>
  <c r="J1144" i="17"/>
  <c r="J1145" i="17"/>
  <c r="J1146" i="17"/>
  <c r="J1147" i="17"/>
  <c r="J1148" i="17"/>
  <c r="J1149" i="17"/>
  <c r="J1150" i="17"/>
  <c r="J1151" i="17"/>
  <c r="J1152" i="17"/>
  <c r="J1153" i="17"/>
  <c r="J1154" i="17"/>
  <c r="J1155" i="17"/>
  <c r="J1156" i="17"/>
  <c r="J1157" i="17"/>
  <c r="J1158" i="17"/>
  <c r="J1159" i="17"/>
  <c r="J1160" i="17"/>
  <c r="J1161" i="17"/>
  <c r="J1162" i="17"/>
  <c r="J1163" i="17"/>
  <c r="J1164" i="17"/>
  <c r="J1165" i="17"/>
  <c r="J1166" i="17"/>
  <c r="J1167" i="17"/>
  <c r="J1168" i="17"/>
  <c r="J1169" i="17"/>
  <c r="J1170" i="17"/>
  <c r="J1171" i="17"/>
  <c r="J1172" i="17"/>
  <c r="J1173" i="17"/>
  <c r="J1174" i="17"/>
  <c r="J1175" i="17"/>
  <c r="J1176" i="17"/>
  <c r="J1177" i="17"/>
  <c r="J1178" i="17"/>
  <c r="J1179" i="17"/>
  <c r="J1180" i="17"/>
  <c r="J1181" i="17"/>
  <c r="J1182" i="17"/>
  <c r="J1183" i="17"/>
  <c r="J1184" i="17"/>
  <c r="J1185" i="17"/>
  <c r="J1186" i="17"/>
  <c r="J1187" i="17"/>
  <c r="J1188" i="17"/>
  <c r="J1189" i="17"/>
  <c r="J1190" i="17"/>
  <c r="J1191" i="17"/>
  <c r="J1192" i="17"/>
  <c r="J1193" i="17"/>
  <c r="J1194" i="17"/>
  <c r="J1195" i="17"/>
  <c r="J1196" i="17"/>
  <c r="J1197" i="17"/>
  <c r="J1198" i="17"/>
  <c r="J1199" i="17"/>
  <c r="J1200" i="17"/>
  <c r="J1201" i="17"/>
  <c r="J1202" i="17"/>
  <c r="J1203" i="17"/>
  <c r="J1204" i="17"/>
  <c r="J1205" i="17"/>
  <c r="J1206" i="17"/>
  <c r="J1207" i="17"/>
  <c r="J1208" i="17"/>
  <c r="J1209" i="17"/>
  <c r="J1210" i="17"/>
  <c r="J1211" i="17"/>
  <c r="J1212" i="17"/>
  <c r="J1213" i="17"/>
  <c r="J1214" i="17"/>
  <c r="J1215" i="17"/>
  <c r="J1216" i="17"/>
  <c r="J1217" i="17"/>
  <c r="J1218" i="17"/>
  <c r="J1219" i="17"/>
  <c r="J1220" i="17"/>
  <c r="J1221" i="17"/>
  <c r="J1222" i="17"/>
  <c r="J1223" i="17"/>
  <c r="J1224" i="17"/>
  <c r="J1225" i="17"/>
  <c r="J1226" i="17"/>
  <c r="J1227" i="17"/>
  <c r="J1228" i="17"/>
  <c r="J1229" i="17"/>
  <c r="J1230" i="17"/>
  <c r="J1231" i="17"/>
  <c r="J1232" i="17"/>
  <c r="J1233" i="17"/>
  <c r="J1234" i="17"/>
  <c r="J1235" i="17"/>
  <c r="J1236" i="17"/>
  <c r="J1237" i="17"/>
  <c r="J1238" i="17"/>
  <c r="J1239" i="17"/>
  <c r="J1240" i="17"/>
  <c r="J1241" i="17"/>
  <c r="J1242" i="17"/>
  <c r="J1243" i="17"/>
  <c r="J1244" i="17"/>
  <c r="J1245" i="17"/>
  <c r="J1246" i="17"/>
  <c r="J1247" i="17"/>
  <c r="J1248" i="17"/>
  <c r="J1249" i="17"/>
  <c r="J1250" i="17"/>
  <c r="J1251" i="17"/>
  <c r="J1252" i="17"/>
  <c r="J1253" i="17"/>
  <c r="J1254" i="17"/>
  <c r="J1255" i="17"/>
  <c r="J1256" i="17"/>
  <c r="J1257" i="17"/>
  <c r="J1258" i="17"/>
  <c r="J1259" i="17"/>
  <c r="J1260" i="17"/>
  <c r="J1261" i="17"/>
  <c r="J1262" i="17"/>
  <c r="J1263" i="17"/>
  <c r="J1264" i="17"/>
  <c r="J1265" i="17"/>
  <c r="J1266" i="17"/>
  <c r="J1267" i="17"/>
  <c r="J1268" i="17"/>
  <c r="J1269" i="17"/>
  <c r="J1270" i="17"/>
  <c r="J1271" i="17"/>
  <c r="J1272" i="17"/>
  <c r="J1273" i="17"/>
  <c r="J1274" i="17"/>
  <c r="J1275" i="17"/>
  <c r="J1276" i="17"/>
  <c r="J1277" i="17"/>
  <c r="J1278" i="17"/>
  <c r="J1279" i="17"/>
  <c r="J1280" i="17"/>
  <c r="J1281" i="17"/>
  <c r="J1282" i="17"/>
  <c r="J1283" i="17"/>
  <c r="J1284" i="17"/>
  <c r="J1285" i="17"/>
  <c r="J1286" i="17"/>
  <c r="J1287" i="17"/>
  <c r="J1288" i="17"/>
  <c r="J1289" i="17"/>
  <c r="J1290" i="17"/>
  <c r="J1291" i="17"/>
  <c r="J1292" i="17"/>
  <c r="J1293" i="17"/>
  <c r="J1294" i="17"/>
  <c r="J1295" i="17"/>
  <c r="J1296" i="17"/>
  <c r="J1297" i="17"/>
  <c r="J1298" i="17"/>
  <c r="J1299" i="17"/>
  <c r="J1300" i="17"/>
  <c r="J1301" i="17"/>
  <c r="J1302" i="17"/>
  <c r="J1303" i="17"/>
  <c r="J1304" i="17"/>
  <c r="J1305" i="17"/>
  <c r="J1306" i="17"/>
  <c r="J1307" i="17"/>
  <c r="J1308" i="17"/>
  <c r="J1309" i="17"/>
  <c r="J1310" i="17"/>
  <c r="J1311" i="17"/>
  <c r="J1312" i="17"/>
  <c r="J1313" i="17"/>
  <c r="J1314" i="17"/>
  <c r="J1315" i="17"/>
  <c r="J1316" i="17"/>
  <c r="J1317" i="17"/>
  <c r="J1318" i="17"/>
  <c r="J1319" i="17"/>
  <c r="J1320" i="17"/>
  <c r="J1321" i="17"/>
  <c r="J1322" i="17"/>
  <c r="J1323" i="17"/>
  <c r="J1324" i="17"/>
  <c r="J1325" i="17"/>
  <c r="J1326" i="17"/>
  <c r="J1327" i="17"/>
  <c r="J1328" i="17"/>
  <c r="J1329" i="17"/>
  <c r="J1330" i="17"/>
  <c r="J1331" i="17"/>
  <c r="J1332" i="17"/>
  <c r="J1333" i="17"/>
  <c r="J1334" i="17"/>
  <c r="J1335" i="17"/>
  <c r="J1336" i="17"/>
  <c r="J1337" i="17"/>
  <c r="J1338" i="17"/>
  <c r="J1339" i="17"/>
  <c r="J1340" i="17"/>
  <c r="J1341" i="17"/>
  <c r="J1342" i="17"/>
  <c r="J1343" i="17"/>
  <c r="J1344" i="17"/>
  <c r="J1345" i="17"/>
  <c r="J1346" i="17"/>
  <c r="J1347" i="17"/>
  <c r="J1348" i="17"/>
  <c r="J1349" i="17"/>
  <c r="J1350" i="17"/>
  <c r="J1351" i="17"/>
  <c r="J1352" i="17"/>
  <c r="J1353" i="17"/>
  <c r="J1354" i="17"/>
  <c r="J1355" i="17"/>
  <c r="J1356" i="17"/>
  <c r="J1357" i="17"/>
  <c r="J1358" i="17"/>
  <c r="J1359" i="17"/>
  <c r="J1360" i="17"/>
  <c r="J1361" i="17"/>
  <c r="J1362" i="17"/>
  <c r="J1363" i="17"/>
  <c r="J1364" i="17"/>
  <c r="J1365" i="17"/>
  <c r="J1366" i="17"/>
  <c r="J1367" i="17"/>
  <c r="J1368" i="17"/>
  <c r="J1369" i="17"/>
  <c r="J1370" i="17"/>
  <c r="J1371" i="17"/>
  <c r="J1372" i="17"/>
  <c r="J1373" i="17"/>
  <c r="J1374" i="17"/>
  <c r="J1375" i="17"/>
  <c r="J1376" i="17"/>
  <c r="J1377" i="17"/>
  <c r="J1378" i="17"/>
  <c r="J1379" i="17"/>
  <c r="J1380" i="17"/>
  <c r="J1381" i="17"/>
  <c r="J1382" i="17"/>
  <c r="J1383" i="17"/>
  <c r="J1384" i="17"/>
  <c r="J1385" i="17"/>
  <c r="J1386" i="17"/>
  <c r="J1387" i="17"/>
  <c r="J1388" i="17"/>
  <c r="J1389" i="17"/>
  <c r="J1390" i="17"/>
  <c r="J1391" i="17"/>
  <c r="J1392" i="17"/>
  <c r="J1393" i="17"/>
  <c r="J1394" i="17"/>
  <c r="J1395" i="17"/>
  <c r="J1396" i="17"/>
  <c r="J1397" i="17"/>
  <c r="J1398" i="17"/>
  <c r="J1399" i="17"/>
  <c r="J1400" i="17"/>
  <c r="J1401" i="17"/>
  <c r="J1402" i="17"/>
  <c r="J1403" i="17"/>
  <c r="J1404" i="17"/>
  <c r="J1405" i="17"/>
  <c r="J1406" i="17"/>
  <c r="J1407" i="17"/>
  <c r="J1408" i="17"/>
  <c r="J1409" i="17"/>
  <c r="J1410" i="17"/>
  <c r="J1411" i="17"/>
  <c r="J1412" i="17"/>
  <c r="J1413" i="17"/>
  <c r="J1414" i="17"/>
  <c r="J1415" i="17"/>
  <c r="J1416" i="17"/>
  <c r="J1417" i="17"/>
  <c r="J1418" i="17"/>
  <c r="J1419" i="17"/>
  <c r="J1420" i="17"/>
  <c r="J1421" i="17"/>
  <c r="J1422" i="17"/>
  <c r="J1423" i="17"/>
  <c r="J1424" i="17"/>
  <c r="J1425" i="17"/>
  <c r="J1426" i="17"/>
  <c r="J1427" i="17"/>
  <c r="J1428" i="17"/>
  <c r="J1429" i="17"/>
  <c r="J1430" i="17"/>
  <c r="J1431" i="17"/>
  <c r="J1432" i="17"/>
  <c r="J1433" i="17"/>
  <c r="J1434" i="17"/>
  <c r="J1435" i="17"/>
  <c r="J1436" i="17"/>
  <c r="J1437" i="17"/>
  <c r="J1438" i="17"/>
  <c r="J1439" i="17"/>
  <c r="J1440" i="17"/>
  <c r="J1441" i="17"/>
  <c r="J1442" i="17"/>
  <c r="J1443" i="17"/>
  <c r="J1444" i="17"/>
  <c r="J1445" i="17"/>
  <c r="J1446" i="17"/>
  <c r="J1447" i="17"/>
  <c r="J1448" i="17"/>
  <c r="J1449" i="17"/>
  <c r="J1450" i="17"/>
  <c r="J1451" i="17"/>
  <c r="J1452" i="17"/>
  <c r="J1453" i="17"/>
  <c r="J1454" i="17"/>
  <c r="J1455" i="17"/>
  <c r="J1456" i="17"/>
  <c r="J1457" i="17"/>
  <c r="J1458" i="17"/>
  <c r="J1459" i="17"/>
  <c r="J1460" i="17"/>
  <c r="J1461" i="17"/>
  <c r="J1462" i="17"/>
  <c r="J1463" i="17"/>
  <c r="J1464" i="17"/>
  <c r="J1465" i="17"/>
  <c r="J1466" i="17"/>
  <c r="J1467" i="17"/>
  <c r="J1468" i="17"/>
  <c r="J1469" i="17"/>
  <c r="J1470" i="17"/>
  <c r="J1471" i="17"/>
  <c r="J1472" i="17"/>
  <c r="J1473" i="17"/>
  <c r="J1474" i="17"/>
  <c r="J1475" i="17"/>
  <c r="J1476" i="17"/>
  <c r="J1477" i="17"/>
  <c r="J1478" i="17"/>
  <c r="J1479" i="17"/>
  <c r="J1480" i="17"/>
  <c r="J1481" i="17"/>
  <c r="J1482" i="17"/>
  <c r="J1483" i="17"/>
  <c r="J1484" i="17"/>
  <c r="J1485" i="17"/>
  <c r="J1486" i="17"/>
  <c r="J1487" i="17"/>
  <c r="J1488" i="17"/>
  <c r="J1489" i="17"/>
  <c r="J1490" i="17"/>
  <c r="J1491" i="17"/>
  <c r="J1492" i="17"/>
  <c r="J1493" i="17"/>
  <c r="J1494" i="17"/>
  <c r="J1495" i="17"/>
  <c r="J1496" i="17"/>
  <c r="J1497" i="17"/>
  <c r="J1498" i="17"/>
  <c r="J1499" i="17"/>
  <c r="I2" i="17"/>
  <c r="I3" i="17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159" i="17"/>
  <c r="I160" i="17"/>
  <c r="I161" i="17"/>
  <c r="I162" i="17"/>
  <c r="I163" i="17"/>
  <c r="I164" i="17"/>
  <c r="I165" i="17"/>
  <c r="I166" i="17"/>
  <c r="I167" i="17"/>
  <c r="I168" i="17"/>
  <c r="I169" i="17"/>
  <c r="I170" i="17"/>
  <c r="I171" i="17"/>
  <c r="I172" i="17"/>
  <c r="I173" i="17"/>
  <c r="I174" i="17"/>
  <c r="I175" i="17"/>
  <c r="I176" i="17"/>
  <c r="I177" i="17"/>
  <c r="I178" i="17"/>
  <c r="I179" i="17"/>
  <c r="I180" i="17"/>
  <c r="I181" i="17"/>
  <c r="I182" i="17"/>
  <c r="I183" i="17"/>
  <c r="I184" i="17"/>
  <c r="I185" i="17"/>
  <c r="I186" i="17"/>
  <c r="I187" i="17"/>
  <c r="I188" i="17"/>
  <c r="I189" i="17"/>
  <c r="I190" i="17"/>
  <c r="I191" i="17"/>
  <c r="I192" i="17"/>
  <c r="I193" i="17"/>
  <c r="I194" i="17"/>
  <c r="I195" i="17"/>
  <c r="I196" i="17"/>
  <c r="I197" i="17"/>
  <c r="I198" i="17"/>
  <c r="I199" i="17"/>
  <c r="I200" i="17"/>
  <c r="I201" i="17"/>
  <c r="I202" i="17"/>
  <c r="I203" i="17"/>
  <c r="I204" i="17"/>
  <c r="I205" i="17"/>
  <c r="I206" i="17"/>
  <c r="I207" i="17"/>
  <c r="I208" i="17"/>
  <c r="I209" i="17"/>
  <c r="I210" i="17"/>
  <c r="I211" i="17"/>
  <c r="I212" i="17"/>
  <c r="I213" i="17"/>
  <c r="I214" i="17"/>
  <c r="I215" i="17"/>
  <c r="I216" i="17"/>
  <c r="I217" i="17"/>
  <c r="I218" i="17"/>
  <c r="I219" i="17"/>
  <c r="I220" i="17"/>
  <c r="I221" i="17"/>
  <c r="I222" i="17"/>
  <c r="I223" i="17"/>
  <c r="I224" i="17"/>
  <c r="I225" i="17"/>
  <c r="I226" i="17"/>
  <c r="I227" i="17"/>
  <c r="I228" i="17"/>
  <c r="I1498" i="9"/>
  <c r="I1499" i="9"/>
  <c r="I1500" i="9"/>
  <c r="I1501" i="9"/>
  <c r="J1498" i="9"/>
  <c r="J1499" i="9"/>
  <c r="J1500" i="9"/>
  <c r="J1501" i="9"/>
  <c r="J1497" i="9"/>
  <c r="J1496" i="9"/>
  <c r="J1495" i="9"/>
  <c r="J1494" i="9"/>
  <c r="J1493" i="9"/>
  <c r="J1492" i="9"/>
  <c r="J1491" i="9"/>
  <c r="J1490" i="9"/>
  <c r="J1489" i="9"/>
  <c r="J1488" i="9"/>
  <c r="J1487" i="9"/>
  <c r="J1486" i="9"/>
  <c r="J1485" i="9"/>
  <c r="J1484" i="9"/>
  <c r="J1483" i="9"/>
  <c r="J1482" i="9"/>
  <c r="J1481" i="9"/>
  <c r="J1480" i="9"/>
  <c r="J1479" i="9"/>
  <c r="J1478" i="9"/>
  <c r="J1477" i="9"/>
  <c r="J1476" i="9"/>
  <c r="J1475" i="9"/>
  <c r="J1474" i="9"/>
  <c r="J1473" i="9"/>
  <c r="J1472" i="9"/>
  <c r="J1471" i="9"/>
  <c r="J1470" i="9"/>
  <c r="J1469" i="9"/>
  <c r="J1468" i="9"/>
  <c r="J1467" i="9"/>
  <c r="J1466" i="9"/>
  <c r="J1465" i="9"/>
  <c r="J1464" i="9"/>
  <c r="J1463" i="9"/>
  <c r="J1462" i="9"/>
  <c r="J1461" i="9"/>
  <c r="J1460" i="9"/>
  <c r="J1459" i="9"/>
  <c r="J1458" i="9"/>
  <c r="J1457" i="9"/>
  <c r="J1456" i="9"/>
  <c r="J1455" i="9"/>
  <c r="J1454" i="9"/>
  <c r="J1453" i="9"/>
  <c r="J1452" i="9"/>
  <c r="J1451" i="9"/>
  <c r="J1450" i="9"/>
  <c r="J1449" i="9"/>
  <c r="J1448" i="9"/>
  <c r="J1447" i="9"/>
  <c r="J1446" i="9"/>
  <c r="J1445" i="9"/>
  <c r="J1444" i="9"/>
  <c r="J1443" i="9"/>
  <c r="J1442" i="9"/>
  <c r="J1441" i="9"/>
  <c r="J1440" i="9"/>
  <c r="J1439" i="9"/>
  <c r="J1438" i="9"/>
  <c r="J1437" i="9"/>
  <c r="J1436" i="9"/>
  <c r="J1435" i="9"/>
  <c r="J1434" i="9"/>
  <c r="J1433" i="9"/>
  <c r="J1432" i="9"/>
  <c r="J1431" i="9"/>
  <c r="J1430" i="9"/>
  <c r="J1429" i="9"/>
  <c r="J1428" i="9"/>
  <c r="J1427" i="9"/>
  <c r="J1426" i="9"/>
  <c r="J1425" i="9"/>
  <c r="J1424" i="9"/>
  <c r="J1423" i="9"/>
  <c r="J1422" i="9"/>
  <c r="J1421" i="9"/>
  <c r="J1420" i="9"/>
  <c r="J1419" i="9"/>
  <c r="J1418" i="9"/>
  <c r="J1417" i="9"/>
  <c r="J1416" i="9"/>
  <c r="J1415" i="9"/>
  <c r="J1414" i="9"/>
  <c r="J1413" i="9"/>
  <c r="J1412" i="9"/>
  <c r="J1411" i="9"/>
  <c r="J1410" i="9"/>
  <c r="J1409" i="9"/>
  <c r="J1408" i="9"/>
  <c r="J1407" i="9"/>
  <c r="J1406" i="9"/>
  <c r="J1405" i="9"/>
  <c r="J1404" i="9"/>
  <c r="J1403" i="9"/>
  <c r="J1402" i="9"/>
  <c r="J1401" i="9"/>
  <c r="J1400" i="9"/>
  <c r="J1399" i="9"/>
  <c r="J1398" i="9"/>
  <c r="J1397" i="9"/>
  <c r="J1396" i="9"/>
  <c r="J1395" i="9"/>
  <c r="J1394" i="9"/>
  <c r="J1393" i="9"/>
  <c r="J1392" i="9"/>
  <c r="J1391" i="9"/>
  <c r="J1390" i="9"/>
  <c r="J1389" i="9"/>
  <c r="J1388" i="9"/>
  <c r="J1387" i="9"/>
  <c r="J1386" i="9"/>
  <c r="J1385" i="9"/>
  <c r="J1384" i="9"/>
  <c r="J1383" i="9"/>
  <c r="J1382" i="9"/>
  <c r="J1381" i="9"/>
  <c r="J1380" i="9"/>
  <c r="J1379" i="9"/>
  <c r="J1378" i="9"/>
  <c r="J1377" i="9"/>
  <c r="J1376" i="9"/>
  <c r="J1375" i="9"/>
  <c r="J1374" i="9"/>
  <c r="J1373" i="9"/>
  <c r="J1372" i="9"/>
  <c r="J1371" i="9"/>
  <c r="J1370" i="9"/>
  <c r="J1369" i="9"/>
  <c r="J1368" i="9"/>
  <c r="J1367" i="9"/>
  <c r="J1366" i="9"/>
  <c r="J1365" i="9"/>
  <c r="J1364" i="9"/>
  <c r="J1363" i="9"/>
  <c r="J1362" i="9"/>
  <c r="J1361" i="9"/>
  <c r="J1360" i="9"/>
  <c r="J1359" i="9"/>
  <c r="J1358" i="9"/>
  <c r="J1357" i="9"/>
  <c r="J1356" i="9"/>
  <c r="J1355" i="9"/>
  <c r="J1354" i="9"/>
  <c r="J1353" i="9"/>
  <c r="J1352" i="9"/>
  <c r="J1351" i="9"/>
  <c r="J1350" i="9"/>
  <c r="J1349" i="9"/>
  <c r="J1348" i="9"/>
  <c r="J1347" i="9"/>
  <c r="J1346" i="9"/>
  <c r="J1345" i="9"/>
  <c r="J1344" i="9"/>
  <c r="J1343" i="9"/>
  <c r="J1342" i="9"/>
  <c r="J1341" i="9"/>
  <c r="J1340" i="9"/>
  <c r="J1339" i="9"/>
  <c r="J1338" i="9"/>
  <c r="J1337" i="9"/>
  <c r="J1336" i="9"/>
  <c r="J1335" i="9"/>
  <c r="J1334" i="9"/>
  <c r="J1333" i="9"/>
  <c r="J1332" i="9"/>
  <c r="J1331" i="9"/>
  <c r="J1330" i="9"/>
  <c r="J1329" i="9"/>
  <c r="J1328" i="9"/>
  <c r="J1327" i="9"/>
  <c r="J1326" i="9"/>
  <c r="J1325" i="9"/>
  <c r="J1324" i="9"/>
  <c r="J1323" i="9"/>
  <c r="J1322" i="9"/>
  <c r="J1321" i="9"/>
  <c r="J1320" i="9"/>
  <c r="J1319" i="9"/>
  <c r="J1318" i="9"/>
  <c r="J1317" i="9"/>
  <c r="J1316" i="9"/>
  <c r="J1315" i="9"/>
  <c r="J1314" i="9"/>
  <c r="J1313" i="9"/>
  <c r="J1312" i="9"/>
  <c r="J1311" i="9"/>
  <c r="J1310" i="9"/>
  <c r="J1309" i="9"/>
  <c r="J1308" i="9"/>
  <c r="J1307" i="9"/>
  <c r="J1306" i="9"/>
  <c r="J1305" i="9"/>
  <c r="J1304" i="9"/>
  <c r="J1303" i="9"/>
  <c r="J1302" i="9"/>
  <c r="J1301" i="9"/>
  <c r="J1300" i="9"/>
  <c r="J1299" i="9"/>
  <c r="J1298" i="9"/>
  <c r="J1297" i="9"/>
  <c r="J1296" i="9"/>
  <c r="J1295" i="9"/>
  <c r="J1294" i="9"/>
  <c r="J1293" i="9"/>
  <c r="J1292" i="9"/>
  <c r="J1291" i="9"/>
  <c r="J1290" i="9"/>
  <c r="J1289" i="9"/>
  <c r="J1288" i="9"/>
  <c r="J1287" i="9"/>
  <c r="J1286" i="9"/>
  <c r="J1285" i="9"/>
  <c r="J1284" i="9"/>
  <c r="J1283" i="9"/>
  <c r="J1282" i="9"/>
  <c r="J1281" i="9"/>
  <c r="J1280" i="9"/>
  <c r="J1279" i="9"/>
  <c r="J1278" i="9"/>
  <c r="J1277" i="9"/>
  <c r="J1276" i="9"/>
  <c r="J1275" i="9"/>
  <c r="J1274" i="9"/>
  <c r="J1273" i="9"/>
  <c r="J1272" i="9"/>
  <c r="J1271" i="9"/>
  <c r="J1270" i="9"/>
  <c r="J1269" i="9"/>
  <c r="J1268" i="9"/>
  <c r="J1267" i="9"/>
  <c r="J1266" i="9"/>
  <c r="J1265" i="9"/>
  <c r="J1264" i="9"/>
  <c r="J1263" i="9"/>
  <c r="J1262" i="9"/>
  <c r="J1261" i="9"/>
  <c r="J1260" i="9"/>
  <c r="J1259" i="9"/>
  <c r="J1258" i="9"/>
  <c r="J1257" i="9"/>
  <c r="J1256" i="9"/>
  <c r="J1255" i="9"/>
  <c r="J1254" i="9"/>
  <c r="J1253" i="9"/>
  <c r="J1252" i="9"/>
  <c r="J1251" i="9"/>
  <c r="J1250" i="9"/>
  <c r="J1249" i="9"/>
  <c r="J1248" i="9"/>
  <c r="J1247" i="9"/>
  <c r="J1246" i="9"/>
  <c r="J1245" i="9"/>
  <c r="J1244" i="9"/>
  <c r="J1243" i="9"/>
  <c r="J1242" i="9"/>
  <c r="J1241" i="9"/>
  <c r="J1240" i="9"/>
  <c r="J1239" i="9"/>
  <c r="J1238" i="9"/>
  <c r="J1237" i="9"/>
  <c r="J1236" i="9"/>
  <c r="J1235" i="9"/>
  <c r="J1234" i="9"/>
  <c r="J1233" i="9"/>
  <c r="J1232" i="9"/>
  <c r="J1231" i="9"/>
  <c r="J1230" i="9"/>
  <c r="J1229" i="9"/>
  <c r="J1228" i="9"/>
  <c r="J1227" i="9"/>
  <c r="J1226" i="9"/>
  <c r="J1225" i="9"/>
  <c r="J1224" i="9"/>
  <c r="J1223" i="9"/>
  <c r="J1222" i="9"/>
  <c r="J1221" i="9"/>
  <c r="J1220" i="9"/>
  <c r="J1219" i="9"/>
  <c r="J1218" i="9"/>
  <c r="J1217" i="9"/>
  <c r="J1216" i="9"/>
  <c r="J1215" i="9"/>
  <c r="J1214" i="9"/>
  <c r="J1213" i="9"/>
  <c r="J1212" i="9"/>
  <c r="J1211" i="9"/>
  <c r="J1210" i="9"/>
  <c r="J1209" i="9"/>
  <c r="J1208" i="9"/>
  <c r="J1207" i="9"/>
  <c r="J1206" i="9"/>
  <c r="J1205" i="9"/>
  <c r="J1204" i="9"/>
  <c r="J1203" i="9"/>
  <c r="J1202" i="9"/>
  <c r="J1201" i="9"/>
  <c r="J1200" i="9"/>
  <c r="J1199" i="9"/>
  <c r="J1198" i="9"/>
  <c r="J1197" i="9"/>
  <c r="J1196" i="9"/>
  <c r="J1195" i="9"/>
  <c r="J1194" i="9"/>
  <c r="J1193" i="9"/>
  <c r="J1192" i="9"/>
  <c r="J1191" i="9"/>
  <c r="J1190" i="9"/>
  <c r="J1189" i="9"/>
  <c r="J1188" i="9"/>
  <c r="J1187" i="9"/>
  <c r="J1186" i="9"/>
  <c r="J1185" i="9"/>
  <c r="J1184" i="9"/>
  <c r="J1183" i="9"/>
  <c r="J1182" i="9"/>
  <c r="J1181" i="9"/>
  <c r="J1180" i="9"/>
  <c r="J1179" i="9"/>
  <c r="J1178" i="9"/>
  <c r="J1177" i="9"/>
  <c r="J1176" i="9"/>
  <c r="J1175" i="9"/>
  <c r="J1174" i="9"/>
  <c r="J1173" i="9"/>
  <c r="J1172" i="9"/>
  <c r="J1171" i="9"/>
  <c r="J1170" i="9"/>
  <c r="J1169" i="9"/>
  <c r="J1168" i="9"/>
  <c r="J1167" i="9"/>
  <c r="J1166" i="9"/>
  <c r="J1165" i="9"/>
  <c r="J1164" i="9"/>
  <c r="J1163" i="9"/>
  <c r="J1162" i="9"/>
  <c r="J1161" i="9"/>
  <c r="J1160" i="9"/>
  <c r="J1159" i="9"/>
  <c r="J1158" i="9"/>
  <c r="J1157" i="9"/>
  <c r="J1156" i="9"/>
  <c r="J1155" i="9"/>
  <c r="J1154" i="9"/>
  <c r="J1153" i="9"/>
  <c r="J1152" i="9"/>
  <c r="J1151" i="9"/>
  <c r="J1150" i="9"/>
  <c r="J1149" i="9"/>
  <c r="J1148" i="9"/>
  <c r="J1147" i="9"/>
  <c r="J1146" i="9"/>
  <c r="J1145" i="9"/>
  <c r="J1144" i="9"/>
  <c r="J1143" i="9"/>
  <c r="J1142" i="9"/>
  <c r="J1141" i="9"/>
  <c r="J1140" i="9"/>
  <c r="J1139" i="9"/>
  <c r="J1138" i="9"/>
  <c r="J1137" i="9"/>
  <c r="J1136" i="9"/>
  <c r="J1135" i="9"/>
  <c r="J1134" i="9"/>
  <c r="J1133" i="9"/>
  <c r="J1132" i="9"/>
  <c r="J1131" i="9"/>
  <c r="J1130" i="9"/>
  <c r="J1129" i="9"/>
  <c r="J1128" i="9"/>
  <c r="J1127" i="9"/>
  <c r="J1126" i="9"/>
  <c r="J1125" i="9"/>
  <c r="J1124" i="9"/>
  <c r="J1123" i="9"/>
  <c r="J1122" i="9"/>
  <c r="J1121" i="9"/>
  <c r="J1120" i="9"/>
  <c r="J1119" i="9"/>
  <c r="J1118" i="9"/>
  <c r="J1117" i="9"/>
  <c r="J1116" i="9"/>
  <c r="J1115" i="9"/>
  <c r="J1114" i="9"/>
  <c r="J1113" i="9"/>
  <c r="J1112" i="9"/>
  <c r="J1111" i="9"/>
  <c r="J1110" i="9"/>
  <c r="J1109" i="9"/>
  <c r="J1108" i="9"/>
  <c r="J1107" i="9"/>
  <c r="J1106" i="9"/>
  <c r="J1105" i="9"/>
  <c r="J1104" i="9"/>
  <c r="J1103" i="9"/>
  <c r="J1102" i="9"/>
  <c r="J1101" i="9"/>
  <c r="J1100" i="9"/>
  <c r="J1099" i="9"/>
  <c r="J1098" i="9"/>
  <c r="J1097" i="9"/>
  <c r="J1096" i="9"/>
  <c r="J1095" i="9"/>
  <c r="J1094" i="9"/>
  <c r="J1093" i="9"/>
  <c r="J1092" i="9"/>
  <c r="J1091" i="9"/>
  <c r="J1090" i="9"/>
  <c r="J1089" i="9"/>
  <c r="J1088" i="9"/>
  <c r="J1087" i="9"/>
  <c r="J1086" i="9"/>
  <c r="J1085" i="9"/>
  <c r="J1084" i="9"/>
  <c r="J1083" i="9"/>
  <c r="J1082" i="9"/>
  <c r="J1081" i="9"/>
  <c r="J1080" i="9"/>
  <c r="J1079" i="9"/>
  <c r="J1078" i="9"/>
  <c r="J1077" i="9"/>
  <c r="J1076" i="9"/>
  <c r="J1075" i="9"/>
  <c r="J1074" i="9"/>
  <c r="J1073" i="9"/>
  <c r="J1072" i="9"/>
  <c r="J1071" i="9"/>
  <c r="J1070" i="9"/>
  <c r="J1069" i="9"/>
  <c r="J1068" i="9"/>
  <c r="J1067" i="9"/>
  <c r="J1066" i="9"/>
  <c r="J1065" i="9"/>
  <c r="J1064" i="9"/>
  <c r="J1063" i="9"/>
  <c r="J1062" i="9"/>
  <c r="J1061" i="9"/>
  <c r="J1060" i="9"/>
  <c r="J1059" i="9"/>
  <c r="J1058" i="9"/>
  <c r="J1057" i="9"/>
  <c r="J1056" i="9"/>
  <c r="J1055" i="9"/>
  <c r="J1054" i="9"/>
  <c r="J1053" i="9"/>
  <c r="J1052" i="9"/>
  <c r="J1051" i="9"/>
  <c r="J1050" i="9"/>
  <c r="J1049" i="9"/>
  <c r="J1048" i="9"/>
  <c r="J1047" i="9"/>
  <c r="J1046" i="9"/>
  <c r="J1045" i="9"/>
  <c r="J1044" i="9"/>
  <c r="J1043" i="9"/>
  <c r="J1042" i="9"/>
  <c r="J1041" i="9"/>
  <c r="J1040" i="9"/>
  <c r="J1039" i="9"/>
  <c r="J1038" i="9"/>
  <c r="J1037" i="9"/>
  <c r="J1036" i="9"/>
  <c r="J1035" i="9"/>
  <c r="J1034" i="9"/>
  <c r="J1033" i="9"/>
  <c r="J1032" i="9"/>
  <c r="J1031" i="9"/>
  <c r="J1030" i="9"/>
  <c r="J1029" i="9"/>
  <c r="J1028" i="9"/>
  <c r="J1027" i="9"/>
  <c r="J1026" i="9"/>
  <c r="J1025" i="9"/>
  <c r="J1024" i="9"/>
  <c r="J1023" i="9"/>
  <c r="J1022" i="9"/>
  <c r="J1021" i="9"/>
  <c r="J1020" i="9"/>
  <c r="J1019" i="9"/>
  <c r="J1018" i="9"/>
  <c r="J1017" i="9"/>
  <c r="J1016" i="9"/>
  <c r="J1015" i="9"/>
  <c r="J1014" i="9"/>
  <c r="J1013" i="9"/>
  <c r="J1012" i="9"/>
  <c r="J1011" i="9"/>
  <c r="J1010" i="9"/>
  <c r="J1009" i="9"/>
  <c r="J1008" i="9"/>
  <c r="J1007" i="9"/>
  <c r="J1006" i="9"/>
  <c r="J1005" i="9"/>
  <c r="J1004" i="9"/>
  <c r="J1003" i="9"/>
  <c r="J1002" i="9"/>
  <c r="J1001" i="9"/>
  <c r="J1000" i="9"/>
  <c r="J999" i="9"/>
  <c r="J998" i="9"/>
  <c r="J997" i="9"/>
  <c r="J996" i="9"/>
  <c r="J995" i="9"/>
  <c r="J994" i="9"/>
  <c r="J993" i="9"/>
  <c r="J992" i="9"/>
  <c r="J991" i="9"/>
  <c r="J990" i="9"/>
  <c r="J989" i="9"/>
  <c r="J988" i="9"/>
  <c r="J987" i="9"/>
  <c r="J986" i="9"/>
  <c r="J985" i="9"/>
  <c r="J984" i="9"/>
  <c r="J983" i="9"/>
  <c r="J982" i="9"/>
  <c r="J981" i="9"/>
  <c r="J980" i="9"/>
  <c r="J979" i="9"/>
  <c r="J978" i="9"/>
  <c r="J977" i="9"/>
  <c r="J976" i="9"/>
  <c r="J975" i="9"/>
  <c r="J974" i="9"/>
  <c r="J973" i="9"/>
  <c r="J972" i="9"/>
  <c r="J971" i="9"/>
  <c r="J970" i="9"/>
  <c r="J969" i="9"/>
  <c r="J968" i="9"/>
  <c r="J967" i="9"/>
  <c r="J966" i="9"/>
  <c r="J965" i="9"/>
  <c r="J964" i="9"/>
  <c r="J963" i="9"/>
  <c r="J962" i="9"/>
  <c r="J961" i="9"/>
  <c r="J960" i="9"/>
  <c r="J959" i="9"/>
  <c r="J958" i="9"/>
  <c r="J957" i="9"/>
  <c r="J956" i="9"/>
  <c r="J955" i="9"/>
  <c r="J954" i="9"/>
  <c r="J953" i="9"/>
  <c r="J952" i="9"/>
  <c r="J951" i="9"/>
  <c r="J950" i="9"/>
  <c r="J949" i="9"/>
  <c r="J948" i="9"/>
  <c r="J947" i="9"/>
  <c r="J946" i="9"/>
  <c r="J945" i="9"/>
  <c r="J944" i="9"/>
  <c r="J943" i="9"/>
  <c r="J942" i="9"/>
  <c r="J941" i="9"/>
  <c r="J940" i="9"/>
  <c r="J939" i="9"/>
  <c r="J938" i="9"/>
  <c r="J937" i="9"/>
  <c r="J936" i="9"/>
  <c r="J935" i="9"/>
  <c r="J934" i="9"/>
  <c r="J933" i="9"/>
  <c r="J932" i="9"/>
  <c r="J931" i="9"/>
  <c r="J930" i="9"/>
  <c r="J929" i="9"/>
  <c r="J928" i="9"/>
  <c r="J927" i="9"/>
  <c r="J926" i="9"/>
  <c r="J925" i="9"/>
  <c r="J924" i="9"/>
  <c r="J923" i="9"/>
  <c r="J922" i="9"/>
  <c r="J921" i="9"/>
  <c r="J920" i="9"/>
  <c r="J919" i="9"/>
  <c r="J918" i="9"/>
  <c r="J917" i="9"/>
  <c r="J916" i="9"/>
  <c r="J915" i="9"/>
  <c r="J914" i="9"/>
  <c r="J913" i="9"/>
  <c r="J912" i="9"/>
  <c r="J911" i="9"/>
  <c r="J910" i="9"/>
  <c r="J909" i="9"/>
  <c r="J908" i="9"/>
  <c r="J907" i="9"/>
  <c r="J906" i="9"/>
  <c r="J905" i="9"/>
  <c r="J904" i="9"/>
  <c r="J903" i="9"/>
  <c r="J902" i="9"/>
  <c r="J901" i="9"/>
  <c r="J900" i="9"/>
  <c r="J899" i="9"/>
  <c r="J898" i="9"/>
  <c r="J897" i="9"/>
  <c r="J896" i="9"/>
  <c r="J895" i="9"/>
  <c r="J894" i="9"/>
  <c r="J893" i="9"/>
  <c r="J892" i="9"/>
  <c r="J891" i="9"/>
  <c r="J890" i="9"/>
  <c r="J889" i="9"/>
  <c r="J888" i="9"/>
  <c r="J887" i="9"/>
  <c r="J886" i="9"/>
  <c r="J885" i="9"/>
  <c r="J884" i="9"/>
  <c r="J883" i="9"/>
  <c r="J882" i="9"/>
  <c r="J881" i="9"/>
  <c r="J880" i="9"/>
  <c r="J879" i="9"/>
  <c r="J878" i="9"/>
  <c r="J877" i="9"/>
  <c r="J876" i="9"/>
  <c r="J875" i="9"/>
  <c r="J874" i="9"/>
  <c r="J873" i="9"/>
  <c r="J872" i="9"/>
  <c r="J871" i="9"/>
  <c r="J870" i="9"/>
  <c r="J869" i="9"/>
  <c r="J868" i="9"/>
  <c r="J867" i="9"/>
  <c r="J866" i="9"/>
  <c r="J865" i="9"/>
  <c r="J864" i="9"/>
  <c r="J863" i="9"/>
  <c r="J862" i="9"/>
  <c r="J861" i="9"/>
  <c r="J860" i="9"/>
  <c r="J859" i="9"/>
  <c r="J858" i="9"/>
  <c r="J857" i="9"/>
  <c r="J856" i="9"/>
  <c r="J855" i="9"/>
  <c r="J854" i="9"/>
  <c r="J853" i="9"/>
  <c r="J852" i="9"/>
  <c r="J851" i="9"/>
  <c r="J850" i="9"/>
  <c r="J849" i="9"/>
  <c r="J848" i="9"/>
  <c r="J847" i="9"/>
  <c r="J846" i="9"/>
  <c r="J845" i="9"/>
  <c r="J844" i="9"/>
  <c r="J843" i="9"/>
  <c r="J842" i="9"/>
  <c r="J841" i="9"/>
  <c r="J840" i="9"/>
  <c r="J839" i="9"/>
  <c r="J838" i="9"/>
  <c r="J837" i="9"/>
  <c r="J836" i="9"/>
  <c r="J835" i="9"/>
  <c r="J834" i="9"/>
  <c r="J833" i="9"/>
  <c r="J832" i="9"/>
  <c r="J831" i="9"/>
  <c r="J830" i="9"/>
  <c r="J829" i="9"/>
  <c r="J828" i="9"/>
  <c r="J827" i="9"/>
  <c r="J826" i="9"/>
  <c r="J825" i="9"/>
  <c r="J824" i="9"/>
  <c r="J823" i="9"/>
  <c r="J822" i="9"/>
  <c r="J821" i="9"/>
  <c r="J820" i="9"/>
  <c r="J819" i="9"/>
  <c r="J818" i="9"/>
  <c r="J817" i="9"/>
  <c r="J816" i="9"/>
  <c r="J815" i="9"/>
  <c r="J814" i="9"/>
  <c r="J813" i="9"/>
  <c r="J812" i="9"/>
  <c r="J811" i="9"/>
  <c r="J810" i="9"/>
  <c r="J809" i="9"/>
  <c r="J808" i="9"/>
  <c r="J807" i="9"/>
  <c r="J806" i="9"/>
  <c r="J805" i="9"/>
  <c r="J804" i="9"/>
  <c r="J803" i="9"/>
  <c r="J802" i="9"/>
  <c r="J801" i="9"/>
  <c r="J800" i="9"/>
  <c r="J799" i="9"/>
  <c r="J798" i="9"/>
  <c r="J797" i="9"/>
  <c r="J796" i="9"/>
  <c r="J795" i="9"/>
  <c r="J794" i="9"/>
  <c r="J793" i="9"/>
  <c r="J792" i="9"/>
  <c r="J791" i="9"/>
  <c r="J790" i="9"/>
  <c r="J789" i="9"/>
  <c r="J788" i="9"/>
  <c r="J787" i="9"/>
  <c r="J786" i="9"/>
  <c r="J785" i="9"/>
  <c r="J784" i="9"/>
  <c r="J783" i="9"/>
  <c r="J782" i="9"/>
  <c r="J781" i="9"/>
  <c r="J780" i="9"/>
  <c r="J779" i="9"/>
  <c r="J778" i="9"/>
  <c r="J777" i="9"/>
  <c r="J776" i="9"/>
  <c r="J775" i="9"/>
  <c r="J774" i="9"/>
  <c r="J773" i="9"/>
  <c r="J772" i="9"/>
  <c r="J771" i="9"/>
  <c r="J770" i="9"/>
  <c r="J769" i="9"/>
  <c r="J768" i="9"/>
  <c r="J767" i="9"/>
  <c r="J766" i="9"/>
  <c r="J765" i="9"/>
  <c r="J764" i="9"/>
  <c r="J763" i="9"/>
  <c r="J762" i="9"/>
  <c r="J761" i="9"/>
  <c r="J760" i="9"/>
  <c r="J759" i="9"/>
  <c r="J758" i="9"/>
  <c r="J757" i="9"/>
  <c r="J756" i="9"/>
  <c r="J755" i="9"/>
  <c r="J754" i="9"/>
  <c r="J753" i="9"/>
  <c r="J752" i="9"/>
  <c r="J751" i="9"/>
  <c r="J750" i="9"/>
  <c r="J749" i="9"/>
  <c r="J748" i="9"/>
  <c r="J747" i="9"/>
  <c r="J746" i="9"/>
  <c r="J745" i="9"/>
  <c r="J744" i="9"/>
  <c r="J743" i="9"/>
  <c r="J742" i="9"/>
  <c r="J741" i="9"/>
  <c r="J740" i="9"/>
  <c r="J739" i="9"/>
  <c r="J738" i="9"/>
  <c r="J737" i="9"/>
  <c r="J736" i="9"/>
  <c r="J735" i="9"/>
  <c r="J734" i="9"/>
  <c r="J733" i="9"/>
  <c r="J732" i="9"/>
  <c r="J731" i="9"/>
  <c r="J730" i="9"/>
  <c r="J729" i="9"/>
  <c r="J728" i="9"/>
  <c r="J727" i="9"/>
  <c r="J726" i="9"/>
  <c r="J725" i="9"/>
  <c r="J724" i="9"/>
  <c r="J723" i="9"/>
  <c r="J722" i="9"/>
  <c r="J721" i="9"/>
  <c r="J720" i="9"/>
  <c r="J719" i="9"/>
  <c r="J718" i="9"/>
  <c r="J717" i="9"/>
  <c r="J716" i="9"/>
  <c r="J715" i="9"/>
  <c r="J714" i="9"/>
  <c r="J713" i="9"/>
  <c r="J712" i="9"/>
  <c r="J711" i="9"/>
  <c r="J710" i="9"/>
  <c r="J709" i="9"/>
  <c r="J708" i="9"/>
  <c r="J707" i="9"/>
  <c r="J706" i="9"/>
  <c r="J705" i="9"/>
  <c r="J704" i="9"/>
  <c r="J703" i="9"/>
  <c r="J702" i="9"/>
  <c r="J701" i="9"/>
  <c r="J700" i="9"/>
  <c r="J699" i="9"/>
  <c r="J698" i="9"/>
  <c r="J697" i="9"/>
  <c r="J696" i="9"/>
  <c r="J695" i="9"/>
  <c r="J694" i="9"/>
  <c r="J693" i="9"/>
  <c r="J692" i="9"/>
  <c r="J691" i="9"/>
  <c r="J690" i="9"/>
  <c r="J689" i="9"/>
  <c r="J688" i="9"/>
  <c r="J687" i="9"/>
  <c r="J686" i="9"/>
  <c r="J685" i="9"/>
  <c r="J684" i="9"/>
  <c r="J683" i="9"/>
  <c r="J682" i="9"/>
  <c r="J681" i="9"/>
  <c r="J680" i="9"/>
  <c r="J679" i="9"/>
  <c r="J678" i="9"/>
  <c r="J677" i="9"/>
  <c r="J676" i="9"/>
  <c r="J675" i="9"/>
  <c r="J674" i="9"/>
  <c r="J673" i="9"/>
  <c r="J672" i="9"/>
  <c r="J671" i="9"/>
  <c r="J670" i="9"/>
  <c r="J669" i="9"/>
  <c r="J668" i="9"/>
  <c r="J667" i="9"/>
  <c r="J666" i="9"/>
  <c r="J665" i="9"/>
  <c r="J664" i="9"/>
  <c r="J663" i="9"/>
  <c r="J662" i="9"/>
  <c r="J661" i="9"/>
  <c r="J660" i="9"/>
  <c r="J659" i="9"/>
  <c r="J658" i="9"/>
  <c r="J657" i="9"/>
  <c r="J656" i="9"/>
  <c r="J655" i="9"/>
  <c r="J654" i="9"/>
  <c r="J653" i="9"/>
  <c r="J652" i="9"/>
  <c r="J651" i="9"/>
  <c r="J650" i="9"/>
  <c r="J649" i="9"/>
  <c r="J648" i="9"/>
  <c r="J647" i="9"/>
  <c r="J646" i="9"/>
  <c r="J645" i="9"/>
  <c r="J644" i="9"/>
  <c r="J643" i="9"/>
  <c r="J642" i="9"/>
  <c r="J641" i="9"/>
  <c r="J640" i="9"/>
  <c r="J639" i="9"/>
  <c r="J638" i="9"/>
  <c r="J637" i="9"/>
  <c r="J636" i="9"/>
  <c r="J635" i="9"/>
  <c r="J634" i="9"/>
  <c r="J633" i="9"/>
  <c r="J632" i="9"/>
  <c r="J631" i="9"/>
  <c r="J630" i="9"/>
  <c r="J629" i="9"/>
  <c r="J628" i="9"/>
  <c r="J627" i="9"/>
  <c r="J626" i="9"/>
  <c r="J625" i="9"/>
  <c r="J624" i="9"/>
  <c r="J623" i="9"/>
  <c r="J622" i="9"/>
  <c r="J621" i="9"/>
  <c r="J620" i="9"/>
  <c r="J619" i="9"/>
  <c r="J618" i="9"/>
  <c r="J617" i="9"/>
  <c r="J616" i="9"/>
  <c r="J615" i="9"/>
  <c r="J614" i="9"/>
  <c r="J613" i="9"/>
  <c r="J612" i="9"/>
  <c r="J611" i="9"/>
  <c r="J610" i="9"/>
  <c r="J609" i="9"/>
  <c r="J608" i="9"/>
  <c r="J607" i="9"/>
  <c r="J606" i="9"/>
  <c r="J605" i="9"/>
  <c r="J604" i="9"/>
  <c r="J603" i="9"/>
  <c r="J602" i="9"/>
  <c r="J601" i="9"/>
  <c r="J600" i="9"/>
  <c r="J599" i="9"/>
  <c r="J598" i="9"/>
  <c r="J597" i="9"/>
  <c r="J596" i="9"/>
  <c r="J595" i="9"/>
  <c r="J594" i="9"/>
  <c r="J593" i="9"/>
  <c r="J592" i="9"/>
  <c r="J591" i="9"/>
  <c r="J590" i="9"/>
  <c r="J589" i="9"/>
  <c r="J588" i="9"/>
  <c r="J587" i="9"/>
  <c r="J586" i="9"/>
  <c r="J585" i="9"/>
  <c r="J584" i="9"/>
  <c r="J583" i="9"/>
  <c r="J582" i="9"/>
  <c r="J581" i="9"/>
  <c r="J580" i="9"/>
  <c r="J579" i="9"/>
  <c r="J578" i="9"/>
  <c r="J577" i="9"/>
  <c r="J576" i="9"/>
  <c r="J575" i="9"/>
  <c r="J574" i="9"/>
  <c r="J573" i="9"/>
  <c r="J572" i="9"/>
  <c r="J571" i="9"/>
  <c r="J570" i="9"/>
  <c r="J569" i="9"/>
  <c r="J568" i="9"/>
  <c r="J567" i="9"/>
  <c r="J566" i="9"/>
  <c r="J565" i="9"/>
  <c r="J564" i="9"/>
  <c r="J563" i="9"/>
  <c r="J562" i="9"/>
  <c r="J561" i="9"/>
  <c r="J560" i="9"/>
  <c r="J559" i="9"/>
  <c r="J558" i="9"/>
  <c r="J557" i="9"/>
  <c r="J556" i="9"/>
  <c r="J555" i="9"/>
  <c r="J554" i="9"/>
  <c r="J553" i="9"/>
  <c r="J552" i="9"/>
  <c r="J551" i="9"/>
  <c r="J550" i="9"/>
  <c r="J549" i="9"/>
  <c r="J548" i="9"/>
  <c r="J547" i="9"/>
  <c r="J546" i="9"/>
  <c r="J545" i="9"/>
  <c r="J544" i="9"/>
  <c r="J543" i="9"/>
  <c r="J542" i="9"/>
  <c r="J541" i="9"/>
  <c r="J540" i="9"/>
  <c r="J539" i="9"/>
  <c r="J538" i="9"/>
  <c r="J537" i="9"/>
  <c r="J536" i="9"/>
  <c r="J535" i="9"/>
  <c r="J534" i="9"/>
  <c r="J533" i="9"/>
  <c r="J532" i="9"/>
  <c r="J531" i="9"/>
  <c r="J530" i="9"/>
  <c r="J529" i="9"/>
  <c r="J528" i="9"/>
  <c r="J527" i="9"/>
  <c r="J526" i="9"/>
  <c r="J525" i="9"/>
  <c r="J524" i="9"/>
  <c r="J523" i="9"/>
  <c r="J522" i="9"/>
  <c r="J521" i="9"/>
  <c r="J520" i="9"/>
  <c r="J519" i="9"/>
  <c r="J518" i="9"/>
  <c r="J517" i="9"/>
  <c r="J516" i="9"/>
  <c r="J515" i="9"/>
  <c r="J514" i="9"/>
  <c r="J513" i="9"/>
  <c r="J512" i="9"/>
  <c r="J511" i="9"/>
  <c r="J510" i="9"/>
  <c r="J509" i="9"/>
  <c r="J508" i="9"/>
  <c r="J507" i="9"/>
  <c r="J506" i="9"/>
  <c r="J505" i="9"/>
  <c r="J504" i="9"/>
  <c r="J503" i="9"/>
  <c r="J502" i="9"/>
  <c r="J501" i="9"/>
  <c r="J500" i="9"/>
  <c r="J499" i="9"/>
  <c r="J498" i="9"/>
  <c r="J497" i="9"/>
  <c r="J496" i="9"/>
  <c r="J495" i="9"/>
  <c r="J494" i="9"/>
  <c r="J493" i="9"/>
  <c r="J492" i="9"/>
  <c r="J491" i="9"/>
  <c r="J490" i="9"/>
  <c r="J489" i="9"/>
  <c r="J488" i="9"/>
  <c r="J487" i="9"/>
  <c r="J486" i="9"/>
  <c r="J485" i="9"/>
  <c r="J484" i="9"/>
  <c r="J483" i="9"/>
  <c r="J482" i="9"/>
  <c r="J481" i="9"/>
  <c r="J480" i="9"/>
  <c r="J479" i="9"/>
  <c r="J478" i="9"/>
  <c r="J477" i="9"/>
  <c r="J476" i="9"/>
  <c r="J475" i="9"/>
  <c r="J474" i="9"/>
  <c r="J473" i="9"/>
  <c r="J472" i="9"/>
  <c r="J471" i="9"/>
  <c r="J470" i="9"/>
  <c r="J469" i="9"/>
  <c r="J468" i="9"/>
  <c r="J467" i="9"/>
  <c r="J466" i="9"/>
  <c r="J465" i="9"/>
  <c r="J464" i="9"/>
  <c r="J463" i="9"/>
  <c r="J462" i="9"/>
  <c r="J461" i="9"/>
  <c r="J460" i="9"/>
  <c r="J459" i="9"/>
  <c r="J458" i="9"/>
  <c r="J457" i="9"/>
  <c r="J456" i="9"/>
  <c r="J455" i="9"/>
  <c r="J454" i="9"/>
  <c r="J453" i="9"/>
  <c r="J452" i="9"/>
  <c r="J451" i="9"/>
  <c r="J450" i="9"/>
  <c r="J449" i="9"/>
  <c r="J448" i="9"/>
  <c r="J447" i="9"/>
  <c r="J446" i="9"/>
  <c r="J445" i="9"/>
  <c r="J444" i="9"/>
  <c r="J443" i="9"/>
  <c r="J442" i="9"/>
  <c r="J441" i="9"/>
  <c r="J440" i="9"/>
  <c r="J439" i="9"/>
  <c r="J438" i="9"/>
  <c r="J437" i="9"/>
  <c r="J436" i="9"/>
  <c r="J435" i="9"/>
  <c r="J434" i="9"/>
  <c r="J433" i="9"/>
  <c r="J432" i="9"/>
  <c r="J431" i="9"/>
  <c r="J430" i="9"/>
  <c r="J429" i="9"/>
  <c r="J428" i="9"/>
  <c r="J427" i="9"/>
  <c r="J426" i="9"/>
  <c r="J425" i="9"/>
  <c r="J424" i="9"/>
  <c r="J423" i="9"/>
  <c r="J422" i="9"/>
  <c r="J421" i="9"/>
  <c r="J420" i="9"/>
  <c r="J419" i="9"/>
  <c r="J418" i="9"/>
  <c r="J417" i="9"/>
  <c r="J416" i="9"/>
  <c r="J415" i="9"/>
  <c r="J414" i="9"/>
  <c r="J413" i="9"/>
  <c r="J412" i="9"/>
  <c r="J411" i="9"/>
  <c r="J410" i="9"/>
  <c r="J409" i="9"/>
  <c r="J408" i="9"/>
  <c r="J407" i="9"/>
  <c r="J406" i="9"/>
  <c r="J405" i="9"/>
  <c r="J404" i="9"/>
  <c r="J403" i="9"/>
  <c r="J402" i="9"/>
  <c r="J401" i="9"/>
  <c r="J400" i="9"/>
  <c r="J399" i="9"/>
  <c r="J398" i="9"/>
  <c r="J397" i="9"/>
  <c r="J396" i="9"/>
  <c r="J395" i="9"/>
  <c r="J394" i="9"/>
  <c r="J393" i="9"/>
  <c r="J392" i="9"/>
  <c r="J391" i="9"/>
  <c r="J390" i="9"/>
  <c r="J389" i="9"/>
  <c r="J388" i="9"/>
  <c r="J387" i="9"/>
  <c r="J386" i="9"/>
  <c r="J385" i="9"/>
  <c r="J384" i="9"/>
  <c r="J383" i="9"/>
  <c r="J382" i="9"/>
  <c r="J381" i="9"/>
  <c r="J380" i="9"/>
  <c r="J379" i="9"/>
  <c r="J378" i="9"/>
  <c r="J377" i="9"/>
  <c r="J376" i="9"/>
  <c r="J375" i="9"/>
  <c r="J374" i="9"/>
  <c r="J373" i="9"/>
  <c r="J372" i="9"/>
  <c r="J371" i="9"/>
  <c r="J370" i="9"/>
  <c r="J369" i="9"/>
  <c r="J368" i="9"/>
  <c r="J367" i="9"/>
  <c r="J366" i="9"/>
  <c r="J365" i="9"/>
  <c r="J364" i="9"/>
  <c r="J363" i="9"/>
  <c r="J362" i="9"/>
  <c r="J361" i="9"/>
  <c r="J360" i="9"/>
  <c r="J359" i="9"/>
  <c r="J358" i="9"/>
  <c r="J357" i="9"/>
  <c r="J356" i="9"/>
  <c r="J355" i="9"/>
  <c r="J354" i="9"/>
  <c r="J353" i="9"/>
  <c r="J352" i="9"/>
  <c r="J351" i="9"/>
  <c r="J350" i="9"/>
  <c r="J349" i="9"/>
  <c r="J348" i="9"/>
  <c r="J347" i="9"/>
  <c r="J346" i="9"/>
  <c r="J345" i="9"/>
  <c r="J344" i="9"/>
  <c r="J343" i="9"/>
  <c r="J342" i="9"/>
  <c r="J341" i="9"/>
  <c r="J340" i="9"/>
  <c r="J339" i="9"/>
  <c r="J338" i="9"/>
  <c r="J337" i="9"/>
  <c r="J336" i="9"/>
  <c r="J335" i="9"/>
  <c r="J334" i="9"/>
  <c r="J333" i="9"/>
  <c r="J332" i="9"/>
  <c r="J331" i="9"/>
  <c r="J330" i="9"/>
  <c r="J329" i="9"/>
  <c r="J328" i="9"/>
  <c r="J327" i="9"/>
  <c r="J326" i="9"/>
  <c r="J325" i="9"/>
  <c r="J324" i="9"/>
  <c r="J323" i="9"/>
  <c r="J322" i="9"/>
  <c r="J321" i="9"/>
  <c r="J320" i="9"/>
  <c r="J319" i="9"/>
  <c r="J318" i="9"/>
  <c r="J317" i="9"/>
  <c r="J316" i="9"/>
  <c r="J315" i="9"/>
  <c r="J314" i="9"/>
  <c r="J313" i="9"/>
  <c r="J312" i="9"/>
  <c r="J311" i="9"/>
  <c r="J310" i="9"/>
  <c r="J309" i="9"/>
  <c r="J308" i="9"/>
  <c r="J307" i="9"/>
  <c r="J306" i="9"/>
  <c r="J305" i="9"/>
  <c r="J304" i="9"/>
  <c r="J303" i="9"/>
  <c r="J302" i="9"/>
  <c r="J301" i="9"/>
  <c r="J300" i="9"/>
  <c r="J299" i="9"/>
  <c r="J298" i="9"/>
  <c r="J297" i="9"/>
  <c r="J296" i="9"/>
  <c r="J295" i="9"/>
  <c r="J294" i="9"/>
  <c r="J293" i="9"/>
  <c r="J292" i="9"/>
  <c r="J291" i="9"/>
  <c r="J290" i="9"/>
  <c r="J289" i="9"/>
  <c r="J288" i="9"/>
  <c r="J287" i="9"/>
  <c r="J286" i="9"/>
  <c r="J285" i="9"/>
  <c r="J284" i="9"/>
  <c r="J283" i="9"/>
  <c r="J282" i="9"/>
  <c r="J281" i="9"/>
  <c r="J280" i="9"/>
  <c r="J279" i="9"/>
  <c r="J278" i="9"/>
  <c r="J277" i="9"/>
  <c r="J276" i="9"/>
  <c r="J275" i="9"/>
  <c r="J274" i="9"/>
  <c r="J273" i="9"/>
  <c r="J272" i="9"/>
  <c r="J271" i="9"/>
  <c r="J270" i="9"/>
  <c r="J269" i="9"/>
  <c r="J268" i="9"/>
  <c r="J267" i="9"/>
  <c r="J266" i="9"/>
  <c r="J265" i="9"/>
  <c r="J264" i="9"/>
  <c r="J263" i="9"/>
  <c r="J262" i="9"/>
  <c r="J261" i="9"/>
  <c r="J260" i="9"/>
  <c r="J259" i="9"/>
  <c r="J258" i="9"/>
  <c r="J257" i="9"/>
  <c r="J256" i="9"/>
  <c r="J255" i="9"/>
  <c r="J254" i="9"/>
  <c r="J253" i="9"/>
  <c r="J252" i="9"/>
  <c r="J251" i="9"/>
  <c r="J250" i="9"/>
  <c r="J249" i="9"/>
  <c r="J248" i="9"/>
  <c r="J247" i="9"/>
  <c r="J246" i="9"/>
  <c r="J245" i="9"/>
  <c r="J244" i="9"/>
  <c r="J243" i="9"/>
  <c r="J242" i="9"/>
  <c r="J241" i="9"/>
  <c r="J240" i="9"/>
  <c r="J239" i="9"/>
  <c r="J238" i="9"/>
  <c r="J237" i="9"/>
  <c r="J236" i="9"/>
  <c r="J235" i="9"/>
  <c r="J234" i="9"/>
  <c r="J233" i="9"/>
  <c r="J232" i="9"/>
  <c r="J231" i="9"/>
  <c r="J230" i="9"/>
  <c r="J229" i="9"/>
  <c r="J228" i="9"/>
  <c r="J227" i="9"/>
  <c r="J226" i="9"/>
  <c r="J225" i="9"/>
  <c r="J224" i="9"/>
  <c r="J223" i="9"/>
  <c r="J222" i="9"/>
  <c r="J221" i="9"/>
  <c r="J220" i="9"/>
  <c r="J219" i="9"/>
  <c r="J218" i="9"/>
  <c r="J217" i="9"/>
  <c r="J216" i="9"/>
  <c r="J215" i="9"/>
  <c r="J214" i="9"/>
  <c r="J213" i="9"/>
  <c r="J212" i="9"/>
  <c r="J211" i="9"/>
  <c r="J210" i="9"/>
  <c r="J209" i="9"/>
  <c r="J208" i="9"/>
  <c r="J207" i="9"/>
  <c r="J206" i="9"/>
  <c r="J205" i="9"/>
  <c r="J204" i="9"/>
  <c r="J203" i="9"/>
  <c r="J202" i="9"/>
  <c r="J201" i="9"/>
  <c r="J200" i="9"/>
  <c r="J199" i="9"/>
  <c r="J198" i="9"/>
  <c r="J197" i="9"/>
  <c r="J196" i="9"/>
  <c r="J195" i="9"/>
  <c r="J194" i="9"/>
  <c r="J193" i="9"/>
  <c r="J192" i="9"/>
  <c r="J191" i="9"/>
  <c r="J190" i="9"/>
  <c r="J189" i="9"/>
  <c r="J188" i="9"/>
  <c r="J187" i="9"/>
  <c r="J186" i="9"/>
  <c r="J185" i="9"/>
  <c r="J184" i="9"/>
  <c r="J183" i="9"/>
  <c r="J182" i="9"/>
  <c r="J181" i="9"/>
  <c r="J180" i="9"/>
  <c r="J179" i="9"/>
  <c r="J178" i="9"/>
  <c r="J177" i="9"/>
  <c r="J176" i="9"/>
  <c r="J175" i="9"/>
  <c r="J174" i="9"/>
  <c r="J173" i="9"/>
  <c r="J172" i="9"/>
  <c r="J171" i="9"/>
  <c r="J170" i="9"/>
  <c r="J169" i="9"/>
  <c r="J168" i="9"/>
  <c r="J167" i="9"/>
  <c r="J166" i="9"/>
  <c r="J165" i="9"/>
  <c r="J164" i="9"/>
  <c r="J163" i="9"/>
  <c r="J162" i="9"/>
  <c r="J161" i="9"/>
  <c r="J160" i="9"/>
  <c r="J159" i="9"/>
  <c r="J158" i="9"/>
  <c r="J157" i="9"/>
  <c r="J156" i="9"/>
  <c r="J155" i="9"/>
  <c r="J154" i="9"/>
  <c r="J153" i="9"/>
  <c r="J152" i="9"/>
  <c r="J151" i="9"/>
  <c r="J150" i="9"/>
  <c r="J149" i="9"/>
  <c r="J148" i="9"/>
  <c r="J147" i="9"/>
  <c r="J146" i="9"/>
  <c r="J145" i="9"/>
  <c r="J144" i="9"/>
  <c r="J143" i="9"/>
  <c r="J142" i="9"/>
  <c r="J141" i="9"/>
  <c r="J140" i="9"/>
  <c r="J139" i="9"/>
  <c r="J138" i="9"/>
  <c r="J137" i="9"/>
  <c r="J136" i="9"/>
  <c r="J135" i="9"/>
  <c r="J134" i="9"/>
  <c r="J133" i="9"/>
  <c r="J132" i="9"/>
  <c r="J131" i="9"/>
  <c r="J130" i="9"/>
  <c r="J129" i="9"/>
  <c r="J128" i="9"/>
  <c r="J127" i="9"/>
  <c r="J126" i="9"/>
  <c r="J125" i="9"/>
  <c r="J124" i="9"/>
  <c r="J123" i="9"/>
  <c r="J122" i="9"/>
  <c r="J121" i="9"/>
  <c r="J120" i="9"/>
  <c r="J119" i="9"/>
  <c r="J118" i="9"/>
  <c r="J117" i="9"/>
  <c r="J116" i="9"/>
  <c r="J115" i="9"/>
  <c r="J114" i="9"/>
  <c r="J113" i="9"/>
  <c r="J112" i="9"/>
  <c r="J111" i="9"/>
  <c r="J110" i="9"/>
  <c r="J109" i="9"/>
  <c r="J108" i="9"/>
  <c r="J107" i="9"/>
  <c r="J106" i="9"/>
  <c r="J105" i="9"/>
  <c r="J104" i="9"/>
  <c r="J103" i="9"/>
  <c r="J102" i="9"/>
  <c r="J101" i="9"/>
  <c r="J100" i="9"/>
  <c r="J99" i="9"/>
  <c r="J98" i="9"/>
  <c r="J97" i="9"/>
  <c r="J96" i="9"/>
  <c r="J95" i="9"/>
  <c r="J94" i="9"/>
  <c r="J93" i="9"/>
  <c r="J92" i="9"/>
  <c r="J91" i="9"/>
  <c r="J90" i="9"/>
  <c r="J89" i="9"/>
  <c r="J88" i="9"/>
  <c r="J87" i="9"/>
  <c r="J86" i="9"/>
  <c r="J85" i="9"/>
  <c r="J84" i="9"/>
  <c r="J83" i="9"/>
  <c r="J82" i="9"/>
  <c r="J81" i="9"/>
  <c r="J80" i="9"/>
  <c r="J79" i="9"/>
  <c r="J78" i="9"/>
  <c r="J77" i="9"/>
  <c r="J76" i="9"/>
  <c r="J75" i="9"/>
  <c r="J74" i="9"/>
  <c r="J73" i="9"/>
  <c r="J72" i="9"/>
  <c r="J71" i="9"/>
  <c r="J70" i="9"/>
  <c r="J69" i="9"/>
  <c r="J68" i="9"/>
  <c r="J67" i="9"/>
  <c r="J66" i="9"/>
  <c r="J65" i="9"/>
  <c r="J64" i="9"/>
  <c r="J63" i="9"/>
  <c r="J62" i="9"/>
  <c r="J61" i="9"/>
  <c r="J60" i="9"/>
  <c r="J59" i="9"/>
  <c r="J58" i="9"/>
  <c r="J57" i="9"/>
  <c r="J56" i="9"/>
  <c r="J55" i="9"/>
  <c r="J54" i="9"/>
  <c r="J53" i="9"/>
  <c r="J52" i="9"/>
  <c r="J51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J5" i="9"/>
  <c r="J4" i="9"/>
  <c r="J3" i="9"/>
  <c r="J2" i="9"/>
  <c r="I1495" i="9"/>
  <c r="I1496" i="9"/>
  <c r="I1497" i="9"/>
  <c r="I1492" i="9"/>
  <c r="I1493" i="9"/>
  <c r="I1494" i="9"/>
  <c r="I1490" i="9"/>
  <c r="I1491" i="9"/>
  <c r="I1487" i="9"/>
  <c r="I1488" i="9"/>
  <c r="I1489" i="9"/>
  <c r="I1485" i="9"/>
  <c r="I1486" i="9"/>
  <c r="I1484" i="9"/>
  <c r="I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301" i="9"/>
  <c r="I302" i="9"/>
  <c r="I303" i="9"/>
  <c r="I304" i="9"/>
  <c r="I305" i="9"/>
  <c r="I306" i="9"/>
  <c r="I307" i="9"/>
  <c r="I308" i="9"/>
  <c r="I309" i="9"/>
  <c r="I310" i="9"/>
  <c r="I311" i="9"/>
  <c r="I312" i="9"/>
  <c r="I313" i="9"/>
  <c r="I314" i="9"/>
  <c r="I315" i="9"/>
  <c r="I316" i="9"/>
  <c r="I317" i="9"/>
  <c r="I318" i="9"/>
  <c r="I319" i="9"/>
  <c r="I320" i="9"/>
  <c r="I321" i="9"/>
  <c r="I322" i="9"/>
  <c r="I323" i="9"/>
  <c r="I324" i="9"/>
  <c r="I325" i="9"/>
  <c r="I326" i="9"/>
  <c r="I327" i="9"/>
  <c r="I328" i="9"/>
  <c r="I329" i="9"/>
  <c r="I330" i="9"/>
  <c r="I331" i="9"/>
  <c r="I332" i="9"/>
  <c r="I333" i="9"/>
  <c r="I334" i="9"/>
  <c r="I335" i="9"/>
  <c r="I336" i="9"/>
  <c r="I337" i="9"/>
  <c r="I338" i="9"/>
  <c r="I339" i="9"/>
  <c r="I340" i="9"/>
  <c r="I341" i="9"/>
  <c r="I342" i="9"/>
  <c r="I343" i="9"/>
  <c r="I344" i="9"/>
  <c r="I345" i="9"/>
  <c r="I346" i="9"/>
  <c r="I347" i="9"/>
  <c r="I348" i="9"/>
  <c r="I349" i="9"/>
  <c r="I350" i="9"/>
  <c r="I351" i="9"/>
  <c r="I352" i="9"/>
  <c r="I353" i="9"/>
  <c r="I354" i="9"/>
  <c r="I355" i="9"/>
  <c r="I356" i="9"/>
  <c r="I357" i="9"/>
  <c r="I358" i="9"/>
  <c r="I359" i="9"/>
  <c r="I360" i="9"/>
  <c r="I361" i="9"/>
  <c r="I362" i="9"/>
  <c r="I363" i="9"/>
  <c r="I364" i="9"/>
  <c r="I365" i="9"/>
  <c r="I366" i="9"/>
  <c r="I367" i="9"/>
  <c r="I368" i="9"/>
  <c r="I369" i="9"/>
  <c r="I370" i="9"/>
  <c r="I371" i="9"/>
  <c r="I372" i="9"/>
  <c r="I373" i="9"/>
  <c r="I374" i="9"/>
  <c r="I375" i="9"/>
  <c r="I376" i="9"/>
  <c r="I377" i="9"/>
  <c r="I378" i="9"/>
  <c r="I379" i="9"/>
  <c r="I380" i="9"/>
  <c r="I381" i="9"/>
  <c r="I382" i="9"/>
  <c r="I383" i="9"/>
  <c r="I384" i="9"/>
  <c r="I385" i="9"/>
  <c r="I386" i="9"/>
  <c r="I387" i="9"/>
  <c r="I388" i="9"/>
  <c r="I389" i="9"/>
  <c r="I390" i="9"/>
  <c r="I391" i="9"/>
  <c r="I392" i="9"/>
  <c r="I393" i="9"/>
  <c r="I394" i="9"/>
  <c r="I395" i="9"/>
  <c r="I396" i="9"/>
  <c r="I397" i="9"/>
  <c r="I398" i="9"/>
  <c r="I399" i="9"/>
  <c r="I400" i="9"/>
  <c r="I401" i="9"/>
  <c r="I402" i="9"/>
  <c r="I403" i="9"/>
  <c r="I404" i="9"/>
  <c r="I405" i="9"/>
  <c r="I406" i="9"/>
  <c r="I407" i="9"/>
  <c r="I408" i="9"/>
  <c r="I409" i="9"/>
  <c r="I410" i="9"/>
  <c r="I411" i="9"/>
  <c r="I412" i="9"/>
  <c r="I413" i="9"/>
  <c r="I414" i="9"/>
  <c r="I415" i="9"/>
  <c r="I416" i="9"/>
  <c r="I417" i="9"/>
  <c r="I418" i="9"/>
  <c r="I419" i="9"/>
  <c r="I420" i="9"/>
  <c r="I421" i="9"/>
  <c r="I422" i="9"/>
  <c r="I423" i="9"/>
  <c r="I424" i="9"/>
  <c r="I425" i="9"/>
  <c r="I426" i="9"/>
  <c r="I427" i="9"/>
  <c r="I428" i="9"/>
  <c r="I429" i="9"/>
  <c r="I430" i="9"/>
  <c r="I431" i="9"/>
  <c r="I432" i="9"/>
  <c r="I433" i="9"/>
  <c r="I434" i="9"/>
  <c r="I435" i="9"/>
  <c r="I436" i="9"/>
  <c r="I437" i="9"/>
  <c r="I438" i="9"/>
  <c r="I439" i="9"/>
  <c r="I440" i="9"/>
  <c r="I441" i="9"/>
  <c r="I442" i="9"/>
  <c r="I443" i="9"/>
  <c r="I444" i="9"/>
  <c r="I445" i="9"/>
  <c r="I446" i="9"/>
  <c r="I447" i="9"/>
  <c r="I448" i="9"/>
  <c r="I449" i="9"/>
  <c r="I450" i="9"/>
  <c r="I451" i="9"/>
  <c r="I452" i="9"/>
  <c r="I453" i="9"/>
  <c r="I454" i="9"/>
  <c r="I455" i="9"/>
  <c r="I456" i="9"/>
  <c r="I457" i="9"/>
  <c r="I458" i="9"/>
  <c r="I459" i="9"/>
  <c r="I460" i="9"/>
  <c r="I461" i="9"/>
  <c r="I462" i="9"/>
  <c r="I463" i="9"/>
  <c r="I464" i="9"/>
  <c r="I465" i="9"/>
  <c r="I466" i="9"/>
  <c r="I467" i="9"/>
  <c r="I468" i="9"/>
  <c r="I469" i="9"/>
  <c r="I470" i="9"/>
  <c r="I471" i="9"/>
  <c r="I472" i="9"/>
  <c r="I473" i="9"/>
  <c r="I474" i="9"/>
  <c r="I475" i="9"/>
  <c r="I476" i="9"/>
  <c r="I477" i="9"/>
  <c r="I478" i="9"/>
  <c r="I479" i="9"/>
  <c r="I480" i="9"/>
  <c r="I481" i="9"/>
  <c r="I482" i="9"/>
  <c r="I483" i="9"/>
  <c r="I484" i="9"/>
  <c r="I485" i="9"/>
  <c r="I486" i="9"/>
  <c r="I487" i="9"/>
  <c r="I488" i="9"/>
  <c r="I489" i="9"/>
  <c r="I490" i="9"/>
  <c r="I491" i="9"/>
  <c r="I492" i="9"/>
  <c r="I493" i="9"/>
  <c r="I494" i="9"/>
  <c r="I495" i="9"/>
  <c r="I496" i="9"/>
  <c r="I497" i="9"/>
  <c r="I498" i="9"/>
  <c r="I499" i="9"/>
  <c r="I500" i="9"/>
  <c r="I501" i="9"/>
  <c r="I502" i="9"/>
  <c r="I503" i="9"/>
  <c r="I504" i="9"/>
  <c r="I505" i="9"/>
  <c r="I506" i="9"/>
  <c r="I507" i="9"/>
  <c r="I508" i="9"/>
  <c r="I509" i="9"/>
  <c r="I510" i="9"/>
  <c r="I511" i="9"/>
  <c r="I512" i="9"/>
  <c r="I513" i="9"/>
  <c r="I514" i="9"/>
  <c r="I515" i="9"/>
  <c r="I516" i="9"/>
  <c r="I517" i="9"/>
  <c r="I518" i="9"/>
  <c r="I519" i="9"/>
  <c r="I520" i="9"/>
  <c r="I521" i="9"/>
  <c r="I522" i="9"/>
  <c r="I523" i="9"/>
  <c r="I524" i="9"/>
  <c r="I525" i="9"/>
  <c r="I526" i="9"/>
  <c r="I527" i="9"/>
  <c r="I528" i="9"/>
  <c r="I529" i="9"/>
  <c r="I530" i="9"/>
  <c r="I531" i="9"/>
  <c r="I532" i="9"/>
  <c r="I533" i="9"/>
  <c r="I534" i="9"/>
  <c r="I535" i="9"/>
  <c r="I536" i="9"/>
  <c r="I537" i="9"/>
  <c r="I538" i="9"/>
  <c r="I539" i="9"/>
  <c r="I540" i="9"/>
  <c r="I541" i="9"/>
  <c r="I542" i="9"/>
  <c r="I543" i="9"/>
  <c r="I544" i="9"/>
  <c r="I545" i="9"/>
  <c r="I546" i="9"/>
  <c r="I547" i="9"/>
  <c r="I548" i="9"/>
  <c r="I549" i="9"/>
  <c r="I550" i="9"/>
  <c r="I551" i="9"/>
  <c r="I552" i="9"/>
  <c r="I553" i="9"/>
  <c r="I554" i="9"/>
  <c r="I555" i="9"/>
  <c r="I556" i="9"/>
  <c r="I557" i="9"/>
  <c r="I558" i="9"/>
  <c r="I559" i="9"/>
  <c r="I560" i="9"/>
  <c r="I561" i="9"/>
  <c r="I562" i="9"/>
  <c r="I563" i="9"/>
  <c r="I564" i="9"/>
  <c r="I565" i="9"/>
  <c r="I566" i="9"/>
  <c r="I567" i="9"/>
  <c r="I568" i="9"/>
  <c r="I569" i="9"/>
  <c r="I570" i="9"/>
  <c r="I571" i="9"/>
  <c r="I572" i="9"/>
  <c r="I573" i="9"/>
  <c r="I574" i="9"/>
  <c r="I575" i="9"/>
  <c r="I576" i="9"/>
  <c r="I577" i="9"/>
  <c r="I578" i="9"/>
  <c r="I579" i="9"/>
  <c r="I580" i="9"/>
  <c r="I581" i="9"/>
  <c r="I582" i="9"/>
  <c r="I583" i="9"/>
  <c r="I584" i="9"/>
  <c r="I585" i="9"/>
  <c r="I586" i="9"/>
  <c r="I587" i="9"/>
  <c r="I588" i="9"/>
  <c r="I589" i="9"/>
  <c r="I590" i="9"/>
  <c r="I591" i="9"/>
  <c r="I592" i="9"/>
  <c r="I593" i="9"/>
  <c r="I594" i="9"/>
  <c r="I595" i="9"/>
  <c r="I596" i="9"/>
  <c r="I597" i="9"/>
  <c r="I598" i="9"/>
  <c r="I599" i="9"/>
  <c r="I600" i="9"/>
  <c r="I601" i="9"/>
  <c r="I602" i="9"/>
  <c r="I603" i="9"/>
  <c r="I604" i="9"/>
  <c r="I605" i="9"/>
  <c r="I606" i="9"/>
  <c r="I607" i="9"/>
  <c r="I608" i="9"/>
  <c r="I609" i="9"/>
  <c r="I610" i="9"/>
  <c r="I611" i="9"/>
  <c r="I612" i="9"/>
  <c r="I613" i="9"/>
  <c r="I614" i="9"/>
  <c r="I615" i="9"/>
  <c r="I616" i="9"/>
  <c r="I617" i="9"/>
  <c r="I618" i="9"/>
  <c r="I619" i="9"/>
  <c r="I620" i="9"/>
  <c r="I621" i="9"/>
  <c r="I622" i="9"/>
  <c r="I623" i="9"/>
  <c r="I624" i="9"/>
  <c r="I625" i="9"/>
  <c r="I626" i="9"/>
  <c r="I627" i="9"/>
  <c r="I628" i="9"/>
  <c r="I629" i="9"/>
  <c r="I630" i="9"/>
  <c r="I631" i="9"/>
  <c r="I632" i="9"/>
  <c r="I633" i="9"/>
  <c r="I634" i="9"/>
  <c r="I635" i="9"/>
  <c r="I636" i="9"/>
  <c r="I637" i="9"/>
  <c r="I638" i="9"/>
  <c r="I639" i="9"/>
  <c r="I640" i="9"/>
  <c r="I641" i="9"/>
  <c r="I642" i="9"/>
  <c r="I643" i="9"/>
  <c r="I644" i="9"/>
  <c r="I645" i="9"/>
  <c r="I646" i="9"/>
  <c r="I647" i="9"/>
  <c r="I648" i="9"/>
  <c r="I649" i="9"/>
  <c r="I650" i="9"/>
  <c r="I651" i="9"/>
  <c r="I652" i="9"/>
  <c r="I653" i="9"/>
  <c r="I654" i="9"/>
  <c r="I655" i="9"/>
  <c r="I656" i="9"/>
  <c r="I657" i="9"/>
  <c r="I658" i="9"/>
  <c r="I659" i="9"/>
  <c r="I660" i="9"/>
  <c r="I661" i="9"/>
  <c r="I662" i="9"/>
  <c r="I663" i="9"/>
  <c r="I664" i="9"/>
  <c r="I665" i="9"/>
  <c r="I666" i="9"/>
  <c r="I667" i="9"/>
  <c r="I668" i="9"/>
  <c r="I669" i="9"/>
  <c r="I670" i="9"/>
  <c r="I671" i="9"/>
  <c r="I672" i="9"/>
  <c r="I673" i="9"/>
  <c r="I674" i="9"/>
  <c r="I675" i="9"/>
  <c r="I676" i="9"/>
  <c r="I677" i="9"/>
  <c r="I678" i="9"/>
  <c r="I679" i="9"/>
  <c r="I680" i="9"/>
  <c r="I681" i="9"/>
  <c r="I682" i="9"/>
  <c r="I683" i="9"/>
  <c r="I684" i="9"/>
  <c r="I685" i="9"/>
  <c r="I686" i="9"/>
  <c r="I687" i="9"/>
  <c r="I688" i="9"/>
  <c r="I689" i="9"/>
  <c r="I690" i="9"/>
  <c r="I691" i="9"/>
  <c r="I692" i="9"/>
  <c r="I693" i="9"/>
  <c r="I694" i="9"/>
  <c r="I695" i="9"/>
  <c r="I696" i="9"/>
  <c r="I697" i="9"/>
  <c r="I698" i="9"/>
  <c r="I699" i="9"/>
  <c r="I700" i="9"/>
  <c r="I701" i="9"/>
  <c r="I702" i="9"/>
  <c r="I703" i="9"/>
  <c r="I704" i="9"/>
  <c r="I705" i="9"/>
  <c r="I706" i="9"/>
  <c r="I707" i="9"/>
  <c r="I708" i="9"/>
  <c r="I709" i="9"/>
  <c r="I710" i="9"/>
  <c r="I711" i="9"/>
  <c r="I712" i="9"/>
  <c r="I713" i="9"/>
  <c r="I714" i="9"/>
  <c r="I715" i="9"/>
  <c r="I716" i="9"/>
  <c r="I717" i="9"/>
  <c r="I718" i="9"/>
  <c r="I719" i="9"/>
  <c r="I720" i="9"/>
  <c r="I721" i="9"/>
  <c r="I722" i="9"/>
  <c r="I723" i="9"/>
  <c r="I724" i="9"/>
  <c r="I725" i="9"/>
  <c r="I726" i="9"/>
  <c r="I727" i="9"/>
  <c r="I728" i="9"/>
  <c r="I729" i="9"/>
  <c r="I730" i="9"/>
  <c r="I731" i="9"/>
  <c r="I732" i="9"/>
  <c r="I733" i="9"/>
  <c r="I734" i="9"/>
  <c r="I735" i="9"/>
  <c r="I736" i="9"/>
  <c r="I737" i="9"/>
  <c r="I738" i="9"/>
  <c r="I739" i="9"/>
  <c r="I740" i="9"/>
  <c r="I741" i="9"/>
  <c r="I742" i="9"/>
  <c r="I743" i="9"/>
  <c r="I744" i="9"/>
  <c r="I745" i="9"/>
  <c r="I746" i="9"/>
  <c r="I747" i="9"/>
  <c r="I748" i="9"/>
  <c r="I749" i="9"/>
  <c r="I750" i="9"/>
  <c r="I751" i="9"/>
  <c r="I752" i="9"/>
  <c r="I753" i="9"/>
  <c r="I754" i="9"/>
  <c r="I755" i="9"/>
  <c r="I756" i="9"/>
  <c r="I757" i="9"/>
  <c r="I758" i="9"/>
  <c r="I759" i="9"/>
  <c r="I760" i="9"/>
  <c r="I761" i="9"/>
  <c r="I762" i="9"/>
  <c r="I763" i="9"/>
  <c r="I764" i="9"/>
  <c r="I765" i="9"/>
  <c r="I766" i="9"/>
  <c r="I767" i="9"/>
  <c r="I768" i="9"/>
  <c r="I769" i="9"/>
  <c r="I770" i="9"/>
  <c r="I771" i="9"/>
  <c r="I772" i="9"/>
  <c r="I773" i="9"/>
  <c r="I774" i="9"/>
  <c r="I775" i="9"/>
  <c r="I776" i="9"/>
  <c r="I777" i="9"/>
  <c r="I778" i="9"/>
  <c r="I779" i="9"/>
  <c r="I780" i="9"/>
  <c r="I781" i="9"/>
  <c r="I782" i="9"/>
  <c r="I783" i="9"/>
  <c r="I784" i="9"/>
  <c r="I785" i="9"/>
  <c r="I786" i="9"/>
  <c r="I787" i="9"/>
  <c r="I788" i="9"/>
  <c r="I789" i="9"/>
  <c r="I790" i="9"/>
  <c r="I791" i="9"/>
  <c r="I792" i="9"/>
  <c r="I793" i="9"/>
  <c r="I794" i="9"/>
  <c r="I795" i="9"/>
  <c r="I796" i="9"/>
  <c r="I797" i="9"/>
  <c r="I798" i="9"/>
  <c r="I799" i="9"/>
  <c r="I800" i="9"/>
  <c r="I801" i="9"/>
  <c r="I802" i="9"/>
  <c r="I803" i="9"/>
  <c r="I804" i="9"/>
  <c r="I805" i="9"/>
  <c r="I806" i="9"/>
  <c r="I807" i="9"/>
  <c r="I808" i="9"/>
  <c r="I809" i="9"/>
  <c r="I810" i="9"/>
  <c r="I811" i="9"/>
  <c r="I812" i="9"/>
  <c r="I813" i="9"/>
  <c r="I814" i="9"/>
  <c r="I815" i="9"/>
  <c r="I816" i="9"/>
  <c r="I817" i="9"/>
  <c r="I818" i="9"/>
  <c r="I819" i="9"/>
  <c r="I820" i="9"/>
  <c r="I821" i="9"/>
  <c r="I822" i="9"/>
  <c r="I823" i="9"/>
  <c r="I824" i="9"/>
  <c r="I825" i="9"/>
  <c r="I826" i="9"/>
  <c r="I827" i="9"/>
  <c r="I828" i="9"/>
  <c r="I829" i="9"/>
  <c r="I830" i="9"/>
  <c r="I831" i="9"/>
  <c r="I832" i="9"/>
  <c r="I833" i="9"/>
  <c r="I834" i="9"/>
  <c r="I835" i="9"/>
  <c r="I836" i="9"/>
  <c r="I837" i="9"/>
  <c r="I838" i="9"/>
  <c r="I839" i="9"/>
  <c r="I840" i="9"/>
  <c r="I841" i="9"/>
  <c r="I842" i="9"/>
  <c r="I843" i="9"/>
  <c r="I844" i="9"/>
  <c r="I845" i="9"/>
  <c r="I846" i="9"/>
  <c r="I847" i="9"/>
  <c r="I848" i="9"/>
  <c r="I849" i="9"/>
  <c r="I850" i="9"/>
  <c r="I851" i="9"/>
  <c r="I852" i="9"/>
  <c r="I853" i="9"/>
  <c r="I854" i="9"/>
  <c r="I855" i="9"/>
  <c r="I856" i="9"/>
  <c r="I857" i="9"/>
  <c r="I858" i="9"/>
  <c r="I859" i="9"/>
  <c r="I860" i="9"/>
  <c r="I861" i="9"/>
  <c r="I862" i="9"/>
  <c r="I863" i="9"/>
  <c r="I864" i="9"/>
  <c r="I865" i="9"/>
  <c r="I866" i="9"/>
  <c r="I867" i="9"/>
  <c r="I868" i="9"/>
  <c r="I869" i="9"/>
  <c r="I870" i="9"/>
  <c r="I871" i="9"/>
  <c r="I872" i="9"/>
  <c r="I873" i="9"/>
  <c r="I874" i="9"/>
  <c r="I875" i="9"/>
  <c r="I876" i="9"/>
  <c r="I877" i="9"/>
  <c r="I878" i="9"/>
  <c r="I879" i="9"/>
  <c r="I880" i="9"/>
  <c r="I881" i="9"/>
  <c r="I882" i="9"/>
  <c r="I883" i="9"/>
  <c r="I884" i="9"/>
  <c r="I885" i="9"/>
  <c r="I886" i="9"/>
  <c r="I887" i="9"/>
  <c r="I888" i="9"/>
  <c r="I889" i="9"/>
  <c r="I890" i="9"/>
  <c r="I891" i="9"/>
  <c r="I892" i="9"/>
  <c r="I893" i="9"/>
  <c r="I894" i="9"/>
  <c r="I895" i="9"/>
  <c r="I896" i="9"/>
  <c r="I897" i="9"/>
  <c r="I898" i="9"/>
  <c r="I899" i="9"/>
  <c r="I900" i="9"/>
  <c r="I901" i="9"/>
  <c r="I902" i="9"/>
  <c r="I903" i="9"/>
  <c r="I904" i="9"/>
  <c r="I905" i="9"/>
  <c r="I906" i="9"/>
  <c r="I907" i="9"/>
  <c r="I908" i="9"/>
  <c r="I909" i="9"/>
  <c r="I910" i="9"/>
  <c r="I911" i="9"/>
  <c r="I912" i="9"/>
  <c r="I913" i="9"/>
  <c r="I914" i="9"/>
  <c r="I915" i="9"/>
  <c r="I916" i="9"/>
  <c r="I917" i="9"/>
  <c r="I918" i="9"/>
  <c r="I919" i="9"/>
  <c r="I920" i="9"/>
  <c r="I921" i="9"/>
  <c r="I922" i="9"/>
  <c r="I923" i="9"/>
  <c r="I924" i="9"/>
  <c r="I925" i="9"/>
  <c r="I926" i="9"/>
  <c r="I927" i="9"/>
  <c r="I928" i="9"/>
  <c r="I929" i="9"/>
  <c r="I930" i="9"/>
  <c r="I931" i="9"/>
  <c r="I932" i="9"/>
  <c r="I933" i="9"/>
  <c r="I934" i="9"/>
  <c r="I935" i="9"/>
  <c r="I936" i="9"/>
  <c r="I937" i="9"/>
  <c r="I938" i="9"/>
  <c r="I939" i="9"/>
  <c r="I940" i="9"/>
  <c r="I941" i="9"/>
  <c r="I942" i="9"/>
  <c r="I943" i="9"/>
  <c r="I944" i="9"/>
  <c r="I945" i="9"/>
  <c r="I946" i="9"/>
  <c r="I947" i="9"/>
  <c r="I948" i="9"/>
  <c r="I949" i="9"/>
  <c r="I950" i="9"/>
  <c r="I951" i="9"/>
  <c r="I952" i="9"/>
  <c r="I953" i="9"/>
  <c r="I954" i="9"/>
  <c r="I955" i="9"/>
  <c r="I956" i="9"/>
  <c r="I957" i="9"/>
  <c r="I958" i="9"/>
  <c r="I959" i="9"/>
  <c r="I960" i="9"/>
  <c r="I961" i="9"/>
  <c r="I962" i="9"/>
  <c r="I963" i="9"/>
  <c r="I964" i="9"/>
  <c r="I965" i="9"/>
  <c r="I966" i="9"/>
  <c r="I967" i="9"/>
  <c r="I968" i="9"/>
  <c r="I969" i="9"/>
  <c r="I970" i="9"/>
  <c r="I971" i="9"/>
  <c r="I972" i="9"/>
  <c r="I973" i="9"/>
  <c r="I974" i="9"/>
  <c r="I975" i="9"/>
  <c r="I976" i="9"/>
  <c r="I977" i="9"/>
  <c r="I978" i="9"/>
  <c r="I979" i="9"/>
  <c r="I980" i="9"/>
  <c r="I981" i="9"/>
  <c r="I982" i="9"/>
  <c r="I983" i="9"/>
  <c r="I984" i="9"/>
  <c r="I985" i="9"/>
  <c r="I986" i="9"/>
  <c r="I987" i="9"/>
  <c r="I988" i="9"/>
  <c r="I989" i="9"/>
  <c r="I990" i="9"/>
  <c r="I991" i="9"/>
  <c r="I992" i="9"/>
  <c r="I993" i="9"/>
  <c r="I994" i="9"/>
  <c r="I995" i="9"/>
  <c r="I996" i="9"/>
  <c r="I997" i="9"/>
  <c r="I998" i="9"/>
  <c r="I999" i="9"/>
  <c r="I1000" i="9"/>
  <c r="I1001" i="9"/>
  <c r="I1002" i="9"/>
  <c r="I1003" i="9"/>
  <c r="I1004" i="9"/>
  <c r="I1005" i="9"/>
  <c r="I1006" i="9"/>
  <c r="I1007" i="9"/>
  <c r="I1008" i="9"/>
  <c r="I1009" i="9"/>
  <c r="I1010" i="9"/>
  <c r="I1011" i="9"/>
  <c r="I1012" i="9"/>
  <c r="I1013" i="9"/>
  <c r="I1014" i="9"/>
  <c r="I1015" i="9"/>
  <c r="I1016" i="9"/>
  <c r="I1017" i="9"/>
  <c r="I1018" i="9"/>
  <c r="I1019" i="9"/>
  <c r="I1020" i="9"/>
  <c r="I1021" i="9"/>
  <c r="I1022" i="9"/>
  <c r="I1023" i="9"/>
  <c r="I1024" i="9"/>
  <c r="I1025" i="9"/>
  <c r="I1026" i="9"/>
  <c r="I1027" i="9"/>
  <c r="I1028" i="9"/>
  <c r="I1029" i="9"/>
  <c r="I1030" i="9"/>
  <c r="I1031" i="9"/>
  <c r="I1032" i="9"/>
  <c r="I1033" i="9"/>
  <c r="I1034" i="9"/>
  <c r="I1035" i="9"/>
  <c r="I1036" i="9"/>
  <c r="I1037" i="9"/>
  <c r="I1038" i="9"/>
  <c r="I1039" i="9"/>
  <c r="I1040" i="9"/>
  <c r="I1041" i="9"/>
  <c r="I1042" i="9"/>
  <c r="I1043" i="9"/>
  <c r="I1044" i="9"/>
  <c r="I1045" i="9"/>
  <c r="I1046" i="9"/>
  <c r="I1047" i="9"/>
  <c r="I1048" i="9"/>
  <c r="I1049" i="9"/>
  <c r="I1050" i="9"/>
  <c r="I1051" i="9"/>
  <c r="I1052" i="9"/>
  <c r="I1053" i="9"/>
  <c r="I1054" i="9"/>
  <c r="I1055" i="9"/>
  <c r="I1056" i="9"/>
  <c r="I1057" i="9"/>
  <c r="I1058" i="9"/>
  <c r="I1059" i="9"/>
  <c r="I1060" i="9"/>
  <c r="I1061" i="9"/>
  <c r="I1062" i="9"/>
  <c r="I1063" i="9"/>
  <c r="I1064" i="9"/>
  <c r="I1065" i="9"/>
  <c r="I1066" i="9"/>
  <c r="I1067" i="9"/>
  <c r="I1068" i="9"/>
  <c r="I1069" i="9"/>
  <c r="I1070" i="9"/>
  <c r="I1071" i="9"/>
  <c r="I1072" i="9"/>
  <c r="I1073" i="9"/>
  <c r="I1074" i="9"/>
  <c r="I1075" i="9"/>
  <c r="I1076" i="9"/>
  <c r="I1077" i="9"/>
  <c r="I1078" i="9"/>
  <c r="I1079" i="9"/>
  <c r="I1080" i="9"/>
  <c r="I1081" i="9"/>
  <c r="I1082" i="9"/>
  <c r="I1083" i="9"/>
  <c r="I1084" i="9"/>
  <c r="I1085" i="9"/>
  <c r="I1086" i="9"/>
  <c r="I1087" i="9"/>
  <c r="I1088" i="9"/>
  <c r="I1089" i="9"/>
  <c r="I1090" i="9"/>
  <c r="I1091" i="9"/>
  <c r="I1092" i="9"/>
  <c r="I1093" i="9"/>
  <c r="I1094" i="9"/>
  <c r="I1095" i="9"/>
  <c r="I1096" i="9"/>
  <c r="I1097" i="9"/>
  <c r="I1098" i="9"/>
  <c r="I1099" i="9"/>
  <c r="I1100" i="9"/>
  <c r="I1101" i="9"/>
  <c r="I1102" i="9"/>
  <c r="I1103" i="9"/>
  <c r="I1104" i="9"/>
  <c r="I1105" i="9"/>
  <c r="I1106" i="9"/>
  <c r="I1107" i="9"/>
  <c r="I1108" i="9"/>
  <c r="I1109" i="9"/>
  <c r="I1110" i="9"/>
  <c r="I1111" i="9"/>
  <c r="I1112" i="9"/>
  <c r="I1113" i="9"/>
  <c r="I1114" i="9"/>
  <c r="I1115" i="9"/>
  <c r="I1116" i="9"/>
  <c r="I1117" i="9"/>
  <c r="I1118" i="9"/>
  <c r="I1119" i="9"/>
  <c r="I1120" i="9"/>
  <c r="I1121" i="9"/>
  <c r="I1122" i="9"/>
  <c r="I1123" i="9"/>
  <c r="I1124" i="9"/>
  <c r="I1125" i="9"/>
  <c r="I1126" i="9"/>
  <c r="I1127" i="9"/>
  <c r="I1128" i="9"/>
  <c r="I1129" i="9"/>
  <c r="I1130" i="9"/>
  <c r="I1131" i="9"/>
  <c r="I1132" i="9"/>
  <c r="I1133" i="9"/>
  <c r="I1134" i="9"/>
  <c r="I1135" i="9"/>
  <c r="I1136" i="9"/>
  <c r="I1137" i="9"/>
  <c r="I1138" i="9"/>
  <c r="I1139" i="9"/>
  <c r="I1140" i="9"/>
  <c r="I1141" i="9"/>
  <c r="I1142" i="9"/>
  <c r="I1143" i="9"/>
  <c r="I1144" i="9"/>
  <c r="I1145" i="9"/>
  <c r="I1146" i="9"/>
  <c r="I1147" i="9"/>
  <c r="I1148" i="9"/>
  <c r="I1149" i="9"/>
  <c r="I1150" i="9"/>
  <c r="I1151" i="9"/>
  <c r="I1152" i="9"/>
  <c r="I1153" i="9"/>
  <c r="I1154" i="9"/>
  <c r="I1155" i="9"/>
  <c r="I1156" i="9"/>
  <c r="I1157" i="9"/>
  <c r="I1158" i="9"/>
  <c r="I1159" i="9"/>
  <c r="I1160" i="9"/>
  <c r="I1161" i="9"/>
  <c r="I1162" i="9"/>
  <c r="I1163" i="9"/>
  <c r="I1164" i="9"/>
  <c r="I1165" i="9"/>
  <c r="I1166" i="9"/>
  <c r="I1167" i="9"/>
  <c r="I1168" i="9"/>
  <c r="I1169" i="9"/>
  <c r="I1170" i="9"/>
  <c r="I1171" i="9"/>
  <c r="I1172" i="9"/>
  <c r="I1173" i="9"/>
  <c r="I1174" i="9"/>
  <c r="I1175" i="9"/>
  <c r="I1176" i="9"/>
  <c r="I1177" i="9"/>
  <c r="I1178" i="9"/>
  <c r="I1179" i="9"/>
  <c r="I1180" i="9"/>
  <c r="I1181" i="9"/>
  <c r="I1182" i="9"/>
  <c r="I1183" i="9"/>
  <c r="I1184" i="9"/>
  <c r="I1185" i="9"/>
  <c r="I1186" i="9"/>
  <c r="I1187" i="9"/>
  <c r="I1188" i="9"/>
  <c r="I1189" i="9"/>
  <c r="I1190" i="9"/>
  <c r="I1191" i="9"/>
  <c r="I1192" i="9"/>
  <c r="I1193" i="9"/>
  <c r="I1194" i="9"/>
  <c r="I1195" i="9"/>
  <c r="I1196" i="9"/>
  <c r="I1197" i="9"/>
  <c r="I1198" i="9"/>
  <c r="I1199" i="9"/>
  <c r="I1200" i="9"/>
  <c r="I1201" i="9"/>
  <c r="I1202" i="9"/>
  <c r="I1203" i="9"/>
  <c r="I1204" i="9"/>
  <c r="I1205" i="9"/>
  <c r="I1206" i="9"/>
  <c r="I1207" i="9"/>
  <c r="I1208" i="9"/>
  <c r="I1209" i="9"/>
  <c r="I1210" i="9"/>
  <c r="I1211" i="9"/>
  <c r="I1212" i="9"/>
  <c r="I1213" i="9"/>
  <c r="I1214" i="9"/>
  <c r="I1215" i="9"/>
  <c r="I1216" i="9"/>
  <c r="I1217" i="9"/>
  <c r="I1218" i="9"/>
  <c r="I1219" i="9"/>
  <c r="I1220" i="9"/>
  <c r="I1221" i="9"/>
  <c r="I1222" i="9"/>
  <c r="I1223" i="9"/>
  <c r="I1224" i="9"/>
  <c r="I1225" i="9"/>
  <c r="I1226" i="9"/>
  <c r="I1227" i="9"/>
  <c r="I1228" i="9"/>
  <c r="I1229" i="9"/>
  <c r="I1230" i="9"/>
  <c r="I1231" i="9"/>
  <c r="I1232" i="9"/>
  <c r="I1233" i="9"/>
  <c r="I1234" i="9"/>
  <c r="I1235" i="9"/>
  <c r="I1236" i="9"/>
  <c r="I1237" i="9"/>
  <c r="I1238" i="9"/>
  <c r="I1239" i="9"/>
  <c r="I1240" i="9"/>
  <c r="I1241" i="9"/>
  <c r="I1242" i="9"/>
  <c r="I1243" i="9"/>
  <c r="I1244" i="9"/>
  <c r="I1245" i="9"/>
  <c r="I1246" i="9"/>
  <c r="I1247" i="9"/>
  <c r="I1248" i="9"/>
  <c r="I1249" i="9"/>
  <c r="I1250" i="9"/>
  <c r="I1251" i="9"/>
  <c r="I1252" i="9"/>
  <c r="I1253" i="9"/>
  <c r="I1254" i="9"/>
  <c r="I1255" i="9"/>
  <c r="I1256" i="9"/>
  <c r="I1257" i="9"/>
  <c r="I1258" i="9"/>
  <c r="I1259" i="9"/>
  <c r="I1260" i="9"/>
  <c r="I1261" i="9"/>
  <c r="I1262" i="9"/>
  <c r="I1263" i="9"/>
  <c r="I1264" i="9"/>
  <c r="I1265" i="9"/>
  <c r="I1266" i="9"/>
  <c r="I1267" i="9"/>
  <c r="I1268" i="9"/>
  <c r="I1269" i="9"/>
  <c r="I1270" i="9"/>
  <c r="I1271" i="9"/>
  <c r="I1272" i="9"/>
  <c r="I1273" i="9"/>
  <c r="I1274" i="9"/>
  <c r="I1275" i="9"/>
  <c r="I1276" i="9"/>
  <c r="I1277" i="9"/>
  <c r="I1278" i="9"/>
  <c r="I1279" i="9"/>
  <c r="I1280" i="9"/>
  <c r="I1281" i="9"/>
  <c r="I1282" i="9"/>
  <c r="I1283" i="9"/>
  <c r="I1284" i="9"/>
  <c r="I1285" i="9"/>
  <c r="I1286" i="9"/>
  <c r="I1287" i="9"/>
  <c r="I1288" i="9"/>
  <c r="I1289" i="9"/>
  <c r="I1290" i="9"/>
  <c r="I1291" i="9"/>
  <c r="I1292" i="9"/>
  <c r="I1293" i="9"/>
  <c r="I1294" i="9"/>
  <c r="I1295" i="9"/>
  <c r="I1296" i="9"/>
  <c r="I1297" i="9"/>
  <c r="I1298" i="9"/>
  <c r="I1299" i="9"/>
  <c r="I1300" i="9"/>
  <c r="I1301" i="9"/>
  <c r="I1302" i="9"/>
  <c r="I1303" i="9"/>
  <c r="I1304" i="9"/>
  <c r="I1305" i="9"/>
  <c r="I1306" i="9"/>
  <c r="I1307" i="9"/>
  <c r="I1308" i="9"/>
  <c r="I1309" i="9"/>
  <c r="I1310" i="9"/>
  <c r="I1311" i="9"/>
  <c r="I1312" i="9"/>
  <c r="I1313" i="9"/>
  <c r="I1314" i="9"/>
  <c r="I1315" i="9"/>
  <c r="I1316" i="9"/>
  <c r="I1317" i="9"/>
  <c r="I1318" i="9"/>
  <c r="I1319" i="9"/>
  <c r="I1320" i="9"/>
  <c r="I1321" i="9"/>
  <c r="I1322" i="9"/>
  <c r="I1323" i="9"/>
  <c r="I1324" i="9"/>
  <c r="I1325" i="9"/>
  <c r="I1326" i="9"/>
  <c r="I1327" i="9"/>
  <c r="I1328" i="9"/>
  <c r="I1329" i="9"/>
  <c r="I1330" i="9"/>
  <c r="I1331" i="9"/>
  <c r="I1332" i="9"/>
  <c r="I1333" i="9"/>
  <c r="I1334" i="9"/>
  <c r="I1335" i="9"/>
  <c r="I1336" i="9"/>
  <c r="I1337" i="9"/>
  <c r="I1338" i="9"/>
  <c r="I1339" i="9"/>
  <c r="I1340" i="9"/>
  <c r="I1341" i="9"/>
  <c r="I1342" i="9"/>
  <c r="I1343" i="9"/>
  <c r="I1344" i="9"/>
  <c r="I1345" i="9"/>
  <c r="I1346" i="9"/>
  <c r="I1347" i="9"/>
  <c r="I1348" i="9"/>
  <c r="I1349" i="9"/>
  <c r="I1350" i="9"/>
  <c r="I1351" i="9"/>
  <c r="I1352" i="9"/>
  <c r="I1353" i="9"/>
  <c r="I1354" i="9"/>
  <c r="I1355" i="9"/>
  <c r="I1356" i="9"/>
  <c r="I1357" i="9"/>
  <c r="I1358" i="9"/>
  <c r="I1359" i="9"/>
  <c r="I1360" i="9"/>
  <c r="I1361" i="9"/>
  <c r="I1362" i="9"/>
  <c r="I1363" i="9"/>
  <c r="I1364" i="9"/>
  <c r="I1365" i="9"/>
  <c r="I1366" i="9"/>
  <c r="I1367" i="9"/>
  <c r="I1368" i="9"/>
  <c r="I1369" i="9"/>
  <c r="I1370" i="9"/>
  <c r="I1371" i="9"/>
  <c r="I1372" i="9"/>
  <c r="I1373" i="9"/>
  <c r="I1374" i="9"/>
  <c r="I1375" i="9"/>
  <c r="I1376" i="9"/>
  <c r="I1377" i="9"/>
  <c r="I1378" i="9"/>
  <c r="I1379" i="9"/>
  <c r="I1380" i="9"/>
  <c r="I1381" i="9"/>
  <c r="I1382" i="9"/>
  <c r="I1383" i="9"/>
  <c r="I1384" i="9"/>
  <c r="I1385" i="9"/>
  <c r="I1386" i="9"/>
  <c r="I1387" i="9"/>
  <c r="I1388" i="9"/>
  <c r="I1389" i="9"/>
  <c r="I1390" i="9"/>
  <c r="I1391" i="9"/>
  <c r="I1392" i="9"/>
  <c r="I1393" i="9"/>
  <c r="I1394" i="9"/>
  <c r="I1395" i="9"/>
  <c r="I1396" i="9"/>
  <c r="I1397" i="9"/>
  <c r="I1398" i="9"/>
  <c r="I1399" i="9"/>
  <c r="I1400" i="9"/>
  <c r="I1401" i="9"/>
  <c r="I1402" i="9"/>
  <c r="I1403" i="9"/>
  <c r="I1404" i="9"/>
  <c r="I1405" i="9"/>
  <c r="I1406" i="9"/>
  <c r="I1407" i="9"/>
  <c r="I1408" i="9"/>
  <c r="I1409" i="9"/>
  <c r="I1410" i="9"/>
  <c r="I1411" i="9"/>
  <c r="I1412" i="9"/>
  <c r="I1413" i="9"/>
  <c r="I1414" i="9"/>
  <c r="I1415" i="9"/>
  <c r="I1416" i="9"/>
  <c r="I1417" i="9"/>
  <c r="I1418" i="9"/>
  <c r="I1419" i="9"/>
  <c r="I1420" i="9"/>
  <c r="I1421" i="9"/>
  <c r="I1422" i="9"/>
  <c r="I1423" i="9"/>
  <c r="I1424" i="9"/>
  <c r="I1425" i="9"/>
  <c r="I1426" i="9"/>
  <c r="I1427" i="9"/>
  <c r="I1428" i="9"/>
  <c r="I1429" i="9"/>
  <c r="I1430" i="9"/>
  <c r="I1431" i="9"/>
  <c r="I1432" i="9"/>
  <c r="I1433" i="9"/>
  <c r="I1434" i="9"/>
  <c r="I1435" i="9"/>
  <c r="I1436" i="9"/>
  <c r="I1437" i="9"/>
  <c r="I1438" i="9"/>
  <c r="I1439" i="9"/>
  <c r="I1440" i="9"/>
  <c r="I1441" i="9"/>
  <c r="I1442" i="9"/>
  <c r="I1443" i="9"/>
  <c r="I1444" i="9"/>
  <c r="I1445" i="9"/>
  <c r="I1446" i="9"/>
  <c r="I1447" i="9"/>
  <c r="I1448" i="9"/>
  <c r="I1449" i="9"/>
  <c r="I1450" i="9"/>
  <c r="I1451" i="9"/>
  <c r="I1452" i="9"/>
  <c r="I1453" i="9"/>
  <c r="I1454" i="9"/>
  <c r="I1455" i="9"/>
  <c r="I1456" i="9"/>
  <c r="I1457" i="9"/>
  <c r="I1458" i="9"/>
  <c r="I1459" i="9"/>
  <c r="I1460" i="9"/>
  <c r="I1461" i="9"/>
  <c r="I1462" i="9"/>
  <c r="I1463" i="9"/>
  <c r="I1464" i="9"/>
  <c r="I1465" i="9"/>
  <c r="I1466" i="9"/>
  <c r="I1467" i="9"/>
  <c r="I1468" i="9"/>
  <c r="I1469" i="9"/>
  <c r="I1470" i="9"/>
  <c r="I1471" i="9"/>
  <c r="I1472" i="9"/>
  <c r="I1473" i="9"/>
  <c r="I1474" i="9"/>
  <c r="I1475" i="9"/>
  <c r="I1476" i="9"/>
  <c r="I1477" i="9"/>
  <c r="I1478" i="9"/>
  <c r="I1479" i="9"/>
  <c r="I1480" i="9"/>
  <c r="I1481" i="9"/>
  <c r="I1482" i="9"/>
  <c r="I1483" i="9"/>
  <c r="R42" i="16" l="1"/>
  <c r="R41" i="16"/>
  <c r="R40" i="16"/>
  <c r="R39" i="16"/>
  <c r="R38" i="16"/>
  <c r="R37" i="16"/>
  <c r="R36" i="16"/>
  <c r="R35" i="16"/>
  <c r="R34" i="16"/>
  <c r="R33" i="16"/>
  <c r="R32" i="16"/>
  <c r="R31" i="16"/>
  <c r="R30" i="16"/>
  <c r="R29" i="16"/>
  <c r="R28" i="16"/>
  <c r="R27" i="16"/>
  <c r="R26" i="16"/>
  <c r="R25" i="16"/>
  <c r="R24" i="16"/>
  <c r="R23" i="16"/>
  <c r="R22" i="16"/>
  <c r="R21" i="16"/>
  <c r="R20" i="16"/>
  <c r="R19" i="16"/>
  <c r="R18" i="16"/>
  <c r="R17" i="16"/>
  <c r="R16" i="16"/>
  <c r="R15" i="16"/>
  <c r="R14" i="16"/>
  <c r="R13" i="16"/>
  <c r="R12" i="16"/>
  <c r="R11" i="16"/>
  <c r="R10" i="16"/>
  <c r="R9" i="16"/>
  <c r="R8" i="16"/>
  <c r="R7" i="16"/>
  <c r="R6" i="16"/>
  <c r="R5" i="16"/>
  <c r="R4" i="16"/>
  <c r="C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R43" i="16" l="1"/>
  <c r="F37" i="13"/>
  <c r="F36" i="13"/>
  <c r="F35" i="13"/>
  <c r="F34" i="13"/>
  <c r="F33" i="13"/>
  <c r="F32" i="13"/>
  <c r="F31" i="13"/>
  <c r="F30" i="13"/>
  <c r="F29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6" i="13"/>
  <c r="F5" i="13"/>
  <c r="F4" i="13"/>
  <c r="F3" i="13"/>
  <c r="F2" i="13"/>
  <c r="F1" i="13"/>
  <c r="H1149" i="10"/>
  <c r="G1149" i="10" s="1"/>
  <c r="H1148" i="10"/>
  <c r="G1148" i="10" s="1"/>
  <c r="E1046" i="1" l="1"/>
  <c r="F1046" i="1" s="1"/>
  <c r="E1045" i="1"/>
  <c r="F1045" i="1" s="1"/>
  <c r="E1044" i="1"/>
  <c r="F1044" i="1" s="1"/>
  <c r="E1043" i="1"/>
  <c r="F1043" i="1" s="1"/>
  <c r="E1041" i="1"/>
  <c r="F1041" i="1" s="1"/>
  <c r="E1042" i="1"/>
  <c r="F1042" i="1" s="1"/>
  <c r="E1040" i="1"/>
  <c r="F1040" i="1" s="1"/>
  <c r="E1036" i="1" l="1"/>
  <c r="F1036" i="1" s="1"/>
  <c r="E1037" i="1"/>
  <c r="F1037" i="1" s="1"/>
  <c r="E1038" i="1"/>
  <c r="F1038" i="1" s="1"/>
  <c r="E1039" i="1"/>
  <c r="F1039" i="1" s="1"/>
  <c r="N62" i="8"/>
  <c r="N61" i="8"/>
  <c r="N60" i="8"/>
  <c r="N59" i="8"/>
  <c r="N58" i="8"/>
  <c r="N57" i="8"/>
  <c r="N56" i="8"/>
  <c r="N55" i="8"/>
  <c r="N54" i="8"/>
  <c r="N53" i="8"/>
  <c r="N52" i="8"/>
  <c r="N51" i="8"/>
  <c r="N50" i="8"/>
  <c r="N49" i="8"/>
  <c r="N48" i="8"/>
  <c r="N47" i="8"/>
  <c r="N46" i="8"/>
  <c r="N45" i="8"/>
  <c r="N44" i="8"/>
  <c r="N43" i="8"/>
  <c r="N42" i="8"/>
  <c r="N41" i="8"/>
  <c r="N40" i="8"/>
  <c r="N39" i="8"/>
  <c r="N38" i="8"/>
  <c r="N37" i="8"/>
  <c r="N36" i="8"/>
  <c r="N35" i="8"/>
  <c r="N34" i="8"/>
  <c r="N33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N6" i="8"/>
  <c r="N5" i="8"/>
  <c r="N4" i="8"/>
  <c r="N3" i="8"/>
  <c r="N2" i="8"/>
  <c r="E1035" i="1" l="1"/>
  <c r="F1035" i="1" s="1"/>
  <c r="E1034" i="1" l="1"/>
  <c r="F1034" i="1" s="1"/>
  <c r="E1033" i="1"/>
  <c r="F1033" i="1" s="1"/>
  <c r="E1032" i="1"/>
  <c r="F1032" i="1" s="1"/>
  <c r="E1031" i="1"/>
  <c r="F1031" i="1" s="1"/>
  <c r="E1030" i="1" l="1"/>
  <c r="F1030" i="1" s="1"/>
  <c r="E1029" i="1"/>
  <c r="F1029" i="1" s="1"/>
  <c r="E1028" i="1"/>
  <c r="F1028" i="1" s="1"/>
  <c r="E1027" i="1" l="1"/>
  <c r="F1027" i="1" s="1"/>
  <c r="E1026" i="1"/>
  <c r="F1026" i="1" s="1"/>
  <c r="E1025" i="1"/>
  <c r="F1025" i="1" s="1"/>
  <c r="E1024" i="1"/>
  <c r="F1024" i="1" s="1"/>
  <c r="E1022" i="1"/>
  <c r="F1022" i="1" s="1"/>
  <c r="E1023" i="1"/>
  <c r="F1023" i="1" s="1"/>
  <c r="E1021" i="1"/>
  <c r="F1021" i="1" s="1"/>
  <c r="E1018" i="1"/>
  <c r="F1018" i="1" s="1"/>
  <c r="E1019" i="1"/>
  <c r="F1019" i="1" s="1"/>
  <c r="E1020" i="1"/>
  <c r="F1020" i="1" s="1"/>
  <c r="E1017" i="1"/>
  <c r="F1017" i="1" s="1"/>
  <c r="E1015" i="1" l="1"/>
  <c r="F1015" i="1" s="1"/>
  <c r="E1016" i="1"/>
  <c r="F1016" i="1" s="1"/>
  <c r="E1014" i="1"/>
  <c r="F1014" i="1" s="1"/>
  <c r="E1013" i="1"/>
  <c r="F1013" i="1" s="1"/>
  <c r="E1012" i="1"/>
  <c r="F1012" i="1" s="1"/>
  <c r="E1011" i="1"/>
  <c r="F1011" i="1" s="1"/>
  <c r="E1010" i="1"/>
  <c r="F1010" i="1" s="1"/>
  <c r="E1009" i="1"/>
  <c r="F1009" i="1" s="1"/>
  <c r="E1008" i="1"/>
  <c r="F1008" i="1" s="1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E1007" i="1"/>
  <c r="F1007" i="1" s="1"/>
  <c r="E1006" i="1" l="1"/>
  <c r="F1006" i="1" s="1"/>
  <c r="E1005" i="1"/>
  <c r="F1005" i="1" s="1"/>
  <c r="E1004" i="1"/>
  <c r="F1004" i="1" s="1"/>
  <c r="E1003" i="1"/>
  <c r="F1003" i="1" s="1"/>
  <c r="E1002" i="1"/>
  <c r="F1002" i="1" s="1"/>
  <c r="E1001" i="1"/>
  <c r="F1001" i="1" s="1"/>
  <c r="E1000" i="1"/>
  <c r="F1000" i="1" s="1"/>
  <c r="E999" i="1"/>
  <c r="F999" i="1" s="1"/>
  <c r="E998" i="1"/>
  <c r="F998" i="1" s="1"/>
  <c r="E997" i="1"/>
  <c r="F997" i="1" s="1"/>
  <c r="E996" i="1"/>
  <c r="F996" i="1" s="1"/>
  <c r="E995" i="1"/>
  <c r="F995" i="1" s="1"/>
  <c r="E994" i="1"/>
  <c r="F994" i="1" s="1"/>
  <c r="E993" i="1"/>
  <c r="F993" i="1" s="1"/>
  <c r="E992" i="1"/>
  <c r="F992" i="1" s="1"/>
  <c r="E991" i="1"/>
  <c r="F991" i="1" s="1"/>
  <c r="E990" i="1"/>
  <c r="F990" i="1" s="1"/>
  <c r="E989" i="1"/>
  <c r="F989" i="1" s="1"/>
  <c r="E988" i="1"/>
  <c r="F988" i="1" s="1"/>
  <c r="E987" i="1"/>
  <c r="F987" i="1" s="1"/>
  <c r="E986" i="1"/>
  <c r="F986" i="1" s="1"/>
  <c r="E985" i="1"/>
  <c r="F985" i="1" s="1"/>
  <c r="E984" i="1"/>
  <c r="F984" i="1" s="1"/>
  <c r="E983" i="1"/>
  <c r="F983" i="1" s="1"/>
  <c r="E982" i="1"/>
  <c r="F982" i="1" s="1"/>
  <c r="E981" i="1"/>
  <c r="F981" i="1" s="1"/>
  <c r="E980" i="1"/>
  <c r="F980" i="1" s="1"/>
  <c r="E979" i="1"/>
  <c r="F979" i="1" s="1"/>
  <c r="E978" i="1"/>
  <c r="F978" i="1" s="1"/>
  <c r="E977" i="1"/>
  <c r="F977" i="1" s="1"/>
  <c r="E976" i="1"/>
  <c r="F976" i="1" s="1"/>
  <c r="E975" i="1"/>
  <c r="F975" i="1" s="1"/>
  <c r="E974" i="1"/>
  <c r="F974" i="1" s="1"/>
  <c r="E973" i="1"/>
  <c r="F973" i="1" s="1"/>
  <c r="E972" i="1"/>
  <c r="F972" i="1" s="1"/>
  <c r="E971" i="1"/>
  <c r="F971" i="1" s="1"/>
  <c r="E970" i="1"/>
  <c r="F970" i="1" s="1"/>
  <c r="E969" i="1"/>
  <c r="F969" i="1" s="1"/>
  <c r="E968" i="1"/>
  <c r="F968" i="1" s="1"/>
  <c r="E967" i="1"/>
  <c r="F967" i="1" s="1"/>
  <c r="E966" i="1"/>
  <c r="F966" i="1" s="1"/>
  <c r="E965" i="1"/>
  <c r="F965" i="1" s="1"/>
  <c r="E964" i="1"/>
  <c r="F964" i="1" s="1"/>
  <c r="E963" i="1"/>
  <c r="F963" i="1" s="1"/>
  <c r="E962" i="1"/>
  <c r="F962" i="1" s="1"/>
  <c r="E961" i="1"/>
  <c r="F961" i="1" s="1"/>
  <c r="E960" i="1"/>
  <c r="F960" i="1" s="1"/>
  <c r="E959" i="1"/>
  <c r="F959" i="1" s="1"/>
  <c r="E958" i="1"/>
  <c r="F958" i="1" s="1"/>
  <c r="E957" i="1"/>
  <c r="F957" i="1" s="1"/>
  <c r="E956" i="1"/>
  <c r="F956" i="1" s="1"/>
  <c r="E955" i="1"/>
  <c r="F955" i="1" s="1"/>
  <c r="E954" i="1"/>
  <c r="F954" i="1" s="1"/>
  <c r="E953" i="1"/>
  <c r="F953" i="1" s="1"/>
  <c r="E952" i="1"/>
  <c r="F952" i="1" s="1"/>
  <c r="E951" i="1"/>
  <c r="F951" i="1" s="1"/>
  <c r="E950" i="1"/>
  <c r="F950" i="1" s="1"/>
  <c r="E949" i="1"/>
  <c r="F949" i="1" s="1"/>
  <c r="E948" i="1"/>
  <c r="F948" i="1" s="1"/>
  <c r="E947" i="1"/>
  <c r="F947" i="1" s="1"/>
  <c r="E946" i="1"/>
  <c r="F946" i="1" s="1"/>
  <c r="E945" i="1"/>
  <c r="F945" i="1" s="1"/>
  <c r="E944" i="1"/>
  <c r="F944" i="1" s="1"/>
  <c r="E943" i="1"/>
  <c r="F943" i="1" s="1"/>
  <c r="E942" i="1"/>
  <c r="F942" i="1" s="1"/>
  <c r="E941" i="1"/>
  <c r="F941" i="1" s="1"/>
  <c r="E940" i="1"/>
  <c r="F940" i="1" s="1"/>
  <c r="E939" i="1"/>
  <c r="F939" i="1" s="1"/>
  <c r="E938" i="1"/>
  <c r="F938" i="1" s="1"/>
  <c r="E937" i="1"/>
  <c r="F937" i="1" s="1"/>
  <c r="E936" i="1"/>
  <c r="F936" i="1" s="1"/>
  <c r="E935" i="1"/>
  <c r="F935" i="1" s="1"/>
  <c r="E934" i="1"/>
  <c r="F934" i="1" s="1"/>
  <c r="E933" i="1"/>
  <c r="F933" i="1" s="1"/>
  <c r="E932" i="1"/>
  <c r="F932" i="1" s="1"/>
  <c r="E931" i="1"/>
  <c r="F931" i="1" s="1"/>
  <c r="E930" i="1"/>
  <c r="F930" i="1" s="1"/>
  <c r="E929" i="1"/>
  <c r="F929" i="1" s="1"/>
  <c r="E928" i="1"/>
  <c r="F928" i="1" s="1"/>
  <c r="E927" i="1"/>
  <c r="F927" i="1" s="1"/>
  <c r="E926" i="1"/>
  <c r="F926" i="1" s="1"/>
  <c r="E925" i="1"/>
  <c r="F925" i="1" s="1"/>
  <c r="E924" i="1"/>
  <c r="F924" i="1" s="1"/>
  <c r="E923" i="1"/>
  <c r="F923" i="1" s="1"/>
  <c r="E922" i="1"/>
  <c r="F922" i="1" s="1"/>
  <c r="E921" i="1"/>
  <c r="F921" i="1" s="1"/>
  <c r="E920" i="1"/>
  <c r="F920" i="1" s="1"/>
  <c r="E919" i="1"/>
  <c r="F919" i="1" s="1"/>
  <c r="E918" i="1"/>
  <c r="F918" i="1" s="1"/>
  <c r="E917" i="1"/>
  <c r="F917" i="1" s="1"/>
  <c r="E916" i="1"/>
  <c r="F916" i="1" s="1"/>
  <c r="E915" i="1"/>
  <c r="F915" i="1" s="1"/>
  <c r="E914" i="1"/>
  <c r="F914" i="1" s="1"/>
  <c r="E913" i="1"/>
  <c r="F913" i="1" s="1"/>
  <c r="E912" i="1"/>
  <c r="F912" i="1" s="1"/>
  <c r="E911" i="1"/>
  <c r="F911" i="1" s="1"/>
  <c r="E910" i="1"/>
  <c r="F910" i="1" s="1"/>
  <c r="E909" i="1"/>
  <c r="F909" i="1" s="1"/>
  <c r="E908" i="1"/>
  <c r="F908" i="1" s="1"/>
  <c r="E907" i="1"/>
  <c r="F907" i="1" s="1"/>
  <c r="E906" i="1"/>
  <c r="F906" i="1" s="1"/>
  <c r="E905" i="1"/>
  <c r="F905" i="1" s="1"/>
  <c r="E904" i="1"/>
  <c r="F904" i="1" s="1"/>
  <c r="E903" i="1"/>
  <c r="F903" i="1" s="1"/>
  <c r="E902" i="1"/>
  <c r="F902" i="1" s="1"/>
  <c r="E901" i="1"/>
  <c r="F901" i="1" s="1"/>
  <c r="E900" i="1"/>
  <c r="F900" i="1" s="1"/>
  <c r="E899" i="1"/>
  <c r="F899" i="1" s="1"/>
  <c r="E898" i="1"/>
  <c r="F898" i="1" s="1"/>
  <c r="E897" i="1"/>
  <c r="F897" i="1" s="1"/>
  <c r="E896" i="1"/>
  <c r="F896" i="1" s="1"/>
  <c r="E895" i="1"/>
  <c r="F895" i="1" s="1"/>
  <c r="E894" i="1"/>
  <c r="F894" i="1" s="1"/>
  <c r="E893" i="1"/>
  <c r="F893" i="1" s="1"/>
  <c r="E892" i="1"/>
  <c r="F892" i="1" s="1"/>
  <c r="E891" i="1"/>
  <c r="F891" i="1" s="1"/>
  <c r="E890" i="1"/>
  <c r="F890" i="1" s="1"/>
  <c r="E889" i="1"/>
  <c r="F889" i="1" s="1"/>
  <c r="E888" i="1"/>
  <c r="F888" i="1" s="1"/>
  <c r="E887" i="1"/>
  <c r="F887" i="1" s="1"/>
  <c r="E886" i="1"/>
  <c r="F886" i="1" s="1"/>
  <c r="E885" i="1"/>
  <c r="F885" i="1" s="1"/>
  <c r="E884" i="1"/>
  <c r="F884" i="1" s="1"/>
  <c r="E883" i="1"/>
  <c r="F883" i="1" s="1"/>
  <c r="E882" i="1"/>
  <c r="F882" i="1" s="1"/>
  <c r="E881" i="1"/>
  <c r="F881" i="1" s="1"/>
  <c r="E880" i="1"/>
  <c r="F880" i="1" s="1"/>
  <c r="E879" i="1"/>
  <c r="F879" i="1" s="1"/>
  <c r="E878" i="1"/>
  <c r="F878" i="1" s="1"/>
  <c r="E877" i="1"/>
  <c r="F877" i="1" s="1"/>
  <c r="E876" i="1"/>
  <c r="F876" i="1" s="1"/>
  <c r="E875" i="1"/>
  <c r="F875" i="1" s="1"/>
  <c r="E874" i="1"/>
  <c r="F874" i="1" s="1"/>
  <c r="E873" i="1"/>
  <c r="F873" i="1" s="1"/>
  <c r="E872" i="1"/>
  <c r="F872" i="1" s="1"/>
  <c r="E871" i="1"/>
  <c r="F871" i="1" s="1"/>
  <c r="E870" i="1"/>
  <c r="F870" i="1" s="1"/>
  <c r="E869" i="1"/>
  <c r="F869" i="1" s="1"/>
  <c r="E868" i="1"/>
  <c r="F868" i="1" s="1"/>
  <c r="E867" i="1"/>
  <c r="F867" i="1" s="1"/>
  <c r="E866" i="1"/>
  <c r="F866" i="1" s="1"/>
  <c r="E865" i="1"/>
  <c r="F865" i="1" s="1"/>
  <c r="E864" i="1"/>
  <c r="F864" i="1" s="1"/>
  <c r="E863" i="1"/>
  <c r="F863" i="1" s="1"/>
  <c r="E862" i="1"/>
  <c r="F862" i="1" s="1"/>
  <c r="E861" i="1"/>
  <c r="F861" i="1" s="1"/>
  <c r="E860" i="1"/>
  <c r="F860" i="1" s="1"/>
  <c r="E859" i="1"/>
  <c r="F859" i="1" s="1"/>
  <c r="E858" i="1"/>
  <c r="F858" i="1" s="1"/>
  <c r="E857" i="1"/>
  <c r="F857" i="1" s="1"/>
  <c r="E856" i="1"/>
  <c r="F856" i="1" s="1"/>
  <c r="E855" i="1"/>
  <c r="F855" i="1" s="1"/>
  <c r="E854" i="1"/>
  <c r="F854" i="1" s="1"/>
  <c r="E853" i="1"/>
  <c r="F853" i="1" s="1"/>
  <c r="E852" i="1"/>
  <c r="F852" i="1" s="1"/>
  <c r="E851" i="1"/>
  <c r="F851" i="1" s="1"/>
  <c r="E850" i="1"/>
  <c r="F850" i="1" s="1"/>
  <c r="E849" i="1"/>
  <c r="F849" i="1" s="1"/>
  <c r="E848" i="1"/>
  <c r="F848" i="1" s="1"/>
  <c r="E847" i="1"/>
  <c r="F847" i="1" s="1"/>
  <c r="E846" i="1"/>
  <c r="F846" i="1" s="1"/>
  <c r="E845" i="1"/>
  <c r="F845" i="1" s="1"/>
  <c r="E844" i="1"/>
  <c r="F844" i="1" s="1"/>
  <c r="E843" i="1"/>
  <c r="F843" i="1" s="1"/>
  <c r="E842" i="1"/>
  <c r="F842" i="1" s="1"/>
  <c r="E841" i="1"/>
  <c r="F841" i="1" s="1"/>
  <c r="E840" i="1"/>
  <c r="F840" i="1" s="1"/>
  <c r="E839" i="1"/>
  <c r="F839" i="1" s="1"/>
  <c r="E838" i="1"/>
  <c r="F838" i="1" s="1"/>
  <c r="E837" i="1"/>
  <c r="F837" i="1" s="1"/>
  <c r="E836" i="1"/>
  <c r="F836" i="1" s="1"/>
  <c r="E835" i="1"/>
  <c r="F835" i="1" s="1"/>
  <c r="E834" i="1"/>
  <c r="F834" i="1" s="1"/>
  <c r="E833" i="1"/>
  <c r="F833" i="1" s="1"/>
  <c r="E832" i="1"/>
  <c r="F832" i="1" s="1"/>
  <c r="E831" i="1"/>
  <c r="F831" i="1" s="1"/>
  <c r="E830" i="1"/>
  <c r="F830" i="1" s="1"/>
  <c r="E829" i="1"/>
  <c r="F829" i="1" s="1"/>
  <c r="E828" i="1"/>
  <c r="F828" i="1" s="1"/>
  <c r="E827" i="1"/>
  <c r="F827" i="1" s="1"/>
  <c r="E826" i="1"/>
  <c r="F826" i="1" s="1"/>
  <c r="E825" i="1"/>
  <c r="F825" i="1" s="1"/>
  <c r="E824" i="1"/>
  <c r="F824" i="1" s="1"/>
  <c r="E823" i="1"/>
  <c r="F823" i="1" s="1"/>
  <c r="E822" i="1"/>
  <c r="F822" i="1" s="1"/>
  <c r="E821" i="1"/>
  <c r="F821" i="1" s="1"/>
  <c r="E820" i="1"/>
  <c r="F820" i="1" s="1"/>
  <c r="E819" i="1"/>
  <c r="F819" i="1" s="1"/>
  <c r="E818" i="1"/>
  <c r="F818" i="1" s="1"/>
  <c r="E817" i="1"/>
  <c r="F817" i="1" s="1"/>
  <c r="E816" i="1"/>
  <c r="F816" i="1" s="1"/>
  <c r="E815" i="1"/>
  <c r="F815" i="1" s="1"/>
  <c r="E814" i="1"/>
  <c r="F814" i="1" s="1"/>
  <c r="E813" i="1"/>
  <c r="F813" i="1" s="1"/>
  <c r="E812" i="1"/>
  <c r="F812" i="1" s="1"/>
  <c r="E811" i="1"/>
  <c r="F811" i="1" s="1"/>
  <c r="E810" i="1"/>
  <c r="F810" i="1" s="1"/>
  <c r="E809" i="1"/>
  <c r="F809" i="1" s="1"/>
  <c r="E808" i="1"/>
  <c r="F808" i="1" s="1"/>
  <c r="E807" i="1"/>
  <c r="F807" i="1" s="1"/>
  <c r="E806" i="1"/>
  <c r="F806" i="1" s="1"/>
  <c r="E805" i="1"/>
  <c r="F805" i="1" s="1"/>
  <c r="E804" i="1"/>
  <c r="F804" i="1" s="1"/>
  <c r="E803" i="1"/>
  <c r="F803" i="1" s="1"/>
  <c r="E802" i="1"/>
  <c r="F802" i="1" s="1"/>
  <c r="E801" i="1"/>
  <c r="F801" i="1" s="1"/>
  <c r="E800" i="1"/>
  <c r="F800" i="1" s="1"/>
  <c r="E799" i="1"/>
  <c r="F799" i="1" s="1"/>
  <c r="E798" i="1"/>
  <c r="F798" i="1" s="1"/>
  <c r="E797" i="1"/>
  <c r="F797" i="1" s="1"/>
  <c r="E796" i="1"/>
  <c r="F796" i="1" s="1"/>
  <c r="E795" i="1"/>
  <c r="F795" i="1" s="1"/>
  <c r="E794" i="1"/>
  <c r="F794" i="1" s="1"/>
  <c r="E793" i="1"/>
  <c r="F793" i="1" s="1"/>
  <c r="E792" i="1"/>
  <c r="F792" i="1" s="1"/>
  <c r="E791" i="1"/>
  <c r="F791" i="1" s="1"/>
  <c r="E790" i="1"/>
  <c r="F790" i="1" s="1"/>
  <c r="E789" i="1"/>
  <c r="F789" i="1" s="1"/>
  <c r="E788" i="1"/>
  <c r="F788" i="1" s="1"/>
  <c r="E787" i="1"/>
  <c r="F787" i="1" s="1"/>
  <c r="E786" i="1"/>
  <c r="F786" i="1" s="1"/>
  <c r="E785" i="1"/>
  <c r="F785" i="1" s="1"/>
  <c r="E784" i="1"/>
  <c r="F784" i="1" s="1"/>
  <c r="E783" i="1"/>
  <c r="F783" i="1" s="1"/>
  <c r="E782" i="1"/>
  <c r="F782" i="1" s="1"/>
  <c r="E781" i="1"/>
  <c r="F781" i="1" s="1"/>
  <c r="E780" i="1"/>
  <c r="F780" i="1" s="1"/>
  <c r="E779" i="1"/>
  <c r="F779" i="1" s="1"/>
  <c r="E778" i="1"/>
  <c r="F778" i="1" s="1"/>
  <c r="E777" i="1"/>
  <c r="F777" i="1" s="1"/>
  <c r="E776" i="1"/>
  <c r="F776" i="1" s="1"/>
  <c r="E775" i="1"/>
  <c r="F775" i="1" s="1"/>
  <c r="E774" i="1"/>
  <c r="F774" i="1" s="1"/>
  <c r="E773" i="1"/>
  <c r="F773" i="1" s="1"/>
  <c r="E772" i="1"/>
  <c r="F772" i="1" s="1"/>
  <c r="E771" i="1"/>
  <c r="F771" i="1" s="1"/>
  <c r="E770" i="1"/>
  <c r="F770" i="1" s="1"/>
  <c r="E769" i="1"/>
  <c r="F769" i="1" s="1"/>
  <c r="E768" i="1"/>
  <c r="F768" i="1" s="1"/>
  <c r="E767" i="1"/>
  <c r="F767" i="1" s="1"/>
  <c r="E766" i="1"/>
  <c r="F766" i="1" s="1"/>
  <c r="E765" i="1"/>
  <c r="F765" i="1" s="1"/>
  <c r="E764" i="1"/>
  <c r="F764" i="1" s="1"/>
  <c r="E763" i="1"/>
  <c r="F763" i="1" s="1"/>
  <c r="E762" i="1"/>
  <c r="F762" i="1" s="1"/>
  <c r="E761" i="1"/>
  <c r="F761" i="1" s="1"/>
  <c r="E760" i="1"/>
  <c r="F760" i="1" s="1"/>
  <c r="E759" i="1"/>
  <c r="F759" i="1" s="1"/>
  <c r="E758" i="1"/>
  <c r="F758" i="1" s="1"/>
  <c r="E757" i="1"/>
  <c r="F757" i="1" s="1"/>
  <c r="E756" i="1"/>
  <c r="F756" i="1" s="1"/>
  <c r="E755" i="1"/>
  <c r="F755" i="1" s="1"/>
  <c r="E754" i="1"/>
  <c r="F754" i="1" s="1"/>
  <c r="E753" i="1"/>
  <c r="F753" i="1" s="1"/>
  <c r="E752" i="1"/>
  <c r="F752" i="1" s="1"/>
  <c r="E751" i="1"/>
  <c r="F751" i="1" s="1"/>
  <c r="E750" i="1"/>
  <c r="F750" i="1" s="1"/>
  <c r="E749" i="1"/>
  <c r="F749" i="1" s="1"/>
  <c r="E748" i="1"/>
  <c r="F748" i="1" s="1"/>
  <c r="E747" i="1"/>
  <c r="F747" i="1" s="1"/>
  <c r="E746" i="1"/>
  <c r="F746" i="1" s="1"/>
  <c r="E745" i="1"/>
  <c r="F745" i="1" s="1"/>
  <c r="E744" i="1"/>
  <c r="F744" i="1" s="1"/>
  <c r="E743" i="1"/>
  <c r="F743" i="1" s="1"/>
  <c r="E742" i="1"/>
  <c r="F742" i="1" s="1"/>
  <c r="E741" i="1"/>
  <c r="F741" i="1" s="1"/>
  <c r="E740" i="1"/>
  <c r="F740" i="1" s="1"/>
  <c r="E739" i="1"/>
  <c r="F739" i="1" s="1"/>
  <c r="E738" i="1"/>
  <c r="F738" i="1" s="1"/>
  <c r="E737" i="1"/>
  <c r="F737" i="1" s="1"/>
  <c r="E736" i="1"/>
  <c r="F736" i="1" s="1"/>
  <c r="E735" i="1"/>
  <c r="F735" i="1" s="1"/>
  <c r="E734" i="1"/>
  <c r="F734" i="1" s="1"/>
  <c r="E733" i="1"/>
  <c r="F733" i="1" s="1"/>
  <c r="E732" i="1"/>
  <c r="F732" i="1" s="1"/>
  <c r="E731" i="1"/>
  <c r="F731" i="1" s="1"/>
  <c r="E730" i="1"/>
  <c r="F730" i="1" s="1"/>
  <c r="E729" i="1"/>
  <c r="F729" i="1" s="1"/>
  <c r="E728" i="1"/>
  <c r="F728" i="1" s="1"/>
  <c r="E727" i="1"/>
  <c r="F727" i="1" s="1"/>
  <c r="E726" i="1"/>
  <c r="F726" i="1" s="1"/>
  <c r="E725" i="1"/>
  <c r="F725" i="1" s="1"/>
  <c r="E724" i="1"/>
  <c r="F724" i="1" s="1"/>
  <c r="E723" i="1"/>
  <c r="F723" i="1" s="1"/>
  <c r="E722" i="1"/>
  <c r="F722" i="1" s="1"/>
  <c r="E721" i="1"/>
  <c r="F721" i="1" s="1"/>
  <c r="E720" i="1"/>
  <c r="F720" i="1" s="1"/>
  <c r="E719" i="1"/>
  <c r="F719" i="1" s="1"/>
  <c r="E718" i="1"/>
  <c r="F718" i="1" s="1"/>
  <c r="E717" i="1"/>
  <c r="F717" i="1" s="1"/>
  <c r="E716" i="1"/>
  <c r="F716" i="1" s="1"/>
  <c r="E715" i="1"/>
  <c r="F715" i="1" s="1"/>
  <c r="E714" i="1"/>
  <c r="F714" i="1" s="1"/>
  <c r="E713" i="1"/>
  <c r="F713" i="1" s="1"/>
  <c r="E712" i="1"/>
  <c r="F712" i="1" s="1"/>
  <c r="E711" i="1"/>
  <c r="F711" i="1" s="1"/>
  <c r="E710" i="1"/>
  <c r="F710" i="1" s="1"/>
  <c r="E709" i="1"/>
  <c r="F709" i="1" s="1"/>
  <c r="E708" i="1"/>
  <c r="F708" i="1" s="1"/>
  <c r="E707" i="1"/>
  <c r="F707" i="1" s="1"/>
  <c r="E706" i="1"/>
  <c r="F706" i="1" s="1"/>
  <c r="E705" i="1"/>
  <c r="F705" i="1" s="1"/>
  <c r="E704" i="1"/>
  <c r="F704" i="1" s="1"/>
  <c r="E703" i="1"/>
  <c r="F703" i="1" s="1"/>
  <c r="E702" i="1"/>
  <c r="F702" i="1" s="1"/>
  <c r="E701" i="1"/>
  <c r="F701" i="1" s="1"/>
  <c r="E700" i="1"/>
  <c r="F700" i="1" s="1"/>
  <c r="E699" i="1"/>
  <c r="F699" i="1" s="1"/>
  <c r="E698" i="1"/>
  <c r="F698" i="1" s="1"/>
  <c r="E697" i="1"/>
  <c r="F697" i="1" s="1"/>
  <c r="E696" i="1"/>
  <c r="F696" i="1" s="1"/>
  <c r="E695" i="1"/>
  <c r="F695" i="1" s="1"/>
  <c r="E694" i="1"/>
  <c r="F694" i="1" s="1"/>
  <c r="E693" i="1"/>
  <c r="F693" i="1" s="1"/>
  <c r="E692" i="1"/>
  <c r="F692" i="1" s="1"/>
  <c r="E691" i="1"/>
  <c r="F691" i="1" s="1"/>
  <c r="E690" i="1"/>
  <c r="F690" i="1" s="1"/>
  <c r="E689" i="1"/>
  <c r="F689" i="1" s="1"/>
  <c r="E688" i="1"/>
  <c r="F688" i="1" s="1"/>
  <c r="E687" i="1"/>
  <c r="F687" i="1" s="1"/>
  <c r="E686" i="1"/>
  <c r="F686" i="1" s="1"/>
  <c r="E685" i="1"/>
  <c r="F685" i="1" s="1"/>
  <c r="E684" i="1"/>
  <c r="F684" i="1" s="1"/>
  <c r="E683" i="1"/>
  <c r="F683" i="1" s="1"/>
  <c r="E682" i="1"/>
  <c r="F682" i="1" s="1"/>
  <c r="E681" i="1"/>
  <c r="F681" i="1" s="1"/>
  <c r="E680" i="1"/>
  <c r="F680" i="1" s="1"/>
  <c r="E679" i="1"/>
  <c r="F679" i="1" s="1"/>
  <c r="E678" i="1"/>
  <c r="F678" i="1" s="1"/>
  <c r="E677" i="1"/>
  <c r="F677" i="1" s="1"/>
  <c r="E676" i="1"/>
  <c r="F676" i="1" s="1"/>
  <c r="E675" i="1"/>
  <c r="F675" i="1" s="1"/>
  <c r="E674" i="1"/>
  <c r="F674" i="1" s="1"/>
  <c r="E673" i="1"/>
  <c r="F673" i="1" s="1"/>
  <c r="E672" i="1"/>
  <c r="F672" i="1" s="1"/>
  <c r="E671" i="1"/>
  <c r="F671" i="1" s="1"/>
  <c r="E670" i="1"/>
  <c r="F670" i="1" s="1"/>
  <c r="E669" i="1"/>
  <c r="F669" i="1" s="1"/>
  <c r="E668" i="1"/>
  <c r="F668" i="1" s="1"/>
  <c r="E667" i="1"/>
  <c r="F667" i="1" s="1"/>
  <c r="E666" i="1"/>
  <c r="F666" i="1" s="1"/>
  <c r="E665" i="1"/>
  <c r="F665" i="1" s="1"/>
  <c r="E664" i="1"/>
  <c r="F664" i="1" s="1"/>
  <c r="E663" i="1"/>
  <c r="F663" i="1" s="1"/>
  <c r="E662" i="1"/>
  <c r="F662" i="1" s="1"/>
  <c r="E661" i="1"/>
  <c r="F661" i="1" s="1"/>
  <c r="E660" i="1"/>
  <c r="F660" i="1" s="1"/>
  <c r="E659" i="1"/>
  <c r="F659" i="1" s="1"/>
  <c r="E658" i="1"/>
  <c r="F658" i="1" s="1"/>
  <c r="E657" i="1"/>
  <c r="F657" i="1" s="1"/>
  <c r="E656" i="1"/>
  <c r="F656" i="1" s="1"/>
  <c r="E655" i="1"/>
  <c r="F655" i="1" s="1"/>
  <c r="E654" i="1"/>
  <c r="F654" i="1" s="1"/>
  <c r="E653" i="1"/>
  <c r="F653" i="1" s="1"/>
  <c r="E652" i="1"/>
  <c r="F652" i="1" s="1"/>
  <c r="E651" i="1"/>
  <c r="F651" i="1" s="1"/>
  <c r="E650" i="1"/>
  <c r="F650" i="1" s="1"/>
  <c r="E649" i="1"/>
  <c r="F649" i="1" s="1"/>
  <c r="E648" i="1"/>
  <c r="F648" i="1" s="1"/>
  <c r="E647" i="1"/>
  <c r="F647" i="1" s="1"/>
  <c r="E646" i="1"/>
  <c r="F646" i="1" s="1"/>
  <c r="E645" i="1"/>
  <c r="F645" i="1" s="1"/>
  <c r="E644" i="1"/>
  <c r="F644" i="1" s="1"/>
  <c r="E643" i="1"/>
  <c r="F643" i="1" s="1"/>
  <c r="E642" i="1"/>
  <c r="F642" i="1" s="1"/>
  <c r="E641" i="1"/>
  <c r="F641" i="1" s="1"/>
  <c r="E640" i="1"/>
  <c r="F640" i="1" s="1"/>
  <c r="E639" i="1"/>
  <c r="F639" i="1" s="1"/>
  <c r="E638" i="1"/>
  <c r="F638" i="1" s="1"/>
  <c r="E637" i="1"/>
  <c r="F637" i="1" s="1"/>
  <c r="E636" i="1"/>
  <c r="F636" i="1" s="1"/>
  <c r="E635" i="1"/>
  <c r="F635" i="1" s="1"/>
  <c r="E634" i="1"/>
  <c r="F634" i="1" s="1"/>
  <c r="E633" i="1"/>
  <c r="F633" i="1" s="1"/>
  <c r="E632" i="1"/>
  <c r="F632" i="1" s="1"/>
  <c r="E631" i="1"/>
  <c r="F631" i="1" s="1"/>
  <c r="E630" i="1"/>
  <c r="F630" i="1" s="1"/>
  <c r="E629" i="1"/>
  <c r="F629" i="1" s="1"/>
  <c r="E628" i="1"/>
  <c r="F628" i="1" s="1"/>
  <c r="E627" i="1"/>
  <c r="F627" i="1" s="1"/>
  <c r="E626" i="1"/>
  <c r="F626" i="1" s="1"/>
  <c r="E625" i="1"/>
  <c r="F625" i="1" s="1"/>
  <c r="E624" i="1"/>
  <c r="F624" i="1" s="1"/>
  <c r="E623" i="1"/>
  <c r="F623" i="1" s="1"/>
  <c r="E622" i="1"/>
  <c r="F622" i="1" s="1"/>
  <c r="E621" i="1"/>
  <c r="F621" i="1" s="1"/>
  <c r="E620" i="1"/>
  <c r="F620" i="1" s="1"/>
  <c r="E619" i="1"/>
  <c r="F619" i="1" s="1"/>
  <c r="E618" i="1"/>
  <c r="F618" i="1" s="1"/>
  <c r="E617" i="1"/>
  <c r="F617" i="1" s="1"/>
  <c r="E616" i="1"/>
  <c r="F616" i="1" s="1"/>
  <c r="E615" i="1"/>
  <c r="F615" i="1" s="1"/>
  <c r="E614" i="1"/>
  <c r="F614" i="1" s="1"/>
  <c r="E613" i="1"/>
  <c r="F613" i="1" s="1"/>
  <c r="E612" i="1"/>
  <c r="F612" i="1" s="1"/>
  <c r="E611" i="1"/>
  <c r="F611" i="1" s="1"/>
  <c r="E610" i="1"/>
  <c r="F610" i="1" s="1"/>
  <c r="E609" i="1"/>
  <c r="F609" i="1" s="1"/>
  <c r="E608" i="1"/>
  <c r="F608" i="1" s="1"/>
  <c r="E607" i="1"/>
  <c r="F607" i="1" s="1"/>
  <c r="E606" i="1"/>
  <c r="F606" i="1" s="1"/>
  <c r="E605" i="1"/>
  <c r="F605" i="1" s="1"/>
  <c r="E604" i="1"/>
  <c r="F604" i="1" s="1"/>
  <c r="E603" i="1"/>
  <c r="F603" i="1" s="1"/>
  <c r="E602" i="1"/>
  <c r="F602" i="1" s="1"/>
  <c r="E601" i="1"/>
  <c r="F601" i="1" s="1"/>
  <c r="E600" i="1"/>
  <c r="F600" i="1" s="1"/>
  <c r="E599" i="1"/>
  <c r="F599" i="1" s="1"/>
  <c r="E598" i="1"/>
  <c r="F598" i="1" s="1"/>
  <c r="E597" i="1"/>
  <c r="F597" i="1" s="1"/>
  <c r="E596" i="1"/>
  <c r="F596" i="1" s="1"/>
  <c r="E595" i="1"/>
  <c r="F595" i="1" s="1"/>
  <c r="E594" i="1"/>
  <c r="F594" i="1" s="1"/>
  <c r="E593" i="1"/>
  <c r="F593" i="1" s="1"/>
  <c r="E592" i="1"/>
  <c r="F592" i="1" s="1"/>
  <c r="E591" i="1"/>
  <c r="F591" i="1" s="1"/>
  <c r="E590" i="1"/>
  <c r="F590" i="1" s="1"/>
  <c r="E589" i="1"/>
  <c r="F589" i="1" s="1"/>
  <c r="E588" i="1"/>
  <c r="F588" i="1" s="1"/>
  <c r="E587" i="1"/>
  <c r="F587" i="1" s="1"/>
  <c r="E586" i="1"/>
  <c r="F586" i="1" s="1"/>
  <c r="E585" i="1"/>
  <c r="F585" i="1" s="1"/>
  <c r="E584" i="1"/>
  <c r="F584" i="1" s="1"/>
  <c r="E583" i="1"/>
  <c r="F583" i="1" s="1"/>
  <c r="E582" i="1"/>
  <c r="F582" i="1" s="1"/>
  <c r="E581" i="1"/>
  <c r="F581" i="1" s="1"/>
  <c r="E580" i="1"/>
  <c r="F580" i="1" s="1"/>
  <c r="E579" i="1"/>
  <c r="F579" i="1" s="1"/>
  <c r="E578" i="1"/>
  <c r="F578" i="1" s="1"/>
  <c r="E577" i="1"/>
  <c r="F577" i="1" s="1"/>
  <c r="E576" i="1"/>
  <c r="F576" i="1" s="1"/>
  <c r="E575" i="1"/>
  <c r="F575" i="1" s="1"/>
  <c r="E574" i="1"/>
  <c r="F574" i="1" s="1"/>
  <c r="E573" i="1"/>
  <c r="F573" i="1" s="1"/>
  <c r="E572" i="1"/>
  <c r="F572" i="1" s="1"/>
  <c r="E571" i="1"/>
  <c r="F571" i="1" s="1"/>
  <c r="E570" i="1"/>
  <c r="F570" i="1" s="1"/>
  <c r="E569" i="1"/>
  <c r="F569" i="1" s="1"/>
  <c r="E568" i="1"/>
  <c r="F568" i="1" s="1"/>
  <c r="E567" i="1"/>
  <c r="F567" i="1" s="1"/>
  <c r="E566" i="1"/>
  <c r="F566" i="1" s="1"/>
  <c r="E565" i="1"/>
  <c r="F565" i="1" s="1"/>
  <c r="E564" i="1"/>
  <c r="F564" i="1" s="1"/>
  <c r="E563" i="1"/>
  <c r="F563" i="1" s="1"/>
  <c r="E562" i="1"/>
  <c r="F562" i="1" s="1"/>
  <c r="E561" i="1"/>
  <c r="F561" i="1" s="1"/>
  <c r="E560" i="1"/>
  <c r="F560" i="1" s="1"/>
  <c r="E559" i="1"/>
  <c r="F559" i="1" s="1"/>
  <c r="E558" i="1"/>
  <c r="F558" i="1" s="1"/>
  <c r="E557" i="1"/>
  <c r="F557" i="1" s="1"/>
  <c r="E556" i="1"/>
  <c r="F556" i="1" s="1"/>
  <c r="E555" i="1"/>
  <c r="F555" i="1" s="1"/>
  <c r="E554" i="1"/>
  <c r="F554" i="1" s="1"/>
  <c r="E553" i="1"/>
  <c r="F553" i="1" s="1"/>
  <c r="E552" i="1"/>
  <c r="F552" i="1" s="1"/>
  <c r="E551" i="1"/>
  <c r="F551" i="1" s="1"/>
  <c r="E550" i="1"/>
  <c r="F550" i="1" s="1"/>
  <c r="E549" i="1"/>
  <c r="F549" i="1" s="1"/>
  <c r="E548" i="1"/>
  <c r="F548" i="1" s="1"/>
  <c r="E547" i="1"/>
  <c r="F547" i="1" s="1"/>
  <c r="E546" i="1"/>
  <c r="F546" i="1" s="1"/>
  <c r="E545" i="1"/>
  <c r="F545" i="1" s="1"/>
  <c r="E544" i="1"/>
  <c r="F544" i="1" s="1"/>
  <c r="E543" i="1"/>
  <c r="F543" i="1" s="1"/>
  <c r="E542" i="1"/>
  <c r="F542" i="1" s="1"/>
  <c r="E541" i="1"/>
  <c r="F541" i="1" s="1"/>
  <c r="E540" i="1"/>
  <c r="F540" i="1" s="1"/>
  <c r="E539" i="1"/>
  <c r="F539" i="1" s="1"/>
  <c r="E538" i="1"/>
  <c r="F538" i="1" s="1"/>
  <c r="E537" i="1"/>
  <c r="F537" i="1" s="1"/>
  <c r="E536" i="1"/>
  <c r="F536" i="1" s="1"/>
  <c r="E535" i="1"/>
  <c r="F535" i="1" s="1"/>
  <c r="E534" i="1"/>
  <c r="F534" i="1" s="1"/>
  <c r="E533" i="1"/>
  <c r="F533" i="1" s="1"/>
  <c r="E532" i="1"/>
  <c r="F532" i="1" s="1"/>
  <c r="E531" i="1"/>
  <c r="F531" i="1" s="1"/>
  <c r="E530" i="1"/>
  <c r="F530" i="1" s="1"/>
  <c r="E529" i="1"/>
  <c r="F529" i="1" s="1"/>
  <c r="E528" i="1"/>
  <c r="F528" i="1" s="1"/>
  <c r="E527" i="1"/>
  <c r="F527" i="1" s="1"/>
  <c r="E526" i="1"/>
  <c r="F526" i="1" s="1"/>
  <c r="E525" i="1"/>
  <c r="F525" i="1" s="1"/>
  <c r="E524" i="1"/>
  <c r="F524" i="1" s="1"/>
  <c r="E523" i="1"/>
  <c r="F523" i="1" s="1"/>
  <c r="E522" i="1"/>
  <c r="F522" i="1" s="1"/>
  <c r="E521" i="1"/>
  <c r="F521" i="1" s="1"/>
  <c r="E520" i="1"/>
  <c r="F520" i="1" s="1"/>
  <c r="E519" i="1"/>
  <c r="F519" i="1" s="1"/>
  <c r="E518" i="1"/>
  <c r="F518" i="1" s="1"/>
  <c r="E517" i="1"/>
  <c r="F517" i="1" s="1"/>
  <c r="E516" i="1"/>
  <c r="F516" i="1" s="1"/>
  <c r="E515" i="1"/>
  <c r="F515" i="1" s="1"/>
  <c r="E514" i="1"/>
  <c r="F514" i="1" s="1"/>
  <c r="E513" i="1"/>
  <c r="F513" i="1" s="1"/>
  <c r="E512" i="1"/>
  <c r="F512" i="1" s="1"/>
  <c r="E511" i="1"/>
  <c r="F511" i="1" s="1"/>
  <c r="E510" i="1"/>
  <c r="F510" i="1" s="1"/>
  <c r="E509" i="1"/>
  <c r="F509" i="1" s="1"/>
  <c r="E508" i="1"/>
  <c r="F508" i="1" s="1"/>
  <c r="E507" i="1"/>
  <c r="F507" i="1" s="1"/>
  <c r="E506" i="1"/>
  <c r="F506" i="1" s="1"/>
  <c r="E505" i="1"/>
  <c r="F505" i="1" s="1"/>
  <c r="E504" i="1"/>
  <c r="F504" i="1" s="1"/>
  <c r="E503" i="1"/>
  <c r="F503" i="1" s="1"/>
  <c r="E502" i="1"/>
  <c r="F502" i="1" s="1"/>
  <c r="E501" i="1"/>
  <c r="F501" i="1" s="1"/>
  <c r="E500" i="1"/>
  <c r="F500" i="1" s="1"/>
  <c r="E499" i="1"/>
  <c r="F499" i="1" s="1"/>
  <c r="E498" i="1"/>
  <c r="F498" i="1" s="1"/>
  <c r="E497" i="1"/>
  <c r="F497" i="1" s="1"/>
  <c r="E496" i="1"/>
  <c r="F496" i="1" s="1"/>
  <c r="E495" i="1"/>
  <c r="F495" i="1" s="1"/>
  <c r="E494" i="1"/>
  <c r="F494" i="1" s="1"/>
  <c r="E493" i="1"/>
  <c r="F493" i="1" s="1"/>
  <c r="E492" i="1"/>
  <c r="F492" i="1" s="1"/>
  <c r="E491" i="1"/>
  <c r="F491" i="1" s="1"/>
  <c r="E490" i="1"/>
  <c r="F490" i="1" s="1"/>
  <c r="E489" i="1"/>
  <c r="F489" i="1" s="1"/>
  <c r="E488" i="1"/>
  <c r="F488" i="1" s="1"/>
  <c r="E487" i="1"/>
  <c r="F487" i="1" s="1"/>
  <c r="E486" i="1"/>
  <c r="F486" i="1" s="1"/>
  <c r="E485" i="1"/>
  <c r="F485" i="1" s="1"/>
  <c r="E484" i="1"/>
  <c r="F484" i="1" s="1"/>
  <c r="E483" i="1"/>
  <c r="F483" i="1" s="1"/>
  <c r="E482" i="1"/>
  <c r="F482" i="1" s="1"/>
  <c r="E481" i="1"/>
  <c r="F481" i="1" s="1"/>
  <c r="E480" i="1"/>
  <c r="F480" i="1" s="1"/>
  <c r="E479" i="1"/>
  <c r="F479" i="1" s="1"/>
  <c r="E478" i="1"/>
  <c r="F478" i="1" s="1"/>
  <c r="E477" i="1"/>
  <c r="F477" i="1" s="1"/>
  <c r="E476" i="1"/>
  <c r="F476" i="1" s="1"/>
  <c r="E475" i="1"/>
  <c r="F475" i="1" s="1"/>
  <c r="E474" i="1"/>
  <c r="F474" i="1" s="1"/>
  <c r="E473" i="1"/>
  <c r="F473" i="1" s="1"/>
  <c r="E472" i="1"/>
  <c r="F472" i="1" s="1"/>
  <c r="E471" i="1"/>
  <c r="F471" i="1" s="1"/>
  <c r="E470" i="1"/>
  <c r="F470" i="1" s="1"/>
  <c r="E469" i="1"/>
  <c r="F469" i="1" s="1"/>
  <c r="E468" i="1"/>
  <c r="F468" i="1" s="1"/>
  <c r="E467" i="1"/>
  <c r="F467" i="1" s="1"/>
  <c r="E466" i="1"/>
  <c r="F466" i="1" s="1"/>
  <c r="E465" i="1"/>
  <c r="F465" i="1" s="1"/>
  <c r="E464" i="1"/>
  <c r="F464" i="1" s="1"/>
  <c r="E463" i="1"/>
  <c r="F463" i="1" s="1"/>
  <c r="E462" i="1"/>
  <c r="F462" i="1" s="1"/>
  <c r="E461" i="1"/>
  <c r="F461" i="1" s="1"/>
  <c r="E460" i="1"/>
  <c r="F460" i="1" s="1"/>
  <c r="E459" i="1"/>
  <c r="F459" i="1" s="1"/>
  <c r="E458" i="1"/>
  <c r="F458" i="1" s="1"/>
  <c r="E457" i="1"/>
  <c r="F457" i="1" s="1"/>
  <c r="E456" i="1"/>
  <c r="F456" i="1" s="1"/>
  <c r="E455" i="1"/>
  <c r="F455" i="1" s="1"/>
  <c r="E454" i="1"/>
  <c r="F454" i="1" s="1"/>
  <c r="E453" i="1"/>
  <c r="F453" i="1" s="1"/>
  <c r="E452" i="1"/>
  <c r="F452" i="1" s="1"/>
  <c r="E451" i="1"/>
  <c r="F451" i="1" s="1"/>
  <c r="E450" i="1"/>
  <c r="F450" i="1" s="1"/>
  <c r="E449" i="1"/>
  <c r="F449" i="1" s="1"/>
  <c r="E448" i="1"/>
  <c r="F448" i="1" s="1"/>
  <c r="E447" i="1"/>
  <c r="F447" i="1" s="1"/>
  <c r="E446" i="1"/>
  <c r="F446" i="1" s="1"/>
  <c r="E445" i="1"/>
  <c r="F445" i="1" s="1"/>
  <c r="E444" i="1"/>
  <c r="F444" i="1" s="1"/>
  <c r="E443" i="1"/>
  <c r="F443" i="1" s="1"/>
  <c r="E442" i="1"/>
  <c r="F442" i="1" s="1"/>
  <c r="E441" i="1"/>
  <c r="F441" i="1" s="1"/>
  <c r="E440" i="1"/>
  <c r="F440" i="1" s="1"/>
  <c r="E439" i="1"/>
  <c r="F439" i="1" s="1"/>
  <c r="E438" i="1"/>
  <c r="F438" i="1" s="1"/>
  <c r="E437" i="1"/>
  <c r="F437" i="1" s="1"/>
  <c r="E436" i="1"/>
  <c r="F436" i="1" s="1"/>
  <c r="E435" i="1"/>
  <c r="F435" i="1" s="1"/>
  <c r="E434" i="1"/>
  <c r="F434" i="1" s="1"/>
  <c r="E433" i="1"/>
  <c r="F433" i="1" s="1"/>
  <c r="E432" i="1"/>
  <c r="F432" i="1" s="1"/>
  <c r="E431" i="1"/>
  <c r="F431" i="1" s="1"/>
  <c r="E430" i="1"/>
  <c r="F430" i="1" s="1"/>
  <c r="E429" i="1"/>
  <c r="F429" i="1" s="1"/>
  <c r="E428" i="1"/>
  <c r="F428" i="1" s="1"/>
  <c r="E427" i="1"/>
  <c r="F427" i="1" s="1"/>
  <c r="E426" i="1"/>
  <c r="F426" i="1" s="1"/>
  <c r="E425" i="1"/>
  <c r="F425" i="1" s="1"/>
  <c r="E424" i="1"/>
  <c r="F424" i="1" s="1"/>
  <c r="E423" i="1"/>
  <c r="F423" i="1" s="1"/>
  <c r="E422" i="1"/>
  <c r="F422" i="1" s="1"/>
  <c r="E421" i="1"/>
  <c r="F421" i="1" s="1"/>
  <c r="E420" i="1"/>
  <c r="F420" i="1" s="1"/>
  <c r="E419" i="1"/>
  <c r="F419" i="1" s="1"/>
  <c r="E418" i="1"/>
  <c r="F418" i="1" s="1"/>
  <c r="E417" i="1"/>
  <c r="F417" i="1" s="1"/>
  <c r="E416" i="1"/>
  <c r="F416" i="1" s="1"/>
  <c r="E415" i="1"/>
  <c r="F415" i="1" s="1"/>
  <c r="E414" i="1"/>
  <c r="F414" i="1" s="1"/>
  <c r="E413" i="1"/>
  <c r="F413" i="1" s="1"/>
  <c r="E412" i="1"/>
  <c r="F412" i="1" s="1"/>
  <c r="E411" i="1"/>
  <c r="F411" i="1" s="1"/>
  <c r="E410" i="1"/>
  <c r="F410" i="1" s="1"/>
  <c r="E409" i="1"/>
  <c r="F409" i="1" s="1"/>
  <c r="E408" i="1"/>
  <c r="F408" i="1" s="1"/>
  <c r="E407" i="1"/>
  <c r="F407" i="1" s="1"/>
  <c r="E406" i="1"/>
  <c r="F406" i="1" s="1"/>
  <c r="E405" i="1"/>
  <c r="F405" i="1" s="1"/>
  <c r="E404" i="1"/>
  <c r="F404" i="1" s="1"/>
  <c r="E403" i="1"/>
  <c r="F403" i="1" s="1"/>
  <c r="E402" i="1"/>
  <c r="F402" i="1" s="1"/>
  <c r="E401" i="1"/>
  <c r="F401" i="1" s="1"/>
  <c r="E400" i="1"/>
  <c r="F400" i="1" s="1"/>
  <c r="E399" i="1"/>
  <c r="F399" i="1" s="1"/>
  <c r="E398" i="1"/>
  <c r="F398" i="1" s="1"/>
  <c r="E397" i="1"/>
  <c r="F397" i="1" s="1"/>
  <c r="E396" i="1"/>
  <c r="F396" i="1" s="1"/>
  <c r="E395" i="1"/>
  <c r="F395" i="1" s="1"/>
  <c r="E394" i="1"/>
  <c r="F394" i="1" s="1"/>
  <c r="E393" i="1"/>
  <c r="F393" i="1" s="1"/>
  <c r="E392" i="1"/>
  <c r="F392" i="1" s="1"/>
  <c r="E391" i="1"/>
  <c r="F391" i="1" s="1"/>
  <c r="E390" i="1"/>
  <c r="F390" i="1" s="1"/>
  <c r="E389" i="1"/>
  <c r="F389" i="1" s="1"/>
  <c r="E388" i="1"/>
  <c r="F388" i="1" s="1"/>
  <c r="E387" i="1"/>
  <c r="F387" i="1" s="1"/>
  <c r="E386" i="1"/>
  <c r="F386" i="1" s="1"/>
  <c r="E385" i="1"/>
  <c r="F385" i="1" s="1"/>
  <c r="E384" i="1"/>
  <c r="F384" i="1" s="1"/>
  <c r="E383" i="1"/>
  <c r="F383" i="1" s="1"/>
  <c r="E382" i="1"/>
  <c r="F382" i="1" s="1"/>
  <c r="E381" i="1"/>
  <c r="F381" i="1" s="1"/>
  <c r="E380" i="1"/>
  <c r="F380" i="1" s="1"/>
  <c r="E379" i="1"/>
  <c r="F379" i="1" s="1"/>
  <c r="E378" i="1"/>
  <c r="F378" i="1" s="1"/>
  <c r="E377" i="1"/>
  <c r="F377" i="1" s="1"/>
  <c r="E376" i="1"/>
  <c r="F376" i="1" s="1"/>
  <c r="E375" i="1"/>
  <c r="F375" i="1" s="1"/>
  <c r="E374" i="1"/>
  <c r="F374" i="1" s="1"/>
  <c r="E373" i="1"/>
  <c r="F373" i="1" s="1"/>
  <c r="E372" i="1"/>
  <c r="F372" i="1" s="1"/>
  <c r="E371" i="1"/>
  <c r="F371" i="1" s="1"/>
  <c r="E370" i="1"/>
  <c r="F370" i="1" s="1"/>
  <c r="E369" i="1"/>
  <c r="F369" i="1" s="1"/>
  <c r="E368" i="1"/>
  <c r="F368" i="1" s="1"/>
  <c r="E367" i="1"/>
  <c r="F367" i="1" s="1"/>
  <c r="E366" i="1"/>
  <c r="F366" i="1" s="1"/>
  <c r="E365" i="1"/>
  <c r="F365" i="1" s="1"/>
  <c r="E364" i="1"/>
  <c r="F364" i="1" s="1"/>
  <c r="E363" i="1"/>
  <c r="F363" i="1" s="1"/>
  <c r="E362" i="1"/>
  <c r="F362" i="1" s="1"/>
  <c r="E361" i="1"/>
  <c r="F361" i="1" s="1"/>
  <c r="E360" i="1"/>
  <c r="F360" i="1" s="1"/>
  <c r="E359" i="1"/>
  <c r="F359" i="1" s="1"/>
  <c r="E358" i="1"/>
  <c r="F358" i="1" s="1"/>
  <c r="E357" i="1"/>
  <c r="F357" i="1" s="1"/>
  <c r="E356" i="1"/>
  <c r="F356" i="1" s="1"/>
  <c r="E355" i="1"/>
  <c r="F355" i="1" s="1"/>
  <c r="E354" i="1"/>
  <c r="F354" i="1" s="1"/>
  <c r="E353" i="1"/>
  <c r="F353" i="1" s="1"/>
  <c r="E352" i="1"/>
  <c r="F352" i="1" s="1"/>
  <c r="E351" i="1"/>
  <c r="F351" i="1" s="1"/>
  <c r="E350" i="1"/>
  <c r="F350" i="1" s="1"/>
  <c r="E349" i="1"/>
  <c r="F349" i="1" s="1"/>
  <c r="E348" i="1"/>
  <c r="F348" i="1" s="1"/>
  <c r="E347" i="1"/>
  <c r="F347" i="1" s="1"/>
  <c r="E346" i="1"/>
  <c r="F346" i="1" s="1"/>
  <c r="E345" i="1"/>
  <c r="F345" i="1" s="1"/>
  <c r="E344" i="1"/>
  <c r="F344" i="1" s="1"/>
  <c r="E343" i="1"/>
  <c r="F343" i="1" s="1"/>
  <c r="E342" i="1"/>
  <c r="F342" i="1" s="1"/>
  <c r="E341" i="1"/>
  <c r="F341" i="1" s="1"/>
  <c r="E340" i="1"/>
  <c r="F340" i="1" s="1"/>
  <c r="E339" i="1"/>
  <c r="F339" i="1" s="1"/>
  <c r="E338" i="1"/>
  <c r="F338" i="1" s="1"/>
  <c r="E337" i="1"/>
  <c r="F337" i="1" s="1"/>
  <c r="E336" i="1"/>
  <c r="F336" i="1" s="1"/>
  <c r="E335" i="1"/>
  <c r="F335" i="1" s="1"/>
  <c r="E334" i="1"/>
  <c r="F334" i="1" s="1"/>
  <c r="E333" i="1"/>
  <c r="F333" i="1" s="1"/>
  <c r="E332" i="1"/>
  <c r="F332" i="1" s="1"/>
  <c r="E331" i="1"/>
  <c r="F331" i="1" s="1"/>
  <c r="E330" i="1"/>
  <c r="F330" i="1" s="1"/>
  <c r="E329" i="1"/>
  <c r="F329" i="1" s="1"/>
  <c r="E328" i="1"/>
  <c r="F328" i="1" s="1"/>
  <c r="E327" i="1"/>
  <c r="F327" i="1" s="1"/>
  <c r="E326" i="1"/>
  <c r="F326" i="1" s="1"/>
  <c r="E325" i="1"/>
  <c r="F325" i="1" s="1"/>
  <c r="E324" i="1"/>
  <c r="F324" i="1" s="1"/>
  <c r="E323" i="1"/>
  <c r="F323" i="1" s="1"/>
  <c r="E322" i="1"/>
  <c r="F322" i="1" s="1"/>
  <c r="E321" i="1"/>
  <c r="F321" i="1" s="1"/>
  <c r="E320" i="1"/>
  <c r="F320" i="1" s="1"/>
  <c r="E319" i="1"/>
  <c r="F319" i="1" s="1"/>
  <c r="E318" i="1"/>
  <c r="F318" i="1" s="1"/>
  <c r="E317" i="1"/>
  <c r="F317" i="1" s="1"/>
  <c r="E316" i="1"/>
  <c r="F316" i="1" s="1"/>
  <c r="E315" i="1"/>
  <c r="F315" i="1" s="1"/>
  <c r="E314" i="1"/>
  <c r="F314" i="1" s="1"/>
  <c r="E313" i="1"/>
  <c r="F313" i="1" s="1"/>
  <c r="E312" i="1"/>
  <c r="F312" i="1" s="1"/>
  <c r="E311" i="1"/>
  <c r="F311" i="1" s="1"/>
  <c r="E310" i="1"/>
  <c r="F310" i="1" s="1"/>
  <c r="E309" i="1"/>
  <c r="F309" i="1" s="1"/>
  <c r="E308" i="1"/>
  <c r="F308" i="1" s="1"/>
  <c r="E307" i="1"/>
  <c r="F307" i="1" s="1"/>
  <c r="E306" i="1"/>
  <c r="F306" i="1" s="1"/>
  <c r="E305" i="1"/>
  <c r="F305" i="1" s="1"/>
  <c r="E304" i="1"/>
  <c r="F304" i="1" s="1"/>
  <c r="E303" i="1"/>
  <c r="F303" i="1" s="1"/>
  <c r="E302" i="1"/>
  <c r="F302" i="1" s="1"/>
  <c r="E301" i="1"/>
  <c r="F301" i="1" s="1"/>
  <c r="E300" i="1"/>
  <c r="F300" i="1" s="1"/>
  <c r="E299" i="1"/>
  <c r="F299" i="1" s="1"/>
  <c r="E298" i="1"/>
  <c r="F298" i="1" s="1"/>
  <c r="E297" i="1"/>
  <c r="F297" i="1" s="1"/>
  <c r="E296" i="1"/>
  <c r="F296" i="1" s="1"/>
  <c r="E295" i="1"/>
  <c r="F295" i="1" s="1"/>
  <c r="E294" i="1"/>
  <c r="F294" i="1" s="1"/>
  <c r="E293" i="1"/>
  <c r="F293" i="1" s="1"/>
  <c r="E292" i="1"/>
  <c r="F292" i="1" s="1"/>
  <c r="E291" i="1"/>
  <c r="F291" i="1" s="1"/>
  <c r="E290" i="1"/>
  <c r="F290" i="1" s="1"/>
  <c r="E289" i="1"/>
  <c r="F289" i="1" s="1"/>
  <c r="E288" i="1"/>
  <c r="F288" i="1" s="1"/>
  <c r="E287" i="1"/>
  <c r="F287" i="1" s="1"/>
  <c r="E286" i="1"/>
  <c r="F286" i="1" s="1"/>
  <c r="E285" i="1"/>
  <c r="F285" i="1" s="1"/>
  <c r="E284" i="1"/>
  <c r="F284" i="1" s="1"/>
  <c r="E283" i="1"/>
  <c r="F283" i="1" s="1"/>
  <c r="E282" i="1"/>
  <c r="F282" i="1" s="1"/>
  <c r="E281" i="1"/>
  <c r="F281" i="1" s="1"/>
  <c r="E280" i="1"/>
  <c r="F280" i="1" s="1"/>
  <c r="E279" i="1"/>
  <c r="F279" i="1" s="1"/>
  <c r="E278" i="1"/>
  <c r="F278" i="1" s="1"/>
  <c r="E277" i="1"/>
  <c r="F277" i="1" s="1"/>
  <c r="E276" i="1"/>
  <c r="F276" i="1" s="1"/>
  <c r="E275" i="1"/>
  <c r="F275" i="1" s="1"/>
  <c r="E274" i="1"/>
  <c r="F274" i="1" s="1"/>
  <c r="E273" i="1"/>
  <c r="F273" i="1" s="1"/>
  <c r="E272" i="1"/>
  <c r="F272" i="1" s="1"/>
  <c r="E271" i="1"/>
  <c r="F271" i="1" s="1"/>
  <c r="E270" i="1"/>
  <c r="F270" i="1" s="1"/>
  <c r="E269" i="1"/>
  <c r="F269" i="1" s="1"/>
  <c r="E268" i="1"/>
  <c r="F268" i="1" s="1"/>
  <c r="E267" i="1"/>
  <c r="F267" i="1" s="1"/>
  <c r="E266" i="1"/>
  <c r="F266" i="1" s="1"/>
  <c r="E265" i="1"/>
  <c r="F265" i="1" s="1"/>
  <c r="E264" i="1"/>
  <c r="F264" i="1" s="1"/>
  <c r="E263" i="1"/>
  <c r="F263" i="1" s="1"/>
  <c r="E262" i="1"/>
  <c r="F262" i="1" s="1"/>
  <c r="E261" i="1"/>
  <c r="F261" i="1" s="1"/>
  <c r="E260" i="1"/>
  <c r="F260" i="1" s="1"/>
  <c r="E259" i="1"/>
  <c r="F259" i="1" s="1"/>
  <c r="E258" i="1"/>
  <c r="F258" i="1" s="1"/>
  <c r="E257" i="1"/>
  <c r="F257" i="1" s="1"/>
  <c r="E256" i="1"/>
  <c r="F256" i="1" s="1"/>
  <c r="E255" i="1"/>
  <c r="F255" i="1" s="1"/>
  <c r="E254" i="1"/>
  <c r="F254" i="1" s="1"/>
  <c r="E253" i="1"/>
  <c r="F253" i="1" s="1"/>
  <c r="E252" i="1"/>
  <c r="F252" i="1" s="1"/>
  <c r="E251" i="1"/>
  <c r="F251" i="1" s="1"/>
  <c r="E250" i="1"/>
  <c r="F250" i="1" s="1"/>
  <c r="E249" i="1"/>
  <c r="F249" i="1" s="1"/>
  <c r="E248" i="1"/>
  <c r="F248" i="1" s="1"/>
  <c r="E247" i="1"/>
  <c r="F247" i="1" s="1"/>
  <c r="E246" i="1"/>
  <c r="F246" i="1" s="1"/>
  <c r="E245" i="1"/>
  <c r="F245" i="1" s="1"/>
  <c r="E244" i="1"/>
  <c r="F244" i="1" s="1"/>
  <c r="E243" i="1"/>
  <c r="F243" i="1" s="1"/>
  <c r="E242" i="1"/>
  <c r="F242" i="1" s="1"/>
  <c r="E241" i="1"/>
  <c r="F241" i="1" s="1"/>
  <c r="E240" i="1"/>
  <c r="F240" i="1" s="1"/>
  <c r="E239" i="1"/>
  <c r="F239" i="1" s="1"/>
  <c r="E238" i="1"/>
  <c r="F238" i="1" s="1"/>
  <c r="E237" i="1"/>
  <c r="F237" i="1" s="1"/>
  <c r="E236" i="1"/>
  <c r="F236" i="1" s="1"/>
  <c r="E235" i="1"/>
  <c r="F235" i="1" s="1"/>
  <c r="E234" i="1"/>
  <c r="F234" i="1" s="1"/>
  <c r="E233" i="1"/>
  <c r="F233" i="1" s="1"/>
  <c r="E232" i="1"/>
  <c r="F232" i="1" s="1"/>
  <c r="E231" i="1"/>
  <c r="F231" i="1" s="1"/>
  <c r="E230" i="1"/>
  <c r="F230" i="1" s="1"/>
  <c r="E229" i="1"/>
  <c r="F229" i="1" s="1"/>
  <c r="E228" i="1"/>
  <c r="F228" i="1" s="1"/>
  <c r="E227" i="1"/>
  <c r="F227" i="1" s="1"/>
  <c r="E226" i="1"/>
  <c r="F226" i="1" s="1"/>
  <c r="E225" i="1"/>
  <c r="F225" i="1" s="1"/>
  <c r="E224" i="1"/>
  <c r="F224" i="1" s="1"/>
  <c r="E223" i="1"/>
  <c r="F223" i="1" s="1"/>
  <c r="E222" i="1"/>
  <c r="F222" i="1" s="1"/>
  <c r="E221" i="1"/>
  <c r="F221" i="1" s="1"/>
  <c r="E220" i="1"/>
  <c r="F220" i="1" s="1"/>
  <c r="E219" i="1"/>
  <c r="F219" i="1" s="1"/>
  <c r="E218" i="1"/>
  <c r="F218" i="1" s="1"/>
  <c r="E217" i="1"/>
  <c r="F217" i="1" s="1"/>
  <c r="E216" i="1"/>
  <c r="F216" i="1" s="1"/>
  <c r="E215" i="1"/>
  <c r="F215" i="1" s="1"/>
  <c r="E214" i="1"/>
  <c r="F214" i="1" s="1"/>
  <c r="E213" i="1"/>
  <c r="F213" i="1" s="1"/>
  <c r="E212" i="1"/>
  <c r="F212" i="1" s="1"/>
  <c r="E211" i="1"/>
  <c r="F211" i="1" s="1"/>
  <c r="E210" i="1"/>
  <c r="F210" i="1" s="1"/>
  <c r="E209" i="1"/>
  <c r="F209" i="1" s="1"/>
  <c r="E208" i="1"/>
  <c r="F208" i="1" s="1"/>
  <c r="E207" i="1"/>
  <c r="F207" i="1" s="1"/>
  <c r="E206" i="1"/>
  <c r="F206" i="1" s="1"/>
  <c r="E205" i="1"/>
  <c r="F205" i="1" s="1"/>
  <c r="E204" i="1"/>
  <c r="F204" i="1" s="1"/>
  <c r="E203" i="1"/>
  <c r="F203" i="1" s="1"/>
  <c r="E202" i="1"/>
  <c r="F202" i="1" s="1"/>
  <c r="E201" i="1"/>
  <c r="F201" i="1" s="1"/>
  <c r="E200" i="1"/>
  <c r="F200" i="1" s="1"/>
  <c r="E199" i="1"/>
  <c r="F199" i="1" s="1"/>
  <c r="E198" i="1"/>
  <c r="F198" i="1" s="1"/>
  <c r="E197" i="1"/>
  <c r="F197" i="1" s="1"/>
  <c r="E196" i="1"/>
  <c r="F196" i="1" s="1"/>
  <c r="E195" i="1"/>
  <c r="F195" i="1" s="1"/>
  <c r="E194" i="1"/>
  <c r="F194" i="1" s="1"/>
  <c r="E193" i="1"/>
  <c r="F193" i="1" s="1"/>
  <c r="E192" i="1"/>
  <c r="F192" i="1" s="1"/>
  <c r="E191" i="1"/>
  <c r="F191" i="1" s="1"/>
  <c r="E190" i="1"/>
  <c r="F190" i="1" s="1"/>
  <c r="E189" i="1"/>
  <c r="F189" i="1" s="1"/>
  <c r="E188" i="1"/>
  <c r="F188" i="1" s="1"/>
  <c r="E187" i="1"/>
  <c r="F187" i="1" s="1"/>
  <c r="E186" i="1"/>
  <c r="F186" i="1" s="1"/>
  <c r="E185" i="1"/>
  <c r="F185" i="1" s="1"/>
  <c r="E184" i="1"/>
  <c r="F184" i="1" s="1"/>
  <c r="E183" i="1"/>
  <c r="F183" i="1" s="1"/>
  <c r="E182" i="1"/>
  <c r="F182" i="1" s="1"/>
  <c r="E181" i="1"/>
  <c r="F181" i="1" s="1"/>
  <c r="E180" i="1"/>
  <c r="F180" i="1" s="1"/>
  <c r="E179" i="1"/>
  <c r="F179" i="1" s="1"/>
  <c r="E178" i="1"/>
  <c r="F178" i="1" s="1"/>
  <c r="E177" i="1"/>
  <c r="F177" i="1" s="1"/>
  <c r="E176" i="1"/>
  <c r="F176" i="1" s="1"/>
  <c r="E175" i="1"/>
  <c r="F175" i="1" s="1"/>
  <c r="E174" i="1"/>
  <c r="F174" i="1" s="1"/>
  <c r="E173" i="1"/>
  <c r="F173" i="1" s="1"/>
  <c r="E172" i="1"/>
  <c r="F172" i="1" s="1"/>
  <c r="E171" i="1"/>
  <c r="F171" i="1" s="1"/>
  <c r="E170" i="1"/>
  <c r="F170" i="1" s="1"/>
  <c r="E169" i="1"/>
  <c r="F169" i="1" s="1"/>
  <c r="E168" i="1"/>
  <c r="F168" i="1" s="1"/>
  <c r="E167" i="1"/>
  <c r="F167" i="1" s="1"/>
  <c r="E166" i="1"/>
  <c r="F166" i="1" s="1"/>
  <c r="E165" i="1"/>
  <c r="F165" i="1" s="1"/>
  <c r="E164" i="1"/>
  <c r="F164" i="1" s="1"/>
  <c r="E163" i="1"/>
  <c r="F163" i="1" s="1"/>
  <c r="E162" i="1"/>
  <c r="F162" i="1" s="1"/>
  <c r="E161" i="1"/>
  <c r="F161" i="1" s="1"/>
  <c r="E160" i="1"/>
  <c r="F160" i="1" s="1"/>
  <c r="E159" i="1"/>
  <c r="F159" i="1" s="1"/>
  <c r="E158" i="1"/>
  <c r="F158" i="1" s="1"/>
  <c r="E157" i="1"/>
  <c r="F157" i="1" s="1"/>
  <c r="E156" i="1"/>
  <c r="F156" i="1" s="1"/>
  <c r="E155" i="1"/>
  <c r="F155" i="1" s="1"/>
  <c r="E154" i="1"/>
  <c r="F154" i="1" s="1"/>
  <c r="E153" i="1"/>
  <c r="F153" i="1" s="1"/>
  <c r="E152" i="1"/>
  <c r="F152" i="1" s="1"/>
  <c r="E151" i="1"/>
  <c r="F151" i="1" s="1"/>
  <c r="E150" i="1"/>
  <c r="F150" i="1" s="1"/>
  <c r="E149" i="1"/>
  <c r="F149" i="1" s="1"/>
  <c r="E148" i="1"/>
  <c r="F148" i="1" s="1"/>
  <c r="E147" i="1"/>
  <c r="F147" i="1" s="1"/>
  <c r="E146" i="1"/>
  <c r="F146" i="1" s="1"/>
  <c r="E145" i="1"/>
  <c r="F145" i="1" s="1"/>
  <c r="E144" i="1"/>
  <c r="F144" i="1" s="1"/>
  <c r="E143" i="1"/>
  <c r="F143" i="1" s="1"/>
  <c r="E142" i="1"/>
  <c r="F142" i="1" s="1"/>
  <c r="E141" i="1"/>
  <c r="F141" i="1" s="1"/>
  <c r="E140" i="1"/>
  <c r="F140" i="1" s="1"/>
  <c r="E139" i="1"/>
  <c r="F139" i="1" s="1"/>
  <c r="E138" i="1"/>
  <c r="F138" i="1" s="1"/>
  <c r="E137" i="1"/>
  <c r="F137" i="1" s="1"/>
  <c r="E136" i="1"/>
  <c r="F136" i="1" s="1"/>
  <c r="E135" i="1"/>
  <c r="F135" i="1" s="1"/>
  <c r="E134" i="1"/>
  <c r="F134" i="1" s="1"/>
  <c r="E133" i="1"/>
  <c r="F133" i="1" s="1"/>
  <c r="E132" i="1"/>
  <c r="F132" i="1" s="1"/>
  <c r="E131" i="1"/>
  <c r="F131" i="1" s="1"/>
  <c r="E130" i="1"/>
  <c r="F130" i="1" s="1"/>
  <c r="E129" i="1"/>
  <c r="F129" i="1" s="1"/>
  <c r="E128" i="1"/>
  <c r="F128" i="1" s="1"/>
  <c r="E127" i="1"/>
  <c r="F127" i="1" s="1"/>
  <c r="E126" i="1"/>
  <c r="F126" i="1" s="1"/>
  <c r="E125" i="1"/>
  <c r="F125" i="1" s="1"/>
  <c r="E124" i="1"/>
  <c r="F124" i="1" s="1"/>
  <c r="E123" i="1"/>
  <c r="F123" i="1" s="1"/>
  <c r="E122" i="1"/>
  <c r="F122" i="1" s="1"/>
  <c r="E121" i="1"/>
  <c r="F121" i="1" s="1"/>
  <c r="E120" i="1"/>
  <c r="F120" i="1" s="1"/>
  <c r="E119" i="1"/>
  <c r="F119" i="1" s="1"/>
  <c r="E118" i="1"/>
  <c r="F118" i="1" s="1"/>
  <c r="E117" i="1"/>
  <c r="F117" i="1" s="1"/>
  <c r="E116" i="1"/>
  <c r="F116" i="1" s="1"/>
  <c r="E115" i="1"/>
  <c r="F115" i="1" s="1"/>
  <c r="E114" i="1"/>
  <c r="F114" i="1" s="1"/>
  <c r="E113" i="1"/>
  <c r="F113" i="1" s="1"/>
  <c r="E112" i="1"/>
  <c r="F112" i="1" s="1"/>
  <c r="E111" i="1"/>
  <c r="F111" i="1" s="1"/>
  <c r="E110" i="1"/>
  <c r="F110" i="1" s="1"/>
  <c r="E109" i="1"/>
  <c r="F109" i="1" s="1"/>
  <c r="E108" i="1"/>
  <c r="F108" i="1" s="1"/>
  <c r="E107" i="1"/>
  <c r="F107" i="1" s="1"/>
  <c r="E106" i="1"/>
  <c r="F106" i="1" s="1"/>
  <c r="E105" i="1"/>
  <c r="F105" i="1" s="1"/>
  <c r="E104" i="1"/>
  <c r="F104" i="1" s="1"/>
  <c r="E103" i="1"/>
  <c r="F103" i="1" s="1"/>
  <c r="E102" i="1"/>
  <c r="F102" i="1" s="1"/>
  <c r="E101" i="1"/>
  <c r="F101" i="1" s="1"/>
  <c r="E100" i="1"/>
  <c r="F100" i="1" s="1"/>
  <c r="E99" i="1"/>
  <c r="F99" i="1" s="1"/>
  <c r="E98" i="1"/>
  <c r="F98" i="1" s="1"/>
  <c r="E97" i="1"/>
  <c r="F97" i="1" s="1"/>
  <c r="E96" i="1"/>
  <c r="F96" i="1" s="1"/>
  <c r="E95" i="1"/>
  <c r="F95" i="1" s="1"/>
  <c r="E94" i="1"/>
  <c r="F94" i="1" s="1"/>
  <c r="E93" i="1"/>
  <c r="F93" i="1" s="1"/>
  <c r="E92" i="1"/>
  <c r="F92" i="1" s="1"/>
  <c r="E91" i="1"/>
  <c r="F91" i="1" s="1"/>
  <c r="E90" i="1"/>
  <c r="F90" i="1" s="1"/>
  <c r="E89" i="1"/>
  <c r="F89" i="1" s="1"/>
  <c r="E88" i="1"/>
  <c r="F88" i="1" s="1"/>
  <c r="E87" i="1"/>
  <c r="F87" i="1" s="1"/>
  <c r="E86" i="1"/>
  <c r="F86" i="1" s="1"/>
  <c r="E85" i="1"/>
  <c r="F85" i="1" s="1"/>
  <c r="E84" i="1"/>
  <c r="F84" i="1" s="1"/>
  <c r="E83" i="1"/>
  <c r="F83" i="1" s="1"/>
  <c r="E82" i="1"/>
  <c r="F82" i="1" s="1"/>
  <c r="E81" i="1"/>
  <c r="F81" i="1" s="1"/>
  <c r="E80" i="1"/>
  <c r="F80" i="1" s="1"/>
  <c r="E79" i="1"/>
  <c r="F79" i="1" s="1"/>
  <c r="E78" i="1"/>
  <c r="F78" i="1" s="1"/>
  <c r="E77" i="1"/>
  <c r="F77" i="1" s="1"/>
  <c r="E76" i="1"/>
  <c r="F76" i="1" s="1"/>
  <c r="E75" i="1"/>
  <c r="F75" i="1" s="1"/>
  <c r="E74" i="1"/>
  <c r="F74" i="1" s="1"/>
  <c r="E73" i="1"/>
  <c r="F73" i="1" s="1"/>
  <c r="E72" i="1"/>
  <c r="F72" i="1" s="1"/>
  <c r="E71" i="1"/>
  <c r="F71" i="1" s="1"/>
  <c r="E70" i="1"/>
  <c r="F70" i="1" s="1"/>
  <c r="E69" i="1"/>
  <c r="F69" i="1" s="1"/>
  <c r="E68" i="1"/>
  <c r="F68" i="1" s="1"/>
  <c r="E67" i="1"/>
  <c r="F67" i="1" s="1"/>
  <c r="E66" i="1"/>
  <c r="F66" i="1" s="1"/>
  <c r="E65" i="1"/>
  <c r="F65" i="1" s="1"/>
  <c r="E64" i="1"/>
  <c r="F64" i="1" s="1"/>
  <c r="E63" i="1"/>
  <c r="F63" i="1" s="1"/>
  <c r="E62" i="1"/>
  <c r="F62" i="1" s="1"/>
  <c r="E61" i="1"/>
  <c r="F61" i="1" s="1"/>
  <c r="E60" i="1"/>
  <c r="F60" i="1" s="1"/>
  <c r="E59" i="1"/>
  <c r="F59" i="1" s="1"/>
  <c r="E58" i="1"/>
  <c r="F58" i="1" s="1"/>
  <c r="E57" i="1"/>
  <c r="F57" i="1" s="1"/>
  <c r="E56" i="1"/>
  <c r="F56" i="1" s="1"/>
  <c r="E55" i="1"/>
  <c r="F55" i="1" s="1"/>
  <c r="E54" i="1"/>
  <c r="F54" i="1" s="1"/>
  <c r="E53" i="1"/>
  <c r="F53" i="1" s="1"/>
  <c r="E52" i="1"/>
  <c r="F52" i="1" s="1"/>
  <c r="E51" i="1"/>
  <c r="F51" i="1" s="1"/>
  <c r="E50" i="1"/>
  <c r="F50" i="1" s="1"/>
  <c r="E49" i="1"/>
  <c r="F49" i="1" s="1"/>
  <c r="E48" i="1"/>
  <c r="F48" i="1" s="1"/>
  <c r="E47" i="1"/>
  <c r="F47" i="1" s="1"/>
  <c r="E46" i="1"/>
  <c r="F46" i="1" s="1"/>
  <c r="E45" i="1"/>
  <c r="F45" i="1" s="1"/>
  <c r="E44" i="1"/>
  <c r="F44" i="1" s="1"/>
  <c r="E43" i="1"/>
  <c r="F43" i="1" s="1"/>
  <c r="E42" i="1"/>
  <c r="F42" i="1" s="1"/>
  <c r="E41" i="1"/>
  <c r="F41" i="1" s="1"/>
  <c r="E40" i="1"/>
  <c r="F40" i="1" s="1"/>
  <c r="E39" i="1"/>
  <c r="F39" i="1" s="1"/>
  <c r="E38" i="1"/>
  <c r="F38" i="1" s="1"/>
  <c r="E37" i="1"/>
  <c r="F37" i="1" s="1"/>
  <c r="E36" i="1"/>
  <c r="F36" i="1" s="1"/>
  <c r="E35" i="1"/>
  <c r="F35" i="1" s="1"/>
  <c r="E34" i="1"/>
  <c r="F34" i="1" s="1"/>
  <c r="E33" i="1"/>
  <c r="F33" i="1" s="1"/>
  <c r="E32" i="1"/>
  <c r="F32" i="1" s="1"/>
  <c r="E31" i="1"/>
  <c r="F31" i="1" s="1"/>
  <c r="E30" i="1"/>
  <c r="F30" i="1" s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  <c r="F2" i="1" s="1"/>
  <c r="E1" i="1"/>
</calcChain>
</file>

<file path=xl/sharedStrings.xml><?xml version="1.0" encoding="utf-8"?>
<sst xmlns="http://schemas.openxmlformats.org/spreadsheetml/2006/main" count="42408" uniqueCount="5818">
  <si>
    <t>RUT</t>
  </si>
  <si>
    <t>RAZON</t>
  </si>
  <si>
    <t>VENDEDOR</t>
  </si>
  <si>
    <t>HOSPITAL CLINICO DEL PROFESOR</t>
  </si>
  <si>
    <t>M RAMOS</t>
  </si>
  <si>
    <t>HOSPITAL DE CARABINEROS</t>
  </si>
  <si>
    <t>G MANNESCHI</t>
  </si>
  <si>
    <t>FONDOS PARA HOSPITALES DE CARABINEROS DE CHILE</t>
  </si>
  <si>
    <t>UNIVERSIDAD DE CHILE</t>
  </si>
  <si>
    <t>HOSPITAL MILITAR DE SANTIAGO</t>
  </si>
  <si>
    <t>HOSPITAL NAVAL ALMIRANTE NEF</t>
  </si>
  <si>
    <t>HOSPITAL NAVAL TALCAHUANO A.A.</t>
  </si>
  <si>
    <t>R ARAYA</t>
  </si>
  <si>
    <t>HOSPITAL SAN JUAN DE DIOS DE LOS ANDES</t>
  </si>
  <si>
    <t>HOSPITAL CARLOS VAN BUREN</t>
  </si>
  <si>
    <t>HOSPITAL EDUARDO PEREIRA</t>
  </si>
  <si>
    <t>INSTITUTO NAC. DE REHABILITACION PEDRO AGUIRRE</t>
  </si>
  <si>
    <t>HOSPITAL DE MELIPILLA</t>
  </si>
  <si>
    <t>HOSPITAL CLAUDIO VICUÑA</t>
  </si>
  <si>
    <t>HOSPITAL GUILLERMO GRANT BENAVENTE</t>
  </si>
  <si>
    <t>HOSPITAL DE PENCO</t>
  </si>
  <si>
    <t>HOSPITAL LOTA</t>
  </si>
  <si>
    <t>HOSPITAL ARAUCO</t>
  </si>
  <si>
    <t>HOSPITAL ANGOL</t>
  </si>
  <si>
    <t>HOSPITAL VICTORIA</t>
  </si>
  <si>
    <t>SUR II</t>
  </si>
  <si>
    <t>HOSPITAL DOCTOR HERNAN HENRIQUEZ ARAVENA</t>
  </si>
  <si>
    <t>HOSPITAL DR. ABRAHAM GODOY PEÑA</t>
  </si>
  <si>
    <t>HOSPITAL PITRUFQUÉN</t>
  </si>
  <si>
    <t>HOSPITAL BASE OSORNO</t>
  </si>
  <si>
    <t>HOSPITAL CALBUCO</t>
  </si>
  <si>
    <t>HOSPITAL TRAUMATOLOGICO DE CONCEPCIÓN</t>
  </si>
  <si>
    <t>HOSPITAL LA SERENA</t>
  </si>
  <si>
    <t>HOSPITAL COQUIMBO</t>
  </si>
  <si>
    <t>HOSPITAL OVALLE</t>
  </si>
  <si>
    <t>SERVICIO DE SALUD VALPARAISO SAN ANTONIO</t>
  </si>
  <si>
    <t>HOSPITAL DR. GUSTAVO FRICKE</t>
  </si>
  <si>
    <t>HOSPITAL DE QUILPUE</t>
  </si>
  <si>
    <t>HOSPITAL PENABLANCA</t>
  </si>
  <si>
    <t>HOSPITAL SANTO TOMAS DE LIMACHE</t>
  </si>
  <si>
    <t>HOSPITAL SAN MARTIN DE QUILLOTA</t>
  </si>
  <si>
    <t>HOSPITAL LA CALERA</t>
  </si>
  <si>
    <t>HOSPITAL LA LIGUA</t>
  </si>
  <si>
    <t>HOSPITAL CLINICO HERMINDA MARTIN</t>
  </si>
  <si>
    <t>HOSPITAL DE SAN CARLOS</t>
  </si>
  <si>
    <t>CENTRO DE SALUD DR. VICTOR RIOS M. FERNANDEZ</t>
  </si>
  <si>
    <t>HOSPITAL DE TOME</t>
  </si>
  <si>
    <t>HOSPITAL LAS HIGUERAS</t>
  </si>
  <si>
    <t>HOSPITAL NUEVA IMPERIAL</t>
  </si>
  <si>
    <t>HOSPITAL VALDIVIA</t>
  </si>
  <si>
    <t>HOSPITAL DE LA UNION</t>
  </si>
  <si>
    <t>HOSPITAL SAN JOSE</t>
  </si>
  <si>
    <t>HOSPITAL DE NIÑOS ROBERTO DEL RIO</t>
  </si>
  <si>
    <t>HOSPITAL BARROS LUCO TRUDEAU</t>
  </si>
  <si>
    <t>HOSPITAL DR. EXEQUIEL GONZALEZ CORTES</t>
  </si>
  <si>
    <t>S.S. METROPOLITANO SUR HOSPITAL LUCIO CORDOVA</t>
  </si>
  <si>
    <t>HOSPITAL EL PINO</t>
  </si>
  <si>
    <t>SERVICIO DE SALUD OCCIDENTE INSTITUTO TRAUMATOLOGICO DE SANTIAGO</t>
  </si>
  <si>
    <t>HOSPITAL SAN JUAN DE DIOS</t>
  </si>
  <si>
    <t>HOSPITAL DR. FELIX BULNES CERDA</t>
  </si>
  <si>
    <t>INSTITUTO NACIONAL DEL CANCER</t>
  </si>
  <si>
    <t>HOSPITAL DEL SALVADOR</t>
  </si>
  <si>
    <t>COMPLEJO ASISTENCIAL DR. SOTERO DEL RIO</t>
  </si>
  <si>
    <t>HOSPITAL DE URGENCIA ASISTENCIA PUBLICA</t>
  </si>
  <si>
    <t>HOSPITAL CLINICO SAN BORJA ARRIARAN</t>
  </si>
  <si>
    <t>MUNICIPALIDAD DE PADRE LAS CASAS</t>
  </si>
  <si>
    <t>HOSPITAL PADRE ALBERTO HURTADO</t>
  </si>
  <si>
    <t>HOSPITAL SANTIAGO ORIENTE DR. LUIS TISNE BROUSSE</t>
  </si>
  <si>
    <t>HOSPITAL DE PUERTO MONTT</t>
  </si>
  <si>
    <t>HOSPITAL CLINICO METROPOLITANO EL CARMEN DOCTOR LUIS VALENTIN FERRADA</t>
  </si>
  <si>
    <t>CRS HOSPITAL PROVINCIA CORDILLERA</t>
  </si>
  <si>
    <t>HOSPITAL COMPLEJO ASISTENCIAL PADRE LAS CASAS</t>
  </si>
  <si>
    <t>HOSPITAL CLINICO METROPOLITANA LA FLORIDA DRA ELOISA  DIAZ INSUNZA</t>
  </si>
  <si>
    <t>ILUSTRE MUNICIPALIDAD DE CALBUCO</t>
  </si>
  <si>
    <t>CENTRAL ODONTOLOGICA PRIMERA ZONA NAVAL</t>
  </si>
  <si>
    <t>ILUSTRE MUNICIPALIDAD DE COQUIMBO</t>
  </si>
  <si>
    <t>I. MUNICIPALIDAD DE OVALLE</t>
  </si>
  <si>
    <t>I MUNICIPALIDAD DE LA LIGUA</t>
  </si>
  <si>
    <t>ILUSTRE MUNICIPALIDAD DE SAN ESTEBAN</t>
  </si>
  <si>
    <t>I MUNICIPALIDAD DE HIJUELAS</t>
  </si>
  <si>
    <t>MUNICIPALIDAD PUCHUNCAVI</t>
  </si>
  <si>
    <t>MUNICIPALIDAD DE ALGARROBO</t>
  </si>
  <si>
    <t>I MUNICIPALIDAD DE SAN ANTONIO</t>
  </si>
  <si>
    <t>DIRECCION DE SALUD MUNICIPAL</t>
  </si>
  <si>
    <t>I MUNICIPALIDAD DE TALCAHUANO</t>
  </si>
  <si>
    <t>I MUNICIPALIDAD DE CABRERO DEPARTAMENTO DE SALUD</t>
  </si>
  <si>
    <t>I MUNICIPALIDAD DE CORONEL DPTO ADMINIST</t>
  </si>
  <si>
    <t>MUNICIPALIDAD DE LOS ANGELES</t>
  </si>
  <si>
    <t>I MUNICIPALIDAD DE ANGOL</t>
  </si>
  <si>
    <t>ILUSTRE MUNICIPALIDAD DE VICTORIA</t>
  </si>
  <si>
    <t>I MUNICIPALIDAD DE LAUTARO</t>
  </si>
  <si>
    <t>I. MUNICIPALIDAD DE NUEVA IMPERIAL</t>
  </si>
  <si>
    <t>MUNICIPALIDAD DE TEMUCO</t>
  </si>
  <si>
    <t>I MUNICIPALIDAD DE PITRUFQUEN</t>
  </si>
  <si>
    <t>MUNICIPALIDAD PUCON</t>
  </si>
  <si>
    <t>I MUNICIPALIDAD VALDIVIA</t>
  </si>
  <si>
    <t>MUNICIPALIDAD DE OSORNO</t>
  </si>
  <si>
    <t>ILUSTRE MUNICIPALIDAD DE PUERTO MONTT</t>
  </si>
  <si>
    <t>MUNICIPALIDAD DE CONCEPCION</t>
  </si>
  <si>
    <t>I MUNICIPALIDAD DE LOTA DEPARTAMENTO DE SALUD</t>
  </si>
  <si>
    <t>INSTITUTO DE SEGURIDAD DEL TRABAJO</t>
  </si>
  <si>
    <t>MUTUAL DE SEGURIDAD C.CH.C.</t>
  </si>
  <si>
    <t>ASOCIACION CHILENA DE SEGURIDAD</t>
  </si>
  <si>
    <t>CORPORACION MUNICIPAL VALPARAISO</t>
  </si>
  <si>
    <t>CORPORACION MUNICIPAL VIÑA DEL MAR</t>
  </si>
  <si>
    <t>CORPORACION MUNICIPAL SAN MIGUEL</t>
  </si>
  <si>
    <t>CORPORACION DE DESARROLLO SOCIAL DE LA REINA</t>
  </si>
  <si>
    <t>CLINICA UNIVERSIDAD DE LOS ANDES</t>
  </si>
  <si>
    <t>HOSPITAL CLINICO DEL SUR</t>
  </si>
  <si>
    <t>CMA COSTANERA CMA</t>
  </si>
  <si>
    <t>EMPRESA DE SERVICIOS EXTERNOS ASOCIACION CHILENA DE SEGURIDAD TRANSPOR</t>
  </si>
  <si>
    <t>BUPA SERVICIOS CLINICOS S.A.</t>
  </si>
  <si>
    <t>CLINICA MEDS</t>
  </si>
  <si>
    <t>CLINICA ENSENADA SPA</t>
  </si>
  <si>
    <t>CLINICA PUERTO MONTT S.P.A.</t>
  </si>
  <si>
    <t>CLINICA ANDES SALUD CHILLAN S.A</t>
  </si>
  <si>
    <t>CLINICA ALEMANA DE VALDIVIA</t>
  </si>
  <si>
    <t>CLINICA SAN ANTONIO S.A.</t>
  </si>
  <si>
    <t>CLINICA OFTALMOLOGICA ISV LIMITADA</t>
  </si>
  <si>
    <t>CLINICA REÑACA S.A.</t>
  </si>
  <si>
    <t>CLINICA LAS AMAPOLAS LIMITADA</t>
  </si>
  <si>
    <t>CORPORACIÓN DE BENEFICENCIA OSORNO</t>
  </si>
  <si>
    <t>FUNDACION HOSPITAL PARROQUIAL  SAN BERNARDO</t>
  </si>
  <si>
    <t>CORPORACION IGLESIA ADVENTISTA DEL 7° DIA</t>
  </si>
  <si>
    <t>CLINICA SANATORIO ALEMAN S.A</t>
  </si>
  <si>
    <t>CORTES Y AGUILERA S.A.</t>
  </si>
  <si>
    <t>INSTITUTO DE DIAGNOSTICO S.A.</t>
  </si>
  <si>
    <t>CLÍNICA LAS CONDES S.A.</t>
  </si>
  <si>
    <t>SERVI SALUD S.A.</t>
  </si>
  <si>
    <t>CLINICA ALEMANA DE TEMUCO S A</t>
  </si>
  <si>
    <t>SERVICLINICA S.A</t>
  </si>
  <si>
    <t>CLINICA ALEMANA</t>
  </si>
  <si>
    <t>INMOBILIARIA INVERSALUD SPA</t>
  </si>
  <si>
    <t>CLÍNICA BICENTENARIO S.A.</t>
  </si>
  <si>
    <t>CLINICA BIO BIO SPA</t>
  </si>
  <si>
    <t>CLINICA CIUDAD DEL MAR S.A.</t>
  </si>
  <si>
    <t>HOSPITAL CLINICO VIÑA DEL MAR</t>
  </si>
  <si>
    <t>CLINICA REGIONAL DEL ELQUI SPA</t>
  </si>
  <si>
    <t>CLINICA SAN JULIAN DE SAN ANTONIO</t>
  </si>
  <si>
    <t>CLINICA VALPARAISO SPA</t>
  </si>
  <si>
    <t>CLINICA RIO BLANCO S.A</t>
  </si>
  <si>
    <t>53335808K</t>
  </si>
  <si>
    <t>CONS EXTERNO VALDIVIA</t>
  </si>
  <si>
    <t>61103007K</t>
  </si>
  <si>
    <t>HOSPITAL CLINICO GENERAL DR. RAUL YAZIGI J.</t>
  </si>
  <si>
    <t>61602213K</t>
  </si>
  <si>
    <t>HOSPITAL CAÑETE</t>
  </si>
  <si>
    <t>61606603K</t>
  </si>
  <si>
    <t>61607301K</t>
  </si>
  <si>
    <t>HOSPITAL BASE DR. VICTOR RIOS RUIZ</t>
  </si>
  <si>
    <t>69191500K</t>
  </si>
  <si>
    <t>I MUNICIPALIDAD DE VILLARRICA</t>
  </si>
  <si>
    <t>69264400K</t>
  </si>
  <si>
    <t>MUNICIPALIDAD DE HUALPEN</t>
  </si>
  <si>
    <t>69270200K</t>
  </si>
  <si>
    <t>ILUSTRE MUNICIPALIDAD DE CHILLAN DPTO SALUD</t>
  </si>
  <si>
    <t>76481620K</t>
  </si>
  <si>
    <t>96662020K</t>
  </si>
  <si>
    <t>CLINICA LOS ANDES DE LOS ANGELES</t>
  </si>
  <si>
    <t>A TELEFONICA</t>
  </si>
  <si>
    <t>MIGUEL EDUARDO PEÑA PARRA</t>
  </si>
  <si>
    <t>DANIEL ALEJANDRO PINO MARTINEZ</t>
  </si>
  <si>
    <t>UNIVERSIDAD DE SANTIAGO DE CHILE</t>
  </si>
  <si>
    <t>UNIVERSIDAD DE VALPARAISO</t>
  </si>
  <si>
    <t>DIRECCION REGIONAL DE GENDARMERIA - VALPARAISO</t>
  </si>
  <si>
    <t>CENTRO CLÍNICO MILITAR ARICA</t>
  </si>
  <si>
    <t>HOSPITAL MILITAR DEL NORTE</t>
  </si>
  <si>
    <t>HOSPITAL NAVAL CIRUJANO GUZMAN DE MAGALLANES</t>
  </si>
  <si>
    <t>CENTRAL ODONTOLOGICA IIA ZONA NAVAL</t>
  </si>
  <si>
    <t>ALA BASE N.1</t>
  </si>
  <si>
    <t>SERVICIO AGRICOLA Y GANADERO</t>
  </si>
  <si>
    <t>HOSPITAL SAN JOSÉ CASABLANCA</t>
  </si>
  <si>
    <t>HOSPITAL DE PEÑAFLOR</t>
  </si>
  <si>
    <t>HOSPITAL DE TALAGANTE</t>
  </si>
  <si>
    <t>HOSPITAL DE CURACAVÍ</t>
  </si>
  <si>
    <t>HOSPITAL REGIONAL RANCAGUA</t>
  </si>
  <si>
    <t>HOSPITAL DE RENGO</t>
  </si>
  <si>
    <t>HOSPITAL DE SAN VICENTE DE TAGUA TAGUA</t>
  </si>
  <si>
    <t>HOSPITAL DE PEUMO</t>
  </si>
  <si>
    <t>HOSPITAL DE PICHIDEGUA</t>
  </si>
  <si>
    <t>HOSPITAL DE SAN FERNANDO</t>
  </si>
  <si>
    <t>HOSPITAL DE SANTA CRUZ</t>
  </si>
  <si>
    <t>HOSPITAL LOLOL</t>
  </si>
  <si>
    <t>HOSPITAL DE MARCHIGUE</t>
  </si>
  <si>
    <t>HOSPITAL LITUECHE</t>
  </si>
  <si>
    <t>HOSPITAL PICHILEMU</t>
  </si>
  <si>
    <t>HOSPITAL FLORIDA</t>
  </si>
  <si>
    <t>HOSPITAL SANTA JUANA</t>
  </si>
  <si>
    <t>HOSPITAL LEBU</t>
  </si>
  <si>
    <t>HOSPITAL NACIMIENTO</t>
  </si>
  <si>
    <t>HOSPITAL COLLIPULLI</t>
  </si>
  <si>
    <t>HOSPITAL GALVARINO</t>
  </si>
  <si>
    <t>HOSPITAL CURACAUTIN</t>
  </si>
  <si>
    <t>HOSPITAL VILCUN</t>
  </si>
  <si>
    <t>SERVICIO DE SALUD ARAUCANÍA SUR HOSPITAL DE GORBEA</t>
  </si>
  <si>
    <t>HOSPITAL CARAHUE</t>
  </si>
  <si>
    <t>HOSPITAL DE LONCOCHE</t>
  </si>
  <si>
    <t>HOSPITAL RIO NEGRO</t>
  </si>
  <si>
    <t>HOSPITAL LLANQUIHUE</t>
  </si>
  <si>
    <t>HOSPITAL DE FRUTILLAR</t>
  </si>
  <si>
    <t>HOSPITAL DE FRESIA</t>
  </si>
  <si>
    <t>HOSPITAL DE MAULLIN</t>
  </si>
  <si>
    <t>HOSPITAL DE QUELLÓN</t>
  </si>
  <si>
    <t>HOSPITAL ACHAO</t>
  </si>
  <si>
    <t>HOSPITAL PUERTO AYSEN</t>
  </si>
  <si>
    <t>HOSPITAL  COYHAIQUE</t>
  </si>
  <si>
    <t>HOSPITAL PUERTO SAAVEDRA</t>
  </si>
  <si>
    <t>HOSPITAL REGIONAL DE ANTOFAGASTA</t>
  </si>
  <si>
    <t>HOSPITAL CARLOS CISTERNAS DE CALAMA</t>
  </si>
  <si>
    <t>HOSPITAL DE TOCOPILLA</t>
  </si>
  <si>
    <t>HOSPITAL DE TALTAL</t>
  </si>
  <si>
    <t>HOSPITAL DE MEJILLONES</t>
  </si>
  <si>
    <t>HOSPITAL PROVINCIAL DEL HUASCO MONS FERNANDO ARIZTIA R.</t>
  </si>
  <si>
    <t>HOSPITAL CHAÑARAL</t>
  </si>
  <si>
    <t>HOSPITAL DIEGO DE ALMAGRO</t>
  </si>
  <si>
    <t>HOSPITAL DE COPIAPO</t>
  </si>
  <si>
    <t>SERVICIO DE SALUD COQUIMBO</t>
  </si>
  <si>
    <t>HOSPITAL VICUÑA</t>
  </si>
  <si>
    <t>HOSPITAL ANDACOLLO</t>
  </si>
  <si>
    <t>HOSPITAL COMBARBALA</t>
  </si>
  <si>
    <t>HOSPITAL SALAMANCA</t>
  </si>
  <si>
    <t>HOSPITAL LOS VILOS</t>
  </si>
  <si>
    <t>SERVICIO SALUD VIÑA DEL MAR QUILLOTA</t>
  </si>
  <si>
    <t>HOSPITAL CABILDO</t>
  </si>
  <si>
    <t>SERVICIO DE SALUD LIBERTADOR BDO OHIGGINS</t>
  </si>
  <si>
    <t>SERVICIO DE SALUD DEL MAULE</t>
  </si>
  <si>
    <t>HOSPITAL TALCA</t>
  </si>
  <si>
    <t>HOSPITAL LICANTEN</t>
  </si>
  <si>
    <t>HOSPITAL HUALAÑE</t>
  </si>
  <si>
    <t>HOSPITAL TENO</t>
  </si>
  <si>
    <t>HOSPITAL DE CUREPTO</t>
  </si>
  <si>
    <t>HOSPITAL SAN JAVIER</t>
  </si>
  <si>
    <t>HOSPITAL CHANCO</t>
  </si>
  <si>
    <t>HOSPITAL LINARES</t>
  </si>
  <si>
    <t>SERVICIO DE SALUD ÑUBLE</t>
  </si>
  <si>
    <t>HOSPITAL DE BULNES</t>
  </si>
  <si>
    <t>HOSPITAL DE YUNGAY</t>
  </si>
  <si>
    <t>SERVICIO DE SALUD NUBLE HOSPITAL DE EL CARMEN</t>
  </si>
  <si>
    <t>SERVICIO DE SALUD DE CONCEPCION</t>
  </si>
  <si>
    <t>HOSPITAL CONTULMO</t>
  </si>
  <si>
    <t>SERVICIO DE SALUD TALCAHUANO</t>
  </si>
  <si>
    <t>HOSPITAL DE MULCHEN</t>
  </si>
  <si>
    <t>HOSPITAL DE HUEPIL</t>
  </si>
  <si>
    <t>HOSPITAL LAJA</t>
  </si>
  <si>
    <t>HOSPITAL DE YUMBEL</t>
  </si>
  <si>
    <t>HOSPITAL LONQUIMAY</t>
  </si>
  <si>
    <t>HOSPITAL DE PAILLACO</t>
  </si>
  <si>
    <t>HOSPITAL LOS LAGOS</t>
  </si>
  <si>
    <t>SERVICIO DE SALUD OSORNO</t>
  </si>
  <si>
    <t>HOSPITAL DE PURRANQUE</t>
  </si>
  <si>
    <t>HOSPITAL DR. LAUTARO NAVARRO AVARIA</t>
  </si>
  <si>
    <t>HOSPITAL PORVENIR</t>
  </si>
  <si>
    <t>HOSPITAL DR. AUGUSTO ESSMANN BURGOS</t>
  </si>
  <si>
    <t>SERVICIO SALUD METROPOLITANO OCCIDENTE</t>
  </si>
  <si>
    <t>INSTITUTO NACIONAL DE GERIATRÍA</t>
  </si>
  <si>
    <t>INSTITUTO DE NEUROCIRUGIA</t>
  </si>
  <si>
    <t>HOSPITAL DR. LUIS CALVO MACKENNA</t>
  </si>
  <si>
    <t>HOSPITAL SANATORIO SAN JOSE DE MAIPO</t>
  </si>
  <si>
    <t>DIRECCION ATENCION PRIMARIA, SERVICIO DE SALUD METROPOLITANO CENTRAL</t>
  </si>
  <si>
    <t>MUNIC COCHAMO DEPTO SALUD</t>
  </si>
  <si>
    <t>CENTRO DE REFERENCIA SALUD DOCTOR SALVADOR ALLENDE G.</t>
  </si>
  <si>
    <t>DIRECCION DE LOGISTICA DE CARABINEROS</t>
  </si>
  <si>
    <t>CENTRO CLINICO MILITAR DE IQUIQUE</t>
  </si>
  <si>
    <t>SERVICIO DE SALUD ARAUCO</t>
  </si>
  <si>
    <t>MUNICIPALIDAD DE QUILLON</t>
  </si>
  <si>
    <t>CONS DIRECCION DE SALUD RURAL</t>
  </si>
  <si>
    <t>HOSPITAL DE QUEILEN</t>
  </si>
  <si>
    <t>HOSPITAL METROPOLITANO DE SANTIAGO</t>
  </si>
  <si>
    <t>HOSPITAL SAN JUAN DE LA COSTA</t>
  </si>
  <si>
    <t>CESFAM LIRQUEN</t>
  </si>
  <si>
    <t>CENTRAL DE ATENCIO PRIMARIA DE SALUD DE LA ARMADA</t>
  </si>
  <si>
    <t>HOSPITAL SANTA ELISA DE SAN JOSE DE LA MARIQUINA</t>
  </si>
  <si>
    <t>HOSPITAL COMUNITARIO CRISTINA CALDERON DE PUERTO WILLIAMS</t>
  </si>
  <si>
    <t>CESFAM RIO NEGRO HORNOPIREN</t>
  </si>
  <si>
    <t>MACROZONA DE SALUD CONCEPCION</t>
  </si>
  <si>
    <t>CENTRO DE ESPECIALIDAD ATENCIÓN PREHOSPITALARIA SAMU BIOBIO</t>
  </si>
  <si>
    <t>CENTRO ONCOLÓGICO DEL NORTE</t>
  </si>
  <si>
    <t>HOSPITAL DR. ERNESTO TORRES GALDAMES</t>
  </si>
  <si>
    <t>CENTRO DE SALUD FAMILIAR PUERTO AYSEN</t>
  </si>
  <si>
    <t>FUNDAC.FACULTAD DE CIENC.VETER.Y PECUAR.UNIVERSIDAD DE CHILE</t>
  </si>
  <si>
    <t>ILUSTRE MUNICIPALIDAD DE ARICA</t>
  </si>
  <si>
    <t>MUNICIPALIDAD DE HUARA</t>
  </si>
  <si>
    <t>I MUNICIPALIDAD DE CHANARAL</t>
  </si>
  <si>
    <t>MUNICIPALIDAD DE COPIAPO</t>
  </si>
  <si>
    <t>I MUNICIPALIDAD DE CALDERA</t>
  </si>
  <si>
    <t>I MUNICIPALIDAD DE TIERRA AMARILLA</t>
  </si>
  <si>
    <t>I MUNICIPALIDAD DE VALLENAR</t>
  </si>
  <si>
    <t>I MUNICIPALIDAD DE MONTEPATRIA</t>
  </si>
  <si>
    <t>MUNICIPALIDAD PUNITAQUI</t>
  </si>
  <si>
    <t>MUNICIPALIDAD COMBARBALA</t>
  </si>
  <si>
    <t>I MUNICIPALIDAD DE ILLAPEL</t>
  </si>
  <si>
    <t>MUNICIPALIDAD PETORCA</t>
  </si>
  <si>
    <t>ILUSTRE MUNICIPALIDAD DE SAN FELIPE</t>
  </si>
  <si>
    <t>I MUNICIPALIDAD DE SANTA MARIA</t>
  </si>
  <si>
    <t>MUNICIPALIDAD LOS ANDES</t>
  </si>
  <si>
    <t>I MUNICIPALIDAD DE CALLE LARGA</t>
  </si>
  <si>
    <t>MUNIC RINCONADA LOS ANDES</t>
  </si>
  <si>
    <t>I MUNICIPALIDAD DE LA CRUZ</t>
  </si>
  <si>
    <t>MUNIC LA CALERA</t>
  </si>
  <si>
    <t>I MUNICIPALIDAD DE NOGALES</t>
  </si>
  <si>
    <t>I.MUNICIPALIDAD DE OLMUE</t>
  </si>
  <si>
    <t>I MUNICIPALIDAD DE CASABLANCA</t>
  </si>
  <si>
    <t>I MUNICIPALIDAD DE SANTIAGO</t>
  </si>
  <si>
    <t>CORP DES SOC PROVIDENCIA</t>
  </si>
  <si>
    <t>I. MUNICIPALIDAD MAIPU</t>
  </si>
  <si>
    <t>I MUNICIPALIDAD DE QUILICURA</t>
  </si>
  <si>
    <t>ILUSTRE MUNICIPALIDAD DE TALAGANTE</t>
  </si>
  <si>
    <t>MUNICIPALIDAD DE LA CISTERNA</t>
  </si>
  <si>
    <t>ILUSTRE MUNICIPALIDAD DE LA GRANJA</t>
  </si>
  <si>
    <t>I MUNICIPALIDAD DE PAINE</t>
  </si>
  <si>
    <t>I MUNICIPALIDAD DE EL MONTE</t>
  </si>
  <si>
    <t>MUNICIPALIDAD SAN PEDRO MELIPILLA</t>
  </si>
  <si>
    <t>MUNICIPALIDAD DE CARTAGENA</t>
  </si>
  <si>
    <t>ILUSTRE MUNICIPALIDAD EL TABO</t>
  </si>
  <si>
    <t>MUNICIPALIDAD NAVIDAD</t>
  </si>
  <si>
    <t>ILUSTRE MUNICIPALIDAD DE MACHALI</t>
  </si>
  <si>
    <t>I MUNICIPALIDAD DE MOSTAZAL</t>
  </si>
  <si>
    <t>MUNICIPALIDAD DE DONIHUE</t>
  </si>
  <si>
    <t>I MUNICIPALIDAD DE  COLTAUCO</t>
  </si>
  <si>
    <t>I MUNICIPALIDAD DE RENGO</t>
  </si>
  <si>
    <t>I MUNICIPALIDAD DE REQUINOA</t>
  </si>
  <si>
    <t>MUNIC QUINTA DE TILCOCO</t>
  </si>
  <si>
    <t>I MUNICIPALIDAD DE CHIMBARONGO</t>
  </si>
  <si>
    <t>I MUNICIPALIDAD DE NANCAGUA</t>
  </si>
  <si>
    <t>I MUNICIPALIDAD DE SANTA CRUZ</t>
  </si>
  <si>
    <t>I MUNICIPALIDAD DE CHEPICA</t>
  </si>
  <si>
    <t>ILUSTRE MUNICIPALIDAD DE PAREDONES</t>
  </si>
  <si>
    <t>ILUSTRE MUNICIPALIDAD DE PICHILEMU</t>
  </si>
  <si>
    <t>I. MUNICIPALIDAD DE PERALILLO</t>
  </si>
  <si>
    <t>I MUNICIPALIDAD DE CURICO</t>
  </si>
  <si>
    <t>MUNICIPALIDAD ROMERAL</t>
  </si>
  <si>
    <t>I MUNICIPALIDAD DE TENO</t>
  </si>
  <si>
    <t>MUNICIPALIDAD DE RAUCO</t>
  </si>
  <si>
    <t>I MUNICIPALIDAD DE LICANTEN</t>
  </si>
  <si>
    <t>MUNICIPALIDAD DE MOLINA</t>
  </si>
  <si>
    <t>MUNICIPALIDAD SAGRADA FAMILIA</t>
  </si>
  <si>
    <t>ILUSTRE MUNICIPALIDAD DE CUREPTO</t>
  </si>
  <si>
    <t>I MUNICIPALIDAD DE TALCA</t>
  </si>
  <si>
    <t>MUNICIPALIDAD SAN CLEMENTE</t>
  </si>
  <si>
    <t>MUNIC PELARCO</t>
  </si>
  <si>
    <t>I MUNICIPALIDAD DE CONSTITUCIÓN</t>
  </si>
  <si>
    <t>I. MUNICIPALIDAD DE CAUQUENES</t>
  </si>
  <si>
    <t>I MUNICIPALIDAD DE SAN JAVIER</t>
  </si>
  <si>
    <t>ILUSTRE MUNICIPALIDAD DE LINARES</t>
  </si>
  <si>
    <t>ILUSTRE MUNICIPALIDAD DE COLBUN</t>
  </si>
  <si>
    <t>I MUNICIPALIDAD DE COBQUECURA</t>
  </si>
  <si>
    <t>ILUSTRE MUNICIPALIDAD DE SAN CARLOS</t>
  </si>
  <si>
    <t>MUNICIPALIDAD DE NIQUEN</t>
  </si>
  <si>
    <t>MUNIC SAN NICOLAS</t>
  </si>
  <si>
    <t>I MUNICIPALIDAD DE COIHUECO DEPARTAMENTO DE SALUD</t>
  </si>
  <si>
    <t>I MUNICIPALIDAD DE BULNES</t>
  </si>
  <si>
    <t>MUNIC SAN IGNACIO</t>
  </si>
  <si>
    <t>MUNICIPALIDAD TUCAPEL</t>
  </si>
  <si>
    <t>MUNICIPALIDAD DE COELEMU</t>
  </si>
  <si>
    <t>ILUSTRE MUNICIPALIDAD DE RAQUIL</t>
  </si>
  <si>
    <t>I. MUNICIPALIDAD  DE PENCO</t>
  </si>
  <si>
    <t>MUNICIPALIDAD SAN ROSENDO</t>
  </si>
  <si>
    <t>I MUNICIPALIDAD DE ARAUCO</t>
  </si>
  <si>
    <t>MUNICIPALIDAD LEBU</t>
  </si>
  <si>
    <t>MUNICIPALIDAD DE LOS ALAMOS</t>
  </si>
  <si>
    <t>CECOSF SANTA BARBARA</t>
  </si>
  <si>
    <t>I. MUNICIPALIDAD QUILLECO</t>
  </si>
  <si>
    <t>I MUNICIPALIDAD DE NACIMIENTO</t>
  </si>
  <si>
    <t>MUNICIPALIDAD NEGRETE</t>
  </si>
  <si>
    <t>MUNIC.QUILACO</t>
  </si>
  <si>
    <t>I MUNICIPALIDAD DE LOS SAUCES</t>
  </si>
  <si>
    <t>I MUNICIPALIDAD DE ERCILLA</t>
  </si>
  <si>
    <t>I MUNICIPALIDAD DE LUMACO</t>
  </si>
  <si>
    <t>I MUNICIPALIDAD DE CURACAUTIN</t>
  </si>
  <si>
    <t>I MUNICIPALIDAD DE PERQUENCO</t>
  </si>
  <si>
    <t>MUNIC CARAHUE DPTO SALUD GENERAL</t>
  </si>
  <si>
    <t>I MUNICIPALIDAD DE SAAVEDRA</t>
  </si>
  <si>
    <t>MUNICIPALIDAD DE VILCUN</t>
  </si>
  <si>
    <t>MUNICIPALIDAD CUNCO</t>
  </si>
  <si>
    <t>ILUSTRE MUNICIPALIDAD DE LONCOCHE</t>
  </si>
  <si>
    <t>ILUSTRE MUNICIPALIDAD DE GORBEA</t>
  </si>
  <si>
    <t>MUNIC LANCO</t>
  </si>
  <si>
    <t>MUNIC.MAFIL</t>
  </si>
  <si>
    <t>I MUNICIPALIDAD DE LOS LAGOS</t>
  </si>
  <si>
    <t>I MUNICIPALIDAD DE RIO BUENO</t>
  </si>
  <si>
    <t>CESFAM LAGO RANCO</t>
  </si>
  <si>
    <t>DEPARTAMENTO DE SALUD SAN PABLO</t>
  </si>
  <si>
    <t>MUNIC RIO NEGRO</t>
  </si>
  <si>
    <t>MUNICIPALIDAD PUYEHUE</t>
  </si>
  <si>
    <t>MUNIC QUEMCHI</t>
  </si>
  <si>
    <t>I MUNICIPALIDAD DE PUNTA ARENAS</t>
  </si>
  <si>
    <t>ILUSTRE MUNICIPALIDAD DE TIMAUKEL</t>
  </si>
  <si>
    <t>MUNIC.SAN JUAN DE LA COSTA</t>
  </si>
  <si>
    <t>MUNICIPALIDAD TEODORO SCHMIDT</t>
  </si>
  <si>
    <t>MUNICIPALIDAD DE JUAN FERNANDEZ</t>
  </si>
  <si>
    <t>I MUNICIPALIDAD DE PELLUHUE</t>
  </si>
  <si>
    <t>ILUSTRE MUNICIPALIDAD DE SAN RAMON</t>
  </si>
  <si>
    <t>ILUSTRE MUNICIPALIDAD DE CERRO NAVIA</t>
  </si>
  <si>
    <t>ILUSTRE MUNICIPALIDAD DE RECOLETA</t>
  </si>
  <si>
    <t>I. MUNICIPALIDAD PEDRO AGUIRRE CERDA</t>
  </si>
  <si>
    <t>MUNICIPALIDAD LO ESPEJO</t>
  </si>
  <si>
    <t>I. MUNICIPALIDAD DE LA COMUNA DEL BOSQUE</t>
  </si>
  <si>
    <t>MUNICIPALIDAD DE HUECHURABA</t>
  </si>
  <si>
    <t>I MUNICIPALIDAD DE INDEPENDENCIA</t>
  </si>
  <si>
    <t>MUNIC QUILLOTA DPTO SALUD</t>
  </si>
  <si>
    <t>I MUNICIPALIDAD DE PADRE HURTADO</t>
  </si>
  <si>
    <t>I MUNICIPALIDAD DE SAN RAFAEL</t>
  </si>
  <si>
    <t>MUNICIPALIDAD ALTO BIOBIO</t>
  </si>
  <si>
    <t>ILUSTRE MUNICIPALIDAD DE CHIGUAYANTE</t>
  </si>
  <si>
    <t>I MUNICIPALIDAD DE SAN PEDRO DE LA PAZ</t>
  </si>
  <si>
    <t>MUNICIPALIDAD DE ALTO HOSPICIO</t>
  </si>
  <si>
    <t>CONSULTORIO GENERAL URBANO SAN FELIPE</t>
  </si>
  <si>
    <t>CONSULTORIO GENERAL URBANO N°2</t>
  </si>
  <si>
    <t>FUNDACION JOSEFINA MARTINEZ DE FERRARI</t>
  </si>
  <si>
    <t>CASA DE REPOSO S MARIA</t>
  </si>
  <si>
    <t>CONIN</t>
  </si>
  <si>
    <t>FUNDACION ARTURO LOPEZ PEREZ</t>
  </si>
  <si>
    <t>CONSULTORIO MIRAFLORES</t>
  </si>
  <si>
    <t>MUNICIPALIDAD MELIPEUCO</t>
  </si>
  <si>
    <t>UNIVERSIDAD DE LA SERENA</t>
  </si>
  <si>
    <t>CORP MUNIC EDUC SALUD Y AT MEN PTE ALTO</t>
  </si>
  <si>
    <t>CORP MUNIC CONCHALI</t>
  </si>
  <si>
    <t>CORP MUNIC QUILPUE</t>
  </si>
  <si>
    <t>CORP MUNIC PIRQUE</t>
  </si>
  <si>
    <t>CORPORACION MUNICIPAL MARIA PINTO</t>
  </si>
  <si>
    <t>UNIVERSIDAD DE TALCA</t>
  </si>
  <si>
    <t>CORPORACION MUNICIPAL G G VIDELA</t>
  </si>
  <si>
    <t>CORP MUNIC SAN JOSE DE MAIPO</t>
  </si>
  <si>
    <t>FUND DE SALUD EL TENIENTE</t>
  </si>
  <si>
    <t>CORPORACION MUNICIPAL QUINTA NORMAL</t>
  </si>
  <si>
    <t>CORPORACION MUNICIPAL SAN BERNARDO</t>
  </si>
  <si>
    <t>CORP MUNIC PUNTA ARENAS</t>
  </si>
  <si>
    <t>CORP MUNICIPAL DE EDUC SALUD CULTURA Y RECREACIÓN DE LA FLORIDA</t>
  </si>
  <si>
    <t>CORP DE DESARROLLO SOCIAL DE BUIN</t>
  </si>
  <si>
    <t>CORP MUNIC ISLA DE MAIPO</t>
  </si>
  <si>
    <t>CORP MUNIC IQUIQUE</t>
  </si>
  <si>
    <t>CORP.MUNICIPAL DE DES.SOCIAL DE LAMPA</t>
  </si>
  <si>
    <t>CORP.MUNICIPAL PARA DES.SOCIAL-V.ALEMANA</t>
  </si>
  <si>
    <t>CORP MUNIC CALERA DE TANGO</t>
  </si>
  <si>
    <t>CORMUN RANCAGUA - ADMINISTRACIÓN CENTRA</t>
  </si>
  <si>
    <t>CORP MUNICIPAL DE PANGUIPULLI</t>
  </si>
  <si>
    <t>CORP MUNIC ANTOFAGASTA</t>
  </si>
  <si>
    <t>POSTA DE SALUD RURAL AGONI</t>
  </si>
  <si>
    <t>CORP MUNIC RAMON FREIRE</t>
  </si>
  <si>
    <t>CORP MUNIC CASTRO ED Y SALUD</t>
  </si>
  <si>
    <t>CORP MUNIC PUQUELDON</t>
  </si>
  <si>
    <t>CORPORACION MUNICIPAL QUINCHAO</t>
  </si>
  <si>
    <t>CORP DE EDUCACION SALUD Y MENORES DE PUERTO NATALES</t>
  </si>
  <si>
    <t>CORP MUNIC QUELLON</t>
  </si>
  <si>
    <t>CORP MUNIC CURACO DE VELEZ</t>
  </si>
  <si>
    <t>CORP MUNIC DE MELIPILLA</t>
  </si>
  <si>
    <t>CORP MUNIC EDUC SALUD Y</t>
  </si>
  <si>
    <t>CORP MUNICIPAL SAN FERNANDO PARA LA ATENCION MENORES Y LAS A DE E Y S</t>
  </si>
  <si>
    <t>CORP MUNIC DE MACUL</t>
  </si>
  <si>
    <t>CORP MUNIC ANCUD</t>
  </si>
  <si>
    <t>CORP MUNIC SAN JOAQUIN</t>
  </si>
  <si>
    <t>CORP MUNIC POZO ALMONTE</t>
  </si>
  <si>
    <t>UNIVERSIDAD AUTONOMA DE CHILE</t>
  </si>
  <si>
    <t>MUNIC PINTO DEPTO SALUD</t>
  </si>
  <si>
    <t>MUNICIPALIDAD CONTULMO</t>
  </si>
  <si>
    <t>MUNICIPALIDAD CONCON</t>
  </si>
  <si>
    <t>SOCIEDAD DE SERVICIOS MEDICOS MEDIPLUS HOMECARE LTDA.</t>
  </si>
  <si>
    <t>IMPORTADORA MEGAMARKET</t>
  </si>
  <si>
    <t>SIRAK PRESTACIONES CLINICAS</t>
  </si>
  <si>
    <t>MEGAMED CHILE LIMITADA</t>
  </si>
  <si>
    <t>COMERCIALIZADORA DE EQUIPOS E INSUMOS MEDICOS S.A.</t>
  </si>
  <si>
    <t>PRESTACIONES MEDICAS A Y C LTDA</t>
  </si>
  <si>
    <t>SOCIEDAD COMERCIAL Y DE SERVICIOS MEDICOS PUNTOMED LIMITADA</t>
  </si>
  <si>
    <t>PRESTACIONES MEDICAS DRA. JACOB LTM</t>
  </si>
  <si>
    <t>PROMED LTDA.</t>
  </si>
  <si>
    <t>ICPOE SPA</t>
  </si>
  <si>
    <t>CEA Y CORNEJO LIMITADA</t>
  </si>
  <si>
    <t>CENTRO DE OFTALMOLOGIA DR. DAVID BITRAN</t>
  </si>
  <si>
    <t>COMERCIAL INTERMEDICA LTDA</t>
  </si>
  <si>
    <t>AWAD ARTICULOS MEDICOS LTDA.</t>
  </si>
  <si>
    <t>DAVID PARRA GAETE SERVIVIOS VETERINARIOS INTEGRALES EIRL</t>
  </si>
  <si>
    <t>COMERCIAL RESCATELIFE LIMITADA</t>
  </si>
  <si>
    <t>DISTRIBUIDORA DE INSUMOS MARÍA INES GALLEGOS REYES E.I.R.L.</t>
  </si>
  <si>
    <t>SANALAB S.A.</t>
  </si>
  <si>
    <t>SERVICIOS MEDICOS VALERIA GALLEGOS Y CIA LTDA</t>
  </si>
  <si>
    <t>BERGEN MEDICAL SPA</t>
  </si>
  <si>
    <t>SOCIEDAD CELIC ORTIZ LIMITADA</t>
  </si>
  <si>
    <t>SOCIEDAD DE PROFESIONALES CIRUGIA MAXILO FACIAL Y CUIDADOS POST QUIRURGICOS LIMI</t>
  </si>
  <si>
    <t>SERVICIOS DE ADIESTRAMIENTO, GUARDERIA, PELUQUERIA, PASEO DE MASCOTAS</t>
  </si>
  <si>
    <t>GLOBAL PHARMA SPA</t>
  </si>
  <si>
    <t>CLINICA STUDIOMED SPA</t>
  </si>
  <si>
    <t>NOVAPARTNERS LTDA.</t>
  </si>
  <si>
    <t>NUCLEO SALUD SPA</t>
  </si>
  <si>
    <t>DISTRIBUIDORA DE ARTICULOS MEDICOS Y DENTALES JUAN ALBERTO MORA MUNOZ E.I.R.L</t>
  </si>
  <si>
    <t>CENTRO DE LA VISION S.A.</t>
  </si>
  <si>
    <t>SOCIEDAD ALEJANDROS LIMITADA</t>
  </si>
  <si>
    <t>INVERSIONES HEVM LIMITADA</t>
  </si>
  <si>
    <t>NUEVA SANTA CATALINA S.A.</t>
  </si>
  <si>
    <t>INVERMED LTDA</t>
  </si>
  <si>
    <t>BIOHEIS SPA</t>
  </si>
  <si>
    <t>SOCIEDAD LOS MOLINOS SPA</t>
  </si>
  <si>
    <t>SOCIEDAD COMERCIAL NORFARMA LIMITADA</t>
  </si>
  <si>
    <t>IMPORTADORA Y COMERCIALIZADORA TODOMED SPA</t>
  </si>
  <si>
    <t>ONEWAY SPA</t>
  </si>
  <si>
    <t>COMERCIALIZADORA ROBINS CARRILLO SALAZAR E.I.R.L.</t>
  </si>
  <si>
    <t>COMERCIALIZADORA RAMP LIMITADA</t>
  </si>
  <si>
    <t>COMERCIALIZADORA Y DISTRIBUIDORA MIREYA VALLEJOS VALLCHILE EMPRESA IND</t>
  </si>
  <si>
    <t>INPUT MEDICAL SPA</t>
  </si>
  <si>
    <t>INSUMOS Y EQUIPOS MEDICOS KEP MEDICAL SPA</t>
  </si>
  <si>
    <t>SANASALUD CENTROS MEDICOS SA</t>
  </si>
  <si>
    <t>ECSA COMERCIAL LTDA</t>
  </si>
  <si>
    <t>DISTRIBUIDORA DE INSUMOS MEDICOS ALBURIMED SPA</t>
  </si>
  <si>
    <t>CAVIMED SALUD SPA</t>
  </si>
  <si>
    <t>CLINICA NUEVA COSTANERA SPA</t>
  </si>
  <si>
    <t>SKY-WALKERS SPA</t>
  </si>
  <si>
    <t>VALMA INSUMOS SPA</t>
  </si>
  <si>
    <t>CLINICA REGIONAL LIRCAY SPA</t>
  </si>
  <si>
    <t>DENTAL PLUS SPA</t>
  </si>
  <si>
    <t>DROGUERIA COMED SPA.</t>
  </si>
  <si>
    <t>EDUCACIÓN DEPORTE Y CULTURA EDDECU SPA</t>
  </si>
  <si>
    <t>GRUPO YOUSSEF SPA SPA</t>
  </si>
  <si>
    <t>CLICKMEDICAL SPA</t>
  </si>
  <si>
    <t>AC MEDICAL GROUP</t>
  </si>
  <si>
    <t>PRODUCTOS Y SERVICIOS CLINICOS DOMICILIARIOS P Y C SPA</t>
  </si>
  <si>
    <t>HOSPITAL SAN FRANCISCO PUCON SPA</t>
  </si>
  <si>
    <t>ORANGE RETAIL SPA</t>
  </si>
  <si>
    <t>DISTRIBUIDORA Y COMERCIADORA DE INSUMOS MEDICOS FULL ORTHO MEDIC LIMITADA</t>
  </si>
  <si>
    <t>BIOMATIC DE CHILE SPA</t>
  </si>
  <si>
    <t>COMERCIAL E &amp; E SPA</t>
  </si>
  <si>
    <t>M26 MARKETING SPA</t>
  </si>
  <si>
    <t>HEALTHMARKETS SPA</t>
  </si>
  <si>
    <t>INGENIERIA, SOPORTE Y CADENA DE SUMINISTRO SPA</t>
  </si>
  <si>
    <t>ASESORIA Y SERVICIOS MEDICOS NILSER MARIA SANTOS ALVARADO E.I.R.L.</t>
  </si>
  <si>
    <t>SANAMEDICAL SPA</t>
  </si>
  <si>
    <t>FARMACIA VETS SPA</t>
  </si>
  <si>
    <t>CENTRO MEDICO DENTAL SCALA LIMITADA</t>
  </si>
  <si>
    <t>DEVIT3K SPA</t>
  </si>
  <si>
    <t>TERAPIA Y SALUD</t>
  </si>
  <si>
    <t>MARAMAN SPA</t>
  </si>
  <si>
    <t>ALVARO ALEXYS TAPIA LARA VENTA AL POR MENOR DE OTROS PRODUCTOS EN COME</t>
  </si>
  <si>
    <t>MULTIVERSO</t>
  </si>
  <si>
    <t>NIMOBRU SPA</t>
  </si>
  <si>
    <t>INSUNOVO SPA</t>
  </si>
  <si>
    <t>OUTLET MEDICO SPA</t>
  </si>
  <si>
    <t>INVERSIONES INAVE SPA</t>
  </si>
  <si>
    <t>SERVICIOS MEDICOS Y LABORATORIO KORUMED LIMITADA</t>
  </si>
  <si>
    <t>LUZGOMED CHILE SPA</t>
  </si>
  <si>
    <t>SOCIEDAD COMERCIALIZADORA E IMPORTADORA HOUSE OTAZAM LIMITADA</t>
  </si>
  <si>
    <t>COMERCIALIZADORA DE INSUMOS MÉDICOS ANA MARCELA DE LOURDES ESPINOZA NA</t>
  </si>
  <si>
    <t>RADS SPA</t>
  </si>
  <si>
    <t>VIMED SPA</t>
  </si>
  <si>
    <t>B BROTHERS SPA</t>
  </si>
  <si>
    <t>SERVICIOS CLÍNICOS LIMITADA</t>
  </si>
  <si>
    <t>CLINICA VETERINARIA TOPCAT LIMITADA</t>
  </si>
  <si>
    <t>SERVIFRAP SPA</t>
  </si>
  <si>
    <t>EQUIPOS MEDICOS CHILE SPA</t>
  </si>
  <si>
    <t>ANESTESIA TORRES SPA</t>
  </si>
  <si>
    <t>PRODUCTOS Y SERVICIOS MEDICOS SPA</t>
  </si>
  <si>
    <t>CLÍNICA HUINGANAL SPA</t>
  </si>
  <si>
    <t>TRANSPORTES PENTACROM EXPRESS S.A</t>
  </si>
  <si>
    <t>SERVICIOS VETERINARIOS PAULA ANDREA GONZÁLEZ VALDERRAMA E.I.R.L.</t>
  </si>
  <si>
    <t>EXCELMED SPA</t>
  </si>
  <si>
    <t>CLINICA ALONSO DE CORDOVA SPA</t>
  </si>
  <si>
    <t>INSUMEDICAL SPA</t>
  </si>
  <si>
    <t>COMERCIAL CARANDAY SPA</t>
  </si>
  <si>
    <t>SOCIEDAD MEDICO QUIRURGICO ASMOR LTDA</t>
  </si>
  <si>
    <t>INSUMOS MÉDICOS CEAP SPA</t>
  </si>
  <si>
    <t>JFV SPA</t>
  </si>
  <si>
    <t>QUINTAMED SPA</t>
  </si>
  <si>
    <t>CLINICA DE CIRUGIA Y ESTETICA MAXILOFACIAL LIMITADA</t>
  </si>
  <si>
    <t>INSUMAX SPA</t>
  </si>
  <si>
    <t>SOCIEDAD DE SERVICIOS LIUCURA SPA</t>
  </si>
  <si>
    <t>CENTRO DE ENFERMERIA ACONCAGUA LTDA.</t>
  </si>
  <si>
    <t>SOCIEDAD MEDICA DEORUM ARS SPA</t>
  </si>
  <si>
    <t>SOCIEDAD DE PROFESIONALES VETERINARIOS LAGO PEÑUELAS LIMITADA</t>
  </si>
  <si>
    <t>SOCIEDAD DE PROFESIONALES VETERINARIOS PETHOUSE LIMITADA</t>
  </si>
  <si>
    <t>COMERCIALIZADORA SAFE CARE SPA</t>
  </si>
  <si>
    <t>SOCIEDAD MEDICO VETERINARIA PETROHUE LIMITADA</t>
  </si>
  <si>
    <t>INSUMOS MEDICOS JAVIERA TORREBLANCA MUÑOZ E.I.R.L.</t>
  </si>
  <si>
    <t>INSUMOS ÁNGELO ZAMORA E.I.R.L.</t>
  </si>
  <si>
    <t>COMERCIALIZADORA DE PRODUCTOS MEDICOS Y DEPORTIVOS PTM CHILE LIMITADA</t>
  </si>
  <si>
    <t>COMERCIALIZADORA AL POR MAYOR Y MENOR DE PRODUCTOS MEDICOS Y VETERINAR</t>
  </si>
  <si>
    <t>SERVICIOS DE SALUD CHILE AYR SPA</t>
  </si>
  <si>
    <t>ANESTESIAVET SPA</t>
  </si>
  <si>
    <t>CLINICA MAITENES</t>
  </si>
  <si>
    <t>LABORATORIO CLÍNICO SOCIEDAD COMERCIAL ROCOR LTDA</t>
  </si>
  <si>
    <t>AMSAB MEDICINA LTDA.</t>
  </si>
  <si>
    <t>DIPROLAB LTDA</t>
  </si>
  <si>
    <t>AEROCARDAL LTDA</t>
  </si>
  <si>
    <t>CLINICA AVANSALUD S.A.</t>
  </si>
  <si>
    <t>IMH S.A</t>
  </si>
  <si>
    <t>CODIMED CHILE LIMITADA</t>
  </si>
  <si>
    <t>UNIDAD DE DIALISIS HEMOSUR LTDA</t>
  </si>
  <si>
    <t>SOCIEDAD DE SERVICIOS MEDICOS QUIRURGICO LTDA.</t>
  </si>
  <si>
    <t>COMERCIAL ETHOS S.A.</t>
  </si>
  <si>
    <t>CLÍNICA  DE SALUD INTEGRAL S.A.</t>
  </si>
  <si>
    <t>ETHA DISTRIBUIDORA MÉDICA LTDA.</t>
  </si>
  <si>
    <t>EKIPOTEL CHILE S.A</t>
  </si>
  <si>
    <t>SERVICIOS MEDICOS OFTALMOLOGICOS CEOLA</t>
  </si>
  <si>
    <t>PV EQUIP S.A</t>
  </si>
  <si>
    <t>INMED S.A</t>
  </si>
  <si>
    <t>HOSPITAL CLINICO U.C.</t>
  </si>
  <si>
    <t>SOC PRO AYUDA DEL NINO LISIADO</t>
  </si>
  <si>
    <t>CONG PEQ OBRA DIVINA PROVIDENCIA</t>
  </si>
  <si>
    <t>SANATORIO MARITIMO SAN JUAN DE DIOS</t>
  </si>
  <si>
    <t>CLINICA SAN AGUSTIN S.A.</t>
  </si>
  <si>
    <t>INMED DROGUERIA LTDA.</t>
  </si>
  <si>
    <t>CLUB HIPICO DE SANTIAGO</t>
  </si>
  <si>
    <t>SOCIEDAD HIPODROMO CHILE S.A.</t>
  </si>
  <si>
    <t>CLINICA SANTA MARIA SPA</t>
  </si>
  <si>
    <t>SOCOFAR SA</t>
  </si>
  <si>
    <t>HEMISFERIO SUR S.A.</t>
  </si>
  <si>
    <t>SERVICIOS PROFESIONALES ANDRES BELLO SPA.</t>
  </si>
  <si>
    <t>CLINICA MAGALLANES S.P.A.</t>
  </si>
  <si>
    <t>CLINICA IQUIQUE S.A.</t>
  </si>
  <si>
    <t>INTERNATIONAL MEDICAL PRODUCTS</t>
  </si>
  <si>
    <t>CORPORACION MEDICA DE ARICA S.A.</t>
  </si>
  <si>
    <t>SOC MEDICA DE ESTABLECIMIENTOS CLINICOS DE SALUD S A</t>
  </si>
  <si>
    <t>ATM ALTA TECNOLOGIA MEDICA</t>
  </si>
  <si>
    <t>LABORATORIO DIAGNOMED S.A.</t>
  </si>
  <si>
    <t>CLINICA COLONIAL S.A.</t>
  </si>
  <si>
    <t>CLINICA ANDES SALUD EL LOA S.A.</t>
  </si>
  <si>
    <t>SERVICLINICA IQUIQUE S.A.</t>
  </si>
  <si>
    <t>CLINICA LOS COIHUES</t>
  </si>
  <si>
    <t>MEGASALUD S.A.</t>
  </si>
  <si>
    <t>NEPHROCARE CHILE S.A.</t>
  </si>
  <si>
    <t>LASER VISION CONCEPCION S.A</t>
  </si>
  <si>
    <t>CLINICA PORTADA</t>
  </si>
  <si>
    <t>CLINICA CUMBRES DE NORTE ANTOFAGASTA</t>
  </si>
  <si>
    <t>CEGAMED CHILE S.A.</t>
  </si>
  <si>
    <t>61004042K</t>
  </si>
  <si>
    <t>GENDARMERIA DE CHILE VI DIRECCION REGIONAL RANCAGUA</t>
  </si>
  <si>
    <t>61108000K</t>
  </si>
  <si>
    <t>CAJA DE PREVISION DE LA DEFENSA NACIONAL</t>
  </si>
  <si>
    <t>61601000K</t>
  </si>
  <si>
    <t>SUBSECRETARIA DE SALUD PUBLICA</t>
  </si>
  <si>
    <t>61602132K</t>
  </si>
  <si>
    <t>HOSPITAL SANTA FILOMENA DE GRANEROS</t>
  </si>
  <si>
    <t>61602146K</t>
  </si>
  <si>
    <t>HOSPITAL DE CHIMBARONGO</t>
  </si>
  <si>
    <t>61602194K</t>
  </si>
  <si>
    <t>HOSPITAL DE COELEMU</t>
  </si>
  <si>
    <t>61602244K</t>
  </si>
  <si>
    <t>HOSPITAL DE CUNCO</t>
  </si>
  <si>
    <t>61602261K</t>
  </si>
  <si>
    <t>HOSPITAL DE PUERTO OCTAY</t>
  </si>
  <si>
    <t>61602275K</t>
  </si>
  <si>
    <t>HOSPITAL DE CASTRO DR. AUGUSTO RIFFART</t>
  </si>
  <si>
    <t>61602292K</t>
  </si>
  <si>
    <t>HOSPITAL COCHRANE</t>
  </si>
  <si>
    <t>61602311K</t>
  </si>
  <si>
    <t>HOSPITAL CHAITEN</t>
  </si>
  <si>
    <t>61606200K</t>
  </si>
  <si>
    <t>61606309K</t>
  </si>
  <si>
    <t>HOSPITAL DE HUASCO</t>
  </si>
  <si>
    <t>61606407K</t>
  </si>
  <si>
    <t>HOSPITAL DE ILLAPEL</t>
  </si>
  <si>
    <t>61606908K</t>
  </si>
  <si>
    <t>HOSPITAL MOLINA</t>
  </si>
  <si>
    <t>61606911K</t>
  </si>
  <si>
    <t>HOSPITAL DE CONSTITUCION</t>
  </si>
  <si>
    <t>61607508K</t>
  </si>
  <si>
    <t>HOSPITAL RIO BUENO</t>
  </si>
  <si>
    <t>61607900K</t>
  </si>
  <si>
    <t>SS MAGALLANES</t>
  </si>
  <si>
    <t>61608108K</t>
  </si>
  <si>
    <t>SERVICIO DE SALUD SUR UNIDAD HOSPITALARI</t>
  </si>
  <si>
    <t>61608402K</t>
  </si>
  <si>
    <t>INSTITUTO NACIONAL DEL TORAX</t>
  </si>
  <si>
    <t>61608500K</t>
  </si>
  <si>
    <t>SERVICIO DE SALUD METROPOLITANO SUR ORIENTE</t>
  </si>
  <si>
    <t>61929100K</t>
  </si>
  <si>
    <t>DIRECCION ADMIN. SALUD MUNICIPAL FLORIDA</t>
  </si>
  <si>
    <t>61979270K</t>
  </si>
  <si>
    <t>61980080K</t>
  </si>
  <si>
    <t>HOSP DEL P SOCORRO QUILACAHUIN</t>
  </si>
  <si>
    <t>65001975K</t>
  </si>
  <si>
    <t>FUNDACION CHILENA DE ENFERMEDADES LISOSOMALES</t>
  </si>
  <si>
    <t>65061030K</t>
  </si>
  <si>
    <t>CENTRO DE REFERENCIA DE SALUD DE MAIPU</t>
  </si>
  <si>
    <t>65311270K</t>
  </si>
  <si>
    <t>CENTRO CLINICO MILITAR CONCEPCION</t>
  </si>
  <si>
    <t>69030600K</t>
  </si>
  <si>
    <t>MUNICIPALIDAD DE FREIRINA</t>
  </si>
  <si>
    <t>69050300K</t>
  </si>
  <si>
    <t>ILUSTRE MUNICIPALIDAD DE PAPUDO</t>
  </si>
  <si>
    <t>69071700K</t>
  </si>
  <si>
    <t>I MUNICIPALIDAD DE PENAFLOR</t>
  </si>
  <si>
    <t>69080400K</t>
  </si>
  <si>
    <t>69081000K</t>
  </si>
  <si>
    <t>69090800K</t>
  </si>
  <si>
    <t>I MUNICIPALIDAD DE PUMANQUE</t>
  </si>
  <si>
    <t>69091400K</t>
  </si>
  <si>
    <t>MUNICIPALIDAD LA ESTRELLA</t>
  </si>
  <si>
    <t>69180500K</t>
  </si>
  <si>
    <t>I MUNICIPALIDAD DE COLLIPULLI</t>
  </si>
  <si>
    <t>69190900K</t>
  </si>
  <si>
    <t>MUNICIPALIDAD FREIRE</t>
  </si>
  <si>
    <t>69200700K</t>
  </si>
  <si>
    <t>MUNICIPALIDAD FUTRONO</t>
  </si>
  <si>
    <t>69265000K</t>
  </si>
  <si>
    <t>MUNICIPALIDAD CHOLCHOL</t>
  </si>
  <si>
    <t>70770800K</t>
  </si>
  <si>
    <t>UNIVERSIDAD DE TARAPACA</t>
  </si>
  <si>
    <t>70931100K</t>
  </si>
  <si>
    <t>CORP MUNIC DE RENCA</t>
  </si>
  <si>
    <t>70932800K</t>
  </si>
  <si>
    <t>71500500K</t>
  </si>
  <si>
    <t>UNIVERSIDAD MAYOR</t>
  </si>
  <si>
    <t>71918300K</t>
  </si>
  <si>
    <t>UNIVERSIDAD CATOLICA DEL MAULE</t>
  </si>
  <si>
    <t>76037010K</t>
  </si>
  <si>
    <t>ORTODONCIA  MANQUEHUE LTDA</t>
  </si>
  <si>
    <t>76037430K</t>
  </si>
  <si>
    <t>SOCIEDAD MEDICA RACUM LIMITADA</t>
  </si>
  <si>
    <t>76098454K</t>
  </si>
  <si>
    <t>INTEGRAMEDICA S.A.</t>
  </si>
  <si>
    <t>76367603K</t>
  </si>
  <si>
    <t>76512686K</t>
  </si>
  <si>
    <t>DELTAMED LIMITADA</t>
  </si>
  <si>
    <t>76555831K</t>
  </si>
  <si>
    <t>76718218K</t>
  </si>
  <si>
    <t>COMERCIALIZADORA DE INSUMOS MEDICOS Y ORTOPEDICOS</t>
  </si>
  <si>
    <t>76739523K</t>
  </si>
  <si>
    <t>FARMANOSTICA SPA</t>
  </si>
  <si>
    <t>76758248K</t>
  </si>
  <si>
    <t>SOCIEDAD DE INVERSIONES BARCELONETA SPA</t>
  </si>
  <si>
    <t>76850721K</t>
  </si>
  <si>
    <t>76871990K</t>
  </si>
  <si>
    <t>NUEVA CLINICA CORDILLERA PREST.HOSPITALIZADAS S.A.</t>
  </si>
  <si>
    <t>76875179K</t>
  </si>
  <si>
    <t>SOLUMEDICA SOLUCIONES INTEGRALES SPA</t>
  </si>
  <si>
    <t>76938510K</t>
  </si>
  <si>
    <t>CLINICA ATACAMA</t>
  </si>
  <si>
    <t>77198052K</t>
  </si>
  <si>
    <t>CELLUS DIAGNOSTIX SPA</t>
  </si>
  <si>
    <t>77242437K</t>
  </si>
  <si>
    <t>TROPICAL BODY</t>
  </si>
  <si>
    <t>77339458K</t>
  </si>
  <si>
    <t>INSUMOS MÉDICOS VETERINARIOS</t>
  </si>
  <si>
    <t>77405832K</t>
  </si>
  <si>
    <t>77407029K</t>
  </si>
  <si>
    <t>QUANTUM BIOLOGICS SPA</t>
  </si>
  <si>
    <t>77518471K</t>
  </si>
  <si>
    <t>SERVICIOS CASTILLO CASTILLO LIMITADA</t>
  </si>
  <si>
    <t>78060400K</t>
  </si>
  <si>
    <t>EXXIMMED 2000 SPA</t>
  </si>
  <si>
    <t>81494400K</t>
  </si>
  <si>
    <t>UNIVERSIDAD DE CONCEPCIÓN</t>
  </si>
  <si>
    <t>96757080K</t>
  </si>
  <si>
    <t>96879440K</t>
  </si>
  <si>
    <t>SONORAD II S.A.</t>
  </si>
  <si>
    <t>HOSPITAL SAN CAMILO DE SAN FELIPE</t>
  </si>
  <si>
    <t>HOSPITAL SAN JOSÉ DE CORONEL</t>
  </si>
  <si>
    <t>HOSPITAL DE CURANILAHUE</t>
  </si>
  <si>
    <t>HOSPITAL VILLARRICA</t>
  </si>
  <si>
    <t>INSTITUTO PSIQUIÁTRICO DR. JOSÉ HORWITZ B.</t>
  </si>
  <si>
    <t>CONSULTORIO GENERAL URBANO VIOLETA PARRA</t>
  </si>
  <si>
    <t>CRS  DE PEÑALOLEN CORDILLERA ORIENTE</t>
  </si>
  <si>
    <t>MUNICIPALIDAD DE EL QUISCO</t>
  </si>
  <si>
    <t>ILUSTRE MUNICIPALIDAD DE LA UNIÓN</t>
  </si>
  <si>
    <t>ILUSTRE MUNICIPALIDAD DE CHILLAN VIEJO</t>
  </si>
  <si>
    <t>DIRECCION DE SALUD SAN PEDRO DE LA PAZ</t>
  </si>
  <si>
    <t>CLÍNICA ANDES SALUD CONCEPCIÓN S.A</t>
  </si>
  <si>
    <t>SERVICIOS MEDICOS TABANCURA S.P.A.</t>
  </si>
  <si>
    <t>CLÍNICA DÁVILA Y SERVICIOS MÉDICOS SPA</t>
  </si>
  <si>
    <t>CLÍNICA ANDES SALUD PUERTO MONTT S.A</t>
  </si>
  <si>
    <t>CLINICA VESPUCIO SPA</t>
  </si>
  <si>
    <t>UC CHRISTUS SERVICIOS CLÍNICOS SPA.</t>
  </si>
  <si>
    <t>EMPRESA DE SERV. EXTERNOS ACHS S.A.</t>
  </si>
  <si>
    <t>HOSPITAL ADRIANA COUSIÑO DE QUINTERO</t>
  </si>
  <si>
    <t>CENTRO MÉDICO HTS SPA</t>
  </si>
  <si>
    <t>EVELYN ARANDA ARANDA</t>
  </si>
  <si>
    <t>CENTRAL ODONTOLÓGICA DEL EJÉRCITO - COE</t>
  </si>
  <si>
    <t>HOSPITAL SAN FRANCISCO DE LLAY LLAY</t>
  </si>
  <si>
    <t>HOSPITAL COINCO</t>
  </si>
  <si>
    <t>HOSPITAL DE NANCAGUA</t>
  </si>
  <si>
    <t>HOSPITAL DE TRAIGUÉN</t>
  </si>
  <si>
    <t>HOSPITAL TOLTÉN</t>
  </si>
  <si>
    <t>HOSPITAL PUERTO CISNES</t>
  </si>
  <si>
    <t>SERVICIO DE SALUD ARICA HOSPITAL DR. JUAN NOÉ CREVANI</t>
  </si>
  <si>
    <t>SERVICIO DE SALUD IQUIQUE.</t>
  </si>
  <si>
    <t>SERVICIO DE SALUD ATACAMA</t>
  </si>
  <si>
    <t>HOSPITAL PETORCA</t>
  </si>
  <si>
    <t>HOSPITAL MODULAR SAN ANTONIO DE PUTAENDO</t>
  </si>
  <si>
    <t>HOSPITAL DE CURICO</t>
  </si>
  <si>
    <t>HOSPITAL SAN JUAN DE DIOS DE CAUQUENES</t>
  </si>
  <si>
    <t>HOSPITAL PARRAL</t>
  </si>
  <si>
    <t>HOSPITAL DE QUIRIHUE</t>
  </si>
  <si>
    <t>HOSPITAL DE LANCO</t>
  </si>
  <si>
    <t>HOSPITAL TIL-TIL</t>
  </si>
  <si>
    <t>HOSPITAL SAN LUIS</t>
  </si>
  <si>
    <t>HOSPITAL ANCUD SERVICIO DE SALUD CHILOE</t>
  </si>
  <si>
    <t>CENTRO METROPOLITANO DE ATENCIÓN PREHOSPITALARIA</t>
  </si>
  <si>
    <t>IMUNICIPALIDAD DE RIO HURTADO</t>
  </si>
  <si>
    <t>ILUSTRE MUNICIPALIDAD DE ZAPALLAR</t>
  </si>
  <si>
    <t>ILUSTRE MUNICIPALIDAD DE CATEMU</t>
  </si>
  <si>
    <t>ILUSTRE MUNICIPALIDAD DE SANTO DOMINGO</t>
  </si>
  <si>
    <t>ILUSTRE MUNICIPALIDAD DE PICHIDEGUA</t>
  </si>
  <si>
    <t>ILUSTRE MUNICIPALIDAD DE MALLOA</t>
  </si>
  <si>
    <t>ILUSTRE MUNICIPALIDAD DE PLACILLA</t>
  </si>
  <si>
    <t>ILUSTRE MUNICIPALIDAD DE RÍO CLARO</t>
  </si>
  <si>
    <t>ILUSTRE MUNICIPALIDAD DE VILLA ALEGRE SALUD</t>
  </si>
  <si>
    <t>MUNICIPALIDAD DE YERBAS BUENAS</t>
  </si>
  <si>
    <t>I. MUNICIPALIDAD DE NINHUE - DEPTO. DE SALUD</t>
  </si>
  <si>
    <t>ILUSTRE MUNICIPALIDAD DE HUALQUI - SALUD</t>
  </si>
  <si>
    <t>ILUSTRE MUNICIPALIDAD DE CURANILAHUE</t>
  </si>
  <si>
    <t>ILUSTRE MUNICIPALIDAD DE TIRÚA</t>
  </si>
  <si>
    <t>ILUSTRE MUNICIPALIDAD DE PAILLACO</t>
  </si>
  <si>
    <t>I MUNICIPALIDAD DE PURRANQUE</t>
  </si>
  <si>
    <t>ILUSTRE MUNICIPALIDAD DE FRESIA</t>
  </si>
  <si>
    <t>MUNICIPALIDAD DE FRUTILLAR</t>
  </si>
  <si>
    <t>ILUSTRE MUNICIPALIDAD DE LOS MUERMOS</t>
  </si>
  <si>
    <t>IMUNICIPALIDAD DE LO BARNECHEA</t>
  </si>
  <si>
    <t>I. MUNICIPALIDAD DE VITACURA</t>
  </si>
  <si>
    <t>ILUSTRE MUNICIPALIDAD DE TREHUACO</t>
  </si>
  <si>
    <t>CORPORACION MUNICIPAL DEL PEÑALOLEN</t>
  </si>
  <si>
    <t>FERNANDA VIEYRA SPA</t>
  </si>
  <si>
    <t>CLÍNICA ODONTOLÓGICA SONRÍE LTDA</t>
  </si>
  <si>
    <t xml:space="preserve"> COPROLAN LIMITADA</t>
  </si>
  <si>
    <t>SOCIEDAD SERVICIOS ODONTOLÓGICOS PAREDES Y PAREDES LTDA.</t>
  </si>
  <si>
    <t>HOSPITAL DOCENTE VETERINARIO UNIVERSIDAD MAYOR SPA</t>
  </si>
  <si>
    <t>SOCIEDAD COMERCIAL E INVERSIONES SIERRA BELLA LTDA.</t>
  </si>
  <si>
    <t>CENTRO VETERINARIO ALEMÁN KLEINTIERKLINIK LIMITADA.</t>
  </si>
  <si>
    <t>ARTÍCULOS MEDICOS Y QUIRÚRGICOS CHILE S.A.</t>
  </si>
  <si>
    <t>COMERCIALIZADORA ILHABELLA EIRL</t>
  </si>
  <si>
    <t>SERCOMIN SPA</t>
  </si>
  <si>
    <t>SERVICIOS MEDICOS JORGE CORDERO ORELLANA Y CIA LTDA</t>
  </si>
  <si>
    <t>RTSALUD LIMITADA</t>
  </si>
  <si>
    <t>SOCIEDAD COMERCIAL EXPORTADORA Y DE INVERSIONES SOCOSEP S.A.</t>
  </si>
  <si>
    <t>SEGURIDAD Y SALUD SUR LTDA.</t>
  </si>
  <si>
    <t>GLOBALMED SPA</t>
  </si>
  <si>
    <t>PRISA LOGISTICA S.A.</t>
  </si>
  <si>
    <t>SOC. FARM. Y COMERCIAL PATRICIO MONTECINO EIRL</t>
  </si>
  <si>
    <t>SERVICIOS DE DIAGNÓSTICOS VETERINARIOS SPA</t>
  </si>
  <si>
    <t>ANDES INVESTMENTS SANTIAGO S.A.</t>
  </si>
  <si>
    <t>GRUPO ORINOCO LIMITADA</t>
  </si>
  <si>
    <t>SERVICIOS PROFESIONALES PETER SWUAN LIMITADA</t>
  </si>
  <si>
    <t>CLINICA EDEM SPA</t>
  </si>
  <si>
    <t>ARIEL MATAMALA DÍAZ INVERSIONES EIRL</t>
  </si>
  <si>
    <t>INMUNOMEDICA ECOGRAFIA CHILLAN</t>
  </si>
  <si>
    <t>SOCIEDAD CLÍNICA VIDA ESTÉTICA SPA</t>
  </si>
  <si>
    <t>CV SALUD SPA</t>
  </si>
  <si>
    <t>MUNZENMAYER NUÑEZ MAXILOFACIAL LTDA.</t>
  </si>
  <si>
    <t>SOCIEDAD GABRIEL ACUÑA Y CIA LIMITADA</t>
  </si>
  <si>
    <t>STEP OF LIFE LTDA</t>
  </si>
  <si>
    <t>LEAL Y GUERRA SPA</t>
  </si>
  <si>
    <t>B&amp;B MANTENCIONES SPA.</t>
  </si>
  <si>
    <t>PROYECTO 360 LTDA</t>
  </si>
  <si>
    <t>CASA SALUD SPA</t>
  </si>
  <si>
    <t>LABORATORIO MEDICTEST SPA</t>
  </si>
  <si>
    <t>CLINICA CELLUS SPA</t>
  </si>
  <si>
    <t>SOCIEDAD COMERCIAL Y DE SERVICIOS CLÍNICOS INTEGRADOS SPA.</t>
  </si>
  <si>
    <t>NUTRICIÓN Y SALUD DANIEL ALONSO GARRIDO HERNANDEZ E.I.R.L</t>
  </si>
  <si>
    <t>SERVICIOS DE SALUD Y ASESORÍAS INTEGRALES LTDA</t>
  </si>
  <si>
    <t>VENSUAR NEUROLOGÍA VETERINARIA SPA</t>
  </si>
  <si>
    <t>MEKS PRESTACIONES CLINICAS SPA</t>
  </si>
  <si>
    <t>CLÍNICA PLANAS SPA</t>
  </si>
  <si>
    <t>SOCIALMEDIC SPA</t>
  </si>
  <si>
    <t>MEDIC HOME SPA</t>
  </si>
  <si>
    <t>DUOMO SALUD SPA</t>
  </si>
  <si>
    <t>COMERCIAL CEQUIVET SPA</t>
  </si>
  <si>
    <t>SEVENVET SPA</t>
  </si>
  <si>
    <t>LEBLON PLASTIC SURGERY SPA</t>
  </si>
  <si>
    <t>COMERCIALIZADORA Y DISTRIBUIDORA VASSAN LTDA</t>
  </si>
  <si>
    <t>KLÍNICA LEÓN SPA</t>
  </si>
  <si>
    <t>CLÍNICA VETERINARIA AUSTRAL SPA</t>
  </si>
  <si>
    <t>ARTMEDICAL SPA</t>
  </si>
  <si>
    <t>PACIFIC HEALTH CARE LTDA</t>
  </si>
  <si>
    <t>SERVICIOS DE SALUD CAROLINA PANZA E.I.R.L</t>
  </si>
  <si>
    <t>KHV PRODUCTOS Y SERVICIOS SPA</t>
  </si>
  <si>
    <t>SERVICIOS ASESORIAS FINANCIERAS LTDA.</t>
  </si>
  <si>
    <t>SOCIAL INTERMEDICA LTDA</t>
  </si>
  <si>
    <t>SOCOFAR S.A. AGENCIA EN CHILE</t>
  </si>
  <si>
    <t>RECETARIO MAGISTRAL ENDOVENOSO</t>
  </si>
  <si>
    <t>CLINICA CLEVER SALUD LTDA</t>
  </si>
  <si>
    <t>CENTROS MÉDICOS Y DENTALES MULTIMED LTDA</t>
  </si>
  <si>
    <t>SERVICIOS MÉDICOS DE DIÁLISIS LTDA</t>
  </si>
  <si>
    <t>KYCHENTHAL MEDICOS ASOCIADOS LTDA</t>
  </si>
  <si>
    <t>CENTRO DE DIAGNÓSTICO DIGESTIVO LIMITADA</t>
  </si>
  <si>
    <t>MEDIPLEX S.A</t>
  </si>
  <si>
    <t>SERVICIOS Y ABASTECIMIENTOS A CLÍNICAS S.A.</t>
  </si>
  <si>
    <t>CLINICA EUROPA SPA</t>
  </si>
  <si>
    <t>TECNIKA S.A.</t>
  </si>
  <si>
    <t>CENTRO VETERINARIO INTEGRAL SA</t>
  </si>
  <si>
    <t>DIRECCIÓN SERVICIO DE SALUD ANTOFAGASTA</t>
  </si>
  <si>
    <t>HOSPITAL HANGA ROA</t>
  </si>
  <si>
    <t>ILUSTRE MUNICIPALIDAD DE CODEGUA</t>
  </si>
  <si>
    <t>MUNICIPALIDAD DE SAN VICENTE DE TAGUA TAGUA</t>
  </si>
  <si>
    <t>CORPORACIÓN MUNICIPAL DE DESARROLLO SOCIAL DE ÑUÑOA</t>
  </si>
  <si>
    <t>SOCIEDAD ODONTOLÓGICA KENNEDY ORIENTE LTDA</t>
  </si>
  <si>
    <t>EXPORTACIONES IMPORTACIONES DISTIRBUIDORA KAREM CHILE SPA</t>
  </si>
  <si>
    <t>SOCIEDAD MÉDICA Y DE INVERSIONES RODRÍGUEZ Y RODRÍGUEZ SPA</t>
  </si>
  <si>
    <t>INNOVACIÓN Y CALIDAD EN SALUD PATRICIO LOBOS EIRL</t>
  </si>
  <si>
    <t>C.G.M NUCLEAR S.A.</t>
  </si>
  <si>
    <t>GENDARMERIA DE CHILE</t>
  </si>
  <si>
    <t>HOSPITAL PUREN</t>
  </si>
  <si>
    <t>HOSPITAL FUTALEUFU</t>
  </si>
  <si>
    <t>HOSPITAL CHILE CHICO</t>
  </si>
  <si>
    <t>HOSPITAL ALTO PALENA</t>
  </si>
  <si>
    <t>HOSPITAL GERIATRICO LA PAZ DE TARDE</t>
  </si>
  <si>
    <t>HOSPITAL SANTA BARBARA</t>
  </si>
  <si>
    <t>SERVICIO DE SALUD LOS RIOS</t>
  </si>
  <si>
    <t>HOSPITAL CORRAL</t>
  </si>
  <si>
    <t>SS CHILOE</t>
  </si>
  <si>
    <t>CESFAM LLAY LLAY</t>
  </si>
  <si>
    <t>FUNDACION SALUD Y FAMILIA</t>
  </si>
  <si>
    <t>MUNICIPALIDAD PAIHUANO</t>
  </si>
  <si>
    <t>MUNICIPALIDAD SALAMANCA</t>
  </si>
  <si>
    <t>MUNICIPALIDAD LOS VILOS</t>
  </si>
  <si>
    <t>MUNIC DE PUTAENDO</t>
  </si>
  <si>
    <t>I MUNICIPALIDAD DE PANQUEHUE</t>
  </si>
  <si>
    <t>MUNIC LAS CABRAS</t>
  </si>
  <si>
    <t>MUNICIPALIDAD DE OLIVAR</t>
  </si>
  <si>
    <t>MUNICIPALIDAD LOLOL</t>
  </si>
  <si>
    <t>MUNIC PALMILLA</t>
  </si>
  <si>
    <t>MUNICIPALIDAD EMPEDRADO</t>
  </si>
  <si>
    <t>MUNIC PORTEZUELO DEPTO SALUD</t>
  </si>
  <si>
    <t>69150901K</t>
  </si>
  <si>
    <t>MUNICIPALIDAD YUMBEL</t>
  </si>
  <si>
    <t>MUNICIPALIDAD SANTA JUANA</t>
  </si>
  <si>
    <t>ILUSTRE MUNICIPALIDAD DE CAÑTE</t>
  </si>
  <si>
    <t>MUNICIPALIDAD LAJA</t>
  </si>
  <si>
    <t>MUNIC.TRAIGUEN</t>
  </si>
  <si>
    <t>69181100K</t>
  </si>
  <si>
    <t>MUNIC.LONQUIMAY</t>
  </si>
  <si>
    <t>MUNIC.GALVARINO</t>
  </si>
  <si>
    <t>69220302K</t>
  </si>
  <si>
    <t>MUNIC LLANQUIHUE</t>
  </si>
  <si>
    <t>MUNIC MAULLIN</t>
  </si>
  <si>
    <t>MUNIC CHAITEN</t>
  </si>
  <si>
    <t>MUNICIPALIDAD PUTRE</t>
  </si>
  <si>
    <t>MUNIC SAN GREGORIO</t>
  </si>
  <si>
    <t>MUNIC SAN PEDRO DE ATACAMA</t>
  </si>
  <si>
    <t>MUNICIPALIDAD LA PINTANA</t>
  </si>
  <si>
    <t>MUNICIPALIDAD ESTACION CENTRAL</t>
  </si>
  <si>
    <t>CORP MUNIC DE PUDAHUEL</t>
  </si>
  <si>
    <t>UNIVERSIDAD NACIONAL ANDRES BELLO</t>
  </si>
  <si>
    <t>CORP SALUD Y DES SOC CONCEPCION</t>
  </si>
  <si>
    <t>DIRECCION DE SALUD DE CARABINEROS DE CHILE</t>
  </si>
  <si>
    <t>ESTERILIZACION INTEGRAL CENCOMEX S.A.</t>
  </si>
  <si>
    <t>SERVICIOS MEDICOS OFTALMOLOGICOS CEOLA- LOS ANGELES</t>
  </si>
  <si>
    <t>SERVICIOS Y PRODUCTOS EDUCATIVOS CRISOL LIMITADA</t>
  </si>
  <si>
    <t>COMERCIAL MEDEXIN SPA</t>
  </si>
  <si>
    <t>77035627K</t>
  </si>
  <si>
    <t>QUALITY SPA</t>
  </si>
  <si>
    <t>IMÁS EQUIPAMIENTO E INSUMOS MÉDICOS SPA</t>
  </si>
  <si>
    <t>ROCA SERVICIOS MÉDICOS Y ENFERMERÍA LIMITADA</t>
  </si>
  <si>
    <t>CENTRO MEDICO OCHAGAVIA SPA.</t>
  </si>
  <si>
    <t>GERARDO ANTONIO VEGA NEIRA</t>
  </si>
  <si>
    <t>SOCIEDAD ENDOSCOPIA CLÍNICA LINARES SPA</t>
  </si>
  <si>
    <t>FARMAPLUS CHILE SPA.</t>
  </si>
  <si>
    <t>CLÍNICA ALMIRANTE PASTENE SPA</t>
  </si>
  <si>
    <t>CENTRO MÉDICO DRA. EDELWEISS MAYR SPA</t>
  </si>
  <si>
    <t>GENDARMERIA DE CHILE DIRECCION REGIONAL CONCEPCION</t>
  </si>
  <si>
    <t>IMPORTADORA Y COMERCIALIZADORA COMU SPA</t>
  </si>
  <si>
    <t>77436921K</t>
  </si>
  <si>
    <t>BIO HEALTH SPA</t>
  </si>
  <si>
    <t>MAYERS SALUD Y TECNOLOGIA SPA</t>
  </si>
  <si>
    <t>ILUSTRE MUNICIPALIDAD DE ALTO DEL CARMEN</t>
  </si>
  <si>
    <t>I MUNICIPALIDAD DE ALHUE</t>
  </si>
  <si>
    <t>I MUNICIPALIDAD DE PENCAHUE</t>
  </si>
  <si>
    <t>INSUCHILE SPA</t>
  </si>
  <si>
    <t>SERVICIO DE SALUD SUR HOSPITAL SANATORIO</t>
  </si>
  <si>
    <t>76768780k</t>
  </si>
  <si>
    <t>NOVOSALUD SPA</t>
  </si>
  <si>
    <t>CENTRO DE EDUCACION Y TRABAJO COLINA I</t>
  </si>
  <si>
    <t>I MUNICIPALIDAD DE MARIA</t>
  </si>
  <si>
    <t>SERVICIO DE SALUD AYSEN CARLOS IBANEZ DEL CAMPO</t>
  </si>
  <si>
    <t>CLINICA MEDICAL HOME CHILE LIMITADA</t>
  </si>
  <si>
    <t>SDOS LTDA</t>
  </si>
  <si>
    <t>61102004K</t>
  </si>
  <si>
    <t>Ivª Brigada Aérea</t>
  </si>
  <si>
    <t>Servicio De Salud Aconcagua</t>
  </si>
  <si>
    <t>Servicio Nacional De Protección Especializada A La Niñez Y Adolescenci</t>
  </si>
  <si>
    <t>Ejercito De Chile</t>
  </si>
  <si>
    <t>I Municipalidad De La Serena</t>
  </si>
  <si>
    <t>I Municipalidad De Vichuquen</t>
  </si>
  <si>
    <t>I Municipalidad De Yungay</t>
  </si>
  <si>
    <t>I Municipalidad De Sierra Gorda</t>
  </si>
  <si>
    <t>Universidad Arturo Prat</t>
  </si>
  <si>
    <t>Municipalidad De Pemuco - Salud</t>
  </si>
  <si>
    <t>Universidad De La Frontera</t>
  </si>
  <si>
    <t>Dirección De Abastecimiento De La Armada</t>
  </si>
  <si>
    <t>VIDDAQA SPA</t>
  </si>
  <si>
    <t>JOSE BORTNIK Y CIA LTDA</t>
  </si>
  <si>
    <t>Sasf Comercial Ltda</t>
  </si>
  <si>
    <t>I MUNICIPALIDAD DE RENAICO</t>
  </si>
  <si>
    <t>77815689K</t>
  </si>
  <si>
    <t>77249212K</t>
  </si>
  <si>
    <t>CRONIC CARE SPA</t>
  </si>
  <si>
    <t>LUIS IGNACIO HUMBERTO ROASENDA SEGUEL</t>
  </si>
  <si>
    <t>MUNICIPALIDAD PICA</t>
  </si>
  <si>
    <t>UNIVERSIDAD SEK</t>
  </si>
  <si>
    <t>ROCARITES SPA</t>
  </si>
  <si>
    <t>CENTRO DE ENFERMERÍA ESPECIALIZADA DOMINURSING LIMITADA</t>
  </si>
  <si>
    <t>SUR SPA</t>
  </si>
  <si>
    <t>MUNICIPALIDAD DE TOLTEN</t>
  </si>
  <si>
    <t>ANDES INVESTMENTS SANTIAGO TRES S.A.</t>
  </si>
  <si>
    <t>CORP NACIONAL FORESTAL</t>
  </si>
  <si>
    <t>FARMACIA SETOP PHARMA LTDA</t>
  </si>
  <si>
    <t>MIUNICIPALIDAD DE ANTUCO</t>
  </si>
  <si>
    <t>CLINICA CATH</t>
  </si>
  <si>
    <t>I MUNICIPALIDAD DE CALAMA</t>
  </si>
  <si>
    <t>MUNICIPALIDAD DE LITUECHE</t>
  </si>
  <si>
    <t>Servicios Médico Veterinarios Integrales SpA</t>
  </si>
  <si>
    <t>CENTRO CLINICO MILITAR VALDIVIA</t>
  </si>
  <si>
    <t>69020200K</t>
  </si>
  <si>
    <t>UNIVERSIDAD DE OHIGGINS</t>
  </si>
  <si>
    <t>CORP MUNIC LO PRADO</t>
  </si>
  <si>
    <t>FUERZA AEREA DE CHILE COMANDO LOGISTICO</t>
  </si>
  <si>
    <t>SOCIEDAD CMA SPA</t>
  </si>
  <si>
    <t>UNIVERSIDAD DE ANTOFAGASTA</t>
  </si>
  <si>
    <t>CLINICA VETERINARIA MASTER VET SPA</t>
  </si>
  <si>
    <t>EVERGREEN HEALTH SPA</t>
  </si>
  <si>
    <t>77490090k</t>
  </si>
  <si>
    <t>SERVICIOS MEDICOS REDMEDICA LTDA</t>
  </si>
  <si>
    <t>59106780k</t>
  </si>
  <si>
    <t>GLOBAL HEALTHCARE CHILE LP</t>
  </si>
  <si>
    <t>MV Julio Gabriel Zúñiga Arangua EIRL</t>
  </si>
  <si>
    <t>JORGE CONTRERAS VEGA Y CIA LTDA</t>
  </si>
  <si>
    <t>IMPORTADORA NECGROUP SPA</t>
  </si>
  <si>
    <t>Importadora Motac SPA</t>
  </si>
  <si>
    <t>CLINICA PLUSDENTAL</t>
  </si>
  <si>
    <t>ARRIENDOS Y CAPACITACIÓN TUBOX LIMITADA</t>
  </si>
  <si>
    <t>SUPPLIES MED CHILE SPA</t>
  </si>
  <si>
    <t>COMERCIALIZADORA COPROCK LTDA.</t>
  </si>
  <si>
    <t>GENDARMERIA DE CHILE DIRECCION REGIONAL DE COQUIMBO</t>
  </si>
  <si>
    <t>XIV ZONA DE CARABINEROS LOS RIOS</t>
  </si>
  <si>
    <t>99554220K</t>
  </si>
  <si>
    <t>CLINICA MIGUEL CLARO</t>
  </si>
  <si>
    <t>DIVISION DE BIENESTAR SOCIAL DE LA FUERZA AEREA DE CHILE</t>
  </si>
  <si>
    <t>INSTITUTO OFTALMOLOGICO PUERTA DEL SOL S.A.</t>
  </si>
  <si>
    <t>69151000K</t>
  </si>
  <si>
    <t>I MUNICIPALIDAD DE CABRERO</t>
  </si>
  <si>
    <t>61978510K</t>
  </si>
  <si>
    <t>POLÍCLINICO MÉDICO - DENTAL</t>
  </si>
  <si>
    <t>UNIVERSIDAD DE PLAYA ANCHA DE CIENCIAS DE LA EDUCACION</t>
  </si>
  <si>
    <t>EXAMENES DE LABORATORIO S A</t>
  </si>
  <si>
    <t>RECUPAC S.A</t>
  </si>
  <si>
    <t>DIRECCION REGIONAL ARICA Y PARINACOTA</t>
  </si>
  <si>
    <t>I MUNICIPALIDAD DE VICUNA</t>
  </si>
  <si>
    <t>Red Nacional de Centros médicos y de diálisis S.A.</t>
  </si>
  <si>
    <t>GENDARMERIA DE CHILE DIRECCION REGIONAL DE ÑUBLE</t>
  </si>
  <si>
    <t>Servicios e Insumos Médicos SPA</t>
  </si>
  <si>
    <t>Ellen Store Comercialializadora</t>
  </si>
  <si>
    <t>Servicios Veterinarios Roberto Rereque Candia E.I.R.L</t>
  </si>
  <si>
    <t>I MUNICIPALIDAD DE IQUIQUE</t>
  </si>
  <si>
    <t>BIOUP SPA</t>
  </si>
  <si>
    <t>CENTRO RENAL SPA</t>
  </si>
  <si>
    <t>CLINICA PUERTO VARAS</t>
  </si>
  <si>
    <t>CENTRO DE DIALISIS OSMODIAL LTDA.</t>
  </si>
  <si>
    <t>777492101 </t>
  </si>
  <si>
    <t>CENTRO DE BIOTECNOLOGIA Y BIOMEDICINA SPA</t>
  </si>
  <si>
    <t>CLINICA SAN PEDRO LTDA.</t>
  </si>
  <si>
    <t>CENTRO MEDICO LIRAY</t>
  </si>
  <si>
    <t>78464300K</t>
  </si>
  <si>
    <t>COMERCIAL SERVICOPIER SPA</t>
  </si>
  <si>
    <t>BIOCLIN S.A.</t>
  </si>
  <si>
    <t>CIP CRC PUERTO MONTT</t>
  </si>
  <si>
    <t>CENTRO DE DIALISIS ARAUCANIA LTDA</t>
  </si>
  <si>
    <t>CLINICA HOGAR BUENA SALUD SPA</t>
  </si>
  <si>
    <t>CENTRO MEDICO SAN DIEGO SPA</t>
  </si>
  <si>
    <t>CENTRO DE INSTRUCCION Y CAPACITACION MARITIMA</t>
  </si>
  <si>
    <t>CELLUS MEDICINA REGENERATIVA SA</t>
  </si>
  <si>
    <t>CENTRO RADIOLOGICO EL TAMARUGAL</t>
  </si>
  <si>
    <t>CENTRAL DE ABASTECIMIENTO S.N.S.S CENABAST</t>
  </si>
  <si>
    <t>CLAUDIO ALVAREZ URRA</t>
  </si>
  <si>
    <t>EJERCITO DE CHILE</t>
  </si>
  <si>
    <t>BOTIQUINES A DOMICILIO SPA</t>
  </si>
  <si>
    <t>77849650K</t>
  </si>
  <si>
    <t>CLINICA Y CENTRO MEDICO DELGADO LTDA</t>
  </si>
  <si>
    <t>CENTRO DE FORMACION TECNICA DE LA REGION DE TARAPA</t>
  </si>
  <si>
    <t>COMERCIALIZADORA ARTICULOS HOSPITALARIOS LTDA.</t>
  </si>
  <si>
    <t>CLINICAL MARKET S.A</t>
  </si>
  <si>
    <t>CLINICA SANATORIO ALEMAN</t>
  </si>
  <si>
    <t>CLINICA ODONTOLOGICA WHITTLE</t>
  </si>
  <si>
    <t>CENTRO DE FORMACION TECNICA ESTATAL DE LA REGION DE VALPARAISO</t>
  </si>
  <si>
    <t>COM. LUIS GABRIEL HERNANDEZ EIRL</t>
  </si>
  <si>
    <t>BUPA SERVICIOS DE SALUD SPA</t>
  </si>
  <si>
    <t>77326113K</t>
  </si>
  <si>
    <t>CLINICA DENTAL ROJOS SPA</t>
  </si>
  <si>
    <t>CARLOS IGNACIO ARANCIBIA BARRENECHEA</t>
  </si>
  <si>
    <t>CENTRO DE FORMACION TECNICA DE LA REGION DE COQUIMBO</t>
  </si>
  <si>
    <t>COLEGIO AMERICANO CE</t>
  </si>
  <si>
    <t>CAMARA DE DIPUTADOS DE CHILE</t>
  </si>
  <si>
    <t>CARDIOTEC VASCULAR LTDA</t>
  </si>
  <si>
    <t>BIOTECNOLOGIA SUSTENTABLE INNOVACELL</t>
  </si>
  <si>
    <t>CIRUJANOS DENTISTA LTDA.</t>
  </si>
  <si>
    <t>CENTRO RADIOLOGICO TALCA LIMITADA</t>
  </si>
  <si>
    <t>CENTRO MEDICO Y ODONTOLOGICO ALCARDENT LIMITADA</t>
  </si>
  <si>
    <t>CENTRO MEDICO BIOQUANTUM LTDA</t>
  </si>
  <si>
    <t>CLINICAL PLUS SPA</t>
  </si>
  <si>
    <t>Macrozona de salud santiago centro sur</t>
  </si>
  <si>
    <t>INSUMOS CLINICOS CYV</t>
  </si>
  <si>
    <t>Clínica NEO Spa</t>
  </si>
  <si>
    <t>I MUNICIPALIDAD DE CHILE CHICO</t>
  </si>
  <si>
    <t>DRA. ANDREA GARCIA RUIZ SERVICIOS MEDICOS SPA</t>
  </si>
  <si>
    <t>CENTRO DE ESPECIALIDADES MEDICAS OHIGGINS SPA</t>
  </si>
  <si>
    <t>COMERCIALIZADORA DE PRODUCTOS DENTALES Y MEDICOS LTDA</t>
  </si>
  <si>
    <t>ESPECIALIDADES ODONTOLOGICAS MORA PAVIC S.A.</t>
  </si>
  <si>
    <t>IMPORTADORA Y DISTRIBUIDORA ARQUIMED LTDA</t>
  </si>
  <si>
    <t>AMPUERO TOVAR SERVICIOS ESTETICOS SPA</t>
  </si>
  <si>
    <t>Sociedad Veterinaria Alto El Loa Ltda</t>
  </si>
  <si>
    <t>Soc. Comercial Pharos Spa.</t>
  </si>
  <si>
    <t>Comercializadora JJE SpA</t>
  </si>
  <si>
    <t>CENTRO CLINICO MILITAR COYHAIQUE</t>
  </si>
  <si>
    <t>Quintavet SPA</t>
  </si>
  <si>
    <t>AUNFLUX IMPORTADORA LIMITADA</t>
  </si>
  <si>
    <t>SOCIALVET</t>
  </si>
  <si>
    <t>83733800K</t>
  </si>
  <si>
    <t>GOODLUCKY SPA</t>
  </si>
  <si>
    <t>MOTA MASCOTA SPA</t>
  </si>
  <si>
    <t>FARMACIA PRAT LTDA</t>
  </si>
  <si>
    <t>JUNTA NACIONAL DE JARDINES INFANTILES</t>
  </si>
  <si>
    <t>Rut Facturador</t>
  </si>
  <si>
    <t>61602212-1</t>
  </si>
  <si>
    <t>61602236-9</t>
  </si>
  <si>
    <t>61606404-5</t>
  </si>
  <si>
    <t>61606913-6</t>
  </si>
  <si>
    <t>62000830-3</t>
  </si>
  <si>
    <t>69010100-9</t>
  </si>
  <si>
    <t>69141300-4</t>
  </si>
  <si>
    <t>69150502-2</t>
  </si>
  <si>
    <t>69254800-0</t>
  </si>
  <si>
    <t>69255300-4</t>
  </si>
  <si>
    <t>69261400-3</t>
  </si>
  <si>
    <t>69264700-9</t>
  </si>
  <si>
    <t>69265100-6</t>
  </si>
  <si>
    <t>61602138-9</t>
  </si>
  <si>
    <t>61602141-9</t>
  </si>
  <si>
    <t>61606100-3</t>
  </si>
  <si>
    <t>61606500-9</t>
  </si>
  <si>
    <t>61608205-1</t>
  </si>
  <si>
    <t>61608406-2</t>
  </si>
  <si>
    <t>69041200-4</t>
  </si>
  <si>
    <t>69070100-6</t>
  </si>
  <si>
    <t>70938800-2</t>
  </si>
  <si>
    <t>70962500-4</t>
  </si>
  <si>
    <t>61602201-6</t>
  </si>
  <si>
    <t>61602222-9</t>
  </si>
  <si>
    <t>61602229-6</t>
  </si>
  <si>
    <t>61606603-K</t>
  </si>
  <si>
    <t>61606911-K</t>
  </si>
  <si>
    <t>61602203-2</t>
  </si>
  <si>
    <t>61606407-K</t>
  </si>
  <si>
    <t>61607002-9</t>
  </si>
  <si>
    <t>61606201-8</t>
  </si>
  <si>
    <t>61980320-5</t>
  </si>
  <si>
    <t>61004000-4</t>
  </si>
  <si>
    <t>61602040-4</t>
  </si>
  <si>
    <t>61606611-0</t>
  </si>
  <si>
    <t>61607401-6</t>
  </si>
  <si>
    <t>69040700-0</t>
  </si>
  <si>
    <t>69041400-7</t>
  </si>
  <si>
    <t>69070900-7</t>
  </si>
  <si>
    <t>69071700-K</t>
  </si>
  <si>
    <t>69090600-7</t>
  </si>
  <si>
    <t>69110100-2</t>
  </si>
  <si>
    <t>69140302-5</t>
  </si>
  <si>
    <t>69172600-2</t>
  </si>
  <si>
    <t>69180100-4</t>
  </si>
  <si>
    <t>69191500-K</t>
  </si>
  <si>
    <t>69210302-5</t>
  </si>
  <si>
    <t>69220200-7</t>
  </si>
  <si>
    <t>69251800-4</t>
  </si>
  <si>
    <t>69253800-5</t>
  </si>
  <si>
    <t>69260400-8</t>
  </si>
  <si>
    <t>69265000-K</t>
  </si>
  <si>
    <t>70878900-3</t>
  </si>
  <si>
    <t>70880300-6</t>
  </si>
  <si>
    <t>70932800-K</t>
  </si>
  <si>
    <t>61602213-K</t>
  </si>
  <si>
    <t>69010400-8</t>
  </si>
  <si>
    <t>69060600-3</t>
  </si>
  <si>
    <t>69110500-8</t>
  </si>
  <si>
    <t>69110700-0</t>
  </si>
  <si>
    <t>61602247-4</t>
  </si>
  <si>
    <t>61606309-K</t>
  </si>
  <si>
    <t>69200100-1</t>
  </si>
  <si>
    <t>71173100-8</t>
  </si>
  <si>
    <t>61606606-4</t>
  </si>
  <si>
    <t>61608200-0</t>
  </si>
  <si>
    <t>61979270-K</t>
  </si>
  <si>
    <t>Código SN</t>
  </si>
  <si>
    <t>Nombre SN</t>
  </si>
  <si>
    <t>Número de identificación fiscal</t>
  </si>
  <si>
    <t>CN69110400</t>
  </si>
  <si>
    <t>69110400-1</t>
  </si>
  <si>
    <t>CN69051000</t>
  </si>
  <si>
    <t>69051000-6</t>
  </si>
  <si>
    <t>CN69254900</t>
  </si>
  <si>
    <t>69254900-7</t>
  </si>
  <si>
    <t>CN69100200</t>
  </si>
  <si>
    <t>69100200-4</t>
  </si>
  <si>
    <t>CN61602312</t>
  </si>
  <si>
    <t>61602312-8</t>
  </si>
  <si>
    <t>CN69220800</t>
  </si>
  <si>
    <t>69220800-5</t>
  </si>
  <si>
    <t>CN69170402</t>
  </si>
  <si>
    <t>69170402-5</t>
  </si>
  <si>
    <t>CN69110700</t>
  </si>
  <si>
    <t>ILUSTRE MUNICIPALIDAD DE RIO CLARO</t>
  </si>
  <si>
    <t>CN61602224</t>
  </si>
  <si>
    <t>61602224-5</t>
  </si>
  <si>
    <t>PN97023000</t>
  </si>
  <si>
    <t>BANCO ITAU CHILE</t>
  </si>
  <si>
    <t>97023000-9</t>
  </si>
  <si>
    <t>CN69050800</t>
  </si>
  <si>
    <t>69050800-1</t>
  </si>
  <si>
    <t>CN53335808</t>
  </si>
  <si>
    <t>53335808-K</t>
  </si>
  <si>
    <t>CN82031800</t>
  </si>
  <si>
    <t>82031800-5</t>
  </si>
  <si>
    <t>CN77904180</t>
  </si>
  <si>
    <t>LABORATORIO CLINICO SOCIEDAD COMERCIAL ROCOR LTDA</t>
  </si>
  <si>
    <t>77904180-8</t>
  </si>
  <si>
    <t>CN61602240</t>
  </si>
  <si>
    <t>61602240-7</t>
  </si>
  <si>
    <t>CN69140201</t>
  </si>
  <si>
    <t>69140201-0</t>
  </si>
  <si>
    <t>CN69255400</t>
  </si>
  <si>
    <t>69255400-0</t>
  </si>
  <si>
    <t>CN69041100</t>
  </si>
  <si>
    <t>69041100-8</t>
  </si>
  <si>
    <t>CN69160300</t>
  </si>
  <si>
    <t>69160300-8</t>
  </si>
  <si>
    <t>CN69140302</t>
  </si>
  <si>
    <t>CN61602246</t>
  </si>
  <si>
    <t>61602246-6</t>
  </si>
  <si>
    <t>CN61602247</t>
  </si>
  <si>
    <t>CN69091200</t>
  </si>
  <si>
    <t>69091200-7</t>
  </si>
  <si>
    <t>BH28353221</t>
  </si>
  <si>
    <t>EDDY JOSE GONGORA</t>
  </si>
  <si>
    <t>28353221-6</t>
  </si>
  <si>
    <t>CN61602292</t>
  </si>
  <si>
    <t>61602292-K</t>
  </si>
  <si>
    <t>CN77186859</t>
  </si>
  <si>
    <t>77186859-2</t>
  </si>
  <si>
    <t>CN61602268</t>
  </si>
  <si>
    <t>61602268-7</t>
  </si>
  <si>
    <t>CN61606407</t>
  </si>
  <si>
    <t>CN61602271</t>
  </si>
  <si>
    <t>61602271-7</t>
  </si>
  <si>
    <t>CN61602272</t>
  </si>
  <si>
    <t>61602272-5</t>
  </si>
  <si>
    <t>CN69264600</t>
  </si>
  <si>
    <t>69264600-2</t>
  </si>
  <si>
    <t>CN61602274</t>
  </si>
  <si>
    <t>61602274-1</t>
  </si>
  <si>
    <t>CN77638123</t>
  </si>
  <si>
    <t>77638123-3</t>
  </si>
  <si>
    <t>PN96719620</t>
  </si>
  <si>
    <t>ADT SECURITY SERVICES S A</t>
  </si>
  <si>
    <t>96719620-7</t>
  </si>
  <si>
    <t>CN69051200</t>
  </si>
  <si>
    <t>69051200-9</t>
  </si>
  <si>
    <t>CN70791800</t>
  </si>
  <si>
    <t>70791800-4</t>
  </si>
  <si>
    <t>CN69287560</t>
  </si>
  <si>
    <t>69287560-5</t>
  </si>
  <si>
    <t>CN69253900</t>
  </si>
  <si>
    <t>69253900-1</t>
  </si>
  <si>
    <t>CN61980740</t>
  </si>
  <si>
    <t>61980740-5</t>
  </si>
  <si>
    <t>CN76142616</t>
  </si>
  <si>
    <t>76142616-8</t>
  </si>
  <si>
    <t>CN71328600</t>
  </si>
  <si>
    <t>71328600-1</t>
  </si>
  <si>
    <t>CN70913100</t>
  </si>
  <si>
    <t>70913100-1</t>
  </si>
  <si>
    <t>CN61602311</t>
  </si>
  <si>
    <t>61602311-K</t>
  </si>
  <si>
    <t>CN61608101</t>
  </si>
  <si>
    <t>61608101-2</t>
  </si>
  <si>
    <t>CN70902400</t>
  </si>
  <si>
    <t>70902400-0</t>
  </si>
  <si>
    <t>CN69140400</t>
  </si>
  <si>
    <t>69140400-5</t>
  </si>
  <si>
    <t>CN69041400</t>
  </si>
  <si>
    <t>CN77149769</t>
  </si>
  <si>
    <t>77149769-1</t>
  </si>
  <si>
    <t>CN69210202</t>
  </si>
  <si>
    <t>69210202-9</t>
  </si>
  <si>
    <t>CN61602276</t>
  </si>
  <si>
    <t>HOSPITAL DE QUELLON</t>
  </si>
  <si>
    <t>61602276-8</t>
  </si>
  <si>
    <t>CN71420700</t>
  </si>
  <si>
    <t>71420700-8</t>
  </si>
  <si>
    <t>CN69231100</t>
  </si>
  <si>
    <t>69231100-0</t>
  </si>
  <si>
    <t>CN61606300</t>
  </si>
  <si>
    <t>61606300-6</t>
  </si>
  <si>
    <t>CN96770100</t>
  </si>
  <si>
    <t>96770100-9</t>
  </si>
  <si>
    <t>CN77185519</t>
  </si>
  <si>
    <t>77185519-9</t>
  </si>
  <si>
    <t>CN61602211</t>
  </si>
  <si>
    <t>61602211-3</t>
  </si>
  <si>
    <t>CN69210100</t>
  </si>
  <si>
    <t>69210100-6</t>
  </si>
  <si>
    <t>CN61974600</t>
  </si>
  <si>
    <t>61974600-7</t>
  </si>
  <si>
    <t>CN65224300</t>
  </si>
  <si>
    <t>65224300-2</t>
  </si>
  <si>
    <t>CN69090800</t>
  </si>
  <si>
    <t>69090800-K</t>
  </si>
  <si>
    <t>CN69090500</t>
  </si>
  <si>
    <t>69090500-0</t>
  </si>
  <si>
    <t>CN61607903</t>
  </si>
  <si>
    <t>61607903-4</t>
  </si>
  <si>
    <t>CN85962100</t>
  </si>
  <si>
    <t>85962100-7</t>
  </si>
  <si>
    <t>CN61606406</t>
  </si>
  <si>
    <t>61606406-1</t>
  </si>
  <si>
    <t>CN61602147</t>
  </si>
  <si>
    <t>61602147-8</t>
  </si>
  <si>
    <t>CN69150800</t>
  </si>
  <si>
    <t>69150800-5</t>
  </si>
  <si>
    <t>CN61608102</t>
  </si>
  <si>
    <t>61608102-0</t>
  </si>
  <si>
    <t>CN65637190</t>
  </si>
  <si>
    <t>65637190-0</t>
  </si>
  <si>
    <t>CN69190300</t>
  </si>
  <si>
    <t>69190300-1</t>
  </si>
  <si>
    <t>CN61606400</t>
  </si>
  <si>
    <t>61606400-2</t>
  </si>
  <si>
    <t>CN76880563</t>
  </si>
  <si>
    <t>76880563-6</t>
  </si>
  <si>
    <t>CN61606607</t>
  </si>
  <si>
    <t>61606607-2</t>
  </si>
  <si>
    <t>CN76620817</t>
  </si>
  <si>
    <t>76620817-7</t>
  </si>
  <si>
    <t>CN61606609</t>
  </si>
  <si>
    <t>61606609-9</t>
  </si>
  <si>
    <t>CN69073700</t>
  </si>
  <si>
    <t>69073700-0</t>
  </si>
  <si>
    <t>CN61606611</t>
  </si>
  <si>
    <t>CN61102017</t>
  </si>
  <si>
    <t>61102017-1</t>
  </si>
  <si>
    <t>CN61606700</t>
  </si>
  <si>
    <t>SS ACONCAGUA</t>
  </si>
  <si>
    <t>61606700-1</t>
  </si>
  <si>
    <t>CN70878900</t>
  </si>
  <si>
    <t>CN61606800</t>
  </si>
  <si>
    <t>61606800-8</t>
  </si>
  <si>
    <t>CN61606900</t>
  </si>
  <si>
    <t>61606900-4</t>
  </si>
  <si>
    <t>CN61606402</t>
  </si>
  <si>
    <t>61606402-9</t>
  </si>
  <si>
    <t>CN69260400</t>
  </si>
  <si>
    <t>CN70983600</t>
  </si>
  <si>
    <t>70983600-5</t>
  </si>
  <si>
    <t>CN61606905</t>
  </si>
  <si>
    <t>61606905-5</t>
  </si>
  <si>
    <t>CN61602248</t>
  </si>
  <si>
    <t>61602248-2</t>
  </si>
  <si>
    <t>CN69191200</t>
  </si>
  <si>
    <t>69191200-0</t>
  </si>
  <si>
    <t>CN61606911</t>
  </si>
  <si>
    <t>CN69200300</t>
  </si>
  <si>
    <t>69200300-4</t>
  </si>
  <si>
    <t>CN69060200</t>
  </si>
  <si>
    <t>69060200-8</t>
  </si>
  <si>
    <t>CN61606915</t>
  </si>
  <si>
    <t>61606915-2</t>
  </si>
  <si>
    <t>CN65311270</t>
  </si>
  <si>
    <t>65311270-K</t>
  </si>
  <si>
    <t>CN77223544</t>
  </si>
  <si>
    <t>77223544-5</t>
  </si>
  <si>
    <t>BH4524354</t>
  </si>
  <si>
    <t>GERMAN DEL FIERRO MERY</t>
  </si>
  <si>
    <t>4524354-0</t>
  </si>
  <si>
    <t>CN76191263</t>
  </si>
  <si>
    <t>CENTRO VETERINARIO ALEMAN KLEINTIERKLINIK LIMITADA.</t>
  </si>
  <si>
    <t>76191263-1</t>
  </si>
  <si>
    <t>CN69251900</t>
  </si>
  <si>
    <t>69251900-0</t>
  </si>
  <si>
    <t>CN69259900</t>
  </si>
  <si>
    <t>69259900-4</t>
  </si>
  <si>
    <t>CN78124770</t>
  </si>
  <si>
    <t>78124770-7</t>
  </si>
  <si>
    <t>CN61607006</t>
  </si>
  <si>
    <t>61607006-1</t>
  </si>
  <si>
    <t>CN61602042</t>
  </si>
  <si>
    <t>61602042-0</t>
  </si>
  <si>
    <t>CN61607100</t>
  </si>
  <si>
    <t>61607100-9</t>
  </si>
  <si>
    <t>CN70882100</t>
  </si>
  <si>
    <t>70882100-4</t>
  </si>
  <si>
    <t>CN61607104</t>
  </si>
  <si>
    <t>61607104-1</t>
  </si>
  <si>
    <t>CN70931100</t>
  </si>
  <si>
    <t>70931100-K</t>
  </si>
  <si>
    <t>CN61602153</t>
  </si>
  <si>
    <t>61602153-2</t>
  </si>
  <si>
    <t>CN69081300</t>
  </si>
  <si>
    <t>69081300-9</t>
  </si>
  <si>
    <t>CN61607306</t>
  </si>
  <si>
    <t>61607306-0</t>
  </si>
  <si>
    <t>CN61606404</t>
  </si>
  <si>
    <t>CN61607304</t>
  </si>
  <si>
    <t>61607304-4</t>
  </si>
  <si>
    <t>CN61607305</t>
  </si>
  <si>
    <t>61607305-2</t>
  </si>
  <si>
    <t>CN69081200</t>
  </si>
  <si>
    <t>69081200-2</t>
  </si>
  <si>
    <t>CN61607402</t>
  </si>
  <si>
    <t>61607402-4</t>
  </si>
  <si>
    <t>CN61607500</t>
  </si>
  <si>
    <t>61607500-4</t>
  </si>
  <si>
    <t>CN61602275</t>
  </si>
  <si>
    <t>61602275-K</t>
  </si>
  <si>
    <t>PE00022</t>
  </si>
  <si>
    <t>ZHONGHONG PULIN MEDICAL PRODUCTS CO LTD</t>
  </si>
  <si>
    <t>55555555-5</t>
  </si>
  <si>
    <t>CN69080200</t>
  </si>
  <si>
    <t>69080200-7</t>
  </si>
  <si>
    <t>CN69253800</t>
  </si>
  <si>
    <t>CN61607507</t>
  </si>
  <si>
    <t>61607507-1</t>
  </si>
  <si>
    <t>CN71369900</t>
  </si>
  <si>
    <t>71369900-4</t>
  </si>
  <si>
    <t>CN61607509</t>
  </si>
  <si>
    <t>61607509-8</t>
  </si>
  <si>
    <t>CN61607600</t>
  </si>
  <si>
    <t>61607600-0</t>
  </si>
  <si>
    <t>CN69061600</t>
  </si>
  <si>
    <t>69061600-9</t>
  </si>
  <si>
    <t>CN61607800</t>
  </si>
  <si>
    <t>61607800-3</t>
  </si>
  <si>
    <t>PE00002</t>
  </si>
  <si>
    <t>BECTON DICKINSON AND COMPANY</t>
  </si>
  <si>
    <t>CN62000380</t>
  </si>
  <si>
    <t>CENTRO ONCOLOGICO DEL NORTE</t>
  </si>
  <si>
    <t>62000380-8</t>
  </si>
  <si>
    <t>CN71455500</t>
  </si>
  <si>
    <t>71455500-6</t>
  </si>
  <si>
    <t>CN69080800</t>
  </si>
  <si>
    <t>69080800-5</t>
  </si>
  <si>
    <t>PN60805000</t>
  </si>
  <si>
    <t>TESORERIA GENERAL DE LA REPUBLICA</t>
  </si>
  <si>
    <t>60805000-0</t>
  </si>
  <si>
    <t>CN61101086</t>
  </si>
  <si>
    <t>61101086-9</t>
  </si>
  <si>
    <t>CN76182553</t>
  </si>
  <si>
    <t>76182553-4</t>
  </si>
  <si>
    <t>CN77355386</t>
  </si>
  <si>
    <t>CLINICA VETERINARIA AUSTRAL SPA</t>
  </si>
  <si>
    <t>77355386-6</t>
  </si>
  <si>
    <t>CN61608104</t>
  </si>
  <si>
    <t>61608104-7</t>
  </si>
  <si>
    <t>CN61602242</t>
  </si>
  <si>
    <t>61602242-3</t>
  </si>
  <si>
    <t>CN61608106</t>
  </si>
  <si>
    <t>61608106-3</t>
  </si>
  <si>
    <t>CN61955000</t>
  </si>
  <si>
    <t>61955000-5</t>
  </si>
  <si>
    <t>CN61602143</t>
  </si>
  <si>
    <t>61602143-5</t>
  </si>
  <si>
    <t>CN76890597</t>
  </si>
  <si>
    <t>76890597-5</t>
  </si>
  <si>
    <t>CN69110600</t>
  </si>
  <si>
    <t>69110600-4</t>
  </si>
  <si>
    <t>CN61602293</t>
  </si>
  <si>
    <t>61602293-8</t>
  </si>
  <si>
    <t>CN96840610</t>
  </si>
  <si>
    <t>96840610-8</t>
  </si>
  <si>
    <t>CN61608400</t>
  </si>
  <si>
    <t>SERVICIO DE SALUD METROPOLITANO ORIENTE</t>
  </si>
  <si>
    <t>61608400-3</t>
  </si>
  <si>
    <t>PN96992030</t>
  </si>
  <si>
    <t>SOCIEDAD CONCESIONARIA VESPUCIO NORTE EXPRESS S.A.</t>
  </si>
  <si>
    <t>96992030-1</t>
  </si>
  <si>
    <t>CN61602132</t>
  </si>
  <si>
    <t>61602132-K</t>
  </si>
  <si>
    <t>PN76008959</t>
  </si>
  <si>
    <t>PUERTO COLUMBO S.A.</t>
  </si>
  <si>
    <t>76008959-1</t>
  </si>
  <si>
    <t>CN69030200</t>
  </si>
  <si>
    <t>69030200-4</t>
  </si>
  <si>
    <t>CN69150102</t>
  </si>
  <si>
    <t>69150102-7</t>
  </si>
  <si>
    <t>CN61608500</t>
  </si>
  <si>
    <t>61608500-K</t>
  </si>
  <si>
    <t>CN61602209</t>
  </si>
  <si>
    <t>61602209-1</t>
  </si>
  <si>
    <t>CN61608503</t>
  </si>
  <si>
    <t>61608503-4</t>
  </si>
  <si>
    <t>CN61602117</t>
  </si>
  <si>
    <t>61602117-6</t>
  </si>
  <si>
    <t>EM18725504</t>
  </si>
  <si>
    <t>SAMUEL AUCAN BELMAR</t>
  </si>
  <si>
    <t>18725504-K</t>
  </si>
  <si>
    <t>CN69181100</t>
  </si>
  <si>
    <t>69181100-K</t>
  </si>
  <si>
    <t>CN61608700</t>
  </si>
  <si>
    <t>61608700-2</t>
  </si>
  <si>
    <t>CN61929100</t>
  </si>
  <si>
    <t>61929100-K</t>
  </si>
  <si>
    <t>CN61933400</t>
  </si>
  <si>
    <t>61933400-0</t>
  </si>
  <si>
    <t>CN61938500</t>
  </si>
  <si>
    <t>61938500-4</t>
  </si>
  <si>
    <t>CN61939400</t>
  </si>
  <si>
    <t>61939400-3</t>
  </si>
  <si>
    <t>CN61952300</t>
  </si>
  <si>
    <t>61952300-8</t>
  </si>
  <si>
    <t>CN69255100</t>
  </si>
  <si>
    <t>69255100-1</t>
  </si>
  <si>
    <t>CN61954500</t>
  </si>
  <si>
    <t>61954500-1</t>
  </si>
  <si>
    <t>CN69250800</t>
  </si>
  <si>
    <t>69250800-9</t>
  </si>
  <si>
    <t>BH6831495</t>
  </si>
  <si>
    <t>PATRICIA KAHLER TAMPIER</t>
  </si>
  <si>
    <t>6831495-K</t>
  </si>
  <si>
    <t>CN61972800</t>
  </si>
  <si>
    <t>61972800-9</t>
  </si>
  <si>
    <t>CN69080600</t>
  </si>
  <si>
    <t>69080600-2</t>
  </si>
  <si>
    <t>CN61602280</t>
  </si>
  <si>
    <t>61602280-6</t>
  </si>
  <si>
    <t>CN61606612</t>
  </si>
  <si>
    <t>61606612-9</t>
  </si>
  <si>
    <t>CN69210500</t>
  </si>
  <si>
    <t>69210500-1</t>
  </si>
  <si>
    <t>CN61978730</t>
  </si>
  <si>
    <t>61978730-7</t>
  </si>
  <si>
    <t>CN61979020</t>
  </si>
  <si>
    <t>61979020-0</t>
  </si>
  <si>
    <t>CN61979210</t>
  </si>
  <si>
    <t>61979210-6</t>
  </si>
  <si>
    <t>EM09388605</t>
  </si>
  <si>
    <t>ANA MARIA LOPEZ</t>
  </si>
  <si>
    <t>09388605-4</t>
  </si>
  <si>
    <t>CN76073898</t>
  </si>
  <si>
    <t>76073898-0</t>
  </si>
  <si>
    <t>CN61979910</t>
  </si>
  <si>
    <t>61979910-0</t>
  </si>
  <si>
    <t>CN61980070</t>
  </si>
  <si>
    <t>61980070-2</t>
  </si>
  <si>
    <t>CN61980080</t>
  </si>
  <si>
    <t>61980080-K</t>
  </si>
  <si>
    <t>EM10730700</t>
  </si>
  <si>
    <t>MARIELA DE LA LUZ  RIVEROS</t>
  </si>
  <si>
    <t>10730700-1</t>
  </si>
  <si>
    <t>CN61980370</t>
  </si>
  <si>
    <t>61980370-1</t>
  </si>
  <si>
    <t>CN69050100</t>
  </si>
  <si>
    <t>69050100-7</t>
  </si>
  <si>
    <t>CN61980530</t>
  </si>
  <si>
    <t>61980530-5</t>
  </si>
  <si>
    <t>CN61607307</t>
  </si>
  <si>
    <t>61607307-9</t>
  </si>
  <si>
    <t>CN61980670</t>
  </si>
  <si>
    <t>61980670-0</t>
  </si>
  <si>
    <t>PN80992000</t>
  </si>
  <si>
    <t>ULTRAMAR AGENCIA MARITIMA LIMITADA</t>
  </si>
  <si>
    <t>80992000-3</t>
  </si>
  <si>
    <t>CN69140500</t>
  </si>
  <si>
    <t>69140500-1</t>
  </si>
  <si>
    <t>CN61999030</t>
  </si>
  <si>
    <t>CENTRO METROPOLITANO DE ATENCION PREHOSPITALARIA</t>
  </si>
  <si>
    <t>61999030-7</t>
  </si>
  <si>
    <t>EM13723412</t>
  </si>
  <si>
    <t>PATRICIO ALEJANDRO FERNANDEZ</t>
  </si>
  <si>
    <t>13723412-2</t>
  </si>
  <si>
    <t>CN61999260</t>
  </si>
  <si>
    <t>CENTRO DE ESPECIALIDAD ATENCION PREHOSPITALARIA SAMU BIOBIO</t>
  </si>
  <si>
    <t>61999260-1</t>
  </si>
  <si>
    <t>CN69070100</t>
  </si>
  <si>
    <t>CN77687535</t>
  </si>
  <si>
    <t>CLINICA VETERINARIA Y LABORATORIO ONCOVET SPA</t>
  </si>
  <si>
    <t>77687535-K</t>
  </si>
  <si>
    <t>CN96567170</t>
  </si>
  <si>
    <t>96567170-6</t>
  </si>
  <si>
    <t>PE00012</t>
  </si>
  <si>
    <t>HANGZHOU PRIMECARE MEDICAL</t>
  </si>
  <si>
    <t>CN72529500</t>
  </si>
  <si>
    <t>72529500-6</t>
  </si>
  <si>
    <t>CN61602203</t>
  </si>
  <si>
    <t>CN69240400</t>
  </si>
  <si>
    <t>69240400-9</t>
  </si>
  <si>
    <t>CN61606405</t>
  </si>
  <si>
    <t>61606405-3</t>
  </si>
  <si>
    <t>CN61602223</t>
  </si>
  <si>
    <t>61602223-7</t>
  </si>
  <si>
    <t>CN65061030</t>
  </si>
  <si>
    <t>65061030-K</t>
  </si>
  <si>
    <t>CN65138925</t>
  </si>
  <si>
    <t>MACROZONA DE SALUD SANTIAGO CENTRO SUR</t>
  </si>
  <si>
    <t>65138925-9</t>
  </si>
  <si>
    <t>CN61602145</t>
  </si>
  <si>
    <t>61602145-1</t>
  </si>
  <si>
    <t>CN65273020</t>
  </si>
  <si>
    <t>65273020-5</t>
  </si>
  <si>
    <t>CN69040600</t>
  </si>
  <si>
    <t>69040600-4</t>
  </si>
  <si>
    <t>CN76242774</t>
  </si>
  <si>
    <t>76242774-5</t>
  </si>
  <si>
    <t>CN65453620</t>
  </si>
  <si>
    <t>65453620-1</t>
  </si>
  <si>
    <t>CN69073000</t>
  </si>
  <si>
    <t>69073000-6</t>
  </si>
  <si>
    <t>CN67607800</t>
  </si>
  <si>
    <t>67607800-3</t>
  </si>
  <si>
    <t>CN77722823</t>
  </si>
  <si>
    <t>77722823-4</t>
  </si>
  <si>
    <t>CN69010200</t>
  </si>
  <si>
    <t>69010200-5</t>
  </si>
  <si>
    <t>CN69270200</t>
  </si>
  <si>
    <t>69270200-K</t>
  </si>
  <si>
    <t>CN61602150</t>
  </si>
  <si>
    <t>61602150-8</t>
  </si>
  <si>
    <t>CN69020200</t>
  </si>
  <si>
    <t>69020200-K</t>
  </si>
  <si>
    <t>CN69030100</t>
  </si>
  <si>
    <t>69030100-8</t>
  </si>
  <si>
    <t>CN76453458</t>
  </si>
  <si>
    <t>76453458-1</t>
  </si>
  <si>
    <t>CN69040300</t>
  </si>
  <si>
    <t>69040300-5</t>
  </si>
  <si>
    <t>CN69030400</t>
  </si>
  <si>
    <t>69030400-7</t>
  </si>
  <si>
    <t>CN69150901</t>
  </si>
  <si>
    <t>69150901-K</t>
  </si>
  <si>
    <t>CN69030600</t>
  </si>
  <si>
    <t>69030600-K</t>
  </si>
  <si>
    <t>CN69040100</t>
  </si>
  <si>
    <t>I MUNICIPALIDAD DE LA SERENA</t>
  </si>
  <si>
    <t>69040100-2</t>
  </si>
  <si>
    <t>CN61606910</t>
  </si>
  <si>
    <t>61606910-1</t>
  </si>
  <si>
    <t>CN69040500</t>
  </si>
  <si>
    <t>69040500-8</t>
  </si>
  <si>
    <t>CN69073800</t>
  </si>
  <si>
    <t>69073800-7</t>
  </si>
  <si>
    <t>CN81698900</t>
  </si>
  <si>
    <t>81698900-0</t>
  </si>
  <si>
    <t>CN69040800</t>
  </si>
  <si>
    <t>69040800-7</t>
  </si>
  <si>
    <t>CN69040900</t>
  </si>
  <si>
    <t>69040900-3</t>
  </si>
  <si>
    <t>CN69041000</t>
  </si>
  <si>
    <t>69041000-1</t>
  </si>
  <si>
    <t>CN69191600</t>
  </si>
  <si>
    <t>69191600-6</t>
  </si>
  <si>
    <t>CN61607004</t>
  </si>
  <si>
    <t>61607004-5</t>
  </si>
  <si>
    <t>CN69265100</t>
  </si>
  <si>
    <t>CN69041500</t>
  </si>
  <si>
    <t>69041500-3</t>
  </si>
  <si>
    <t>CN62000620</t>
  </si>
  <si>
    <t>62000620-3</t>
  </si>
  <si>
    <t>CN74269600</t>
  </si>
  <si>
    <t>74269600-6</t>
  </si>
  <si>
    <t>CN69050400</t>
  </si>
  <si>
    <t>69050400-6</t>
  </si>
  <si>
    <t>CN61607900</t>
  </si>
  <si>
    <t>61607900-K</t>
  </si>
  <si>
    <t>CN69050600</t>
  </si>
  <si>
    <t>69050600-9</t>
  </si>
  <si>
    <t>CN69050700</t>
  </si>
  <si>
    <t>69050700-5</t>
  </si>
  <si>
    <t>CN69287570</t>
  </si>
  <si>
    <t>CONSULTORIO GENERAL URBANO NÂ°2</t>
  </si>
  <si>
    <t>69287570-2</t>
  </si>
  <si>
    <t>CN69050900</t>
  </si>
  <si>
    <t>69050900-8</t>
  </si>
  <si>
    <t>PN96907830</t>
  </si>
  <si>
    <t>DESPEGAR.COM CHILE SPA</t>
  </si>
  <si>
    <t>96907830-9</t>
  </si>
  <si>
    <t>CN69050500</t>
  </si>
  <si>
    <t>69050500-2</t>
  </si>
  <si>
    <t>CN90753000</t>
  </si>
  <si>
    <t>90753000-0</t>
  </si>
  <si>
    <t>CN61602201</t>
  </si>
  <si>
    <t>HOSPITAL SAN JOSE DE CORONEL</t>
  </si>
  <si>
    <t>CN69051400</t>
  </si>
  <si>
    <t>69051400-1</t>
  </si>
  <si>
    <t>CN61607201</t>
  </si>
  <si>
    <t>61607201-3</t>
  </si>
  <si>
    <t>CN70962500</t>
  </si>
  <si>
    <t>CN65321890</t>
  </si>
  <si>
    <t>65321890-7</t>
  </si>
  <si>
    <t>CN69051100</t>
  </si>
  <si>
    <t>69051100-2</t>
  </si>
  <si>
    <t>CN69060700</t>
  </si>
  <si>
    <t>I MUNICIPALIDAD DE QUINTERO</t>
  </si>
  <si>
    <t>69060700-K</t>
  </si>
  <si>
    <t>CN69061100</t>
  </si>
  <si>
    <t>MUNICIPALIDAD DE LIMACHE</t>
  </si>
  <si>
    <t>69061100-7</t>
  </si>
  <si>
    <t>CN69061200</t>
  </si>
  <si>
    <t>69061200-3</t>
  </si>
  <si>
    <t>CN69061400</t>
  </si>
  <si>
    <t>69061400-6</t>
  </si>
  <si>
    <t>CN69071301</t>
  </si>
  <si>
    <t>69071301-2</t>
  </si>
  <si>
    <t>CN69061700</t>
  </si>
  <si>
    <t>69061700-5</t>
  </si>
  <si>
    <t>CN96885950</t>
  </si>
  <si>
    <t>96885950-1</t>
  </si>
  <si>
    <t>CN69141300</t>
  </si>
  <si>
    <t>CN69170202</t>
  </si>
  <si>
    <t>69170202-2</t>
  </si>
  <si>
    <t>EM15715471</t>
  </si>
  <si>
    <t>GIANCARLO ANTONIO  MANNESCHI</t>
  </si>
  <si>
    <t>15715471-0</t>
  </si>
  <si>
    <t>PN90635000</t>
  </si>
  <si>
    <t>TELEFONICA CHILE S.A.</t>
  </si>
  <si>
    <t>90635000-9</t>
  </si>
  <si>
    <t>CN69073500</t>
  </si>
  <si>
    <t>69073500-8</t>
  </si>
  <si>
    <t>EM26535162</t>
  </si>
  <si>
    <t>MILEYDIS CAROLINA HERCULES</t>
  </si>
  <si>
    <t>26535162-K</t>
  </si>
  <si>
    <t>CN61602261</t>
  </si>
  <si>
    <t>61602261-K</t>
  </si>
  <si>
    <t>CN69251800</t>
  </si>
  <si>
    <t>CN69191000</t>
  </si>
  <si>
    <t>69191000-8</t>
  </si>
  <si>
    <t>PN76120063</t>
  </si>
  <si>
    <t>FINFAST SOCIEDAD ANONIMA DE GARANTIA RECIPROCA</t>
  </si>
  <si>
    <t>76120063-1</t>
  </si>
  <si>
    <t>CN76416466</t>
  </si>
  <si>
    <t>76416466-0</t>
  </si>
  <si>
    <t>EM22245446</t>
  </si>
  <si>
    <t>MAURICIO RAMOS</t>
  </si>
  <si>
    <t>22245446-8</t>
  </si>
  <si>
    <t>CN69073400</t>
  </si>
  <si>
    <t>69073400-1</t>
  </si>
  <si>
    <t>EM18597886</t>
  </si>
  <si>
    <t>MARCO ANTONIO MARINAO</t>
  </si>
  <si>
    <t>18597886-9</t>
  </si>
  <si>
    <t>CN69073600</t>
  </si>
  <si>
    <t>69073600-4</t>
  </si>
  <si>
    <t>CN61606912</t>
  </si>
  <si>
    <t>61606912-8</t>
  </si>
  <si>
    <t>CN61606703</t>
  </si>
  <si>
    <t>61606703-6</t>
  </si>
  <si>
    <t>CN61602243</t>
  </si>
  <si>
    <t>HOSPITAL TOLTEN</t>
  </si>
  <si>
    <t>61602243-1</t>
  </si>
  <si>
    <t>CN69091400</t>
  </si>
  <si>
    <t>69091400-K</t>
  </si>
  <si>
    <t>CN62000530</t>
  </si>
  <si>
    <t>62000530-4</t>
  </si>
  <si>
    <t>CN77436921</t>
  </si>
  <si>
    <t>77436921-K</t>
  </si>
  <si>
    <t>CN76555870</t>
  </si>
  <si>
    <t>76555870-0</t>
  </si>
  <si>
    <t>CN71165800</t>
  </si>
  <si>
    <t>71165800-9</t>
  </si>
  <si>
    <t>CN69080900</t>
  </si>
  <si>
    <t>ILUSTRE MUNICIPALIDAD DE PEUMO</t>
  </si>
  <si>
    <t>69080900-1</t>
  </si>
  <si>
    <t>CN69200700</t>
  </si>
  <si>
    <t>69200700-K</t>
  </si>
  <si>
    <t>PN15648125</t>
  </si>
  <si>
    <t>GUILLERMO WLADIMIR GALAZ VARGAS</t>
  </si>
  <si>
    <t>15648125-4</t>
  </si>
  <si>
    <t>CN76256909</t>
  </si>
  <si>
    <t>76256909-4</t>
  </si>
  <si>
    <t>CN69081400</t>
  </si>
  <si>
    <t>69081400-5</t>
  </si>
  <si>
    <t>PN76124890</t>
  </si>
  <si>
    <t>TELEFONICA MOVILES CHILE S.A.</t>
  </si>
  <si>
    <t>76124890-1</t>
  </si>
  <si>
    <t>CN69081700</t>
  </si>
  <si>
    <t>69081700-4</t>
  </si>
  <si>
    <t>CN69090200</t>
  </si>
  <si>
    <t>69090200-1</t>
  </si>
  <si>
    <t>CN69090300</t>
  </si>
  <si>
    <t>69090300-8</t>
  </si>
  <si>
    <t>CN69090400</t>
  </si>
  <si>
    <t>69090400-4</t>
  </si>
  <si>
    <t>CN69080500</t>
  </si>
  <si>
    <t>69080500-6</t>
  </si>
  <si>
    <t>PN76282191</t>
  </si>
  <si>
    <t>BUPA COMPAÑÍA DE SEGUROS DE VIDA S.A.</t>
  </si>
  <si>
    <t>76282191-5</t>
  </si>
  <si>
    <t>CN69090700</t>
  </si>
  <si>
    <t>69090700-3</t>
  </si>
  <si>
    <t>CN71160900</t>
  </si>
  <si>
    <t>71160900-8</t>
  </si>
  <si>
    <t>CN69090900</t>
  </si>
  <si>
    <t>69090900-6</t>
  </si>
  <si>
    <t>CN76495416</t>
  </si>
  <si>
    <t>76495416-5</t>
  </si>
  <si>
    <t>CN69091100</t>
  </si>
  <si>
    <t>I MUNICIPALIDAD DE LITUECHE</t>
  </si>
  <si>
    <t>69091100-0</t>
  </si>
  <si>
    <t>CN61602054</t>
  </si>
  <si>
    <t>61602054-4</t>
  </si>
  <si>
    <t>CN69091500</t>
  </si>
  <si>
    <t>69091500-6</t>
  </si>
  <si>
    <t>CN69100100</t>
  </si>
  <si>
    <t>69100100-8</t>
  </si>
  <si>
    <t>CN69100300</t>
  </si>
  <si>
    <t>69100300-0</t>
  </si>
  <si>
    <t>CN61602236</t>
  </si>
  <si>
    <t>CN69100400</t>
  </si>
  <si>
    <t>69100400-7</t>
  </si>
  <si>
    <t>CN69100500</t>
  </si>
  <si>
    <t>69100500-3</t>
  </si>
  <si>
    <t>CN69110100</t>
  </si>
  <si>
    <t>CN69110200</t>
  </si>
  <si>
    <t>69110200-9</t>
  </si>
  <si>
    <t>CN69110300</t>
  </si>
  <si>
    <t>69110300-5</t>
  </si>
  <si>
    <t>CN69030500</t>
  </si>
  <si>
    <t>69030500-3</t>
  </si>
  <si>
    <t>CN69150300</t>
  </si>
  <si>
    <t>69150300-3</t>
  </si>
  <si>
    <t>CN61607505</t>
  </si>
  <si>
    <t>61607505-5</t>
  </si>
  <si>
    <t>CN69190900</t>
  </si>
  <si>
    <t>69190900-K</t>
  </si>
  <si>
    <t>CN69110800</t>
  </si>
  <si>
    <t>69110800-7</t>
  </si>
  <si>
    <t>CN69120100</t>
  </si>
  <si>
    <t>I MUNICIPALIDAD DE CONSTITUCION</t>
  </si>
  <si>
    <t>69120100-7</t>
  </si>
  <si>
    <t>CN69120200</t>
  </si>
  <si>
    <t>69120200-3</t>
  </si>
  <si>
    <t>CN61602141</t>
  </si>
  <si>
    <t>CN69010400</t>
  </si>
  <si>
    <t>CN69130200</t>
  </si>
  <si>
    <t>69130200-8</t>
  </si>
  <si>
    <t>CN60505723</t>
  </si>
  <si>
    <t>60505723-3</t>
  </si>
  <si>
    <t>CN69130402</t>
  </si>
  <si>
    <t>69130402-7</t>
  </si>
  <si>
    <t>CN69130500</t>
  </si>
  <si>
    <t>69130500-7</t>
  </si>
  <si>
    <t>CN69130700</t>
  </si>
  <si>
    <t>I MUNICIPALIDAD DE PARRAL</t>
  </si>
  <si>
    <t>69130700-K</t>
  </si>
  <si>
    <t>CN69060600</t>
  </si>
  <si>
    <t>CN76749564</t>
  </si>
  <si>
    <t>ELLEN STORE COMERCIALIALIZADORA</t>
  </si>
  <si>
    <t>76749564-1</t>
  </si>
  <si>
    <t>CN61932200</t>
  </si>
  <si>
    <t>61932200-2</t>
  </si>
  <si>
    <t>PN96796080</t>
  </si>
  <si>
    <t>SEAPORT S A</t>
  </si>
  <si>
    <t>96796080-2</t>
  </si>
  <si>
    <t>CN69140600</t>
  </si>
  <si>
    <t>69140600-8</t>
  </si>
  <si>
    <t>CN61608006</t>
  </si>
  <si>
    <t>61608006-7</t>
  </si>
  <si>
    <t>CN69141102</t>
  </si>
  <si>
    <t>69141102-8</t>
  </si>
  <si>
    <t>CN69141200</t>
  </si>
  <si>
    <t>69141200-8</t>
  </si>
  <si>
    <t>CN69160402</t>
  </si>
  <si>
    <t>69160402-0</t>
  </si>
  <si>
    <t>CN71149700</t>
  </si>
  <si>
    <t>71149700-5</t>
  </si>
  <si>
    <t>CN69141802</t>
  </si>
  <si>
    <t>69141802-2</t>
  </si>
  <si>
    <t>CN69150101</t>
  </si>
  <si>
    <t>I MUNICIPALIDAD DE TOME DEPARTAMENTO DE EDUCACION</t>
  </si>
  <si>
    <t>69150101-9</t>
  </si>
  <si>
    <t>CN76345622</t>
  </si>
  <si>
    <t>76345622-6</t>
  </si>
  <si>
    <t>CN69150200</t>
  </si>
  <si>
    <t>69150200-7</t>
  </si>
  <si>
    <t>CN62000940</t>
  </si>
  <si>
    <t>62000940-7</t>
  </si>
  <si>
    <t>CN69150601</t>
  </si>
  <si>
    <t>69150601-0</t>
  </si>
  <si>
    <t>CN96942400</t>
  </si>
  <si>
    <t>96942400-2</t>
  </si>
  <si>
    <t>PN77296632</t>
  </si>
  <si>
    <t>77296632-6</t>
  </si>
  <si>
    <t>CN61602262</t>
  </si>
  <si>
    <t>61602262-8</t>
  </si>
  <si>
    <t>EM154270272</t>
  </si>
  <si>
    <t>MARCELO ALEXIS RUIZ RUIZ</t>
  </si>
  <si>
    <t>CN69151100</t>
  </si>
  <si>
    <t>69151100-6</t>
  </si>
  <si>
    <t>CN61606907</t>
  </si>
  <si>
    <t>61606907-1</t>
  </si>
  <si>
    <t>CN69151400</t>
  </si>
  <si>
    <t>69151400-5</t>
  </si>
  <si>
    <t>CN69190700</t>
  </si>
  <si>
    <t>69190700-7</t>
  </si>
  <si>
    <t>CN70933700</t>
  </si>
  <si>
    <t>CORP MUNICIPAL DE EDUC SALUD CULTURA Y RECREACION DE LA FLORIDA</t>
  </si>
  <si>
    <t>70933700-9</t>
  </si>
  <si>
    <t>CN69151202</t>
  </si>
  <si>
    <t>69151202-9</t>
  </si>
  <si>
    <t>CN61607508</t>
  </si>
  <si>
    <t>61607508-K</t>
  </si>
  <si>
    <t>CN61602198</t>
  </si>
  <si>
    <t>61602198-2</t>
  </si>
  <si>
    <t>EM25343424</t>
  </si>
  <si>
    <t>YELISMAR ARLEIDY CHACON</t>
  </si>
  <si>
    <t>25343424-4</t>
  </si>
  <si>
    <t>CN69080400</t>
  </si>
  <si>
    <t>69080400-K</t>
  </si>
  <si>
    <t>CN69030300</t>
  </si>
  <si>
    <t>69030300-0</t>
  </si>
  <si>
    <t>CN69170300</t>
  </si>
  <si>
    <t>69170300-2</t>
  </si>
  <si>
    <t>CN69072400</t>
  </si>
  <si>
    <t>69072400-6</t>
  </si>
  <si>
    <t>CN69170700</t>
  </si>
  <si>
    <t>69170700-8</t>
  </si>
  <si>
    <t>CN69170800</t>
  </si>
  <si>
    <t>69170800-4</t>
  </si>
  <si>
    <t>CN77208723</t>
  </si>
  <si>
    <t>77208723-3</t>
  </si>
  <si>
    <t>CN69265000</t>
  </si>
  <si>
    <t>CN69180300</t>
  </si>
  <si>
    <t>69180300-7</t>
  </si>
  <si>
    <t>CN69180500</t>
  </si>
  <si>
    <t>69180500-K</t>
  </si>
  <si>
    <t>CN70925500</t>
  </si>
  <si>
    <t>70925500-2</t>
  </si>
  <si>
    <t>CN69180700</t>
  </si>
  <si>
    <t>69180700-2</t>
  </si>
  <si>
    <t>EM15942673</t>
  </si>
  <si>
    <t>FERNANDO ALEXIS VASQUEZ</t>
  </si>
  <si>
    <t>15942673-4</t>
  </si>
  <si>
    <t>CN69180900</t>
  </si>
  <si>
    <t>69180900-5</t>
  </si>
  <si>
    <t>CN69181000</t>
  </si>
  <si>
    <t>69181000-3</t>
  </si>
  <si>
    <t>CN77883083</t>
  </si>
  <si>
    <t>77883083-3</t>
  </si>
  <si>
    <t>CN76018992</t>
  </si>
  <si>
    <t>CLINICA ANDES SALUD CONCEPCION S.A</t>
  </si>
  <si>
    <t>76018992-8</t>
  </si>
  <si>
    <t>CN76047700</t>
  </si>
  <si>
    <t>76047700-1</t>
  </si>
  <si>
    <t>CN69190400</t>
  </si>
  <si>
    <t>69190400-8</t>
  </si>
  <si>
    <t>CN69190500</t>
  </si>
  <si>
    <t>69190500-4</t>
  </si>
  <si>
    <t>CN69190600</t>
  </si>
  <si>
    <t>69190600-0</t>
  </si>
  <si>
    <t>BH267722250</t>
  </si>
  <si>
    <t>RUBEN DARIO BRACHO</t>
  </si>
  <si>
    <t>CN61602299</t>
  </si>
  <si>
    <t>61602299-7</t>
  </si>
  <si>
    <t>CN61602126</t>
  </si>
  <si>
    <t>61602126-5</t>
  </si>
  <si>
    <t>CN96598850</t>
  </si>
  <si>
    <t>96598850-5</t>
  </si>
  <si>
    <t>CN69191100</t>
  </si>
  <si>
    <t>69191100-4</t>
  </si>
  <si>
    <t>CN61606917</t>
  </si>
  <si>
    <t>61606917-9</t>
  </si>
  <si>
    <t>CN69191300</t>
  </si>
  <si>
    <t>69191300-7</t>
  </si>
  <si>
    <t>CN61606204</t>
  </si>
  <si>
    <t>61606204-2</t>
  </si>
  <si>
    <t>CN76562618</t>
  </si>
  <si>
    <t>76562618-8</t>
  </si>
  <si>
    <t>CN69200100</t>
  </si>
  <si>
    <t>CN70859400</t>
  </si>
  <si>
    <t>70859400-8</t>
  </si>
  <si>
    <t>CN69200500</t>
  </si>
  <si>
    <t>69200500-7</t>
  </si>
  <si>
    <t>CN69200600</t>
  </si>
  <si>
    <t>69200600-3</t>
  </si>
  <si>
    <t>CN61602226</t>
  </si>
  <si>
    <t>HOSPITAL DE TRAIGUEN</t>
  </si>
  <si>
    <t>61602226-1</t>
  </si>
  <si>
    <t>CN96986050</t>
  </si>
  <si>
    <t>96986050-3</t>
  </si>
  <si>
    <t>EM12332145</t>
  </si>
  <si>
    <t>ALISON MARIOLY GONZALEZ</t>
  </si>
  <si>
    <t>12332145-6</t>
  </si>
  <si>
    <t>CN77147735</t>
  </si>
  <si>
    <t>77147735-6</t>
  </si>
  <si>
    <t>CN70938800</t>
  </si>
  <si>
    <t>CN61607003</t>
  </si>
  <si>
    <t>61607003-7</t>
  </si>
  <si>
    <t>CN77008446</t>
  </si>
  <si>
    <t>77008446-6</t>
  </si>
  <si>
    <t>CN69090600</t>
  </si>
  <si>
    <t>CN69010100</t>
  </si>
  <si>
    <t>CN76756808</t>
  </si>
  <si>
    <t>76756808-8</t>
  </si>
  <si>
    <t>CN69220200</t>
  </si>
  <si>
    <t>I MUNICIPALIDAD DE PUERTO VARAS</t>
  </si>
  <si>
    <t>CN69220302</t>
  </si>
  <si>
    <t>69220302-K</t>
  </si>
  <si>
    <t>CN69220402</t>
  </si>
  <si>
    <t>69220402-6</t>
  </si>
  <si>
    <t>CN76871990</t>
  </si>
  <si>
    <t>76871990-K</t>
  </si>
  <si>
    <t>EM12636230</t>
  </si>
  <si>
    <t>ELIZABETH MACARENA PLAZA</t>
  </si>
  <si>
    <t>12636230-7</t>
  </si>
  <si>
    <t>PN76978125</t>
  </si>
  <si>
    <t>Industrial Control Automation Spa</t>
  </si>
  <si>
    <t>76978125-0</t>
  </si>
  <si>
    <t>CN61606604</t>
  </si>
  <si>
    <t>61606604-8</t>
  </si>
  <si>
    <t>CN96662020</t>
  </si>
  <si>
    <t>96662020-K</t>
  </si>
  <si>
    <t>CN69250200</t>
  </si>
  <si>
    <t>69250200-0</t>
  </si>
  <si>
    <t>CN69250500</t>
  </si>
  <si>
    <t>I MUNICIPALIDAD DE DIEGO DE ALMAGRO</t>
  </si>
  <si>
    <t>69250500-K</t>
  </si>
  <si>
    <t>CN77587429</t>
  </si>
  <si>
    <t>77587429-5</t>
  </si>
  <si>
    <t>CN69251600</t>
  </si>
  <si>
    <t>69251600-1</t>
  </si>
  <si>
    <t>CN77417508</t>
  </si>
  <si>
    <t>77417508-3</t>
  </si>
  <si>
    <t>CN69201100</t>
  </si>
  <si>
    <t>69201100-7</t>
  </si>
  <si>
    <t>CN69210302</t>
  </si>
  <si>
    <t>CN69252300</t>
  </si>
  <si>
    <t>69252300-8</t>
  </si>
  <si>
    <t>PN77931120</t>
  </si>
  <si>
    <t>HOMS PACK SPA</t>
  </si>
  <si>
    <t>77931120-1</t>
  </si>
  <si>
    <t>CN69253600</t>
  </si>
  <si>
    <t>69253600-2</t>
  </si>
  <si>
    <t>CN71146000</t>
  </si>
  <si>
    <t>71146000-4</t>
  </si>
  <si>
    <t>CN65062843</t>
  </si>
  <si>
    <t>65062843-8</t>
  </si>
  <si>
    <t>CN69220500</t>
  </si>
  <si>
    <t>69220500-6</t>
  </si>
  <si>
    <t>CN69254300</t>
  </si>
  <si>
    <t>69254300-9</t>
  </si>
  <si>
    <t>CN78918290</t>
  </si>
  <si>
    <t>CLINICA  DE SALUD INTEGRAL S.A.</t>
  </si>
  <si>
    <t>78918290-6</t>
  </si>
  <si>
    <t>CN69191500</t>
  </si>
  <si>
    <t>CN69060800</t>
  </si>
  <si>
    <t>69060800-6</t>
  </si>
  <si>
    <t>CN69255200</t>
  </si>
  <si>
    <t>69255200-8</t>
  </si>
  <si>
    <t>CN53125850</t>
  </si>
  <si>
    <t>COMUNIDAD HOSPITAL DEL PROFESOR</t>
  </si>
  <si>
    <t>53125850-9</t>
  </si>
  <si>
    <t>CN69220100</t>
  </si>
  <si>
    <t>69220100-0</t>
  </si>
  <si>
    <t>CN96530470</t>
  </si>
  <si>
    <t>CLINICA DAVILA Y SERVICIOS MEDICOS SPA</t>
  </si>
  <si>
    <t>96530470-3</t>
  </si>
  <si>
    <t>CN69255600</t>
  </si>
  <si>
    <t>69255600-3</t>
  </si>
  <si>
    <t>CN99568720</t>
  </si>
  <si>
    <t>99568720-8</t>
  </si>
  <si>
    <t>CN69230200</t>
  </si>
  <si>
    <t>69230200-1</t>
  </si>
  <si>
    <t>PN61808000</t>
  </si>
  <si>
    <t>AGUAS ANDINAS S A</t>
  </si>
  <si>
    <t>61808000-5</t>
  </si>
  <si>
    <t>CN71016300</t>
  </si>
  <si>
    <t>71016300-6</t>
  </si>
  <si>
    <t>CN69262800</t>
  </si>
  <si>
    <t>MUNICIPALIDAD DE ANTUCO - SALUD</t>
  </si>
  <si>
    <t>69262800-4</t>
  </si>
  <si>
    <t>CN69264400</t>
  </si>
  <si>
    <t>69264400-K</t>
  </si>
  <si>
    <t>PN76077067</t>
  </si>
  <si>
    <t>Mery y Compañia Limitada</t>
  </si>
  <si>
    <t>76077067-1</t>
  </si>
  <si>
    <t>CN61602244</t>
  </si>
  <si>
    <t>61602244-K</t>
  </si>
  <si>
    <t>CN61608602</t>
  </si>
  <si>
    <t>61608602-2</t>
  </si>
  <si>
    <t>CN69264800</t>
  </si>
  <si>
    <t>69264800-5</t>
  </si>
  <si>
    <t>CN99537800</t>
  </si>
  <si>
    <t>99537800-0</t>
  </si>
  <si>
    <t>CN69071700</t>
  </si>
  <si>
    <t>CN69266400</t>
  </si>
  <si>
    <t>69266400-0</t>
  </si>
  <si>
    <t>CN70856400</t>
  </si>
  <si>
    <t>70856400-1</t>
  </si>
  <si>
    <t>CN96885930</t>
  </si>
  <si>
    <t>CLINICA BICENTENARIO S.A.</t>
  </si>
  <si>
    <t>96885930-7</t>
  </si>
  <si>
    <t>CN61999190</t>
  </si>
  <si>
    <t>61999190-7</t>
  </si>
  <si>
    <t>CN96606750</t>
  </si>
  <si>
    <t>96606750-0</t>
  </si>
  <si>
    <t>CN61602295</t>
  </si>
  <si>
    <t>HOSPITAL TRAUMATOLOGICO DE CONCEPCION</t>
  </si>
  <si>
    <t>61602295-4</t>
  </si>
  <si>
    <t>CN69252500</t>
  </si>
  <si>
    <t>69252500-0</t>
  </si>
  <si>
    <t>CN69190200</t>
  </si>
  <si>
    <t>69190200-5</t>
  </si>
  <si>
    <t>CN72632100</t>
  </si>
  <si>
    <t>I MUNICIPALIDAD DE PEMUCO DEPARTA MENTO DE SALUD</t>
  </si>
  <si>
    <t>72632100-0</t>
  </si>
  <si>
    <t>CN61608404</t>
  </si>
  <si>
    <t>61608404-6</t>
  </si>
  <si>
    <t>CN77419333</t>
  </si>
  <si>
    <t>77419333-2</t>
  </si>
  <si>
    <t>PN12790296</t>
  </si>
  <si>
    <t>ILIAN CONTRERAS ORTEGA</t>
  </si>
  <si>
    <t>12790296-8</t>
  </si>
  <si>
    <t>PN77190880</t>
  </si>
  <si>
    <t>SOC IMPORTADORA OPTIVISION LIMITADA</t>
  </si>
  <si>
    <t>77190880-2</t>
  </si>
  <si>
    <t>CN61607302</t>
  </si>
  <si>
    <t>61607302-8</t>
  </si>
  <si>
    <t>PN96685690</t>
  </si>
  <si>
    <t>TALBOT HOTELS S.A.</t>
  </si>
  <si>
    <t>96685690-4</t>
  </si>
  <si>
    <t>CN69060500</t>
  </si>
  <si>
    <t>69060500-7</t>
  </si>
  <si>
    <t>CN77878170</t>
  </si>
  <si>
    <t>77878170-0</t>
  </si>
  <si>
    <t>CN76602583</t>
  </si>
  <si>
    <t>76602583-8</t>
  </si>
  <si>
    <t>PN96684550</t>
  </si>
  <si>
    <t>INVERSIONES CUMBRE LIMITADA</t>
  </si>
  <si>
    <t>96684550-3</t>
  </si>
  <si>
    <t>CN78230230</t>
  </si>
  <si>
    <t>78230230-2</t>
  </si>
  <si>
    <t>CN82745300</t>
  </si>
  <si>
    <t>CORPORACION IGLESIA ADVENTISTA DEL 7Â° DIA</t>
  </si>
  <si>
    <t>82745300-5</t>
  </si>
  <si>
    <t>PN96556940</t>
  </si>
  <si>
    <t>PROVEEDORES INTEGRALES PRISA S A</t>
  </si>
  <si>
    <t>96556940-5</t>
  </si>
  <si>
    <t>CN71281500</t>
  </si>
  <si>
    <t>71281500-0</t>
  </si>
  <si>
    <t>CN61606608</t>
  </si>
  <si>
    <t>61606608-0</t>
  </si>
  <si>
    <t>CN99549130</t>
  </si>
  <si>
    <t>99549130-3</t>
  </si>
  <si>
    <t>PN97053000</t>
  </si>
  <si>
    <t>BANCO SECURITY</t>
  </si>
  <si>
    <t>97053000-2</t>
  </si>
  <si>
    <t>PN77653536</t>
  </si>
  <si>
    <t>ANTO CONSULTORES SPA</t>
  </si>
  <si>
    <t>77653536-2</t>
  </si>
  <si>
    <t>CN61608604</t>
  </si>
  <si>
    <t>61608604-9</t>
  </si>
  <si>
    <t>CN61608204</t>
  </si>
  <si>
    <t>61608204-3</t>
  </si>
  <si>
    <t>CN96774580</t>
  </si>
  <si>
    <t>96774580-4</t>
  </si>
  <si>
    <t>PN76113783</t>
  </si>
  <si>
    <t>NESPRESSO CHILE S.A.</t>
  </si>
  <si>
    <t>76113783-2</t>
  </si>
  <si>
    <t>CN61602134</t>
  </si>
  <si>
    <t>61602134-6</t>
  </si>
  <si>
    <t>CN76098454</t>
  </si>
  <si>
    <t>76098454-K</t>
  </si>
  <si>
    <t>CN61975100</t>
  </si>
  <si>
    <t>61975100-0</t>
  </si>
  <si>
    <t>CN61602220</t>
  </si>
  <si>
    <t>61602220-2</t>
  </si>
  <si>
    <t>CN99579260</t>
  </si>
  <si>
    <t>99579260-5</t>
  </si>
  <si>
    <t>PN77613129</t>
  </si>
  <si>
    <t>SERVICIOS GAAB SPA</t>
  </si>
  <si>
    <t>77613129-6</t>
  </si>
  <si>
    <t>CN61606303</t>
  </si>
  <si>
    <t>61606303-0</t>
  </si>
  <si>
    <t>CN71614000</t>
  </si>
  <si>
    <t>71614000-8</t>
  </si>
  <si>
    <t>CN77667085</t>
  </si>
  <si>
    <t>77667085-5</t>
  </si>
  <si>
    <t>CN61979450</t>
  </si>
  <si>
    <t>61979450-8</t>
  </si>
  <si>
    <t>CN77087443</t>
  </si>
  <si>
    <t>CLINICA PLANAS SPA</t>
  </si>
  <si>
    <t>77087443-2</t>
  </si>
  <si>
    <t>CN69070900</t>
  </si>
  <si>
    <t>CN61602122</t>
  </si>
  <si>
    <t>61602122-2</t>
  </si>
  <si>
    <t>CN61101030</t>
  </si>
  <si>
    <t>61101030-3</t>
  </si>
  <si>
    <t>CN69200900</t>
  </si>
  <si>
    <t>69200900-2</t>
  </si>
  <si>
    <t>CN77765376</t>
  </si>
  <si>
    <t>77765376-8</t>
  </si>
  <si>
    <t>CN61602241</t>
  </si>
  <si>
    <t>61602241-5</t>
  </si>
  <si>
    <t>CN76400383</t>
  </si>
  <si>
    <t>76400383-7</t>
  </si>
  <si>
    <t>CN69151002</t>
  </si>
  <si>
    <t>69151002-6</t>
  </si>
  <si>
    <t>CN61979270</t>
  </si>
  <si>
    <t>CN69180100</t>
  </si>
  <si>
    <t>CN90212000</t>
  </si>
  <si>
    <t>90212000-9</t>
  </si>
  <si>
    <t>PN76754296</t>
  </si>
  <si>
    <t>FEDEX EXPRESS CHILE SPA</t>
  </si>
  <si>
    <t>76754296-8</t>
  </si>
  <si>
    <t>CN69264700</t>
  </si>
  <si>
    <t>EM25913563</t>
  </si>
  <si>
    <t>MIGUEL EDUARDO RIVAS</t>
  </si>
  <si>
    <t>25913563-K</t>
  </si>
  <si>
    <t>CN61607103</t>
  </si>
  <si>
    <t>61607103-3</t>
  </si>
  <si>
    <t>CN69151000</t>
  </si>
  <si>
    <t>69151000-K</t>
  </si>
  <si>
    <t>CN69010300</t>
  </si>
  <si>
    <t>69010300-1</t>
  </si>
  <si>
    <t>CN71014200</t>
  </si>
  <si>
    <t>CORMUN RANCAGUA - ADMINISTRACION CENTRA</t>
  </si>
  <si>
    <t>71014200-9</t>
  </si>
  <si>
    <t>CN76550129</t>
  </si>
  <si>
    <t>76550129-6</t>
  </si>
  <si>
    <t>CN61606903</t>
  </si>
  <si>
    <t>61606903-9</t>
  </si>
  <si>
    <t>PN77325953</t>
  </si>
  <si>
    <t>SISTEMAS ELECTRÓNICOS DE SEGURIDAD SPA</t>
  </si>
  <si>
    <t>77325953-4</t>
  </si>
  <si>
    <t>CN70835200</t>
  </si>
  <si>
    <t>70835200-4</t>
  </si>
  <si>
    <t>CN61102029</t>
  </si>
  <si>
    <t>61102029-5</t>
  </si>
  <si>
    <t>CN69254200</t>
  </si>
  <si>
    <t>69254200-2</t>
  </si>
  <si>
    <t>CN70892100</t>
  </si>
  <si>
    <t>70892100-9</t>
  </si>
  <si>
    <t>CN76217781</t>
  </si>
  <si>
    <t>DISTRIBUIDORA DE INSUMOS MARIA INES GALLEGOS REYES E.I.R.L.</t>
  </si>
  <si>
    <t>76217781-1</t>
  </si>
  <si>
    <t>CN61608203</t>
  </si>
  <si>
    <t>61608203-5</t>
  </si>
  <si>
    <t>CN78035390</t>
  </si>
  <si>
    <t>78035390-2</t>
  </si>
  <si>
    <t>CN77904949</t>
  </si>
  <si>
    <t>77904949-3</t>
  </si>
  <si>
    <t>SO4524354</t>
  </si>
  <si>
    <t>PN77655220</t>
  </si>
  <si>
    <t>REVECO Y BAHAMONDES LIMITADA</t>
  </si>
  <si>
    <t>77655220-8</t>
  </si>
  <si>
    <t>CN61602273</t>
  </si>
  <si>
    <t>61602273-3</t>
  </si>
  <si>
    <t>EM11617066</t>
  </si>
  <si>
    <t>RICARDO ENRIQUE ARAYA</t>
  </si>
  <si>
    <t>11617066-3</t>
  </si>
  <si>
    <t>CN77051047</t>
  </si>
  <si>
    <t>77051047-3</t>
  </si>
  <si>
    <t>CN60514000</t>
  </si>
  <si>
    <t>60514000-9</t>
  </si>
  <si>
    <t>CN70905700</t>
  </si>
  <si>
    <t>70905700-6</t>
  </si>
  <si>
    <t>CN61602189</t>
  </si>
  <si>
    <t>61602189-3</t>
  </si>
  <si>
    <t>PN76324006</t>
  </si>
  <si>
    <t>SOCIEDAD DE ASEOS INTEGRALES SPA</t>
  </si>
  <si>
    <t>76324006-1</t>
  </si>
  <si>
    <t>CN76938510</t>
  </si>
  <si>
    <t>76938510-K</t>
  </si>
  <si>
    <t>CN61607005</t>
  </si>
  <si>
    <t>61607005-3</t>
  </si>
  <si>
    <t>PN76997783</t>
  </si>
  <si>
    <t>THOR CHILE SPA</t>
  </si>
  <si>
    <t>76997783-K</t>
  </si>
  <si>
    <t>CN61606901</t>
  </si>
  <si>
    <t>61606901-2</t>
  </si>
  <si>
    <t>PN76512015</t>
  </si>
  <si>
    <t>ASESORÌAS J&amp;S LIMITADA</t>
  </si>
  <si>
    <t>76512015-2</t>
  </si>
  <si>
    <t>PN76010909</t>
  </si>
  <si>
    <t>ZEAL SOCIEDAD CONCESIONARIA S.A.</t>
  </si>
  <si>
    <t>76010909-6</t>
  </si>
  <si>
    <t>CN61608002</t>
  </si>
  <si>
    <t>61608002-4</t>
  </si>
  <si>
    <t>PN97006000</t>
  </si>
  <si>
    <t>BANCO DE CREDITO E INVERSIONES</t>
  </si>
  <si>
    <t>97006000-6</t>
  </si>
  <si>
    <t>BH13886327</t>
  </si>
  <si>
    <t>HECTOR TORRES</t>
  </si>
  <si>
    <t>13886327-1</t>
  </si>
  <si>
    <t>CN61606500</t>
  </si>
  <si>
    <t>PN96792070</t>
  </si>
  <si>
    <t>VISUAL KNOWLEDGE CHILE S A</t>
  </si>
  <si>
    <t>96792070-3</t>
  </si>
  <si>
    <t>PN77088158</t>
  </si>
  <si>
    <t>WESTORAGE SPA</t>
  </si>
  <si>
    <t>77088158-7</t>
  </si>
  <si>
    <t>CN70012600</t>
  </si>
  <si>
    <t>70012600-5</t>
  </si>
  <si>
    <t>CN70012601</t>
  </si>
  <si>
    <t>HOSPITAL JOSEFINA MARTINEZ</t>
  </si>
  <si>
    <t>70012601-3</t>
  </si>
  <si>
    <t>PN96566940</t>
  </si>
  <si>
    <t>AGENCIAS UNIVERSALES S A</t>
  </si>
  <si>
    <t>96566940-K</t>
  </si>
  <si>
    <t>CN61102067</t>
  </si>
  <si>
    <t>61102067-8</t>
  </si>
  <si>
    <t>CN61980320</t>
  </si>
  <si>
    <t>CN61607904</t>
  </si>
  <si>
    <t>61607904-2</t>
  </si>
  <si>
    <t>CN70362000</t>
  </si>
  <si>
    <t>70362000-0</t>
  </si>
  <si>
    <t>CN70878100</t>
  </si>
  <si>
    <t>70878100-2</t>
  </si>
  <si>
    <t>CN70744700</t>
  </si>
  <si>
    <t>70744700-1</t>
  </si>
  <si>
    <t>CN70754700</t>
  </si>
  <si>
    <t>70754700-6</t>
  </si>
  <si>
    <t>CN70766500</t>
  </si>
  <si>
    <t>70766500-9</t>
  </si>
  <si>
    <t>CN70770800</t>
  </si>
  <si>
    <t>70770800-K</t>
  </si>
  <si>
    <t>CN61606100</t>
  </si>
  <si>
    <t>CN70783100</t>
  </si>
  <si>
    <t>70783100-6</t>
  </si>
  <si>
    <t>CN69071800</t>
  </si>
  <si>
    <t>69071800-6</t>
  </si>
  <si>
    <t>CN81897500</t>
  </si>
  <si>
    <t>81897500-7</t>
  </si>
  <si>
    <t>PN88450800</t>
  </si>
  <si>
    <t>SOCIEDAD DE INGIENERIA Y CONSTRUCCION NORTE SUR LIMITADA</t>
  </si>
  <si>
    <t>88450800-2</t>
  </si>
  <si>
    <t>CN61602245</t>
  </si>
  <si>
    <t>SERVICIO DE SALUD ARAUCANIA SUR HOSPITAL DE GORBEA</t>
  </si>
  <si>
    <t>61602245-8</t>
  </si>
  <si>
    <t>CN81949100</t>
  </si>
  <si>
    <t>CORPORACION DE BENEFICENCIA OSORNO</t>
  </si>
  <si>
    <t>81949100-3</t>
  </si>
  <si>
    <t>CN61607504</t>
  </si>
  <si>
    <t>61607504-7</t>
  </si>
  <si>
    <t>CN70360100</t>
  </si>
  <si>
    <t>70360100-6</t>
  </si>
  <si>
    <t>CN61608105</t>
  </si>
  <si>
    <t>61608105-5</t>
  </si>
  <si>
    <t>CN70885500</t>
  </si>
  <si>
    <t>70885500-6</t>
  </si>
  <si>
    <t>PN79722860</t>
  </si>
  <si>
    <t>WINKLER LIMITADA</t>
  </si>
  <si>
    <t>79722860-5</t>
  </si>
  <si>
    <t>CN61606200</t>
  </si>
  <si>
    <t>DIRECCION SERVICIO DE SALUD ANTOFAGASTA</t>
  </si>
  <si>
    <t>61606200-K</t>
  </si>
  <si>
    <t>CN69180800</t>
  </si>
  <si>
    <t>69180800-9</t>
  </si>
  <si>
    <t>EM15639359</t>
  </si>
  <si>
    <t>LUIS FELIPE NARANJO</t>
  </si>
  <si>
    <t>15639359-2</t>
  </si>
  <si>
    <t>PN77271012</t>
  </si>
  <si>
    <t>AMBIQUIM RP SPA</t>
  </si>
  <si>
    <t>77271012-7</t>
  </si>
  <si>
    <t>CN69140802</t>
  </si>
  <si>
    <t>69140802-7</t>
  </si>
  <si>
    <t>CN70931900</t>
  </si>
  <si>
    <t>70931900-0</t>
  </si>
  <si>
    <t>CN69080700</t>
  </si>
  <si>
    <t>69080700-9</t>
  </si>
  <si>
    <t>CN69220702</t>
  </si>
  <si>
    <t>69220702-5</t>
  </si>
  <si>
    <t>CN69060300</t>
  </si>
  <si>
    <t>69060300-4</t>
  </si>
  <si>
    <t>CN61602279</t>
  </si>
  <si>
    <t>61602279-2</t>
  </si>
  <si>
    <t>CN61608403</t>
  </si>
  <si>
    <t>INSTITUTO NACIONAL DE GERIATRIA</t>
  </si>
  <si>
    <t>61608403-8</t>
  </si>
  <si>
    <t>CN61602194</t>
  </si>
  <si>
    <t>61602194-K</t>
  </si>
  <si>
    <t>CN92999000</t>
  </si>
  <si>
    <t>92999000-5</t>
  </si>
  <si>
    <t>CN69081000</t>
  </si>
  <si>
    <t>69081000-K</t>
  </si>
  <si>
    <t>CN61602148</t>
  </si>
  <si>
    <t>61602148-6</t>
  </si>
  <si>
    <t>PN96596850</t>
  </si>
  <si>
    <t>Asesorías e Inversiones Tenerife Limitada</t>
  </si>
  <si>
    <t>96596850-4</t>
  </si>
  <si>
    <t>CN71102600</t>
  </si>
  <si>
    <t>71102600-2</t>
  </si>
  <si>
    <t>CN61607602</t>
  </si>
  <si>
    <t>61607602-7</t>
  </si>
  <si>
    <t>EM16886189</t>
  </si>
  <si>
    <t>CONSTANZA VALENZUELA</t>
  </si>
  <si>
    <t>16886189-3</t>
  </si>
  <si>
    <t>CN77749210</t>
  </si>
  <si>
    <t>77749210-1</t>
  </si>
  <si>
    <t>CN61606908</t>
  </si>
  <si>
    <t>61606908-K</t>
  </si>
  <si>
    <t>CN71164300</t>
  </si>
  <si>
    <t>71164300-1</t>
  </si>
  <si>
    <t>CN77561431</t>
  </si>
  <si>
    <t>77561431-5</t>
  </si>
  <si>
    <t>CN61608200</t>
  </si>
  <si>
    <t>PN97018000</t>
  </si>
  <si>
    <t>SCOTIABANK CHILE</t>
  </si>
  <si>
    <t>97018000-1</t>
  </si>
  <si>
    <t>CN71265200</t>
  </si>
  <si>
    <t>71265200-4</t>
  </si>
  <si>
    <t>CN70954200</t>
  </si>
  <si>
    <t>70954200-1</t>
  </si>
  <si>
    <t>CN77432848</t>
  </si>
  <si>
    <t>77432848-3</t>
  </si>
  <si>
    <t>CN71299000</t>
  </si>
  <si>
    <t>71299000-7</t>
  </si>
  <si>
    <t>PN70017820</t>
  </si>
  <si>
    <t>CAMARA DE COMERCIO DE SANTIAGO</t>
  </si>
  <si>
    <t>70017820-K</t>
  </si>
  <si>
    <t>PN76052668</t>
  </si>
  <si>
    <t>COMERCIAL ARDUINI LIMITADA</t>
  </si>
  <si>
    <t>76052668-1</t>
  </si>
  <si>
    <t>CN71378000</t>
  </si>
  <si>
    <t>71378000-6</t>
  </si>
  <si>
    <t>CN96588400</t>
  </si>
  <si>
    <t>96588400-9</t>
  </si>
  <si>
    <t>PN77052602</t>
  </si>
  <si>
    <t>AQUANDES SPA</t>
  </si>
  <si>
    <t>77052602-7</t>
  </si>
  <si>
    <t>CN71497400</t>
  </si>
  <si>
    <t>71497400-9</t>
  </si>
  <si>
    <t>CN71500500</t>
  </si>
  <si>
    <t>71500500-K</t>
  </si>
  <si>
    <t>CN71540100</t>
  </si>
  <si>
    <t>71540100-2</t>
  </si>
  <si>
    <t>CN61958500</t>
  </si>
  <si>
    <t>61958500-3</t>
  </si>
  <si>
    <t>CN71618600</t>
  </si>
  <si>
    <t>71618600-8</t>
  </si>
  <si>
    <t>CN71633300</t>
  </si>
  <si>
    <t>71633300-0</t>
  </si>
  <si>
    <t>CN71644300</t>
  </si>
  <si>
    <t>UNIVERSIDAD DEL DESARROLLO</t>
  </si>
  <si>
    <t>71644300-0</t>
  </si>
  <si>
    <t>CN76000616</t>
  </si>
  <si>
    <t>76000616-5</t>
  </si>
  <si>
    <t>CN71915800</t>
  </si>
  <si>
    <t>UNIVERSIDAD CATOLICA DE LA SANTISIMA CONCEPCION</t>
  </si>
  <si>
    <t>71915800-5</t>
  </si>
  <si>
    <t>CN71918300</t>
  </si>
  <si>
    <t>71918300-K</t>
  </si>
  <si>
    <t>CN72368400</t>
  </si>
  <si>
    <t>72368400-5</t>
  </si>
  <si>
    <t>EM14474148</t>
  </si>
  <si>
    <t>SEBASTIAN MAURICIO DEL FIERRO</t>
  </si>
  <si>
    <t>14474148-K</t>
  </si>
  <si>
    <t>CN76998730</t>
  </si>
  <si>
    <t>NUTRICION Y SALUD DANIEL ALONSO GARRIDO HERNANDEZ E.I.R.L</t>
  </si>
  <si>
    <t>76998730-4</t>
  </si>
  <si>
    <t>CN73568600</t>
  </si>
  <si>
    <t>73568600-3</t>
  </si>
  <si>
    <t>CN74069500</t>
  </si>
  <si>
    <t>74069500-2</t>
  </si>
  <si>
    <t>CN61602142</t>
  </si>
  <si>
    <t>61602142-7</t>
  </si>
  <si>
    <t>CN61606205</t>
  </si>
  <si>
    <t>61606205-0</t>
  </si>
  <si>
    <t>CN76012551</t>
  </si>
  <si>
    <t>76012551-2</t>
  </si>
  <si>
    <t>CN76018118</t>
  </si>
  <si>
    <t>76018118-8</t>
  </si>
  <si>
    <t>PN14125721</t>
  </si>
  <si>
    <t>AXEL GUILLERMO SALGADO VALDIVIA</t>
  </si>
  <si>
    <t>14125721-8</t>
  </si>
  <si>
    <t>CN76057158</t>
  </si>
  <si>
    <t>SERVICIOS CLINICOS DEL DESARROLLO SA</t>
  </si>
  <si>
    <t>76057158-K</t>
  </si>
  <si>
    <t>CN76024387</t>
  </si>
  <si>
    <t>76024387-6</t>
  </si>
  <si>
    <t>CN76026253</t>
  </si>
  <si>
    <t>76026253-6</t>
  </si>
  <si>
    <t>EM14578071</t>
  </si>
  <si>
    <t>MARIA VICTORIA OLAVE</t>
  </si>
  <si>
    <t>14578071-3</t>
  </si>
  <si>
    <t>CN76037010</t>
  </si>
  <si>
    <t>76037010-K</t>
  </si>
  <si>
    <t>CN76037430</t>
  </si>
  <si>
    <t>76037430-K</t>
  </si>
  <si>
    <t>CN61606001</t>
  </si>
  <si>
    <t>SERVICIO DE SALUD ARICA HOSPITAL DR. JUAN NOE CREVANI</t>
  </si>
  <si>
    <t>61606001-5</t>
  </si>
  <si>
    <t>CN60910000</t>
  </si>
  <si>
    <t>60910000-1</t>
  </si>
  <si>
    <t>CN76053487</t>
  </si>
  <si>
    <t>CLINICA ODONTOLOGICA SONRIE LTDA</t>
  </si>
  <si>
    <t>76053487-0</t>
  </si>
  <si>
    <t>CN76054237</t>
  </si>
  <si>
    <t>IMPORTADORA Y COMERCIALIZADORA BBC CHILE SA</t>
  </si>
  <si>
    <t>76054237-7</t>
  </si>
  <si>
    <t>CN69072000</t>
  </si>
  <si>
    <t>69072000-0</t>
  </si>
  <si>
    <t>CN76064951</t>
  </si>
  <si>
    <t>COPROLAN LIMITADA</t>
  </si>
  <si>
    <t>76064951-1</t>
  </si>
  <si>
    <t>CN61608408</t>
  </si>
  <si>
    <t>61608408-9</t>
  </si>
  <si>
    <t>PN77643171</t>
  </si>
  <si>
    <t>COMERCIAL SASHA SPA</t>
  </si>
  <si>
    <t>77643171-0</t>
  </si>
  <si>
    <t>CN69073200</t>
  </si>
  <si>
    <t>69073200-9</t>
  </si>
  <si>
    <t>CN76103729</t>
  </si>
  <si>
    <t>SOCIEDAD SANTA BLANCA SPA</t>
  </si>
  <si>
    <t>76103729-3</t>
  </si>
  <si>
    <t>CN76106636</t>
  </si>
  <si>
    <t>HN SPA</t>
  </si>
  <si>
    <t>76106636-6</t>
  </si>
  <si>
    <t>CN76115006</t>
  </si>
  <si>
    <t>SOCIEDAD SERVICIOS ODONTOLOGICOS PAREDES Y PAREDES LTDA.</t>
  </si>
  <si>
    <t>76115006-5</t>
  </si>
  <si>
    <t>CN76198822</t>
  </si>
  <si>
    <t>76198822-0</t>
  </si>
  <si>
    <t>CN76117485</t>
  </si>
  <si>
    <t>76117485-1</t>
  </si>
  <si>
    <t>CN76135347</t>
  </si>
  <si>
    <t>76135347-0</t>
  </si>
  <si>
    <t>CN61606918</t>
  </si>
  <si>
    <t>61606918-7</t>
  </si>
  <si>
    <t>CN76145892</t>
  </si>
  <si>
    <t>76145892-2</t>
  </si>
  <si>
    <t>CN76149524</t>
  </si>
  <si>
    <t>76149524-0</t>
  </si>
  <si>
    <t>CN76173214</t>
  </si>
  <si>
    <t>76173214-5</t>
  </si>
  <si>
    <t>CN61606203</t>
  </si>
  <si>
    <t>61606203-4</t>
  </si>
  <si>
    <t>CN76184313</t>
  </si>
  <si>
    <t>76184313-3</t>
  </si>
  <si>
    <t>CN69160202</t>
  </si>
  <si>
    <t>69160202-8</t>
  </si>
  <si>
    <t>CN76205137</t>
  </si>
  <si>
    <t>76205137-0</t>
  </si>
  <si>
    <t>CN76205148</t>
  </si>
  <si>
    <t>76205148-6</t>
  </si>
  <si>
    <t>CN76208217</t>
  </si>
  <si>
    <t>76208217-9</t>
  </si>
  <si>
    <t>CN69255500</t>
  </si>
  <si>
    <t>69255500-7</t>
  </si>
  <si>
    <t>CN61607503</t>
  </si>
  <si>
    <t>61607503-9</t>
  </si>
  <si>
    <t>CN76217441</t>
  </si>
  <si>
    <t>76217441-3</t>
  </si>
  <si>
    <t>CN70015580</t>
  </si>
  <si>
    <t>70015580-3</t>
  </si>
  <si>
    <t>CN76218700</t>
  </si>
  <si>
    <t>76218700-0</t>
  </si>
  <si>
    <t>CN76223278</t>
  </si>
  <si>
    <t>76223278-2</t>
  </si>
  <si>
    <t>PN76926706</t>
  </si>
  <si>
    <t>SEA BRIDGE CHILE SPA</t>
  </si>
  <si>
    <t>76926706-9</t>
  </si>
  <si>
    <t>CN76242192</t>
  </si>
  <si>
    <t>76242192-5</t>
  </si>
  <si>
    <t>CN61602125</t>
  </si>
  <si>
    <t>HOSPITAL DE CURACAVI</t>
  </si>
  <si>
    <t>61602125-7</t>
  </si>
  <si>
    <t>CN76252250</t>
  </si>
  <si>
    <t>76252250-0</t>
  </si>
  <si>
    <t>PN99225000</t>
  </si>
  <si>
    <t>CHUBB SEGUROS CHILE</t>
  </si>
  <si>
    <t>99225000-3</t>
  </si>
  <si>
    <t>CN76266651</t>
  </si>
  <si>
    <t>76266651-0</t>
  </si>
  <si>
    <t>CN76278745</t>
  </si>
  <si>
    <t>76278745-8</t>
  </si>
  <si>
    <t>CN78010167</t>
  </si>
  <si>
    <t>OVERCOMED SPA</t>
  </si>
  <si>
    <t>78010167-9</t>
  </si>
  <si>
    <t>CN76288723</t>
  </si>
  <si>
    <t>76288723-1</t>
  </si>
  <si>
    <t>CN76299631</t>
  </si>
  <si>
    <t>INSUMOS JORGE LEONARDO LOAIZA VIDAL EIRL</t>
  </si>
  <si>
    <t>76299631-6</t>
  </si>
  <si>
    <t>CN76302388</t>
  </si>
  <si>
    <t>76302388-5</t>
  </si>
  <si>
    <t>CN76307279</t>
  </si>
  <si>
    <t>76307279-7</t>
  </si>
  <si>
    <t>CN76324497</t>
  </si>
  <si>
    <t>76324497-0</t>
  </si>
  <si>
    <t>EM14604567</t>
  </si>
  <si>
    <t>ABSDRUBAL JOSE MEJIA</t>
  </si>
  <si>
    <t>14604567-7</t>
  </si>
  <si>
    <t>EM15295102</t>
  </si>
  <si>
    <t>LUZ EUGENIA  RETAMAL</t>
  </si>
  <si>
    <t>15295102-7</t>
  </si>
  <si>
    <t>CN61602229</t>
  </si>
  <si>
    <t>CN76348947</t>
  </si>
  <si>
    <t>76348947-7</t>
  </si>
  <si>
    <t>CN76363205</t>
  </si>
  <si>
    <t>76363205-9</t>
  </si>
  <si>
    <t>CN76367603</t>
  </si>
  <si>
    <t>SOCIEDAD ODONTOLOGICA KENNEDY ORIENTE LTDA</t>
  </si>
  <si>
    <t>76367603-K</t>
  </si>
  <si>
    <t>CN76368603</t>
  </si>
  <si>
    <t>SERVICIOS DE ATENCION MEDICA INTEGRAL</t>
  </si>
  <si>
    <t>76368603-5</t>
  </si>
  <si>
    <t>CN76371302</t>
  </si>
  <si>
    <t>76371302-4</t>
  </si>
  <si>
    <t>CN76389383</t>
  </si>
  <si>
    <t>76389383-9</t>
  </si>
  <si>
    <t>CN76399177</t>
  </si>
  <si>
    <t>76399177-6</t>
  </si>
  <si>
    <t>CN61513003</t>
  </si>
  <si>
    <t>61513003-6</t>
  </si>
  <si>
    <t>CN76407427</t>
  </si>
  <si>
    <t>76407427-0</t>
  </si>
  <si>
    <t>CN76215260</t>
  </si>
  <si>
    <t>NEMO CHILE S.A.</t>
  </si>
  <si>
    <t>76215260-6</t>
  </si>
  <si>
    <t>CN76425459</t>
  </si>
  <si>
    <t>76425459-7</t>
  </si>
  <si>
    <t>CN76425912</t>
  </si>
  <si>
    <t>76425912-2</t>
  </si>
  <si>
    <t>EM15433837</t>
  </si>
  <si>
    <t>MAGGI DEL CARMEN  BARRERA</t>
  </si>
  <si>
    <t>15433837-3</t>
  </si>
  <si>
    <t>CN76449784</t>
  </si>
  <si>
    <t>SOCIEDAD ENDOSCOPIA CLINICA LINARES SPA</t>
  </si>
  <si>
    <t>76449784-8</t>
  </si>
  <si>
    <t>CN76452377</t>
  </si>
  <si>
    <t>76452377-6</t>
  </si>
  <si>
    <t>CN69255300</t>
  </si>
  <si>
    <t>CN76525560</t>
  </si>
  <si>
    <t>76525560-0</t>
  </si>
  <si>
    <t>CN76532722</t>
  </si>
  <si>
    <t>76532722-9</t>
  </si>
  <si>
    <t>CN76544452</t>
  </si>
  <si>
    <t>COMERCIAL ISACAR SPA.</t>
  </si>
  <si>
    <t>76544452-7</t>
  </si>
  <si>
    <t>CN76546430</t>
  </si>
  <si>
    <t>76546430-7</t>
  </si>
  <si>
    <t>CN76547804</t>
  </si>
  <si>
    <t>76547804-9</t>
  </si>
  <si>
    <t>EM15564956</t>
  </si>
  <si>
    <t>FREDDY MAURICIO PAINEPI</t>
  </si>
  <si>
    <t>15564956-9</t>
  </si>
  <si>
    <t>CN76555831</t>
  </si>
  <si>
    <t>76555831-K</t>
  </si>
  <si>
    <t>CN69081500</t>
  </si>
  <si>
    <t>69081500-1</t>
  </si>
  <si>
    <t>CN61608502</t>
  </si>
  <si>
    <t>61608502-6</t>
  </si>
  <si>
    <t>CN76590213</t>
  </si>
  <si>
    <t>76590213-4</t>
  </si>
  <si>
    <t>CN76594461</t>
  </si>
  <si>
    <t>IMPORTADORA MOTAC SPA</t>
  </si>
  <si>
    <t>76594461-9</t>
  </si>
  <si>
    <t>CN76594624</t>
  </si>
  <si>
    <t>76594624-7</t>
  </si>
  <si>
    <t>PN76846411</t>
  </si>
  <si>
    <t>COMERCIALIZADORA COSPACK LIMITADA</t>
  </si>
  <si>
    <t>76846411-1</t>
  </si>
  <si>
    <t>CN61101031</t>
  </si>
  <si>
    <t>CENTRAL ODONTOLOGICA DEL EJERCITO - COE</t>
  </si>
  <si>
    <t>61101031-1</t>
  </si>
  <si>
    <t>CN61607502</t>
  </si>
  <si>
    <t>61607502-0</t>
  </si>
  <si>
    <t>CN76642585</t>
  </si>
  <si>
    <t>76642585-2</t>
  </si>
  <si>
    <t>CN76643443</t>
  </si>
  <si>
    <t>76643443-6</t>
  </si>
  <si>
    <t>CN76649910</t>
  </si>
  <si>
    <t>76649910-4</t>
  </si>
  <si>
    <t>CN76665811</t>
  </si>
  <si>
    <t>MLCHV COMERCIALIZADORA DE INSUMOS MEDICOS EIRL</t>
  </si>
  <si>
    <t>76665811-3</t>
  </si>
  <si>
    <t>CN61602232</t>
  </si>
  <si>
    <t>61602232-6</t>
  </si>
  <si>
    <t>CN61602278</t>
  </si>
  <si>
    <t>61602278-4</t>
  </si>
  <si>
    <t>CN76686235</t>
  </si>
  <si>
    <t>76686235-7</t>
  </si>
  <si>
    <t>CN76645686</t>
  </si>
  <si>
    <t>76645686-3</t>
  </si>
  <si>
    <t>CN76687899</t>
  </si>
  <si>
    <t>76687899-7</t>
  </si>
  <si>
    <t>CN76695130</t>
  </si>
  <si>
    <t>76695130-9</t>
  </si>
  <si>
    <t>CN76705982</t>
  </si>
  <si>
    <t>EDUCARBUS LTDA</t>
  </si>
  <si>
    <t>76705982-5</t>
  </si>
  <si>
    <t>CN76716696</t>
  </si>
  <si>
    <t>76716696-6</t>
  </si>
  <si>
    <t>CN76718218</t>
  </si>
  <si>
    <t>76718218-K</t>
  </si>
  <si>
    <t>CN76725359</t>
  </si>
  <si>
    <t>76725359-1</t>
  </si>
  <si>
    <t>CN76734484</t>
  </si>
  <si>
    <t>76734484-8</t>
  </si>
  <si>
    <t>CN76738299</t>
  </si>
  <si>
    <t>76738299-5</t>
  </si>
  <si>
    <t>CN76739523</t>
  </si>
  <si>
    <t>76739523-K</t>
  </si>
  <si>
    <t>PE00019</t>
  </si>
  <si>
    <t>HEFEI C&amp;P NONWOVEN PRODUCTS</t>
  </si>
  <si>
    <t>PN78464300</t>
  </si>
  <si>
    <t>78464300-K</t>
  </si>
  <si>
    <t>CN76740984</t>
  </si>
  <si>
    <t>76740984-2</t>
  </si>
  <si>
    <t>CN76746136</t>
  </si>
  <si>
    <t>SOCIEDAD DE SERVICIOS MEDICOS IL RETORNO SPA</t>
  </si>
  <si>
    <t>76746136-4</t>
  </si>
  <si>
    <t>CN76748642</t>
  </si>
  <si>
    <t>76748642-1</t>
  </si>
  <si>
    <t>CN77490449</t>
  </si>
  <si>
    <t>SOCIEDAD INMOBILIARIA VENEZIA SPA</t>
  </si>
  <si>
    <t>77490449-2</t>
  </si>
  <si>
    <t>CN76752973</t>
  </si>
  <si>
    <t>AQUAMED SPA</t>
  </si>
  <si>
    <t>76752973-2</t>
  </si>
  <si>
    <t>PN86132100</t>
  </si>
  <si>
    <t>DEMARKA S A</t>
  </si>
  <si>
    <t>86132100-2</t>
  </si>
  <si>
    <t>CN76758248</t>
  </si>
  <si>
    <t>76758248-K</t>
  </si>
  <si>
    <t>CN76758693</t>
  </si>
  <si>
    <t>SOTECNO MEDICAL SPA</t>
  </si>
  <si>
    <t>76758693-0</t>
  </si>
  <si>
    <t>CN76768780</t>
  </si>
  <si>
    <t>76768780-K</t>
  </si>
  <si>
    <t>CN76775439</t>
  </si>
  <si>
    <t>76775439-6</t>
  </si>
  <si>
    <t>CN76754296</t>
  </si>
  <si>
    <t>FEDEX EXPRESS CHILE  SPA</t>
  </si>
  <si>
    <t>CN76781325</t>
  </si>
  <si>
    <t>76781325-2</t>
  </si>
  <si>
    <t>CN76783933</t>
  </si>
  <si>
    <t>SOCIEDAD VETERINARIA ALTO EL LOA LTDA</t>
  </si>
  <si>
    <t>76783933-2</t>
  </si>
  <si>
    <t>CN76788417</t>
  </si>
  <si>
    <t>76788417-6</t>
  </si>
  <si>
    <t>CN76789279</t>
  </si>
  <si>
    <t>76789279-9</t>
  </si>
  <si>
    <t>CN76790408</t>
  </si>
  <si>
    <t>76790408-8</t>
  </si>
  <si>
    <t>CN76807866</t>
  </si>
  <si>
    <t>76807866-1</t>
  </si>
  <si>
    <t>CN76813247</t>
  </si>
  <si>
    <t>MEDPLAN S.P.A.</t>
  </si>
  <si>
    <t>76813247-k</t>
  </si>
  <si>
    <t>CN76814217</t>
  </si>
  <si>
    <t>76814217-3</t>
  </si>
  <si>
    <t>CN93930000</t>
  </si>
  <si>
    <t>CLINICA LAS CONDES S.A.</t>
  </si>
  <si>
    <t>93930000-7</t>
  </si>
  <si>
    <t>CN76835793</t>
  </si>
  <si>
    <t>BEFORE PUBLICIDAD SPA</t>
  </si>
  <si>
    <t>76835793-5</t>
  </si>
  <si>
    <t>CN61606602</t>
  </si>
  <si>
    <t>61606602-1</t>
  </si>
  <si>
    <t>CN76844925</t>
  </si>
  <si>
    <t>76844925-2</t>
  </si>
  <si>
    <t>CN76850721</t>
  </si>
  <si>
    <t>SOCIEDAD MEDICA Y DE INVERSIONES RODRIGUEZ Y RODRIGUEZ SPA</t>
  </si>
  <si>
    <t>76850721-K</t>
  </si>
  <si>
    <t>CN76852690</t>
  </si>
  <si>
    <t>SOCIEDAD COMERCIAL Y DE SERVICIOS CLINICOS INTEGRADOS SPA.</t>
  </si>
  <si>
    <t>76852690-7</t>
  </si>
  <si>
    <t>CN76855799</t>
  </si>
  <si>
    <t>EDUCACION DEPORTE Y CULTURA EDDECU SPA</t>
  </si>
  <si>
    <t>76855799-3</t>
  </si>
  <si>
    <t>CN76865249</t>
  </si>
  <si>
    <t>FRANKFERT</t>
  </si>
  <si>
    <t>76865249-K</t>
  </si>
  <si>
    <t>CN76865884</t>
  </si>
  <si>
    <t>76865884-6</t>
  </si>
  <si>
    <t>CN69180600</t>
  </si>
  <si>
    <t>69180600-6</t>
  </si>
  <si>
    <t>CN76875179</t>
  </si>
  <si>
    <t>76875179-K</t>
  </si>
  <si>
    <t>EM16622469</t>
  </si>
  <si>
    <t>DAVID JOSUE TOLEDO</t>
  </si>
  <si>
    <t>16622469-1</t>
  </si>
  <si>
    <t>EM16790682</t>
  </si>
  <si>
    <t>PAOLA ANGELICA CACERES</t>
  </si>
  <si>
    <t>16790682-6</t>
  </si>
  <si>
    <t>CN76889384</t>
  </si>
  <si>
    <t>76889384-5</t>
  </si>
  <si>
    <t>EM16796288</t>
  </si>
  <si>
    <t>XIMENA MAGDALENA TOBAR</t>
  </si>
  <si>
    <t>16796288-2</t>
  </si>
  <si>
    <t>CN76891316</t>
  </si>
  <si>
    <t>COMERCIAL NOVAQUIM LTDA.</t>
  </si>
  <si>
    <t>76891316-1</t>
  </si>
  <si>
    <t>CN76930423</t>
  </si>
  <si>
    <t>SASF COMERCIAL LTDA</t>
  </si>
  <si>
    <t>76930423-1</t>
  </si>
  <si>
    <t>PN76385837</t>
  </si>
  <si>
    <t>HOTEL DEL RIO LIMITADA</t>
  </si>
  <si>
    <t>76385837-5</t>
  </si>
  <si>
    <t>CN76939694</t>
  </si>
  <si>
    <t>76939694-2</t>
  </si>
  <si>
    <t>CN76961023</t>
  </si>
  <si>
    <t>COMERCIAL V&amp;V SPA</t>
  </si>
  <si>
    <t>76961023-5</t>
  </si>
  <si>
    <t>EM16933470</t>
  </si>
  <si>
    <t>ROMANET BELEN HERRERA</t>
  </si>
  <si>
    <t>16933470-6</t>
  </si>
  <si>
    <t>CN61602152</t>
  </si>
  <si>
    <t>61602152-4</t>
  </si>
  <si>
    <t>CN76983442</t>
  </si>
  <si>
    <t>CENTRO INTEGRAL VASQUEZ VARGAS LTDA.</t>
  </si>
  <si>
    <t>76983442-7</t>
  </si>
  <si>
    <t>CN76990211</t>
  </si>
  <si>
    <t>MEDICAL ENSEMBLE SPA</t>
  </si>
  <si>
    <t>76990211-2</t>
  </si>
  <si>
    <t>CN69050300</t>
  </si>
  <si>
    <t>69050300-K</t>
  </si>
  <si>
    <t>CN76991975</t>
  </si>
  <si>
    <t>76991975-9</t>
  </si>
  <si>
    <t>CN76995785</t>
  </si>
  <si>
    <t>76995785-5</t>
  </si>
  <si>
    <t>CN96674170</t>
  </si>
  <si>
    <t>96674170-8</t>
  </si>
  <si>
    <t>CN79859890</t>
  </si>
  <si>
    <t>79859890-2</t>
  </si>
  <si>
    <t>PN76779022</t>
  </si>
  <si>
    <t>EMBALPACK SPA</t>
  </si>
  <si>
    <t>76779022-8</t>
  </si>
  <si>
    <t>CN77008545</t>
  </si>
  <si>
    <t>SERVICIOS DE SALUD Y ASESORIAS INTEGRALES LTDA</t>
  </si>
  <si>
    <t>77008545-4</t>
  </si>
  <si>
    <t>CN77012001</t>
  </si>
  <si>
    <t>VENSUAR NEUROLOGIA VETERINARIA SPA</t>
  </si>
  <si>
    <t>77012001-2</t>
  </si>
  <si>
    <t>CN77025297</t>
  </si>
  <si>
    <t>77025297-0</t>
  </si>
  <si>
    <t>CN61608407</t>
  </si>
  <si>
    <t>61608407-0</t>
  </si>
  <si>
    <t>CN77026484</t>
  </si>
  <si>
    <t>77026484-7</t>
  </si>
  <si>
    <t>CN77027064</t>
  </si>
  <si>
    <t>DIERTEC MEDICAL I SPA</t>
  </si>
  <si>
    <t>77027064-2</t>
  </si>
  <si>
    <t>CN77035627</t>
  </si>
  <si>
    <t>77035627-K</t>
  </si>
  <si>
    <t>CN77042262</t>
  </si>
  <si>
    <t>77042262-0</t>
  </si>
  <si>
    <t>CN77044303</t>
  </si>
  <si>
    <t>77044303-2</t>
  </si>
  <si>
    <t>PN76407930</t>
  </si>
  <si>
    <t>ENTERNET SOCIEDAD ANONIMA</t>
  </si>
  <si>
    <t>76407930-2</t>
  </si>
  <si>
    <t>CN77069718</t>
  </si>
  <si>
    <t>77069718-2</t>
  </si>
  <si>
    <t>CN76444740</t>
  </si>
  <si>
    <t>76444740-9</t>
  </si>
  <si>
    <t>CN77083458</t>
  </si>
  <si>
    <t>77083458-9</t>
  </si>
  <si>
    <t>CN77086705</t>
  </si>
  <si>
    <t>DISTRIBUIDORA DE INSUMOS MEDICOS S.P.A</t>
  </si>
  <si>
    <t>77086705-3</t>
  </si>
  <si>
    <t>CN77093096</t>
  </si>
  <si>
    <t>COMERCIALIZADORA E IMPORTADORA DOSALIA GROUP LTDA</t>
  </si>
  <si>
    <t>77093096-0</t>
  </si>
  <si>
    <t>CN77094035</t>
  </si>
  <si>
    <t>77094035-4</t>
  </si>
  <si>
    <t>EM17072714</t>
  </si>
  <si>
    <t>FELIPE ALFREDO VEGA</t>
  </si>
  <si>
    <t>17072714-2</t>
  </si>
  <si>
    <t>CN77107793</t>
  </si>
  <si>
    <t>AMBULANCIAS MEDICAL PROGRESS SPA</t>
  </si>
  <si>
    <t>77107793-5</t>
  </si>
  <si>
    <t>CN77113962</t>
  </si>
  <si>
    <t>77113962-0</t>
  </si>
  <si>
    <t>EM17100350</t>
  </si>
  <si>
    <t>PATRICIA MARIBEL CARCAMO</t>
  </si>
  <si>
    <t>17100350-4</t>
  </si>
  <si>
    <t>CN77131494</t>
  </si>
  <si>
    <t>77131494-5</t>
  </si>
  <si>
    <t>CN77145584</t>
  </si>
  <si>
    <t>77145584-0</t>
  </si>
  <si>
    <t>PN16798576</t>
  </si>
  <si>
    <t>DIEGO ALONSO CADAGAN RUIZ</t>
  </si>
  <si>
    <t>16798576-9</t>
  </si>
  <si>
    <t>CN77147802</t>
  </si>
  <si>
    <t>77147802-6</t>
  </si>
  <si>
    <t>CN77148033</t>
  </si>
  <si>
    <t>77148033-0</t>
  </si>
  <si>
    <t>EM17338278</t>
  </si>
  <si>
    <t>MICHEL ANGELO LEGAL</t>
  </si>
  <si>
    <t>17338278-2</t>
  </si>
  <si>
    <t>CN77151363</t>
  </si>
  <si>
    <t>77151363-8</t>
  </si>
  <si>
    <t>CN77153212</t>
  </si>
  <si>
    <t>77153212-8</t>
  </si>
  <si>
    <t>EM17619467</t>
  </si>
  <si>
    <t>ALEJANDRO ESTEBAN LEIVA</t>
  </si>
  <si>
    <t>17619467-7</t>
  </si>
  <si>
    <t>CN77156435</t>
  </si>
  <si>
    <t>77156435-6</t>
  </si>
  <si>
    <t>CN77160171</t>
  </si>
  <si>
    <t>77160171-5</t>
  </si>
  <si>
    <t>CN77178406</t>
  </si>
  <si>
    <t>77178406-2</t>
  </si>
  <si>
    <t>PN61605000</t>
  </si>
  <si>
    <t>INSTITUTO DE SALUD PUBLICA DE CHILE</t>
  </si>
  <si>
    <t>61605000-1</t>
  </si>
  <si>
    <t>CN77186763</t>
  </si>
  <si>
    <t>77186763-4</t>
  </si>
  <si>
    <t>PN96908970</t>
  </si>
  <si>
    <t>SAN ANTONIO TERMINAL INTERNACIONAL S.A.</t>
  </si>
  <si>
    <t>96908970-K</t>
  </si>
  <si>
    <t>CN77187331</t>
  </si>
  <si>
    <t>IMPORTADORA Y COMERCIALIZADORA AILLON Y SIERRA SPA.</t>
  </si>
  <si>
    <t>77187331-6</t>
  </si>
  <si>
    <t>CN77187547</t>
  </si>
  <si>
    <t>COMERCIALIZADORA DE INSUMOS MEDICOS ANA MARCELA DE LOURDES ESPINOZA NA</t>
  </si>
  <si>
    <t>77187547-5</t>
  </si>
  <si>
    <t>CN77189374</t>
  </si>
  <si>
    <t>77189374-0</t>
  </si>
  <si>
    <t>CN77190719</t>
  </si>
  <si>
    <t>77190719-9</t>
  </si>
  <si>
    <t>CN77190880</t>
  </si>
  <si>
    <t>CN77191186</t>
  </si>
  <si>
    <t>77191186-2</t>
  </si>
  <si>
    <t>CN77193511</t>
  </si>
  <si>
    <t>D&amp;P SPA</t>
  </si>
  <si>
    <t>77193511-7</t>
  </si>
  <si>
    <t>CN77198052</t>
  </si>
  <si>
    <t>77198052-K</t>
  </si>
  <si>
    <t>CN77204307</t>
  </si>
  <si>
    <t>77204307-4</t>
  </si>
  <si>
    <t>EM17706026</t>
  </si>
  <si>
    <t>KATHERINNE DANIELA BUSTOS</t>
  </si>
  <si>
    <t>17706026-7</t>
  </si>
  <si>
    <t>CN77222153</t>
  </si>
  <si>
    <t>77222153-3</t>
  </si>
  <si>
    <t>PN77337976</t>
  </si>
  <si>
    <t>TRANSPORTE TIME CARGO WAS SPA</t>
  </si>
  <si>
    <t>77337976-9</t>
  </si>
  <si>
    <t>CN77226319</t>
  </si>
  <si>
    <t>IMPORTADORA INSUMEDICAL CHILE</t>
  </si>
  <si>
    <t>77226319-8</t>
  </si>
  <si>
    <t>CN77233648</t>
  </si>
  <si>
    <t>LABLE &amp; CORREA ASOCIADOS LIMITADA</t>
  </si>
  <si>
    <t>77233648-9</t>
  </si>
  <si>
    <t>CN77242437</t>
  </si>
  <si>
    <t>77242437-K</t>
  </si>
  <si>
    <t>PN76689016</t>
  </si>
  <si>
    <t>TRANSPORTES PEDRO JUAN PEREZ VIVANCO E.I.R.L.</t>
  </si>
  <si>
    <t>76689016-4</t>
  </si>
  <si>
    <t>CN77249212</t>
  </si>
  <si>
    <t>77249212-K</t>
  </si>
  <si>
    <t>CN77276214</t>
  </si>
  <si>
    <t>SERVICIOS CLINICOS LIMITADA</t>
  </si>
  <si>
    <t>77276214-3</t>
  </si>
  <si>
    <t>CN77277715</t>
  </si>
  <si>
    <t>77277715-9</t>
  </si>
  <si>
    <t>CN77296632</t>
  </si>
  <si>
    <t>CN77297183</t>
  </si>
  <si>
    <t>IMAS EQUIPAMIENTO E INSUMOS MEDICOS SPA</t>
  </si>
  <si>
    <t>77297183-4</t>
  </si>
  <si>
    <t>CN77305553</t>
  </si>
  <si>
    <t>IMPORTADORA Y COMERCIALIZADORA VIKTUS SPA.</t>
  </si>
  <si>
    <t>77305553-K</t>
  </si>
  <si>
    <t>CN15901723</t>
  </si>
  <si>
    <t>15901723-0</t>
  </si>
  <si>
    <t>CN77325006</t>
  </si>
  <si>
    <t>KLINICA LEON SPA</t>
  </si>
  <si>
    <t>77325006-5</t>
  </si>
  <si>
    <t>CN77326289</t>
  </si>
  <si>
    <t>77326289-6</t>
  </si>
  <si>
    <t>CN77339458</t>
  </si>
  <si>
    <t>INSUMOS MEDICOS VETERINARIOS</t>
  </si>
  <si>
    <t>77339458-K</t>
  </si>
  <si>
    <t>CN77354084</t>
  </si>
  <si>
    <t>77354084-5</t>
  </si>
  <si>
    <t>PN76497234</t>
  </si>
  <si>
    <t>FULLEN INTERNATIONAL CHILE SPA</t>
  </si>
  <si>
    <t>76497234-1</t>
  </si>
  <si>
    <t>CN77360837</t>
  </si>
  <si>
    <t>SOCIEDAD HERREGOM SPA</t>
  </si>
  <si>
    <t>77360837-7</t>
  </si>
  <si>
    <t>CN77362552</t>
  </si>
  <si>
    <t>SALUD HOGAR Y CENTRAL DE VIDA LTDA</t>
  </si>
  <si>
    <t>77362552-2</t>
  </si>
  <si>
    <t>CN77368507</t>
  </si>
  <si>
    <t>INSUMED SPA</t>
  </si>
  <si>
    <t>77368507-k</t>
  </si>
  <si>
    <t>CN77371743</t>
  </si>
  <si>
    <t>ANDES INVESTMENTS SANTIAGO TRES S.A</t>
  </si>
  <si>
    <t>77371743-5</t>
  </si>
  <si>
    <t>CN77372975</t>
  </si>
  <si>
    <t>77372975-1</t>
  </si>
  <si>
    <t>CN61602121</t>
  </si>
  <si>
    <t>61602121-4</t>
  </si>
  <si>
    <t>CN77384516</t>
  </si>
  <si>
    <t>77384516-6</t>
  </si>
  <si>
    <t>CN77385180</t>
  </si>
  <si>
    <t>77385180-8</t>
  </si>
  <si>
    <t>CN77389045</t>
  </si>
  <si>
    <t>GLOBALIMPLANT</t>
  </si>
  <si>
    <t>77389045-5</t>
  </si>
  <si>
    <t>CN77402010</t>
  </si>
  <si>
    <t>77402010-1</t>
  </si>
  <si>
    <t>CN77405832</t>
  </si>
  <si>
    <t>INNOVACION Y CALIDAD EN SALUD PATRICIO LOBOS EIRL</t>
  </si>
  <si>
    <t>77405832-K</t>
  </si>
  <si>
    <t>CN77407029</t>
  </si>
  <si>
    <t>77407029-K</t>
  </si>
  <si>
    <t>EM17728761</t>
  </si>
  <si>
    <t>KATHERINE PAZ SALAZAR</t>
  </si>
  <si>
    <t>17728761-K</t>
  </si>
  <si>
    <t>CN77410421</t>
  </si>
  <si>
    <t>77410421-6</t>
  </si>
  <si>
    <t>CN71293900</t>
  </si>
  <si>
    <t>71293900-1</t>
  </si>
  <si>
    <t>EM17771601</t>
  </si>
  <si>
    <t>MARIA SIBELE  QUEZADA</t>
  </si>
  <si>
    <t>17771601-4</t>
  </si>
  <si>
    <t>CN77431791</t>
  </si>
  <si>
    <t>SERVICIOS VETERINARIOS PAULA ANDREA GONZALEZ VALDERRAMA E.I.R.L.</t>
  </si>
  <si>
    <t>77431791-0</t>
  </si>
  <si>
    <t>PN96910280</t>
  </si>
  <si>
    <t>96910280-3</t>
  </si>
  <si>
    <t>EM20670772</t>
  </si>
  <si>
    <t>RODRIGO CRUZ</t>
  </si>
  <si>
    <t>CN77439330</t>
  </si>
  <si>
    <t>77439330-7</t>
  </si>
  <si>
    <t>CN77439686</t>
  </si>
  <si>
    <t>PATIPERROS PET SPA</t>
  </si>
  <si>
    <t>77439686-1</t>
  </si>
  <si>
    <t>BH26710447</t>
  </si>
  <si>
    <t>PIERINA LOAYZA RAMIREZ</t>
  </si>
  <si>
    <t>26710447-6</t>
  </si>
  <si>
    <t>CN77444879</t>
  </si>
  <si>
    <t>77444879-9</t>
  </si>
  <si>
    <t>CN77483197</t>
  </si>
  <si>
    <t>77483197-5</t>
  </si>
  <si>
    <t>CN77488919</t>
  </si>
  <si>
    <t>77488919-1</t>
  </si>
  <si>
    <t>CN77490090</t>
  </si>
  <si>
    <t>SERVICIOS MEDICOS REDMEDICA LTDA.</t>
  </si>
  <si>
    <t>77490090-K</t>
  </si>
  <si>
    <t>CN77501379</t>
  </si>
  <si>
    <t>77501379-6</t>
  </si>
  <si>
    <t>CN77504681</t>
  </si>
  <si>
    <t>77504681-3</t>
  </si>
  <si>
    <t>CN61602238</t>
  </si>
  <si>
    <t>HOSPITAL PITRUFQUEN</t>
  </si>
  <si>
    <t>61602238-5</t>
  </si>
  <si>
    <t>CN77518471</t>
  </si>
  <si>
    <t>77518471-K</t>
  </si>
  <si>
    <t>CN61602270</t>
  </si>
  <si>
    <t>61602270-9</t>
  </si>
  <si>
    <t>CN77520276</t>
  </si>
  <si>
    <t>77520276-9</t>
  </si>
  <si>
    <t>EM17841258</t>
  </si>
  <si>
    <t>FRANCISCO ALEJANDRO JORQUERA</t>
  </si>
  <si>
    <t>17841258-2</t>
  </si>
  <si>
    <t>CN77540893</t>
  </si>
  <si>
    <t>INSUMOS MEDICOS CEAP SPA</t>
  </si>
  <si>
    <t>77540893-6</t>
  </si>
  <si>
    <t>CN77546216</t>
  </si>
  <si>
    <t>CLINICA ALMIRANTE PASTENE SPA</t>
  </si>
  <si>
    <t>77546216-7</t>
  </si>
  <si>
    <t>CN77546217</t>
  </si>
  <si>
    <t>CLÃNICA ALMIRANTE PASTENE SPA</t>
  </si>
  <si>
    <t>77546217-7</t>
  </si>
  <si>
    <t>CN77558353</t>
  </si>
  <si>
    <t>77558353-3</t>
  </si>
  <si>
    <t>PN96662540</t>
  </si>
  <si>
    <t>MAERSK LOGISTICS &amp; SERVICES CHILE SPA</t>
  </si>
  <si>
    <t>96662540-6</t>
  </si>
  <si>
    <t>CN77582227</t>
  </si>
  <si>
    <t>SOMNUS SPA</t>
  </si>
  <si>
    <t>77582227-9</t>
  </si>
  <si>
    <t>CN77034255</t>
  </si>
  <si>
    <t>QUINTAVET SPA</t>
  </si>
  <si>
    <t>77034255-4</t>
  </si>
  <si>
    <t>CN77587511</t>
  </si>
  <si>
    <t>INTRAMEDICAL CHILE SPA</t>
  </si>
  <si>
    <t>77587511-9</t>
  </si>
  <si>
    <t>CN77606220</t>
  </si>
  <si>
    <t>77606220-0</t>
  </si>
  <si>
    <t>CN77608180</t>
  </si>
  <si>
    <t>77608180-9</t>
  </si>
  <si>
    <t>CN77610844</t>
  </si>
  <si>
    <t>77610844-8</t>
  </si>
  <si>
    <t>CN61606305</t>
  </si>
  <si>
    <t>61606305-7</t>
  </si>
  <si>
    <t>CN61606401</t>
  </si>
  <si>
    <t>HOSPITAL DE VICUÑA</t>
  </si>
  <si>
    <t>61606401-0</t>
  </si>
  <si>
    <t>CN77628630</t>
  </si>
  <si>
    <t>77628630-3</t>
  </si>
  <si>
    <t>CN77632688</t>
  </si>
  <si>
    <t>77632688-7</t>
  </si>
  <si>
    <t>CN69040700</t>
  </si>
  <si>
    <t>CN77644140</t>
  </si>
  <si>
    <t>77644140-6</t>
  </si>
  <si>
    <t>CN77649599</t>
  </si>
  <si>
    <t>NEWMEDICALSPA</t>
  </si>
  <si>
    <t>77649599-9</t>
  </si>
  <si>
    <t>CN77653169</t>
  </si>
  <si>
    <t>77653169-3</t>
  </si>
  <si>
    <t>CN61606600</t>
  </si>
  <si>
    <t>61606600-5</t>
  </si>
  <si>
    <t>CN77672231</t>
  </si>
  <si>
    <t>77672231-6</t>
  </si>
  <si>
    <t>CN77695399</t>
  </si>
  <si>
    <t>77695399-7</t>
  </si>
  <si>
    <t>CN61606603</t>
  </si>
  <si>
    <t>CN77712959</t>
  </si>
  <si>
    <t>77712959-7</t>
  </si>
  <si>
    <t>CN96921660</t>
  </si>
  <si>
    <t>96921660-4</t>
  </si>
  <si>
    <t>CN77741203</t>
  </si>
  <si>
    <t>CENTRO MEDICO DRA. EDELWEISS MAYR SPA</t>
  </si>
  <si>
    <t>77741203-5</t>
  </si>
  <si>
    <t>CN77744382</t>
  </si>
  <si>
    <t>MAUCEN SPA</t>
  </si>
  <si>
    <t>77744382-8</t>
  </si>
  <si>
    <t>CN77747459</t>
  </si>
  <si>
    <t>INSUMOS ANGELO ZAMORA E.I.R.L.</t>
  </si>
  <si>
    <t>77747459-6</t>
  </si>
  <si>
    <t>CN77244285</t>
  </si>
  <si>
    <t>77244285-8</t>
  </si>
  <si>
    <t>CN61607000</t>
  </si>
  <si>
    <t>61607000-2</t>
  </si>
  <si>
    <t>CN77769130</t>
  </si>
  <si>
    <t>77769130-9</t>
  </si>
  <si>
    <t>CN77772308</t>
  </si>
  <si>
    <t>ROCA SERVICIOS MEDICOS Y ENFERMERIA LIMITADA</t>
  </si>
  <si>
    <t>77772308-1</t>
  </si>
  <si>
    <t>CN77774613</t>
  </si>
  <si>
    <t>SERVICIOS VETERINARIOS ROBERTO REREQUE CANDIA E.I.R.L</t>
  </si>
  <si>
    <t>77774613-8</t>
  </si>
  <si>
    <t>CN77776745</t>
  </si>
  <si>
    <t>77776745-3</t>
  </si>
  <si>
    <t>PE00018</t>
  </si>
  <si>
    <t>WENZHOU K.L.F. MEDICAL PLASTICS CO., LTD</t>
  </si>
  <si>
    <t>CN77794104</t>
  </si>
  <si>
    <t>77794104-6</t>
  </si>
  <si>
    <t>CN77805829</t>
  </si>
  <si>
    <t>77805829-4</t>
  </si>
  <si>
    <t>CN77806852</t>
  </si>
  <si>
    <t>77806852-4</t>
  </si>
  <si>
    <t>PN88983600</t>
  </si>
  <si>
    <t>GTD TELEDUCTOS S.A</t>
  </si>
  <si>
    <t>88983600-8</t>
  </si>
  <si>
    <t>CN77812734</t>
  </si>
  <si>
    <t>JACK MEMPHIS MEDICAL SPA</t>
  </si>
  <si>
    <t>77812734-2</t>
  </si>
  <si>
    <t>CN77815689</t>
  </si>
  <si>
    <t>77815689-K</t>
  </si>
  <si>
    <t>CN77818792</t>
  </si>
  <si>
    <t>77818792-2</t>
  </si>
  <si>
    <t>CN77865349</t>
  </si>
  <si>
    <t>PROVIMED CHILE SPA</t>
  </si>
  <si>
    <t>77865349-4</t>
  </si>
  <si>
    <t>PN76042965</t>
  </si>
  <si>
    <t>ORION SEGUROS GENERALES S.A.</t>
  </si>
  <si>
    <t>76042965-1</t>
  </si>
  <si>
    <t>CN61608004</t>
  </si>
  <si>
    <t>61608004-0</t>
  </si>
  <si>
    <t>CN77899722</t>
  </si>
  <si>
    <t>77899722-3</t>
  </si>
  <si>
    <t>CN77903341</t>
  </si>
  <si>
    <t>77903341-4</t>
  </si>
  <si>
    <t>CN61953200</t>
  </si>
  <si>
    <t>61953200-7</t>
  </si>
  <si>
    <t>CN77931120</t>
  </si>
  <si>
    <t>PLASTICOS HOMS LIMITADA</t>
  </si>
  <si>
    <t>CN77945345</t>
  </si>
  <si>
    <t>SOLUCIONES DE PULPA MOLDEADA SPA</t>
  </si>
  <si>
    <t>77945345-6</t>
  </si>
  <si>
    <t>CN77954450</t>
  </si>
  <si>
    <t>77954450-8</t>
  </si>
  <si>
    <t>CN77968260</t>
  </si>
  <si>
    <t>77968260-9</t>
  </si>
  <si>
    <t>CN78010180</t>
  </si>
  <si>
    <t>78010180-6</t>
  </si>
  <si>
    <t>CN78027120</t>
  </si>
  <si>
    <t>78027120-5</t>
  </si>
  <si>
    <t>PE00024</t>
  </si>
  <si>
    <t>HARITEX CORPORATION</t>
  </si>
  <si>
    <t>CN78035640</t>
  </si>
  <si>
    <t>78035640-5</t>
  </si>
  <si>
    <t>CN76640249</t>
  </si>
  <si>
    <t>ARIEL MATAMALA DIAZ INVERSIONES EIRL</t>
  </si>
  <si>
    <t>76640249-6</t>
  </si>
  <si>
    <t>CN78060400</t>
  </si>
  <si>
    <t>78060400-K</t>
  </si>
  <si>
    <t>CN78083940</t>
  </si>
  <si>
    <t>78083940-6</t>
  </si>
  <si>
    <t>CN61602212</t>
  </si>
  <si>
    <t>CN78185130</t>
  </si>
  <si>
    <t>78185130-2</t>
  </si>
  <si>
    <t>CN69264500</t>
  </si>
  <si>
    <t>69264500-6</t>
  </si>
  <si>
    <t>CN69160500</t>
  </si>
  <si>
    <t>69160500-0</t>
  </si>
  <si>
    <t>CN78583750</t>
  </si>
  <si>
    <t>78583750-9</t>
  </si>
  <si>
    <t>CN78597740</t>
  </si>
  <si>
    <t>CENTROS MEDICOS Y DENTALES MULTIMED LTDA</t>
  </si>
  <si>
    <t>78597740-8</t>
  </si>
  <si>
    <t>CN78660200</t>
  </si>
  <si>
    <t>78660200-9</t>
  </si>
  <si>
    <t>CN78663260</t>
  </si>
  <si>
    <t>SERVICIOS MEDICOS DE DIALISIS LTDA</t>
  </si>
  <si>
    <t>78663260-9</t>
  </si>
  <si>
    <t>CN61606610</t>
  </si>
  <si>
    <t>61606610-2</t>
  </si>
  <si>
    <t>CN70872300</t>
  </si>
  <si>
    <t>70872300-2</t>
  </si>
  <si>
    <t>CN78937450</t>
  </si>
  <si>
    <t>ETHA DISTRIBUIDORA MEDICA LTDA.</t>
  </si>
  <si>
    <t>78937450-3</t>
  </si>
  <si>
    <t>CN61606306</t>
  </si>
  <si>
    <t>61606306-5</t>
  </si>
  <si>
    <t>PN77879900</t>
  </si>
  <si>
    <t>COMERCIAL MAUCO SPA.</t>
  </si>
  <si>
    <t>77879900-6</t>
  </si>
  <si>
    <t>CN79722860</t>
  </si>
  <si>
    <t>WINKLER LTDA</t>
  </si>
  <si>
    <t>CN79844080</t>
  </si>
  <si>
    <t>79844080-2</t>
  </si>
  <si>
    <t>CN70932800</t>
  </si>
  <si>
    <t>CORPORACION MUNICIPAL DE DESARROLLO SOCIAL DE ÑUÑOA</t>
  </si>
  <si>
    <t>CN79895670</t>
  </si>
  <si>
    <t>79895670-1</t>
  </si>
  <si>
    <t>CN7989878</t>
  </si>
  <si>
    <t>7989878-3</t>
  </si>
  <si>
    <t>CN80123900</t>
  </si>
  <si>
    <t>80123900-5</t>
  </si>
  <si>
    <t>CN80932900</t>
  </si>
  <si>
    <t>80932900-3</t>
  </si>
  <si>
    <t>CN81338000</t>
  </si>
  <si>
    <t>81338000-5</t>
  </si>
  <si>
    <t>CN81494400</t>
  </si>
  <si>
    <t>UNIVERSIDAD DE CONCEPCION</t>
  </si>
  <si>
    <t>81494400-K</t>
  </si>
  <si>
    <t>CN71234100</t>
  </si>
  <si>
    <t>71234100-9</t>
  </si>
  <si>
    <t>PN76336632</t>
  </si>
  <si>
    <t>IMPORTADORA FALCON LIMITADA</t>
  </si>
  <si>
    <t>76336632-4</t>
  </si>
  <si>
    <t>CN76740793</t>
  </si>
  <si>
    <t>76740793-9</t>
  </si>
  <si>
    <t>EM18090482</t>
  </si>
  <si>
    <t>IVONNE PATRICIA CARVALLO</t>
  </si>
  <si>
    <t>18090482-4</t>
  </si>
  <si>
    <t>CN82156700</t>
  </si>
  <si>
    <t>82156700-9</t>
  </si>
  <si>
    <t>CN82369500</t>
  </si>
  <si>
    <t>82369500-4</t>
  </si>
  <si>
    <t>CN61608205</t>
  </si>
  <si>
    <t>CN85610900</t>
  </si>
  <si>
    <t>CENTRO DE DIAGNOSTICO DIGESTIVO LIMITADA</t>
  </si>
  <si>
    <t>85610900-3</t>
  </si>
  <si>
    <t>CN76740935</t>
  </si>
  <si>
    <t>76740935-4</t>
  </si>
  <si>
    <t>CN86383300</t>
  </si>
  <si>
    <t>86383300-0</t>
  </si>
  <si>
    <t>CN77671775</t>
  </si>
  <si>
    <t>77671775-4</t>
  </si>
  <si>
    <t>CN86821000</t>
  </si>
  <si>
    <t>86821000-1</t>
  </si>
  <si>
    <t>CN88056200</t>
  </si>
  <si>
    <t>LABORATORIO CLINICO LONCOMILLA LTDA</t>
  </si>
  <si>
    <t>88056200-2</t>
  </si>
  <si>
    <t>CN76995878</t>
  </si>
  <si>
    <t>76995878-9</t>
  </si>
  <si>
    <t>CN77698259</t>
  </si>
  <si>
    <t>77698259-8</t>
  </si>
  <si>
    <t>CN8905540</t>
  </si>
  <si>
    <t>8905540-7</t>
  </si>
  <si>
    <t>CN89593200</t>
  </si>
  <si>
    <t>89593200-0</t>
  </si>
  <si>
    <t>CN96963660</t>
  </si>
  <si>
    <t>96963660-3</t>
  </si>
  <si>
    <t>CN69150502</t>
  </si>
  <si>
    <t>CN90256000</t>
  </si>
  <si>
    <t>90256000-9</t>
  </si>
  <si>
    <t>CN69252100</t>
  </si>
  <si>
    <t>69252100-5</t>
  </si>
  <si>
    <t>CN91575000</t>
  </si>
  <si>
    <t>91575000-1</t>
  </si>
  <si>
    <t>PN83297700</t>
  </si>
  <si>
    <t>IMPRESOS Y CARTONAJES S A</t>
  </si>
  <si>
    <t>83297700-4</t>
  </si>
  <si>
    <t>CN9275231</t>
  </si>
  <si>
    <t>MIGUEL BULLER MIRANDA</t>
  </si>
  <si>
    <t>9275231-3</t>
  </si>
  <si>
    <t>CN76471738</t>
  </si>
  <si>
    <t>COMPAÑIA TECNOLOGICA GOBACK TECHNOLOGY  LTDA.</t>
  </si>
  <si>
    <t>76471738-4</t>
  </si>
  <si>
    <t>CN12862443</t>
  </si>
  <si>
    <t>ERWIN ACUÑA ROMAN</t>
  </si>
  <si>
    <t>12862443-0</t>
  </si>
  <si>
    <t>CN95431000</t>
  </si>
  <si>
    <t>SERVICIOS Y ABASTECIMIENTOS A CLINICAS S.A.</t>
  </si>
  <si>
    <t>95431000-0</t>
  </si>
  <si>
    <t>CN62000570</t>
  </si>
  <si>
    <t>62000570-3</t>
  </si>
  <si>
    <t>CN96533330</t>
  </si>
  <si>
    <t>96533330-4</t>
  </si>
  <si>
    <t>CN60921000</t>
  </si>
  <si>
    <t>60921000-1</t>
  </si>
  <si>
    <t>CN61602038</t>
  </si>
  <si>
    <t>61602038-2</t>
  </si>
  <si>
    <t>CN77312170</t>
  </si>
  <si>
    <t>CLINICA DE IMPLANTOLOGIA Y PERIODONCIA SANZ LTDA</t>
  </si>
  <si>
    <t>77312170-2</t>
  </si>
  <si>
    <t>CN61602260</t>
  </si>
  <si>
    <t>61602260-1</t>
  </si>
  <si>
    <t>CN76288611</t>
  </si>
  <si>
    <t>CENTRO DE ENFERMERIA ESPECIALIZADA DOMINURSING LIMITADA</t>
  </si>
  <si>
    <t>76288611-1</t>
  </si>
  <si>
    <t>CN76814422</t>
  </si>
  <si>
    <t>SERVICIOS MEDICO VETERINARIOS INTEGRALES SPA</t>
  </si>
  <si>
    <t>76814422-2</t>
  </si>
  <si>
    <t>CN96612620</t>
  </si>
  <si>
    <t>96612620-5</t>
  </si>
  <si>
    <t>EM18406450</t>
  </si>
  <si>
    <t>LISSETE DEL PILAR  PARRAGUEZ</t>
  </si>
  <si>
    <t>18406450-2</t>
  </si>
  <si>
    <t>CN96624880</t>
  </si>
  <si>
    <t>96624880-7</t>
  </si>
  <si>
    <t>CN96625950</t>
  </si>
  <si>
    <t>96625950-7</t>
  </si>
  <si>
    <t>CN96661350</t>
  </si>
  <si>
    <t>IMAGENOLOGIA DIAGNOSTICO S.A.</t>
  </si>
  <si>
    <t>96661350-5</t>
  </si>
  <si>
    <t>CN96879440</t>
  </si>
  <si>
    <t>96879440-K</t>
  </si>
  <si>
    <t>CN77443228</t>
  </si>
  <si>
    <t>77443228-0</t>
  </si>
  <si>
    <t>CN69200800</t>
  </si>
  <si>
    <t>ILUSTRE MUNICIPALIDAD DE LA UNION</t>
  </si>
  <si>
    <t>69200800-6</t>
  </si>
  <si>
    <t>CN96705150</t>
  </si>
  <si>
    <t>96705150-0</t>
  </si>
  <si>
    <t>CN96757080</t>
  </si>
  <si>
    <t>96757080-K</t>
  </si>
  <si>
    <t>CN96759910</t>
  </si>
  <si>
    <t>96759910-7</t>
  </si>
  <si>
    <t>CN61978510</t>
  </si>
  <si>
    <t>POLICLINICO MEDICO - DENTAL</t>
  </si>
  <si>
    <t>61978510-K</t>
  </si>
  <si>
    <t>CN96766780</t>
  </si>
  <si>
    <t>96766780-3</t>
  </si>
  <si>
    <t>CN61608003</t>
  </si>
  <si>
    <t>INSTITUTO PSIQUIATRICO DR. JOSE HORWITZ B.</t>
  </si>
  <si>
    <t>61608003-2</t>
  </si>
  <si>
    <t>CN77156376</t>
  </si>
  <si>
    <t>MV JULIO GABRIEL ZUÑIGA ARANGUA EIRL</t>
  </si>
  <si>
    <t>77156376-7</t>
  </si>
  <si>
    <t>CN77126403</t>
  </si>
  <si>
    <t>DISTRIBUIDORA DE ARTICULOS MEDICOS MICAELA NAHIR JARA IBAÑEZ EIRL</t>
  </si>
  <si>
    <t>77126403-4</t>
  </si>
  <si>
    <t>CN96790040</t>
  </si>
  <si>
    <t>96790040-0</t>
  </si>
  <si>
    <t>CN96802800</t>
  </si>
  <si>
    <t>96802800-6</t>
  </si>
  <si>
    <t>EM18407485</t>
  </si>
  <si>
    <t>JOCELYN SILVANA CAMPOS</t>
  </si>
  <si>
    <t>18407485-0</t>
  </si>
  <si>
    <t>CN96613220</t>
  </si>
  <si>
    <t>96613220-5</t>
  </si>
  <si>
    <t>EM260414356</t>
  </si>
  <si>
    <t>ANAIS MILAGROS CHAVEZ</t>
  </si>
  <si>
    <t>PN96806980</t>
  </si>
  <si>
    <t>ENTEL PCS TELECOMUNICACIONES S A</t>
  </si>
  <si>
    <t>96806980-2</t>
  </si>
  <si>
    <t>PN77971250</t>
  </si>
  <si>
    <t>CUC ETIQUETAS Y EQUIPOS DE CODIGOS DE BARRA Y TRANSPORTE LIMITADA</t>
  </si>
  <si>
    <t>77971250-8</t>
  </si>
  <si>
    <t>CN76057904</t>
  </si>
  <si>
    <t>76057904-1</t>
  </si>
  <si>
    <t>CN77619085</t>
  </si>
  <si>
    <t>SERVICIOS E INSUMOS MEDICOS SPA</t>
  </si>
  <si>
    <t>77619085-3</t>
  </si>
  <si>
    <t>CN76882794</t>
  </si>
  <si>
    <t>COMERCIALIZADORA Y SERVICIOS INTEGRALES MARCO ANTONIO HENRIQUEZ BUSTAMANTE E.I.R.L.</t>
  </si>
  <si>
    <t>76882794-k</t>
  </si>
  <si>
    <t>CN96982520</t>
  </si>
  <si>
    <t>CENTRO AVANZADO DE TRATAMIENTO DE HERIDAS SA</t>
  </si>
  <si>
    <t>96982520-1</t>
  </si>
  <si>
    <t>CN76977045</t>
  </si>
  <si>
    <t>76977045-3</t>
  </si>
  <si>
    <t>CN69190100</t>
  </si>
  <si>
    <t>69190100-9</t>
  </si>
  <si>
    <t>EM18695828</t>
  </si>
  <si>
    <t>BETZABE ANDREA TORO</t>
  </si>
  <si>
    <t>18695828-4</t>
  </si>
  <si>
    <t>CN61608107</t>
  </si>
  <si>
    <t>61608107-1</t>
  </si>
  <si>
    <t>EM19884240</t>
  </si>
  <si>
    <t>JAVIERA IGNACIA GACITUA</t>
  </si>
  <si>
    <t>19884240-0</t>
  </si>
  <si>
    <t>EM21002291</t>
  </si>
  <si>
    <t>PATRICIA NALLELY TOLOZA</t>
  </si>
  <si>
    <t>21002291-0</t>
  </si>
  <si>
    <t>CN88611600</t>
  </si>
  <si>
    <t>88611600-4</t>
  </si>
  <si>
    <t>CN69120400</t>
  </si>
  <si>
    <t>69120400-6</t>
  </si>
  <si>
    <t>EM22509495</t>
  </si>
  <si>
    <t>JOSE LUIS RODRIGUEZ</t>
  </si>
  <si>
    <t>22509495-0</t>
  </si>
  <si>
    <t>EM23645146</t>
  </si>
  <si>
    <t>ANA MARIA TICONA</t>
  </si>
  <si>
    <t>23645146-1</t>
  </si>
  <si>
    <t>EM23868844</t>
  </si>
  <si>
    <t>RUTH SAUL</t>
  </si>
  <si>
    <t>23868844-2</t>
  </si>
  <si>
    <t>EM24345125</t>
  </si>
  <si>
    <t>EDDY  GONGORA</t>
  </si>
  <si>
    <t>24345125-6</t>
  </si>
  <si>
    <t>EM24530239</t>
  </si>
  <si>
    <t>CARLOS VALENTIN TICONA</t>
  </si>
  <si>
    <t>24530239-8</t>
  </si>
  <si>
    <t>EM24802383</t>
  </si>
  <si>
    <t>CLAUDIO RAUL ALMUNA</t>
  </si>
  <si>
    <t>24802383-K</t>
  </si>
  <si>
    <t>EM25021253</t>
  </si>
  <si>
    <t>LYDRUINE  VOLCY</t>
  </si>
  <si>
    <t>25021253-4</t>
  </si>
  <si>
    <t>CN76518430</t>
  </si>
  <si>
    <t>RED NACIONAL DE CENTROS MEDICOS Y DE DIALISIS S.A.</t>
  </si>
  <si>
    <t>76518430-4</t>
  </si>
  <si>
    <t>EM25039769</t>
  </si>
  <si>
    <t>JOHAN NAVARRO</t>
  </si>
  <si>
    <t>25039769-0</t>
  </si>
  <si>
    <t>EM25199306</t>
  </si>
  <si>
    <t>MARIA ANGELICA CHOQQUE</t>
  </si>
  <si>
    <t>25199306-8</t>
  </si>
  <si>
    <t>EM25233674</t>
  </si>
  <si>
    <t>ANDRES LEONARDO PINILLA</t>
  </si>
  <si>
    <t>25233674-5</t>
  </si>
  <si>
    <t>EM25255942</t>
  </si>
  <si>
    <t>BIBELINE  LOUIS</t>
  </si>
  <si>
    <t>25255942-6</t>
  </si>
  <si>
    <t>CN69072600</t>
  </si>
  <si>
    <t>69072600-9</t>
  </si>
  <si>
    <t>EM25582795</t>
  </si>
  <si>
    <t>DENNYS IRVING RODRIGUEZ</t>
  </si>
  <si>
    <t>25582795-2</t>
  </si>
  <si>
    <t>EM25593840</t>
  </si>
  <si>
    <t>LIVELYNE  OSIAS</t>
  </si>
  <si>
    <t>25593840-1</t>
  </si>
  <si>
    <t>EM25621331</t>
  </si>
  <si>
    <t>YAMEL PAMELA LASLUISA</t>
  </si>
  <si>
    <t>25621331-1</t>
  </si>
  <si>
    <t>EM25650936</t>
  </si>
  <si>
    <t>LUIS JOSE LIPORACI</t>
  </si>
  <si>
    <t>25650936-9</t>
  </si>
  <si>
    <t>EM25699196</t>
  </si>
  <si>
    <t>JOSE ANTONIO APANA</t>
  </si>
  <si>
    <t>25699196-9</t>
  </si>
  <si>
    <t>EM25798812</t>
  </si>
  <si>
    <t>YILDRE ALEXANDRA TRIAS</t>
  </si>
  <si>
    <t>25798812-0</t>
  </si>
  <si>
    <t>EM25885698</t>
  </si>
  <si>
    <t>MICHAEL MERISIER</t>
  </si>
  <si>
    <t>25885698-8</t>
  </si>
  <si>
    <t>CN61980420</t>
  </si>
  <si>
    <t>61980420-1</t>
  </si>
  <si>
    <t>EM26037624</t>
  </si>
  <si>
    <t>BETZABETH RAQUEL CRUZ</t>
  </si>
  <si>
    <t>26037624-1</t>
  </si>
  <si>
    <t>EM26157714</t>
  </si>
  <si>
    <t>JHONATAN  GAMBOA</t>
  </si>
  <si>
    <t>26157714-3</t>
  </si>
  <si>
    <t>CN76972918</t>
  </si>
  <si>
    <t>ARRIENDOS Y CAPACITACION TUBOX LIMITADA</t>
  </si>
  <si>
    <t>76972918-6</t>
  </si>
  <si>
    <t>EM26230195</t>
  </si>
  <si>
    <t>RODOLFO ANDRES GIL</t>
  </si>
  <si>
    <t>26230195-8</t>
  </si>
  <si>
    <t>CN89630400</t>
  </si>
  <si>
    <t>E.C.M. INGENIERIA S.A.</t>
  </si>
  <si>
    <t>89630400-3</t>
  </si>
  <si>
    <t>EM26375174</t>
  </si>
  <si>
    <t>YUMARI ELIODID LUGO</t>
  </si>
  <si>
    <t>26375174-4</t>
  </si>
  <si>
    <t>EM26456411</t>
  </si>
  <si>
    <t>JENNEIDY DAILYN MENDEZ</t>
  </si>
  <si>
    <t>26456411-5</t>
  </si>
  <si>
    <t>CN69190800</t>
  </si>
  <si>
    <t>69190800-3</t>
  </si>
  <si>
    <t>CN96766640</t>
  </si>
  <si>
    <t>CLINICA ANDES SALUD PUERTO MONTT S.A</t>
  </si>
  <si>
    <t>96766640-8</t>
  </si>
  <si>
    <t>EM26661881</t>
  </si>
  <si>
    <t>ROSMARI DEL CARMEN LOPEZ</t>
  </si>
  <si>
    <t>26661881-6</t>
  </si>
  <si>
    <t>EM26761912</t>
  </si>
  <si>
    <t>ELVYS BAHREIN DOMINGUEZ</t>
  </si>
  <si>
    <t>26761912-3</t>
  </si>
  <si>
    <t>EM26907286</t>
  </si>
  <si>
    <t>JOHANA LEONOR LEREICO</t>
  </si>
  <si>
    <t>26907286-5</t>
  </si>
  <si>
    <t>EM27079449</t>
  </si>
  <si>
    <t>MANUEL IGNACIO MEJIA</t>
  </si>
  <si>
    <t>27079449-1</t>
  </si>
  <si>
    <t>EM27117524</t>
  </si>
  <si>
    <t>JOSELIN MARIANA RUIZ</t>
  </si>
  <si>
    <t>27117524-8</t>
  </si>
  <si>
    <t>PE00001</t>
  </si>
  <si>
    <t>ALFAVINIL S.A</t>
  </si>
  <si>
    <t>PN76998710</t>
  </si>
  <si>
    <t>LISE SPA</t>
  </si>
  <si>
    <t>76998710-K</t>
  </si>
  <si>
    <t>PE00003</t>
  </si>
  <si>
    <t>HALKEY ROBERTS CORPORATION</t>
  </si>
  <si>
    <t>PE00004</t>
  </si>
  <si>
    <t>SPACELABS HEALTHCARE LLC</t>
  </si>
  <si>
    <t>PE00005</t>
  </si>
  <si>
    <t>ROBERT CULLEN LTD.</t>
  </si>
  <si>
    <t>CN76330700</t>
  </si>
  <si>
    <t>IMV INGENIERIA SPA</t>
  </si>
  <si>
    <t>76330700-K</t>
  </si>
  <si>
    <t>PE00006</t>
  </si>
  <si>
    <t>MURPLAST INDUSTRIA DE PLASTICO S.A</t>
  </si>
  <si>
    <t>PE00007</t>
  </si>
  <si>
    <t>ELCAM MEDICAL A.C.A.L</t>
  </si>
  <si>
    <t>PE00008</t>
  </si>
  <si>
    <t>TATA SURGICAL</t>
  </si>
  <si>
    <t>PE00009</t>
  </si>
  <si>
    <t>G.S.T. CORPORATION LIMITED</t>
  </si>
  <si>
    <t>PE00010</t>
  </si>
  <si>
    <t>LONJYFAN ENTERPRISE CORP</t>
  </si>
  <si>
    <t>PE00011</t>
  </si>
  <si>
    <t>JINAN CHENSHENG MEDICAL TECHNOLOGY CO., LTD.</t>
  </si>
  <si>
    <t>CN77689132</t>
  </si>
  <si>
    <t>77689132-0</t>
  </si>
  <si>
    <t>PE00013</t>
  </si>
  <si>
    <t>STERIVIC MEDICAL</t>
  </si>
  <si>
    <t>CN83733800</t>
  </si>
  <si>
    <t>83733800-K</t>
  </si>
  <si>
    <t>CN69110500</t>
  </si>
  <si>
    <t>PE00016</t>
  </si>
  <si>
    <t>JIUJANG HUADA MEDICAL DRESSING CO., LTD</t>
  </si>
  <si>
    <t>CN61606408</t>
  </si>
  <si>
    <t>61606408-8</t>
  </si>
  <si>
    <t>PE00017</t>
  </si>
  <si>
    <t>YUEQING BEITE IMPORT &amp; EXPORT CO., LTD.</t>
  </si>
  <si>
    <t>CN79576810</t>
  </si>
  <si>
    <t>79576810-6</t>
  </si>
  <si>
    <t>PE00020</t>
  </si>
  <si>
    <t>AMERICAN PRINTPAK</t>
  </si>
  <si>
    <t>PE00021</t>
  </si>
  <si>
    <t>MEDCAPTAIN MEDICAL TECHNOLOGY</t>
  </si>
  <si>
    <t>PE00014</t>
  </si>
  <si>
    <t>TAP MEDIC LLC</t>
  </si>
  <si>
    <t>PE00023</t>
  </si>
  <si>
    <t>RETANA TRANSAMERICA</t>
  </si>
  <si>
    <t>PE00025</t>
  </si>
  <si>
    <t>JFU INDUSTRIES</t>
  </si>
  <si>
    <t>PE00026</t>
  </si>
  <si>
    <t>AEMCO z.e PVT</t>
  </si>
  <si>
    <t>PE00027</t>
  </si>
  <si>
    <t>HUREB INSTRUMENTALS</t>
  </si>
  <si>
    <t>CN62000830</t>
  </si>
  <si>
    <t>CN70072600</t>
  </si>
  <si>
    <t>70072600-2</t>
  </si>
  <si>
    <t>PN65096831</t>
  </si>
  <si>
    <t>CORPORACION CHILENA PARA EL DESARROLLO Y ADMINISTRACION DE ESTANDARES O GS1 CHIL</t>
  </si>
  <si>
    <t>65096831-K</t>
  </si>
  <si>
    <t>CN70285100</t>
  </si>
  <si>
    <t>70285100-9</t>
  </si>
  <si>
    <t>PN76134485</t>
  </si>
  <si>
    <t>GRUPO KEYER LIMITADA</t>
  </si>
  <si>
    <t>76134485-4</t>
  </si>
  <si>
    <t>PN76173410</t>
  </si>
  <si>
    <t>QWANTEC INGENIERIA SPA</t>
  </si>
  <si>
    <t>76173410-5</t>
  </si>
  <si>
    <t>PN76315294</t>
  </si>
  <si>
    <t>SERVICIOS TECNOLOGICOS ARIEL ESTEBAN SALGADO VALDIVIA E.I.R.L.</t>
  </si>
  <si>
    <t>76315294-4</t>
  </si>
  <si>
    <t>CN99533790</t>
  </si>
  <si>
    <t>99533790-8</t>
  </si>
  <si>
    <t>PN76335833</t>
  </si>
  <si>
    <t>EXTINTORES CHILE SPA</t>
  </si>
  <si>
    <t>76335833-K</t>
  </si>
  <si>
    <t>CN61975800</t>
  </si>
  <si>
    <t>61975800-5</t>
  </si>
  <si>
    <t>PN76380217</t>
  </si>
  <si>
    <t>HAPAG-LLOYD CHILE SPA</t>
  </si>
  <si>
    <t>76380217-5</t>
  </si>
  <si>
    <t>CN77874484</t>
  </si>
  <si>
    <t>COMERCIALIZADORA JJE SPA</t>
  </si>
  <si>
    <t>77874484-8</t>
  </si>
  <si>
    <t>CN69070301</t>
  </si>
  <si>
    <t>69070301-7</t>
  </si>
  <si>
    <t>CN76032980</t>
  </si>
  <si>
    <t>76032980-0</t>
  </si>
  <si>
    <t>CN77025316</t>
  </si>
  <si>
    <t>77025316-0</t>
  </si>
  <si>
    <t>PN76536499</t>
  </si>
  <si>
    <t>JUNGHEINRICH RENTALIFT SPA</t>
  </si>
  <si>
    <t>76536499-K</t>
  </si>
  <si>
    <t>PN76567286</t>
  </si>
  <si>
    <t>POLIGONIX SPA</t>
  </si>
  <si>
    <t>76567286-4</t>
  </si>
  <si>
    <t>PN76573887</t>
  </si>
  <si>
    <t>SERGENIN COMPRESORES SPA</t>
  </si>
  <si>
    <t>76573887-3</t>
  </si>
  <si>
    <t>PN76629600</t>
  </si>
  <si>
    <t>SAMEX SPA</t>
  </si>
  <si>
    <t>76629600-9</t>
  </si>
  <si>
    <t>PN76660180</t>
  </si>
  <si>
    <t>WINPY SPA</t>
  </si>
  <si>
    <t>76660180-4</t>
  </si>
  <si>
    <t>PN76681926</t>
  </si>
  <si>
    <t>EMITRON INGENIERIA SPA</t>
  </si>
  <si>
    <t>76681926-5</t>
  </si>
  <si>
    <t>CN71173100</t>
  </si>
  <si>
    <t>CN76515070</t>
  </si>
  <si>
    <t>76515070-1</t>
  </si>
  <si>
    <t>PN76783151</t>
  </si>
  <si>
    <t>INVERSIONES FINCH Y LARRAGUIBEL SPA.</t>
  </si>
  <si>
    <t>76783151-K</t>
  </si>
  <si>
    <t>PN76257832</t>
  </si>
  <si>
    <t>SOCIEDAD COMERCIAL ELECTROPOWER S.A.</t>
  </si>
  <si>
    <t>76257832-8</t>
  </si>
  <si>
    <t>PN76804128</t>
  </si>
  <si>
    <t>GUNEI PARTNERS SPA</t>
  </si>
  <si>
    <t>76804128-8</t>
  </si>
  <si>
    <t>CN96567920</t>
  </si>
  <si>
    <t>96567920-0</t>
  </si>
  <si>
    <t>CN61102025</t>
  </si>
  <si>
    <t>61102025-2</t>
  </si>
  <si>
    <t>CN99573600</t>
  </si>
  <si>
    <t>99573600-4</t>
  </si>
  <si>
    <t>CN69041200</t>
  </si>
  <si>
    <t>PN61960100</t>
  </si>
  <si>
    <t>EMPRESA PORTUARIA SAN ANTONIO</t>
  </si>
  <si>
    <t>61960100-9</t>
  </si>
  <si>
    <t>PN77018760</t>
  </si>
  <si>
    <t>COMERCIAL E INDUSTRIAL SARAVIA LIMITADA</t>
  </si>
  <si>
    <t>77018760-5</t>
  </si>
  <si>
    <t>PN76007873</t>
  </si>
  <si>
    <t>TERMINAL EXTRAPORTUARIO VALPARAISO S.A.</t>
  </si>
  <si>
    <t>76007873-5</t>
  </si>
  <si>
    <t>PN77025316</t>
  </si>
  <si>
    <t>CN96898980</t>
  </si>
  <si>
    <t>96898980-4</t>
  </si>
  <si>
    <t>PN76012817</t>
  </si>
  <si>
    <t>COMERCIAL E INVERSIONES EL PINTOR  SPA</t>
  </si>
  <si>
    <t>76012817-1</t>
  </si>
  <si>
    <t>CN99569670</t>
  </si>
  <si>
    <t>FARMACEUTICA ACUA NASER S.A.</t>
  </si>
  <si>
    <t>99569670-3</t>
  </si>
  <si>
    <t>PN76051369</t>
  </si>
  <si>
    <t>PLUSCARGO CHILE SPA.</t>
  </si>
  <si>
    <t>76051369-5</t>
  </si>
  <si>
    <t>PN96813450</t>
  </si>
  <si>
    <t>DEPOSITOS Y CONTENEDORES S.A</t>
  </si>
  <si>
    <t>96813450-7</t>
  </si>
  <si>
    <t>PN76063103</t>
  </si>
  <si>
    <t>NOISY SPA</t>
  </si>
  <si>
    <t>76063103-5</t>
  </si>
  <si>
    <t>PN76064337</t>
  </si>
  <si>
    <t>ROMERO Y ASOCIADOS SERVICIOS PROFESIONALES LIMITADA</t>
  </si>
  <si>
    <t>76064337-8</t>
  </si>
  <si>
    <t>CN61108000</t>
  </si>
  <si>
    <t>61108000-K</t>
  </si>
  <si>
    <t>CN65075485</t>
  </si>
  <si>
    <t>65075485-9</t>
  </si>
  <si>
    <t>CN76225529</t>
  </si>
  <si>
    <t>76225529-4</t>
  </si>
  <si>
    <t>CN96662450</t>
  </si>
  <si>
    <t>96662450-7</t>
  </si>
  <si>
    <t>PN76172595</t>
  </si>
  <si>
    <t>MEDLOG CHILE S.A.</t>
  </si>
  <si>
    <t>76172595-5</t>
  </si>
  <si>
    <t>CN76666674</t>
  </si>
  <si>
    <t>76666674-4</t>
  </si>
  <si>
    <t>PN76290270</t>
  </si>
  <si>
    <t>LATAM LOGISTICS LIMITADA</t>
  </si>
  <si>
    <t>76290270-2</t>
  </si>
  <si>
    <t>PN77606220</t>
  </si>
  <si>
    <t>SASF LTDA</t>
  </si>
  <si>
    <t>CN61602213</t>
  </si>
  <si>
    <t>PN76335216</t>
  </si>
  <si>
    <t>SERVICIOS Y SUMINISTROS ESTRATEGICOS KEYMATTER SPA</t>
  </si>
  <si>
    <t>76335216-1</t>
  </si>
  <si>
    <t>CN76842600</t>
  </si>
  <si>
    <t>76842600-7</t>
  </si>
  <si>
    <t>CN86797500</t>
  </si>
  <si>
    <t>LABORATORIO CLINICO ANALYZER LTDA.</t>
  </si>
  <si>
    <t>86797500-4</t>
  </si>
  <si>
    <t>PN77662948</t>
  </si>
  <si>
    <t>SERVICIOS PROFESIONALES GUTIERREZ &amp; ARRIETA LIMITADA</t>
  </si>
  <si>
    <t>77662948-0</t>
  </si>
  <si>
    <t>PN76451351</t>
  </si>
  <si>
    <t>AGUNSA EXTRAPORTURIA SA</t>
  </si>
  <si>
    <t>76451351-7</t>
  </si>
  <si>
    <t>PN76490300</t>
  </si>
  <si>
    <t>MATERIAS PRIMAS CLAUDIA ESCOBAR S.A.</t>
  </si>
  <si>
    <t>76490300-5</t>
  </si>
  <si>
    <t>PN96800570</t>
  </si>
  <si>
    <t>ENEL DISTRIBUCION CHILE S.A.</t>
  </si>
  <si>
    <t>96800570-7</t>
  </si>
  <si>
    <t>CN77513989</t>
  </si>
  <si>
    <t>SERVICIOS CLINICOS Y CUIDADOS INTEGRALES SPA</t>
  </si>
  <si>
    <t>77513989-7</t>
  </si>
  <si>
    <t>CN78040520</t>
  </si>
  <si>
    <t>78040520-1</t>
  </si>
  <si>
    <t>CN77626778</t>
  </si>
  <si>
    <t>OPERACION CLINICA HUINGANAL</t>
  </si>
  <si>
    <t>77626778-3</t>
  </si>
  <si>
    <t>PN76593490</t>
  </si>
  <si>
    <t>CRARF MULTIMODAL CHILE SPA</t>
  </si>
  <si>
    <t>76593490-7</t>
  </si>
  <si>
    <t>CN77382846</t>
  </si>
  <si>
    <t>CONFECCION Y COMERCIALIZACION DE PRENDAS DE VESTIR, TEJIDOS, TELAR, OT</t>
  </si>
  <si>
    <t>77382846-6</t>
  </si>
  <si>
    <t>CN61959800</t>
  </si>
  <si>
    <t>61959800-8</t>
  </si>
  <si>
    <t>PN79568510</t>
  </si>
  <si>
    <t>ROBERTO GARCES VIAL Y CIA LTDA</t>
  </si>
  <si>
    <t>79568510-3</t>
  </si>
  <si>
    <t>CN61608406</t>
  </si>
  <si>
    <t>PN97036000</t>
  </si>
  <si>
    <t>BANCO SANTANDER CHILE</t>
  </si>
  <si>
    <t>97036000-K</t>
  </si>
  <si>
    <t>PN79689040</t>
  </si>
  <si>
    <t>GONZALO AMENABAR Y COMPANIA LIMITADA</t>
  </si>
  <si>
    <t>79689040-1</t>
  </si>
  <si>
    <t>CN76991531</t>
  </si>
  <si>
    <t>76991531-1</t>
  </si>
  <si>
    <t>PN79895940</t>
  </si>
  <si>
    <t>ENVASES VISOPACK LTDA</t>
  </si>
  <si>
    <t>79895940-9</t>
  </si>
  <si>
    <t>PN76829322</t>
  </si>
  <si>
    <t>VITALINA SPA</t>
  </si>
  <si>
    <t>76829322-8</t>
  </si>
  <si>
    <t>CN76046563</t>
  </si>
  <si>
    <t>76046563-1</t>
  </si>
  <si>
    <t>PN76979850</t>
  </si>
  <si>
    <t>FABRICA DE BANDEJAS LTDA MARIA ANGELICA VANNI</t>
  </si>
  <si>
    <t>76979850-1</t>
  </si>
  <si>
    <t>CN61602057</t>
  </si>
  <si>
    <t>61602057-9</t>
  </si>
  <si>
    <t>PN81338000</t>
  </si>
  <si>
    <t>INMED S.A.</t>
  </si>
  <si>
    <t>CN61606202</t>
  </si>
  <si>
    <t>61606202-6</t>
  </si>
  <si>
    <t>PN83732700</t>
  </si>
  <si>
    <t>INDUSTRIA METALURGICA ACONCAGUA LTDA</t>
  </si>
  <si>
    <t>83732700-8</t>
  </si>
  <si>
    <t>PN77112195</t>
  </si>
  <si>
    <t>COMERCIALIZADORA EKREA SPA</t>
  </si>
  <si>
    <t>77112195-0</t>
  </si>
  <si>
    <t>CN70377400</t>
  </si>
  <si>
    <t>70377400-8</t>
  </si>
  <si>
    <t>PN77194621</t>
  </si>
  <si>
    <t>MD LOGISTIC SPA</t>
  </si>
  <si>
    <t>77194621-6</t>
  </si>
  <si>
    <t>PN77238843</t>
  </si>
  <si>
    <t>GLA ESPINOZA LOGISTICA SPA</t>
  </si>
  <si>
    <t>77238843-8</t>
  </si>
  <si>
    <t>PN77270485</t>
  </si>
  <si>
    <t>SACO SHIPPING SPA</t>
  </si>
  <si>
    <t>77270485-2</t>
  </si>
  <si>
    <t>CN77410408</t>
  </si>
  <si>
    <t>CLINICA HUINGANAL SPA</t>
  </si>
  <si>
    <t>77410408-9</t>
  </si>
  <si>
    <t>CN61607002</t>
  </si>
  <si>
    <t>CN61607401</t>
  </si>
  <si>
    <t>CN77528469</t>
  </si>
  <si>
    <t>SOCIEDAD DE INVERSION PQCR SPA</t>
  </si>
  <si>
    <t>77528469-2</t>
  </si>
  <si>
    <t>CN78556370</t>
  </si>
  <si>
    <t>78556370-0</t>
  </si>
  <si>
    <t>PN77398220</t>
  </si>
  <si>
    <t>MERCADOLIBRE CHILE LIMITADA</t>
  </si>
  <si>
    <t>77398220-1</t>
  </si>
  <si>
    <t>CN61602140</t>
  </si>
  <si>
    <t>61602140-0</t>
  </si>
  <si>
    <t>PN77449496</t>
  </si>
  <si>
    <t>RIMOLU SPA</t>
  </si>
  <si>
    <t>77449496-0</t>
  </si>
  <si>
    <t>PN77459489</t>
  </si>
  <si>
    <t>R&amp;R SAFETY SPA</t>
  </si>
  <si>
    <t>77459489-2</t>
  </si>
  <si>
    <t>PN77542310</t>
  </si>
  <si>
    <t>GRUPO INDUSTRIAL NALLAR LIMITADA</t>
  </si>
  <si>
    <t>77542310-2</t>
  </si>
  <si>
    <t>PN86821000</t>
  </si>
  <si>
    <t>INMED DROGUERIA SPA</t>
  </si>
  <si>
    <t>CN77101512</t>
  </si>
  <si>
    <t>SOCIEDAD QUIRURGICA INMOBILIARIA SP, SPA</t>
  </si>
  <si>
    <t>77101512-3</t>
  </si>
  <si>
    <t>CN61606606</t>
  </si>
  <si>
    <t>PN86966100</t>
  </si>
  <si>
    <t>DHL EXPRESS (CHILE) LTDA</t>
  </si>
  <si>
    <t>86966100-7</t>
  </si>
  <si>
    <t>PN76549580</t>
  </si>
  <si>
    <t>ENZO LEPORI Y ASOCIADOS SPA</t>
  </si>
  <si>
    <t>76549580-6</t>
  </si>
  <si>
    <t>PN88192900</t>
  </si>
  <si>
    <t>TNT EXPRESS CHILE LIMITADA</t>
  </si>
  <si>
    <t>88192900-7</t>
  </si>
  <si>
    <t>CN76684415</t>
  </si>
  <si>
    <t>SOCIEDAD CLINICA VIDA ESTETICA SPA</t>
  </si>
  <si>
    <t>76684415-4</t>
  </si>
  <si>
    <t>CN61602204</t>
  </si>
  <si>
    <t>61602204-0</t>
  </si>
  <si>
    <t>CN76452008</t>
  </si>
  <si>
    <t>SOC. COMERCIAL PHAROS SPA.</t>
  </si>
  <si>
    <t>76452008-4</t>
  </si>
  <si>
    <t>PN96721280</t>
  </si>
  <si>
    <t>GTD TELESAT S A</t>
  </si>
  <si>
    <t>96721280-6</t>
  </si>
  <si>
    <t>CN61606913</t>
  </si>
  <si>
    <t>PN78953470</t>
  </si>
  <si>
    <t>UNITED PARCEL SERVICE DE CHILE LTDA</t>
  </si>
  <si>
    <t>78953470-5</t>
  </si>
  <si>
    <t>CN61103007</t>
  </si>
  <si>
    <t>61103007-K</t>
  </si>
  <si>
    <t>PN94544000</t>
  </si>
  <si>
    <t>MEGALABS CHILE S.A</t>
  </si>
  <si>
    <t>94544000-7</t>
  </si>
  <si>
    <t>PE00015</t>
  </si>
  <si>
    <t>ANQING KANGMINGNA PACKAGING CO., LTD</t>
  </si>
  <si>
    <t>PN96670840</t>
  </si>
  <si>
    <t>DIMERC S A</t>
  </si>
  <si>
    <t>96670840-9</t>
  </si>
  <si>
    <t>CN77807840</t>
  </si>
  <si>
    <t>77807840-6</t>
  </si>
  <si>
    <t>PN81185000</t>
  </si>
  <si>
    <t>CENTRO DE ESTUDIOS, MEDICIÓN Y CERTIFICACIÓN DE CALIDAD CESM</t>
  </si>
  <si>
    <t>81185000-4</t>
  </si>
  <si>
    <t>PN81201000</t>
  </si>
  <si>
    <t>CENCOSUD RETAIL S.A.</t>
  </si>
  <si>
    <t>81201000-K</t>
  </si>
  <si>
    <t>CN96600850</t>
  </si>
  <si>
    <t>96600850-4</t>
  </si>
  <si>
    <t>PN82728500</t>
  </si>
  <si>
    <t>IAN TAYLOR CHILE S.A.</t>
  </si>
  <si>
    <t>82728500-5</t>
  </si>
  <si>
    <t>CN76087116</t>
  </si>
  <si>
    <t>76087116-8</t>
  </si>
  <si>
    <t>PN84609600</t>
  </si>
  <si>
    <t>MADEGOM S.A.</t>
  </si>
  <si>
    <t>84609600-0</t>
  </si>
  <si>
    <t>CN69170102</t>
  </si>
  <si>
    <t>69170102-6</t>
  </si>
  <si>
    <t>CN78053560</t>
  </si>
  <si>
    <t>78053560-1</t>
  </si>
  <si>
    <t>PN96841390</t>
  </si>
  <si>
    <t>ZEAL CHILE S A</t>
  </si>
  <si>
    <t>96841390-2</t>
  </si>
  <si>
    <t>CN69130100</t>
  </si>
  <si>
    <t>69130100-1</t>
  </si>
  <si>
    <t>PN96894230</t>
  </si>
  <si>
    <t>SILPAK S.A</t>
  </si>
  <si>
    <t>96894230-1</t>
  </si>
  <si>
    <t>CN61602222</t>
  </si>
  <si>
    <t>PN89862200</t>
  </si>
  <si>
    <t>LATAM AIRLINES GROUP S.A.</t>
  </si>
  <si>
    <t>89862200-2</t>
  </si>
  <si>
    <t>PN96756430</t>
  </si>
  <si>
    <t>CHILEXPRESS S.A.</t>
  </si>
  <si>
    <t>96756430-3</t>
  </si>
  <si>
    <t>PN94058000</t>
  </si>
  <si>
    <t>SERVICIOS AEROPORTUARIOS AEROSAN</t>
  </si>
  <si>
    <t>94058000-5</t>
  </si>
  <si>
    <t>CN61606605</t>
  </si>
  <si>
    <t>61606605-6</t>
  </si>
  <si>
    <t>CN61607001</t>
  </si>
  <si>
    <t>61607001-0</t>
  </si>
  <si>
    <t>PN80830500</t>
  </si>
  <si>
    <t>COMERCIAL SATEX LTDA</t>
  </si>
  <si>
    <t>80830500-3</t>
  </si>
  <si>
    <t>PN96631520</t>
  </si>
  <si>
    <t>FASTAIR ALMACENES DE CARGA S.A</t>
  </si>
  <si>
    <t>96631520-2</t>
  </si>
  <si>
    <t>PN96653890</t>
  </si>
  <si>
    <t>AGENCIA COLUMBUS MAERKS CHILE SPA</t>
  </si>
  <si>
    <t>96653890-2</t>
  </si>
  <si>
    <t>CN61607901</t>
  </si>
  <si>
    <t>61607901-8</t>
  </si>
  <si>
    <t>PN99017000</t>
  </si>
  <si>
    <t>SEGUROS GENERALES SURAMERICANA S.A.</t>
  </si>
  <si>
    <t>99017000-2</t>
  </si>
  <si>
    <t>PN96671690</t>
  </si>
  <si>
    <t>TRANSPORTES LIZANA SOCIEDAD ANONIMA</t>
  </si>
  <si>
    <t>96671690-8</t>
  </si>
  <si>
    <t>CN61606201</t>
  </si>
  <si>
    <t>PN96707720</t>
  </si>
  <si>
    <t>MEDITERRANEAN SHIPPING COMPANY SA (MSC)</t>
  </si>
  <si>
    <t>96707720-8</t>
  </si>
  <si>
    <t>SO6831495</t>
  </si>
  <si>
    <t>CN61607301</t>
  </si>
  <si>
    <t>61607301-K</t>
  </si>
  <si>
    <t>PN96792430</t>
  </si>
  <si>
    <t>SODIMAC S.A.</t>
  </si>
  <si>
    <t>96792430-K</t>
  </si>
  <si>
    <t>CN76979850</t>
  </si>
  <si>
    <t>FABRICA DE BANDEJA LIMITADA MARIA ANGELICA VANNI</t>
  </si>
  <si>
    <t>PN96798520</t>
  </si>
  <si>
    <t>SAAM EXTRAPORTUARIOS S.A.</t>
  </si>
  <si>
    <t>96798520-1</t>
  </si>
  <si>
    <t>PN77410421</t>
  </si>
  <si>
    <t>TRANSPORTES PENTACROM EXPRESS S.A.</t>
  </si>
  <si>
    <t>PN96805690</t>
  </si>
  <si>
    <t>COSCO SHIPPING LINES (CHILE)</t>
  </si>
  <si>
    <t>96805690-5</t>
  </si>
  <si>
    <t>CN69256900</t>
  </si>
  <si>
    <t>69256900-8</t>
  </si>
  <si>
    <t>CN61606906</t>
  </si>
  <si>
    <t>61606906-3</t>
  </si>
  <si>
    <t>PN96888200</t>
  </si>
  <si>
    <t>DEPOSCARGO</t>
  </si>
  <si>
    <t>96888200-7</t>
  </si>
  <si>
    <t>CN61607202</t>
  </si>
  <si>
    <t>61607202-1</t>
  </si>
  <si>
    <t>PN96900090</t>
  </si>
  <si>
    <t>MAGALLANES FORWARDER CHILE S A</t>
  </si>
  <si>
    <t>96900090-3</t>
  </si>
  <si>
    <t>PN96908870</t>
  </si>
  <si>
    <t>TERMINAL PACIFICO SUR VALPARAISO S.A.</t>
  </si>
  <si>
    <t>96908870-3</t>
  </si>
  <si>
    <t>PN96908930</t>
  </si>
  <si>
    <t>SAN VICENTE TERMINAL INTERNACIONAL S A</t>
  </si>
  <si>
    <t>96908930-0</t>
  </si>
  <si>
    <t>CN76336039</t>
  </si>
  <si>
    <t>76336039-3</t>
  </si>
  <si>
    <t>CN96910280</t>
  </si>
  <si>
    <t>PN77663150</t>
  </si>
  <si>
    <t>HOTELERA DIEGO DE ALMAGRO LTDA</t>
  </si>
  <si>
    <t>77663150-7</t>
  </si>
  <si>
    <t>CN76481620</t>
  </si>
  <si>
    <t>CENTRO MEDICO HTS SPA</t>
  </si>
  <si>
    <t>76481620-K</t>
  </si>
  <si>
    <t>CN69210600</t>
  </si>
  <si>
    <t>69210600-8</t>
  </si>
  <si>
    <t>CN77779295</t>
  </si>
  <si>
    <t>77779295-4</t>
  </si>
  <si>
    <t>CN69160700</t>
  </si>
  <si>
    <t>ILUSTRE MUNICIPALIDAD DE TIRUA</t>
  </si>
  <si>
    <t>69160700-3</t>
  </si>
  <si>
    <t>CN61608402</t>
  </si>
  <si>
    <t>61608402-K</t>
  </si>
  <si>
    <t>CN92051000</t>
  </si>
  <si>
    <t>92051000-0</t>
  </si>
  <si>
    <t>PN99500410</t>
  </si>
  <si>
    <t>BANCO CONSORCIO</t>
  </si>
  <si>
    <t>99500410-0</t>
  </si>
  <si>
    <t>PN11620271</t>
  </si>
  <si>
    <t>JOSE ANTONIO GONZALEZ JAQUE</t>
  </si>
  <si>
    <t>CN61602138</t>
  </si>
  <si>
    <t>CN76460560</t>
  </si>
  <si>
    <t>76460560-8</t>
  </si>
  <si>
    <t>CN76461406</t>
  </si>
  <si>
    <t>76461406-2</t>
  </si>
  <si>
    <t>CN76475508</t>
  </si>
  <si>
    <t>SERVICIOS DE DIAGNOSTICOS VETERINARIOS SPA</t>
  </si>
  <si>
    <t>76475508-1</t>
  </si>
  <si>
    <t>CN76476027</t>
  </si>
  <si>
    <t>76476027-1</t>
  </si>
  <si>
    <t>CN76479369</t>
  </si>
  <si>
    <t>76479369-2</t>
  </si>
  <si>
    <t>CN76479750</t>
  </si>
  <si>
    <t>76479750-7</t>
  </si>
  <si>
    <t>CN70880300</t>
  </si>
  <si>
    <t>CN76483167</t>
  </si>
  <si>
    <t>KLEEN SUPPLY SPA</t>
  </si>
  <si>
    <t>76483167-5</t>
  </si>
  <si>
    <t>CN76491962</t>
  </si>
  <si>
    <t>76491962-9</t>
  </si>
  <si>
    <t>CN76501279</t>
  </si>
  <si>
    <t>76501279-1</t>
  </si>
  <si>
    <t>CN76512686</t>
  </si>
  <si>
    <t>76512686-K</t>
  </si>
  <si>
    <t>CN69201000</t>
  </si>
  <si>
    <t>69201000-0</t>
  </si>
  <si>
    <t>CN77520874</t>
  </si>
  <si>
    <t>CLINICA NEO SPA</t>
  </si>
  <si>
    <t>77520874-0</t>
  </si>
  <si>
    <t>CN76520849</t>
  </si>
  <si>
    <t>76520849-1</t>
  </si>
  <si>
    <t>CN96986550</t>
  </si>
  <si>
    <t>96986550-5</t>
  </si>
  <si>
    <t>CN99545870</t>
  </si>
  <si>
    <t>SERVICIOS MEDICOS IQUIQUE S.A</t>
  </si>
  <si>
    <t>99545870-5</t>
  </si>
  <si>
    <t>CN99535620</t>
  </si>
  <si>
    <t>99535620-1</t>
  </si>
  <si>
    <t>PN77154222</t>
  </si>
  <si>
    <t>MÁS CARGA TRANSPORTES LOGÍSTICOS SPA</t>
  </si>
  <si>
    <t>77154222-0</t>
  </si>
  <si>
    <t>CN77519060</t>
  </si>
  <si>
    <t>77519060-4</t>
  </si>
  <si>
    <t>CN69261400</t>
  </si>
  <si>
    <t>CN99554220</t>
  </si>
  <si>
    <t>99554220-K</t>
  </si>
  <si>
    <t>CN99573490</t>
  </si>
  <si>
    <t>UC CHRISTUS SERVICIOS CLINICOS SPA.</t>
  </si>
  <si>
    <t>99573490-7</t>
  </si>
  <si>
    <t>CN69130301</t>
  </si>
  <si>
    <t>69130301-2</t>
  </si>
  <si>
    <t>CN99593170</t>
  </si>
  <si>
    <t>99593170-2</t>
  </si>
  <si>
    <t>PN77050482</t>
  </si>
  <si>
    <t>GYL HOTELERA SPA</t>
  </si>
  <si>
    <t>77050482-1</t>
  </si>
  <si>
    <t>CN70993200</t>
  </si>
  <si>
    <t>70993200-4</t>
  </si>
  <si>
    <t>CN69071300</t>
  </si>
  <si>
    <t>69071300-4</t>
  </si>
  <si>
    <t>CN69254800</t>
  </si>
  <si>
    <t>PN76496130</t>
  </si>
  <si>
    <t>SOCIEDAD CONCESIONARIA COSTANERA NORTE S.A.</t>
  </si>
  <si>
    <t>76496130-7</t>
  </si>
  <si>
    <t>CN61931800</t>
  </si>
  <si>
    <t>61931800-5</t>
  </si>
  <si>
    <t>CN72762500</t>
  </si>
  <si>
    <t>72762500-3</t>
  </si>
  <si>
    <t>CN70934900</t>
  </si>
  <si>
    <t>70934900-7</t>
  </si>
  <si>
    <t>CN69266500</t>
  </si>
  <si>
    <t>69266500-7</t>
  </si>
  <si>
    <t>BH20431569</t>
  </si>
  <si>
    <t>ALEXANDER MEJIA</t>
  </si>
  <si>
    <t>20431569-8</t>
  </si>
  <si>
    <t>BH22506881</t>
  </si>
  <si>
    <t>MEURY GARCIA MORAIS</t>
  </si>
  <si>
    <t>22506881-K</t>
  </si>
  <si>
    <t>CN13771413</t>
  </si>
  <si>
    <t>13771413-2</t>
  </si>
  <si>
    <t>CN13817756</t>
  </si>
  <si>
    <t>MARIA JOSE ROSAS</t>
  </si>
  <si>
    <t>13817756-4</t>
  </si>
  <si>
    <t>CN16479307</t>
  </si>
  <si>
    <t>16479307-9</t>
  </si>
  <si>
    <t>CN17777412</t>
  </si>
  <si>
    <t>ANAHI FRANCISCA ROJAS HERNANDEZ</t>
  </si>
  <si>
    <t>17777412-K</t>
  </si>
  <si>
    <t>CN23644314</t>
  </si>
  <si>
    <t>JUAN LUIS FERNANDEZ</t>
  </si>
  <si>
    <t>23644314-0</t>
  </si>
  <si>
    <t>CN26710447</t>
  </si>
  <si>
    <t>PIERINA EVELIDA LOAYZA RAMIREZ</t>
  </si>
  <si>
    <t>CN76256138</t>
  </si>
  <si>
    <t>INVERSIONES GEERDINK LTDA</t>
  </si>
  <si>
    <t>76256138-7</t>
  </si>
  <si>
    <t>CN59106780</t>
  </si>
  <si>
    <t>59106780-K</t>
  </si>
  <si>
    <t>CN60505523</t>
  </si>
  <si>
    <t>60505523-0</t>
  </si>
  <si>
    <t>PN77938830</t>
  </si>
  <si>
    <t>SITRANS ALMACENES EXTRAPORTUARIOS LIMITADA</t>
  </si>
  <si>
    <t>77938830-1</t>
  </si>
  <si>
    <t>CN69180400</t>
  </si>
  <si>
    <t>69180400-3</t>
  </si>
  <si>
    <t>CN60911000</t>
  </si>
  <si>
    <t>60911000-7</t>
  </si>
  <si>
    <t>CN96559630</t>
  </si>
  <si>
    <t>SOCIEDAD DE DIALISIS Y NEFROLOGIA S.A.</t>
  </si>
  <si>
    <t>96559630-5</t>
  </si>
  <si>
    <t>CN61004000</t>
  </si>
  <si>
    <t>CN61004012</t>
  </si>
  <si>
    <t>61004012-8</t>
  </si>
  <si>
    <t>CN61004024</t>
  </si>
  <si>
    <t>61004024-1</t>
  </si>
  <si>
    <t>CN61004042</t>
  </si>
  <si>
    <t>61004042-K</t>
  </si>
  <si>
    <t>CN61004068</t>
  </si>
  <si>
    <t>61004068-3</t>
  </si>
  <si>
    <t>CN69091000</t>
  </si>
  <si>
    <t>69091000-4</t>
  </si>
  <si>
    <t>CN61101082</t>
  </si>
  <si>
    <t>CENTRO CLINICO MILITAR ARICA</t>
  </si>
  <si>
    <t>61101082-6</t>
  </si>
  <si>
    <t>CN88056600</t>
  </si>
  <si>
    <t>88056600-8</t>
  </si>
  <si>
    <t>CN69072800</t>
  </si>
  <si>
    <t>ILUSTRE MUNICIPALIDAD DE CALERA DE TANGO</t>
  </si>
  <si>
    <t>69072800-1</t>
  </si>
  <si>
    <t>CN69073100</t>
  </si>
  <si>
    <t>69073100-2</t>
  </si>
  <si>
    <t>CN96784380</t>
  </si>
  <si>
    <t>SOCIEDAD MEDICA LA TIRANA</t>
  </si>
  <si>
    <t>96784380-6</t>
  </si>
  <si>
    <t>CN99507130</t>
  </si>
  <si>
    <t>99507130-4</t>
  </si>
  <si>
    <t>CN61103006</t>
  </si>
  <si>
    <t>61103006-1</t>
  </si>
  <si>
    <t>CN74862200</t>
  </si>
  <si>
    <t>ASOC IND P LA SALUD GENERAL</t>
  </si>
  <si>
    <t>74862200-4</t>
  </si>
  <si>
    <t>CN61103019</t>
  </si>
  <si>
    <t>61103019-3</t>
  </si>
  <si>
    <t>CN61103035</t>
  </si>
  <si>
    <t>61103035-5</t>
  </si>
  <si>
    <t>CN61107000</t>
  </si>
  <si>
    <t>INSTITUTO NACIONAL DE DEPORTES DE CHILE</t>
  </si>
  <si>
    <t>61107000-4</t>
  </si>
  <si>
    <t>CN61308000</t>
  </si>
  <si>
    <t>61308000-7</t>
  </si>
  <si>
    <t>CN61313000</t>
  </si>
  <si>
    <t>61313000-4</t>
  </si>
  <si>
    <t>CN70777500</t>
  </si>
  <si>
    <t>UNIVERSIDAD ARTURO PRAT SEDE VICTORIA</t>
  </si>
  <si>
    <t>70777500-9</t>
  </si>
  <si>
    <t>CN61601000</t>
  </si>
  <si>
    <t>61601000-K</t>
  </si>
  <si>
    <t>CN61602036</t>
  </si>
  <si>
    <t>61602036-6</t>
  </si>
  <si>
    <t>CN61608108</t>
  </si>
  <si>
    <t>61608108-K</t>
  </si>
  <si>
    <t>CN76847353</t>
  </si>
  <si>
    <t>76847353-6</t>
  </si>
  <si>
    <t>CN61608605</t>
  </si>
  <si>
    <t>61608605-7</t>
  </si>
  <si>
    <t>CN61602067</t>
  </si>
  <si>
    <t>HOSPITAL SAN JOSE CASABLANCA</t>
  </si>
  <si>
    <t>61602067-6</t>
  </si>
  <si>
    <t>CN70083600</t>
  </si>
  <si>
    <t>70083600-2</t>
  </si>
  <si>
    <t>CN99541750</t>
  </si>
  <si>
    <t>99541750-2</t>
  </si>
  <si>
    <t>CN69160100</t>
  </si>
  <si>
    <t>69160100-5</t>
  </si>
  <si>
    <t>CN69252700</t>
  </si>
  <si>
    <t>69252700-3</t>
  </si>
  <si>
    <t>CN69141500</t>
  </si>
  <si>
    <t>I MUNICIPALIDAD DE YUNGAY</t>
  </si>
  <si>
    <t>69141500-7</t>
  </si>
  <si>
    <t>CN69172600</t>
  </si>
  <si>
    <t>CN61980720</t>
  </si>
  <si>
    <t>61980720-0</t>
  </si>
  <si>
    <t>CN71127200</t>
  </si>
  <si>
    <t>71127200-3</t>
  </si>
  <si>
    <t>CN77072430</t>
  </si>
  <si>
    <t>77072430-9</t>
  </si>
  <si>
    <t>CN76070911</t>
  </si>
  <si>
    <t>76070911-5</t>
  </si>
  <si>
    <t>CN69051300</t>
  </si>
  <si>
    <t>69051300-5</t>
  </si>
  <si>
    <t>CN61602146</t>
  </si>
  <si>
    <t>61602146-K</t>
  </si>
  <si>
    <t>CN78739580</t>
  </si>
  <si>
    <t>78739580-5</t>
  </si>
  <si>
    <t>CN76209836</t>
  </si>
  <si>
    <t>ARTICULOS MEDICOS Y QUIRURGICOS CHILE S.A.</t>
  </si>
  <si>
    <t>76209836-9</t>
  </si>
  <si>
    <t>CN65001975</t>
  </si>
  <si>
    <t>65001975-K</t>
  </si>
  <si>
    <t>CN61602151</t>
  </si>
  <si>
    <t>61602151-6</t>
  </si>
  <si>
    <t>CN61602281</t>
  </si>
  <si>
    <t>61602281-4</t>
  </si>
  <si>
    <t>CN69251500</t>
  </si>
  <si>
    <t>69251500-5</t>
  </si>
  <si>
    <t>CN61606409</t>
  </si>
  <si>
    <t>61606409-6</t>
  </si>
  <si>
    <t>CN70937200</t>
  </si>
  <si>
    <t>70937200-9</t>
  </si>
  <si>
    <t>CN61602199</t>
  </si>
  <si>
    <t>61602199-0</t>
  </si>
  <si>
    <t>CN69081100</t>
  </si>
  <si>
    <t>69081100-6</t>
  </si>
  <si>
    <t>CN61606403</t>
  </si>
  <si>
    <t>61606403-7</t>
  </si>
  <si>
    <t>CN79607900</t>
  </si>
  <si>
    <t>79607900-2</t>
  </si>
  <si>
    <t>CN61606309</t>
  </si>
  <si>
    <t>CN61602123</t>
  </si>
  <si>
    <t>61602123-0</t>
  </si>
  <si>
    <t>CN61606307</t>
  </si>
  <si>
    <t>61606307-3</t>
  </si>
  <si>
    <t>CN61980620</t>
  </si>
  <si>
    <t>61980620-4</t>
  </si>
  <si>
    <t>CN61607200</t>
  </si>
  <si>
    <t>61607200-5</t>
  </si>
  <si>
    <t>PN77379090</t>
  </si>
  <si>
    <t>ROHLIG TRANSPORTES INTERNACIONALES CHILE LIMITADA</t>
  </si>
  <si>
    <t>77379090-6</t>
  </si>
  <si>
    <t>k</t>
  </si>
  <si>
    <t>SANTIAGO</t>
  </si>
  <si>
    <t>Ñuñoa</t>
  </si>
  <si>
    <t>VALDIVIA</t>
  </si>
  <si>
    <t>LA SERENA</t>
  </si>
  <si>
    <t>San Bernardo</t>
  </si>
  <si>
    <t>San Miguel</t>
  </si>
  <si>
    <t>SAN FELIPE</t>
  </si>
  <si>
    <t>VIÑA DEL MAR</t>
  </si>
  <si>
    <t>San Joaquín</t>
  </si>
  <si>
    <t>Santiago</t>
  </si>
  <si>
    <t>RANCAGUA</t>
  </si>
  <si>
    <t>Rancagua</t>
  </si>
  <si>
    <t>Concepción</t>
  </si>
  <si>
    <t>ARICA</t>
  </si>
  <si>
    <t>ANTOFAGASTA</t>
  </si>
  <si>
    <t>TALCAHUANO</t>
  </si>
  <si>
    <t>Talcahuano</t>
  </si>
  <si>
    <t>PUNTA ARENAS</t>
  </si>
  <si>
    <t>IQUIQUE</t>
  </si>
  <si>
    <t>CERRILLOS</t>
  </si>
  <si>
    <t>Providencia</t>
  </si>
  <si>
    <t>La Florida</t>
  </si>
  <si>
    <t>PUERTO VARAS</t>
  </si>
  <si>
    <t>La Unión</t>
  </si>
  <si>
    <t>LOS ANDES</t>
  </si>
  <si>
    <t>CASABLANCA</t>
  </si>
  <si>
    <t>PEÑAFLOR</t>
  </si>
  <si>
    <t>Peñaflor</t>
  </si>
  <si>
    <t>TALAGANTE</t>
  </si>
  <si>
    <t>MELIPILLA</t>
  </si>
  <si>
    <t>SAN ANTONIO</t>
  </si>
  <si>
    <t>COINCO</t>
  </si>
  <si>
    <t>RENGO</t>
  </si>
  <si>
    <t>PEUMO</t>
  </si>
  <si>
    <t>PICHIDEGUA</t>
  </si>
  <si>
    <t>SAN FERNANDO</t>
  </si>
  <si>
    <t>CHIMBARONGO</t>
  </si>
  <si>
    <t>NANCAGUA</t>
  </si>
  <si>
    <t>SANTA CRUZ</t>
  </si>
  <si>
    <t>LOLOL</t>
  </si>
  <si>
    <t>LITUECHE</t>
  </si>
  <si>
    <t>PICHILEMU</t>
  </si>
  <si>
    <t>COELEMU</t>
  </si>
  <si>
    <t>PENCO</t>
  </si>
  <si>
    <t>FLORIDA</t>
  </si>
  <si>
    <t>SANTA JUANA</t>
  </si>
  <si>
    <t>ARAUCO</t>
  </si>
  <si>
    <t>CURANILAHUE</t>
  </si>
  <si>
    <t>NACIMIENTO</t>
  </si>
  <si>
    <t>COLLIPULLI</t>
  </si>
  <si>
    <t>TEMUCO</t>
  </si>
  <si>
    <t>GALVARINO</t>
  </si>
  <si>
    <t>CUNCO</t>
  </si>
  <si>
    <t>GORBEA</t>
  </si>
  <si>
    <t>CARAHUE</t>
  </si>
  <si>
    <t>VILLARRICA</t>
  </si>
  <si>
    <t>OSORNO</t>
  </si>
  <si>
    <t>PUERTO OCTAY</t>
  </si>
  <si>
    <t>LLANQUIHUE</t>
  </si>
  <si>
    <t>FRUTILLAR</t>
  </si>
  <si>
    <t>FRESIA</t>
  </si>
  <si>
    <t>CALBUCO</t>
  </si>
  <si>
    <t>CASTRO</t>
  </si>
  <si>
    <t>QUINCHAO</t>
  </si>
  <si>
    <t>COYHAIQUE</t>
  </si>
  <si>
    <t>Coyhaique</t>
  </si>
  <si>
    <t>CHILE CHICO</t>
  </si>
  <si>
    <t>COCHRANE</t>
  </si>
  <si>
    <t>PALENA</t>
  </si>
  <si>
    <t>CALAMA</t>
  </si>
  <si>
    <t>TOCOPILLA</t>
  </si>
  <si>
    <t>TALTAL</t>
  </si>
  <si>
    <t>MEJILLONES</t>
  </si>
  <si>
    <t>VALLENAR</t>
  </si>
  <si>
    <t>CHAÑARAL</t>
  </si>
  <si>
    <t>DIEGO DE ALMAGRO</t>
  </si>
  <si>
    <t>VICUÑA</t>
  </si>
  <si>
    <t>COQUIMBO</t>
  </si>
  <si>
    <t>ANDACOLLO</t>
  </si>
  <si>
    <t>SALAMANCA</t>
  </si>
  <si>
    <t>LOS VILOS</t>
  </si>
  <si>
    <t>LIMACHE</t>
  </si>
  <si>
    <t>VILLA ALEMANA</t>
  </si>
  <si>
    <t>QUILLOTA</t>
  </si>
  <si>
    <t>LA CALERA</t>
  </si>
  <si>
    <t>CABILDO</t>
  </si>
  <si>
    <t>Cabildo</t>
  </si>
  <si>
    <t>PETORCA</t>
  </si>
  <si>
    <t>PUTAENDO</t>
  </si>
  <si>
    <t>TALCA</t>
  </si>
  <si>
    <t>TENO</t>
  </si>
  <si>
    <t>MOLINA</t>
  </si>
  <si>
    <t>Molina</t>
  </si>
  <si>
    <t>CUREPTO</t>
  </si>
  <si>
    <t>SAN JAVIER</t>
  </si>
  <si>
    <t>CHANCO</t>
  </si>
  <si>
    <t>LINARES</t>
  </si>
  <si>
    <t>PARRAL</t>
  </si>
  <si>
    <t>Parral</t>
  </si>
  <si>
    <t>BULNES</t>
  </si>
  <si>
    <t>YUNGAY</t>
  </si>
  <si>
    <t>QUIRIHUE</t>
  </si>
  <si>
    <t>EL CARMEN</t>
  </si>
  <si>
    <t>CONTULMO</t>
  </si>
  <si>
    <t>LOS ANGELES</t>
  </si>
  <si>
    <t>LAJA</t>
  </si>
  <si>
    <t>Laja</t>
  </si>
  <si>
    <t>YUMBEL</t>
  </si>
  <si>
    <t>LONQUIMAY</t>
  </si>
  <si>
    <t>LANCO</t>
  </si>
  <si>
    <t>CORRAL</t>
  </si>
  <si>
    <t>PAILLACO</t>
  </si>
  <si>
    <t>Río Bueno</t>
  </si>
  <si>
    <t>LOS LAGOS</t>
  </si>
  <si>
    <t>PURRANQUE</t>
  </si>
  <si>
    <t>PORVENIR</t>
  </si>
  <si>
    <t>TIL TIL</t>
  </si>
  <si>
    <t>BUIN</t>
  </si>
  <si>
    <t>Puente Alto</t>
  </si>
  <si>
    <t>SAN BERNARDO</t>
  </si>
  <si>
    <t>LOS ALAMOS</t>
  </si>
  <si>
    <t>LEBU</t>
  </si>
  <si>
    <t>PADRE LAS CASAS</t>
  </si>
  <si>
    <t>Padre Las Casas</t>
  </si>
  <si>
    <t>PUERTO MONTT</t>
  </si>
  <si>
    <t>ANCUD</t>
  </si>
  <si>
    <t>SAN JUAN DE LA COSTA</t>
  </si>
  <si>
    <t>SAN PABLO</t>
  </si>
  <si>
    <t>MARIQUINA</t>
  </si>
  <si>
    <t>CABO DE HORNOS</t>
  </si>
  <si>
    <t>HUARA</t>
  </si>
  <si>
    <t>CALDERA</t>
  </si>
  <si>
    <t>TIERRA AMARILLA</t>
  </si>
  <si>
    <t>FREIRINA</t>
  </si>
  <si>
    <t>PAIHUANO</t>
  </si>
  <si>
    <t>MONTE PATRIA</t>
  </si>
  <si>
    <t>PUNITAQUI</t>
  </si>
  <si>
    <t>LA LIGUA</t>
  </si>
  <si>
    <t>PAPUDO</t>
  </si>
  <si>
    <t>ZAPALLAR</t>
  </si>
  <si>
    <t>CATEMU</t>
  </si>
  <si>
    <t>RINCONADA</t>
  </si>
  <si>
    <t>SAN ESTEBAN</t>
  </si>
  <si>
    <t>LA CRUZ</t>
  </si>
  <si>
    <t>HIJUELAS</t>
  </si>
  <si>
    <t>QUINTERO</t>
  </si>
  <si>
    <t>ALGARROBO</t>
  </si>
  <si>
    <t>Quilicura</t>
  </si>
  <si>
    <t>PAINE</t>
  </si>
  <si>
    <t>EL MONTE</t>
  </si>
  <si>
    <t>SAN PEDRO</t>
  </si>
  <si>
    <t>SANTO DOMINGO</t>
  </si>
  <si>
    <t>CARTAGENA</t>
  </si>
  <si>
    <t>EL TABO</t>
  </si>
  <si>
    <t>NAVIDAD</t>
  </si>
  <si>
    <t>CODEGUA</t>
  </si>
  <si>
    <t>MOSTAZAL</t>
  </si>
  <si>
    <t>DOÑIHUE</t>
  </si>
  <si>
    <t>COLTAUCO</t>
  </si>
  <si>
    <t>LAS CABRAS</t>
  </si>
  <si>
    <t>MALLOA</t>
  </si>
  <si>
    <t>QUINTA DE TILCOCO</t>
  </si>
  <si>
    <t>PLACILLA</t>
  </si>
  <si>
    <t>PUMANQUE</t>
  </si>
  <si>
    <t>PAREDONES</t>
  </si>
  <si>
    <t>LA ESTRELLA</t>
  </si>
  <si>
    <t>PERALILLO</t>
  </si>
  <si>
    <t>ROMERAL</t>
  </si>
  <si>
    <t>RAUCO</t>
  </si>
  <si>
    <t>SAGRADA FAMILIA</t>
  </si>
  <si>
    <t>PELARCO</t>
  </si>
  <si>
    <t>PENCAHUE</t>
  </si>
  <si>
    <t>EMPEDRADO</t>
  </si>
  <si>
    <t>CAUQUENES</t>
  </si>
  <si>
    <t>VILLA ALEGRE</t>
  </si>
  <si>
    <t>YERBAS BUENAS</t>
  </si>
  <si>
    <t>PORTEZUELO</t>
  </si>
  <si>
    <t>SAN CARLOS</t>
  </si>
  <si>
    <t>COIHUECO</t>
  </si>
  <si>
    <t>TUCAPEL</t>
  </si>
  <si>
    <t>RANQUIL</t>
  </si>
  <si>
    <t>HUALQUI</t>
  </si>
  <si>
    <t>CABRERO</t>
  </si>
  <si>
    <t>SAN ROSENDO</t>
  </si>
  <si>
    <t>CORONEL</t>
  </si>
  <si>
    <t>CAÑETE</t>
  </si>
  <si>
    <t>Cañete</t>
  </si>
  <si>
    <t>QUILLECO</t>
  </si>
  <si>
    <t>NEGRETE</t>
  </si>
  <si>
    <t>LOS SAUCES</t>
  </si>
  <si>
    <t>RENAICO</t>
  </si>
  <si>
    <t>ERCILLA</t>
  </si>
  <si>
    <t>LUMACO</t>
  </si>
  <si>
    <t>VICTORIA</t>
  </si>
  <si>
    <t>LAUTARO</t>
  </si>
  <si>
    <t>PERQUENCO</t>
  </si>
  <si>
    <t>NUEVA IMPERIAL</t>
  </si>
  <si>
    <t>FREIRE</t>
  </si>
  <si>
    <t>LONCOCHE</t>
  </si>
  <si>
    <t>FUTRONO</t>
  </si>
  <si>
    <t>LAGO RANCO</t>
  </si>
  <si>
    <t>PUYEHUE</t>
  </si>
  <si>
    <t>LOS MUERMOS</t>
  </si>
  <si>
    <t>QUEMCHI</t>
  </si>
  <si>
    <t>PUTRE</t>
  </si>
  <si>
    <t>TIMAUKEL</t>
  </si>
  <si>
    <t>TEODORO SCHMIDT</t>
  </si>
  <si>
    <t>SAN PEDRO DE ATACAMA</t>
  </si>
  <si>
    <t>PELLUHUE</t>
  </si>
  <si>
    <t>LOTA</t>
  </si>
  <si>
    <t>ANTUCO</t>
  </si>
  <si>
    <t>SAN RAFAEL</t>
  </si>
  <si>
    <t>SAN PEDRO DE LA PAZ</t>
  </si>
  <si>
    <t>PUENTE ALTO</t>
  </si>
  <si>
    <t>MELIPEUCO</t>
  </si>
  <si>
    <t>ISLA DE MAIPO</t>
  </si>
  <si>
    <t>PANGUIPULLI</t>
  </si>
  <si>
    <t>DALCAHUE</t>
  </si>
  <si>
    <t>CHONCHI</t>
  </si>
  <si>
    <t>POZO ALMONTE</t>
  </si>
  <si>
    <t>PINTO</t>
  </si>
  <si>
    <t>ANGOL</t>
  </si>
  <si>
    <t>COLINA</t>
  </si>
  <si>
    <t>PROVIDENCIA</t>
  </si>
  <si>
    <t>CHIGUAYANTE</t>
  </si>
  <si>
    <t>HUECHURABA</t>
  </si>
  <si>
    <t>LA FLORIDA</t>
  </si>
  <si>
    <t>ÑUÑOA</t>
  </si>
  <si>
    <t>HUASCO</t>
  </si>
  <si>
    <t>OVALLE</t>
  </si>
  <si>
    <t>ILLAPEL</t>
  </si>
  <si>
    <t>QUINTA NORMAL</t>
  </si>
  <si>
    <t>CERRO NAVIA</t>
  </si>
  <si>
    <t>RENCA</t>
  </si>
  <si>
    <t>ISLA DE PASCUA</t>
  </si>
  <si>
    <t>PICA</t>
  </si>
  <si>
    <t>NOGALES</t>
  </si>
  <si>
    <t>SAN CLEMENTE</t>
  </si>
  <si>
    <t>NINHUE</t>
  </si>
  <si>
    <t>SAN IGNACIO</t>
  </si>
  <si>
    <t>QUILACO</t>
  </si>
  <si>
    <t>LA PINTANA</t>
  </si>
  <si>
    <t>RECOLETA</t>
  </si>
  <si>
    <t>EL BOSQUE</t>
  </si>
  <si>
    <t>PADRE HURTADO</t>
  </si>
  <si>
    <t>CHOLCHOL</t>
  </si>
  <si>
    <t>ALTO HOSPICIO</t>
  </si>
  <si>
    <t>PIRQUE</t>
  </si>
  <si>
    <t>SAN MIGUEL</t>
  </si>
  <si>
    <t>I MUNICIPALIDAD DE MARCHIGUE</t>
  </si>
  <si>
    <t>GERMAN BEHNKE GUTIERREZ</t>
  </si>
  <si>
    <t>SN</t>
  </si>
  <si>
    <t>I MUNICIPALIDAD DE CANELA</t>
  </si>
  <si>
    <t>61978670K</t>
  </si>
  <si>
    <t>IIª Brigada Aérea</t>
  </si>
  <si>
    <t>78039272K</t>
  </si>
  <si>
    <t>ORTOPEDIA SATURNO LIMITADA</t>
  </si>
  <si>
    <t>76057158K</t>
  </si>
  <si>
    <t>96636310K</t>
  </si>
  <si>
    <t>ALLMEDICA S.A.</t>
  </si>
  <si>
    <t>HOSPITAL PSIQUIATRICO DR. PHILIPPE PINEL PUTAENDO</t>
  </si>
  <si>
    <t>VOYSERVICE SPA</t>
  </si>
  <si>
    <t>CENTRO DE FORMACION TECNICA ESTATAL DE MAGALLANES</t>
  </si>
  <si>
    <t>SERVICIOS INTEGRALES MEDICOS VALERIA ESTEFANIA MOLINA ROMAN E.I.R.L.</t>
  </si>
  <si>
    <t>HOSPITAL DE ALTO HOSPICIO</t>
  </si>
  <si>
    <t>COMERCIALIZACIÓN Y MANTENCIÓN HIGHTECH MEDICAL CHILE SPA</t>
  </si>
  <si>
    <t>ILUSTRE MUNICIPALIDAD DE ALTO BIOBIO DEPARTAMENTO DE SALUD</t>
  </si>
  <si>
    <t>CENTRO DE ESPECIALIDADES FARMACEUTICAS SPA</t>
  </si>
  <si>
    <t>BODEGA</t>
  </si>
  <si>
    <t>NEW TECH COPPER SPA</t>
  </si>
  <si>
    <t>INMEVET SPA</t>
  </si>
  <si>
    <t>COMERCIAL LEGUER S.A.</t>
  </si>
  <si>
    <t>SOCIEDAD INMOBILIARIA Y PRESTADORA DE SERVICIOS MEDICOS VIVIRSALUD LIM</t>
  </si>
  <si>
    <t>77689477K</t>
  </si>
  <si>
    <t>SERVICIOS VETERINARIOS FPA LIMITADA</t>
  </si>
  <si>
    <t>COMERCIAL ISUCONFEX SPA</t>
  </si>
  <si>
    <t>CALERA DE TANGO</t>
  </si>
  <si>
    <t>ATENCION TELEFONICA</t>
  </si>
  <si>
    <t>CN13062858</t>
  </si>
  <si>
    <t>ISAAC ALEJANDRO QUERO VALLEJOS</t>
  </si>
  <si>
    <t>MACUL</t>
  </si>
  <si>
    <t>PEDRO AGUIRRE CERDA</t>
  </si>
  <si>
    <t>CN17601068</t>
  </si>
  <si>
    <t>JAVIERA LUCIA FUENTES VILLALOBOS</t>
  </si>
  <si>
    <t>ESTACIÓN CENTRAL</t>
  </si>
  <si>
    <t>MAURICIO RAMOS MORENO</t>
  </si>
  <si>
    <t>MARCELO RUIZ</t>
  </si>
  <si>
    <t>CN5892120</t>
  </si>
  <si>
    <t>PUDAHUEL</t>
  </si>
  <si>
    <t>GIANCARLO MANNESCHI GALLARDO</t>
  </si>
  <si>
    <t>INDEPENDENCIA</t>
  </si>
  <si>
    <t>VALPARAÍSO</t>
  </si>
  <si>
    <t>CONCEPCIÓN</t>
  </si>
  <si>
    <t>CN61008000</t>
  </si>
  <si>
    <t>SERVICIO NACIONAL DE MENORES</t>
  </si>
  <si>
    <t>LA REINA</t>
  </si>
  <si>
    <t>RICARDO ENRIQUE ARAYA GONZÁLEZ</t>
  </si>
  <si>
    <t>LAS CONDES</t>
  </si>
  <si>
    <t>COPIAPÓ</t>
  </si>
  <si>
    <t>LA UNIÓN</t>
  </si>
  <si>
    <t>CN61602040</t>
  </si>
  <si>
    <t>LLAY-LLAY</t>
  </si>
  <si>
    <t>PEÑALOLÉN</t>
  </si>
  <si>
    <t>CURACAVÍ</t>
  </si>
  <si>
    <t>GRANEROS</t>
  </si>
  <si>
    <t>SAN VICENTE</t>
  </si>
  <si>
    <t>MARCHIHUE</t>
  </si>
  <si>
    <t>HUALPÉN</t>
  </si>
  <si>
    <t>PURÉN</t>
  </si>
  <si>
    <t>TRAIGUÉN</t>
  </si>
  <si>
    <t>PITRUFQUÉN</t>
  </si>
  <si>
    <t>CURACAUTÍN</t>
  </si>
  <si>
    <t>VILCÚN</t>
  </si>
  <si>
    <t>TOLTÉN</t>
  </si>
  <si>
    <t>RÍO NEGRO</t>
  </si>
  <si>
    <t>MAULLÍN</t>
  </si>
  <si>
    <t>QUELLÓN</t>
  </si>
  <si>
    <t>AYSÉN</t>
  </si>
  <si>
    <t>CISNES</t>
  </si>
  <si>
    <t>SAAVEDRA</t>
  </si>
  <si>
    <t>CHAITÉN</t>
  </si>
  <si>
    <t>COMBARBALÁ</t>
  </si>
  <si>
    <t>QUILPUÉ</t>
  </si>
  <si>
    <t>CURICÓ</t>
  </si>
  <si>
    <t>LICANTÉN</t>
  </si>
  <si>
    <t>HUALAÑÉ</t>
  </si>
  <si>
    <t>CONSTITUCIÓN</t>
  </si>
  <si>
    <t>CHILLÁN</t>
  </si>
  <si>
    <t>TOMÉ</t>
  </si>
  <si>
    <t>LOS ÁNGELES</t>
  </si>
  <si>
    <t>MULCHÉN</t>
  </si>
  <si>
    <t>SANTA BÁRBARA</t>
  </si>
  <si>
    <t>RÍO BUENO</t>
  </si>
  <si>
    <t>CN61607700</t>
  </si>
  <si>
    <t>SERVICIO DE SALUD RELONCAVI</t>
  </si>
  <si>
    <t>NATALES</t>
  </si>
  <si>
    <t>SAN JOSÉ DE MAIPO</t>
  </si>
  <si>
    <t>COCHAMÓ</t>
  </si>
  <si>
    <t>SAN RAMÓN</t>
  </si>
  <si>
    <t>QUILLÓN</t>
  </si>
  <si>
    <t>CN61978670</t>
  </si>
  <si>
    <t>QUEILÉN</t>
  </si>
  <si>
    <t>MAIPÚ</t>
  </si>
  <si>
    <t>CN62000760</t>
  </si>
  <si>
    <t>CENTRO DE FORMACION</t>
  </si>
  <si>
    <t>CN65228694</t>
  </si>
  <si>
    <t>CN65478760</t>
  </si>
  <si>
    <t>ALTO BIOBÍO</t>
  </si>
  <si>
    <t>CN69040200</t>
  </si>
  <si>
    <t>MUNICIPALIDAD DE LA HIGUERA</t>
  </si>
  <si>
    <t>LA HIGUERA</t>
  </si>
  <si>
    <t>RÍO HURTADO</t>
  </si>
  <si>
    <t>CN69041300</t>
  </si>
  <si>
    <t>CANELA</t>
  </si>
  <si>
    <t>PANQUEHUE</t>
  </si>
  <si>
    <t>SANTA MARÍA</t>
  </si>
  <si>
    <t>CALLE LARGA</t>
  </si>
  <si>
    <t>PUCHUNCAVÍ</t>
  </si>
  <si>
    <t>OLMUÉ</t>
  </si>
  <si>
    <t>EL QUISCO</t>
  </si>
  <si>
    <t>QUILICURA</t>
  </si>
  <si>
    <t>LA CISTERNA</t>
  </si>
  <si>
    <t>LA GRANJA</t>
  </si>
  <si>
    <t>MACHALÍ</t>
  </si>
  <si>
    <t>REQUÍNOA</t>
  </si>
  <si>
    <t>OLIVAR</t>
  </si>
  <si>
    <t>CHÉPICA</t>
  </si>
  <si>
    <t>CN69091300</t>
  </si>
  <si>
    <t>CN69100700</t>
  </si>
  <si>
    <t>MUNICIPALIDAD DE VICHUQUEN</t>
  </si>
  <si>
    <t>VICHUQUÉN</t>
  </si>
  <si>
    <t>RÍO CLARO</t>
  </si>
  <si>
    <t>ÑIQUÉN</t>
  </si>
  <si>
    <t>RÁNQUIL</t>
  </si>
  <si>
    <t>TIRÚA</t>
  </si>
  <si>
    <t>CN69191400</t>
  </si>
  <si>
    <t>PUCÓN</t>
  </si>
  <si>
    <t>MÁFIL</t>
  </si>
  <si>
    <t>SAN GREGORIO</t>
  </si>
  <si>
    <t>ALTO DEL CARMEN</t>
  </si>
  <si>
    <t>JUAN FERNÁNDEZ</t>
  </si>
  <si>
    <t>MARÍA ELENA</t>
  </si>
  <si>
    <t>LO ESPEJO</t>
  </si>
  <si>
    <t>LO BARNECHEA</t>
  </si>
  <si>
    <t>VITACURA</t>
  </si>
  <si>
    <t>TREGUACO</t>
  </si>
  <si>
    <t>CHILLÁN VIEJO</t>
  </si>
  <si>
    <t>CONCHALÍ</t>
  </si>
  <si>
    <t>MARÍA PINTO</t>
  </si>
  <si>
    <t>LAMPA</t>
  </si>
  <si>
    <t>PUQUELDÓN</t>
  </si>
  <si>
    <t>LO PRADO</t>
  </si>
  <si>
    <t>CURACO DE VÉLEZ</t>
  </si>
  <si>
    <t>SAN JOAQUÍN</t>
  </si>
  <si>
    <t>PEMUCO</t>
  </si>
  <si>
    <t>CONCÓN</t>
  </si>
  <si>
    <t>CN76199127</t>
  </si>
  <si>
    <t>CN76209015</t>
  </si>
  <si>
    <t>CN76337000</t>
  </si>
  <si>
    <t>IMPORTADORA Y COMERCIALIZADORA LUIS F CUBILLOS VENEGAS EIRL</t>
  </si>
  <si>
    <t>CENTRO DE PROCEDIMINETOS AMBULATORIOS SPA</t>
  </si>
  <si>
    <t>CN76684927</t>
  </si>
  <si>
    <t>R &amp; E GROUP SPA</t>
  </si>
  <si>
    <t>CN76701269</t>
  </si>
  <si>
    <t>VETERINARIA CLAUDIA PARRAGUEZ GARRIDO E.I.R.L.</t>
  </si>
  <si>
    <t>CN76810133</t>
  </si>
  <si>
    <t>INFRASPORTS SPA</t>
  </si>
  <si>
    <t>CN76848992</t>
  </si>
  <si>
    <t>SOCIEDAD COMERCIAL ARTCLINIC LIMITADA</t>
  </si>
  <si>
    <t>CN76914258</t>
  </si>
  <si>
    <t>SOCRA SPA</t>
  </si>
  <si>
    <t>CN77054028</t>
  </si>
  <si>
    <t>GREENWICH MEDICAL SPA</t>
  </si>
  <si>
    <t>CN77171148</t>
  </si>
  <si>
    <t>CN77173623</t>
  </si>
  <si>
    <t>COMERCIAL CONNEXO SPA</t>
  </si>
  <si>
    <t>CN77263838</t>
  </si>
  <si>
    <t>COMERCIAL INSUCONFEX SPA</t>
  </si>
  <si>
    <t>CN77428489</t>
  </si>
  <si>
    <t>CN77478120</t>
  </si>
  <si>
    <t>FRESENIUS KABI CHILE LTDA</t>
  </si>
  <si>
    <t>CN77557112</t>
  </si>
  <si>
    <t>CN77619564</t>
  </si>
  <si>
    <t>MULTIPRODUCTO SPA</t>
  </si>
  <si>
    <t>CN77689321</t>
  </si>
  <si>
    <t>ODONTOLOGIA SOTOMAYOR LIMITADA</t>
  </si>
  <si>
    <t>CN77689477</t>
  </si>
  <si>
    <t>CN77751405</t>
  </si>
  <si>
    <t>ATENCION INTEGRAL PARA EL ENFERMO LIMITADA</t>
  </si>
  <si>
    <t>CN77842289</t>
  </si>
  <si>
    <t>COMERCIALIZADORA Y DISTRIBUIDORA LIYO SPA</t>
  </si>
  <si>
    <t>CN77900852</t>
  </si>
  <si>
    <t>BIOSOLUCIONES MEDICAS CHILE LIMITADA</t>
  </si>
  <si>
    <t>CN77931508</t>
  </si>
  <si>
    <t>CN77949983</t>
  </si>
  <si>
    <t>FASTMED.CL SPA</t>
  </si>
  <si>
    <t>CN77977106</t>
  </si>
  <si>
    <t>COMERCIALIZADORA J. J. FERRER SPA</t>
  </si>
  <si>
    <t>CN78032566</t>
  </si>
  <si>
    <t>LUIS PÉREZ SPA</t>
  </si>
  <si>
    <t>CN78039272</t>
  </si>
  <si>
    <t>CN78233420</t>
  </si>
  <si>
    <t>HOSPITALIA PRODUCTOS MEDICOS LTDA.</t>
  </si>
  <si>
    <t>CN78350440</t>
  </si>
  <si>
    <t>CN96636310</t>
  </si>
  <si>
    <t>CN96885940</t>
  </si>
  <si>
    <t>CN99580830</t>
  </si>
  <si>
    <t>TANDA</t>
  </si>
  <si>
    <t>MARCA</t>
  </si>
  <si>
    <t>MODELO</t>
  </si>
  <si>
    <t>SERIE</t>
  </si>
  <si>
    <t>UBICACIÓN</t>
  </si>
  <si>
    <t>ESTADO</t>
  </si>
  <si>
    <t>COMENTARIO</t>
  </si>
  <si>
    <t>Actualización Solicitada</t>
  </si>
  <si>
    <t>informe consumo</t>
  </si>
  <si>
    <t>FECHA INICIO</t>
  </si>
  <si>
    <t>rutt</t>
  </si>
  <si>
    <t>namee</t>
  </si>
  <si>
    <t>SD</t>
  </si>
  <si>
    <t>STERIVIC</t>
  </si>
  <si>
    <t>MY100C</t>
  </si>
  <si>
    <t>C235003</t>
  </si>
  <si>
    <t>HOSPITAL PARROQUIAL DE SAN BERNARDO SANTIAGO</t>
  </si>
  <si>
    <t>COMODATO</t>
  </si>
  <si>
    <t>En prestamo por cerrar acuerdo comercial Giancarlo</t>
  </si>
  <si>
    <t>solicitado</t>
  </si>
  <si>
    <t>C231012</t>
  </si>
  <si>
    <t>HOSPITAL FUERZA AEREA DE CHILE YAZIGI LAS CONDES</t>
  </si>
  <si>
    <t>C23B003</t>
  </si>
  <si>
    <t>NEMO</t>
  </si>
  <si>
    <t>RICARDO LA TIENE EN SU PODER PARA CORONEL</t>
  </si>
  <si>
    <t>C235006</t>
  </si>
  <si>
    <t>C233013</t>
  </si>
  <si>
    <t>C233012</t>
  </si>
  <si>
    <t>HOSPITAL DE PENCO LIRQUEN CONCEPCION</t>
  </si>
  <si>
    <t>SE ESTA MEJORANDO LAS COMPRAS HUBO REUNION</t>
  </si>
  <si>
    <t>enviado a vendedor y cliente</t>
  </si>
  <si>
    <t>C233016</t>
  </si>
  <si>
    <t>C235004</t>
  </si>
  <si>
    <t>C231009</t>
  </si>
  <si>
    <t>HOSPITAL BIPROVINCIAL QUILLOTA PETORCA</t>
  </si>
  <si>
    <t>C233018</t>
  </si>
  <si>
    <t>C246011</t>
  </si>
  <si>
    <t>SE LLEVA ANEXO CON TODAS LAS SELALDORAS</t>
  </si>
  <si>
    <t>C233017</t>
  </si>
  <si>
    <t xml:space="preserve">DAS CESFAM DE TALCAHUANO </t>
  </si>
  <si>
    <t>C23B004</t>
  </si>
  <si>
    <t>HOSPITAL DEL TORAX SANTIAGO</t>
  </si>
  <si>
    <t>MARCO MARINAO PEDIRA DOCUMENTO</t>
  </si>
  <si>
    <t>C233020</t>
  </si>
  <si>
    <t>FALLA</t>
  </si>
  <si>
    <t>A LA ESPERA DE FIRMA INCLUIRAN UNA SELLADORA MÁS</t>
  </si>
  <si>
    <t>C233015</t>
  </si>
  <si>
    <t>DAS CESFAM TOME CONCEPCION</t>
  </si>
  <si>
    <t>DIRECCION DE SALUD MUNI.</t>
  </si>
  <si>
    <t>C23B006</t>
  </si>
  <si>
    <t>61602244k</t>
  </si>
  <si>
    <t>HOSPITAL DE CUNCO TEMUCO</t>
  </si>
  <si>
    <t>LICITACION ADJUDICADA</t>
  </si>
  <si>
    <t>2067-12-LE24</t>
  </si>
  <si>
    <t>C23B007</t>
  </si>
  <si>
    <t>C235009</t>
  </si>
  <si>
    <t>C23B009</t>
  </si>
  <si>
    <t>DAS CESFAM PEDRO DE VALDIVIA CONCEPCION</t>
  </si>
  <si>
    <t>C23B008</t>
  </si>
  <si>
    <t>DAS CESFAM TUCAPEL CONCEPCION</t>
  </si>
  <si>
    <t>C235007</t>
  </si>
  <si>
    <t>DAS CESFAM DE SAN PEDRO DE LA PAZ CONCEPCION</t>
  </si>
  <si>
    <t>C246008</t>
  </si>
  <si>
    <t>HOSCAR HOSPITAL DE CARABINEROS</t>
  </si>
  <si>
    <t>PRESTAMO</t>
  </si>
  <si>
    <t>SE DESPACHO Y MARCELO INSTALO RECIEN</t>
  </si>
  <si>
    <t>EN PRESTAMO HASTA EL 30 OCT 2024</t>
  </si>
  <si>
    <t>C235008</t>
  </si>
  <si>
    <t>C233014</t>
  </si>
  <si>
    <t>HOSPITAL EDUARDO PEREIRA VALPARAISO</t>
  </si>
  <si>
    <t>875646-18-LQ24</t>
  </si>
  <si>
    <t>C233022</t>
  </si>
  <si>
    <t>C235014</t>
  </si>
  <si>
    <t>C246010</t>
  </si>
  <si>
    <t xml:space="preserve">HOSPITAL CLINICO DEL SUR CONCEPCION </t>
  </si>
  <si>
    <t>CLIENTE INFORMO QUE ESTABA LISTA FIRMA</t>
  </si>
  <si>
    <t>retirará ricardo</t>
  </si>
  <si>
    <t>C235010</t>
  </si>
  <si>
    <t>HOSPITAL HIGUERAS TALCAHUANO</t>
  </si>
  <si>
    <t xml:space="preserve">1057544-325-LE24 </t>
  </si>
  <si>
    <t>C235013</t>
  </si>
  <si>
    <t>C23B001</t>
  </si>
  <si>
    <t>C23B002</t>
  </si>
  <si>
    <t>C23B005</t>
  </si>
  <si>
    <t>C233021</t>
  </si>
  <si>
    <t>HOSPITAL JUAN NOE CREVANI ARICA</t>
  </si>
  <si>
    <t>1075963-322-LE24</t>
  </si>
  <si>
    <t>C235012</t>
  </si>
  <si>
    <t>C246009</t>
  </si>
  <si>
    <t>HOSPITAL NAVAL TALCAHUANO</t>
  </si>
  <si>
    <t>SE ESTA TRAMITANDO COMPRAS, SE ENVIO DE MUESTRAS</t>
  </si>
  <si>
    <t>C231013</t>
  </si>
  <si>
    <t xml:space="preserve">CLINICA SAN ANTONIO </t>
  </si>
  <si>
    <t>C233019</t>
  </si>
  <si>
    <t xml:space="preserve">CESFAM TAGUA TAGUA </t>
  </si>
  <si>
    <t>C246012</t>
  </si>
  <si>
    <t>SE PASARÁ A CRS MAIPU SANTIAGO</t>
  </si>
  <si>
    <t>C246013</t>
  </si>
  <si>
    <t xml:space="preserve">SERVICIO SALUD VALDIVIA HOSPITAL BASE DE VALDIVIA </t>
  </si>
  <si>
    <t>C246014</t>
  </si>
  <si>
    <t>HOSPITAL SAN VICENTE DE TAGUA TAGUA</t>
  </si>
  <si>
    <t>C246015</t>
  </si>
  <si>
    <t>C246016</t>
  </si>
  <si>
    <t xml:space="preserve">HOSPITAL DE URGENCIA ASISTENCIA PUBLICA DR ALEJANDRO DEL RIO </t>
  </si>
  <si>
    <t>C246017</t>
  </si>
  <si>
    <t>C246018</t>
  </si>
  <si>
    <t>C246019</t>
  </si>
  <si>
    <t>C246021</t>
  </si>
  <si>
    <t>CRS MAIPU</t>
  </si>
  <si>
    <t>C246022</t>
  </si>
  <si>
    <t>MY100D</t>
  </si>
  <si>
    <t>D244003</t>
  </si>
  <si>
    <t>POSTA CENTRAL</t>
  </si>
  <si>
    <t>D244004</t>
  </si>
  <si>
    <t xml:space="preserve">HOSPITAL HOSCAR </t>
  </si>
  <si>
    <t>HAWO</t>
  </si>
  <si>
    <t>HD 680 DE</t>
  </si>
  <si>
    <t>PRODUCCION EINSTEIN</t>
  </si>
  <si>
    <t>PRODUCCION</t>
  </si>
  <si>
    <t>MY100B</t>
  </si>
  <si>
    <t>B22B001</t>
  </si>
  <si>
    <t>B22B002</t>
  </si>
  <si>
    <t>B22B003</t>
  </si>
  <si>
    <t>B22B004</t>
  </si>
  <si>
    <t>B22B005</t>
  </si>
  <si>
    <t>B22B006</t>
  </si>
  <si>
    <t>C23B010</t>
  </si>
  <si>
    <t>C235005</t>
  </si>
  <si>
    <t>C231010</t>
  </si>
  <si>
    <t>PRESTAMO PRODUCCION</t>
  </si>
  <si>
    <t>C235011</t>
  </si>
  <si>
    <t>PRODUCCION EINSTEIN (CASA TICONA)</t>
  </si>
  <si>
    <t>NEMO CHILE</t>
  </si>
  <si>
    <t>69120300k</t>
  </si>
  <si>
    <t>MUNICIPALIDAD DE CHANCO</t>
  </si>
  <si>
    <t>Nota: Se actualizo la cartera 2025, sin embargo, cartera de SANTIAGO III Y SUR III pasan a atencion telefonica ya que no tienen vendedor.</t>
  </si>
  <si>
    <t>I MUNICIPALIDAD DE FUTALEUFU</t>
  </si>
  <si>
    <t>MADE SPA</t>
  </si>
  <si>
    <t>PRIWESTER SPA</t>
  </si>
  <si>
    <t>MEDISERVI LIMITADA</t>
  </si>
  <si>
    <t>70990700K</t>
  </si>
  <si>
    <t>UNIVERSIDAD DIEGO PORTALES</t>
  </si>
  <si>
    <t>C VALENZUELA</t>
  </si>
  <si>
    <t>M RUIZ</t>
  </si>
  <si>
    <t>CARTERA</t>
  </si>
  <si>
    <t>59106780K</t>
  </si>
  <si>
    <t>76768780K</t>
  </si>
  <si>
    <t>77490090K</t>
  </si>
  <si>
    <t>17777412K</t>
  </si>
  <si>
    <t>69060700K</t>
  </si>
  <si>
    <t>69130700K</t>
  </si>
  <si>
    <t>69250500K</t>
  </si>
  <si>
    <t>76330700K</t>
  </si>
  <si>
    <t>76684927K</t>
  </si>
  <si>
    <t>76813247k</t>
  </si>
  <si>
    <t>76865249K</t>
  </si>
  <si>
    <t>76882794k</t>
  </si>
  <si>
    <t>77305553K</t>
  </si>
  <si>
    <t>77368507k</t>
  </si>
  <si>
    <t>77478120K</t>
  </si>
  <si>
    <t>77687535K</t>
  </si>
  <si>
    <t>COMUNA</t>
  </si>
  <si>
    <t>REGION</t>
  </si>
  <si>
    <t>REGIÓN DE  METROPOLITANA DE SANTIAGO</t>
  </si>
  <si>
    <t>REGIÓN DE  LA ARAUCANÍA</t>
  </si>
  <si>
    <t>RUT SD</t>
  </si>
  <si>
    <t>COD CLIENTE</t>
  </si>
  <si>
    <t>SANTIAGO II</t>
  </si>
  <si>
    <t>SANTIAGO I</t>
  </si>
  <si>
    <t>REGIÓN DE  LOS LAGOS</t>
  </si>
  <si>
    <t>SUR I</t>
  </si>
  <si>
    <t>REGIÓN DE  BIOBÍO</t>
  </si>
  <si>
    <t>NORTE I</t>
  </si>
  <si>
    <t>REGIÓN DE  VALPARAÍSO</t>
  </si>
  <si>
    <t>REGIÓN DE  COQUIMBO</t>
  </si>
  <si>
    <t>SUR III</t>
  </si>
  <si>
    <t>REGIÓN DE  MAULE</t>
  </si>
  <si>
    <t>REGIÓN DE  ÑUBLE</t>
  </si>
  <si>
    <t>M MARINAO</t>
  </si>
  <si>
    <t>SANTIAGO III</t>
  </si>
  <si>
    <t>REGIÓN DE  LIBERTADOR GENERAL BERNARDO O'HIGGINS</t>
  </si>
  <si>
    <t>REGIÓN DE  ANTOFAGASTA</t>
  </si>
  <si>
    <t>Hospital de Curico</t>
  </si>
  <si>
    <t>REGIÓN DE  LOS RÍOS</t>
  </si>
  <si>
    <t>COIHAIQUE</t>
  </si>
  <si>
    <t>REGIÓN DE  AYSÉN DEL GENERAL CARLOS IBÁÑEZ DEL CAMPO</t>
  </si>
  <si>
    <t>REGIÓN DE  ARICA Y PARINACOTA</t>
  </si>
  <si>
    <t>REGIÓN DE  TARAPACÁ</t>
  </si>
  <si>
    <t>REGIÓN DE  ATACAMA</t>
  </si>
  <si>
    <t>Municipalidad de San Vicente de Tagua Tagua</t>
  </si>
  <si>
    <t>HOSPITAL CLINICO FUSAT</t>
  </si>
  <si>
    <t>REGIÓN DE  MAGALLANES Y DE LA ANTÁRTICA CHILENA</t>
  </si>
  <si>
    <t>Hospital San Juan de Dios de Cauquenes</t>
  </si>
  <si>
    <t>Clinica Clever Salud Ltda</t>
  </si>
  <si>
    <t>Clinica edem spa</t>
  </si>
  <si>
    <t>AISÉN</t>
  </si>
  <si>
    <t>SAN NICOLÁS</t>
  </si>
  <si>
    <t>Sociedad Clínica Vida Estética SpA</t>
  </si>
  <si>
    <t>CALERA</t>
  </si>
  <si>
    <t>ALHUÉ</t>
  </si>
  <si>
    <t>Hospital Parral</t>
  </si>
  <si>
    <t>TILTIL</t>
  </si>
  <si>
    <t>CENTRO VETERINARIO ALEMAN KLEINTIERKLINIK LIMITADA</t>
  </si>
  <si>
    <t>CENTRO VETERINARIOS EL RINCON DE LA MASCOTA SPA</t>
  </si>
  <si>
    <t>LLAILLAY</t>
  </si>
  <si>
    <t>MUNICIPALIDAD DE DOÑIHUE</t>
  </si>
  <si>
    <t>HOSPITAL CUREPTO</t>
  </si>
  <si>
    <t>Clinica Europa SPA</t>
  </si>
  <si>
    <t>Clínica PlusDental</t>
  </si>
  <si>
    <t>INSTITUTO OFTALMOLOGICO PUERTA DEL SOL S.A</t>
  </si>
  <si>
    <t>Ampuero Tovar Servicios Esteticos spa</t>
  </si>
  <si>
    <t>FUTALEUFÚ</t>
  </si>
  <si>
    <t>Hospital Puerto Cisnes</t>
  </si>
  <si>
    <t>Servicio de Salud Atacama</t>
  </si>
  <si>
    <t>Hospital de Lanco</t>
  </si>
  <si>
    <t>HUALAIHUÉ</t>
  </si>
  <si>
    <t>PAIGUANO</t>
  </si>
  <si>
    <t>Ilustre Municipalidad de Malloa</t>
  </si>
  <si>
    <t>Ilustre Municipalidad De río Claro</t>
  </si>
  <si>
    <t>Ilustre Municipalidad de Villa Alegre Salud</t>
  </si>
  <si>
    <t>Municipalidad de Yerbas Buenas</t>
  </si>
  <si>
    <t>COLBÚN</t>
  </si>
  <si>
    <t xml:space="preserve">MUNICIPALIDAD TUCAPEL	</t>
  </si>
  <si>
    <t>Sociedad servicios Odontológicos Paredes y Paredes Ltda.</t>
  </si>
  <si>
    <t>CN76217768</t>
  </si>
  <si>
    <t>Servicios Medicos Jorge Cordero Orellana y Cia Ltda</t>
  </si>
  <si>
    <t>Sociedad Comercial Exportadora y de Inversiones SOCOSEP S.A.</t>
  </si>
  <si>
    <t>Seguridad y Salud Sur Ltda.</t>
  </si>
  <si>
    <t>Prisa Logistica S.A.</t>
  </si>
  <si>
    <t>Soc. Farm. Y Comercial Patricio Montecino EIRL</t>
  </si>
  <si>
    <t>Andes Investments Santiago S.A.</t>
  </si>
  <si>
    <t>Grupo Orinoco Limitada</t>
  </si>
  <si>
    <t>Servicios Profesionales Peter Swuan Limitada</t>
  </si>
  <si>
    <t>Sociedad Gabriel Acuña y Cia limitada</t>
  </si>
  <si>
    <t>B&amp;B Mantenciones SpA.</t>
  </si>
  <si>
    <t>Proyecto 360 Ltda</t>
  </si>
  <si>
    <t>Casa Salud Spa</t>
  </si>
  <si>
    <t>Laboratorio Medictest SPA</t>
  </si>
  <si>
    <t>Clinica Cellus SPA</t>
  </si>
  <si>
    <t>Servicios de Salud y Asesorías Integrales Ltda</t>
  </si>
  <si>
    <t>Socialmedic spa</t>
  </si>
  <si>
    <t>Duomo Salud Spa</t>
  </si>
  <si>
    <t>Leblon Plastic Surgery Spa</t>
  </si>
  <si>
    <t>Servicios de Salud Carolina Panza E.I.R.L</t>
  </si>
  <si>
    <t>Social Intermedica Ltda</t>
  </si>
  <si>
    <t>Centros Médicos y Dentales Multimed Ltda</t>
  </si>
  <si>
    <t>Centro de diagnóstico Digestivo limitada</t>
  </si>
  <si>
    <t>Mediplex S.A</t>
  </si>
  <si>
    <t>Tecnika S.A.</t>
  </si>
  <si>
    <t>Corporación Municipal de Desarrollo Social de Ñuñoa</t>
  </si>
  <si>
    <t>Exportaciones Importaciones Distirbuidora karem chile Spa</t>
  </si>
  <si>
    <t>Sociedad Médica y de Inversiones Rodríguez y Rodríguez SpA</t>
  </si>
  <si>
    <t>C.G.M Nuclear S.A.</t>
  </si>
  <si>
    <t>MEDICAL POLICENTER S.A.</t>
  </si>
  <si>
    <t>CN96759190</t>
  </si>
  <si>
    <t>CN61103021</t>
  </si>
  <si>
    <t>CN62000890</t>
  </si>
  <si>
    <t>CN65455650</t>
  </si>
  <si>
    <t>SIERRA GORDA</t>
  </si>
  <si>
    <t>CN69253200</t>
  </si>
  <si>
    <t>CN87912900</t>
  </si>
  <si>
    <t>CN61102004</t>
  </si>
  <si>
    <t>CN99524030</t>
  </si>
  <si>
    <t>CN76489841</t>
  </si>
  <si>
    <t>CN76297707</t>
  </si>
  <si>
    <t>CN777492101</t>
  </si>
  <si>
    <t>CN76234296</t>
  </si>
  <si>
    <t>CN77977820</t>
  </si>
  <si>
    <t>CN76460641</t>
  </si>
  <si>
    <t>CN78464300</t>
  </si>
  <si>
    <t>CN76797469</t>
  </si>
  <si>
    <t>CN61102127</t>
  </si>
  <si>
    <t>CN76337682</t>
  </si>
  <si>
    <t>CN79649060</t>
  </si>
  <si>
    <t>CN4500867</t>
  </si>
  <si>
    <t>CN61974200</t>
  </si>
  <si>
    <t>CN76559916</t>
  </si>
  <si>
    <t>CN77849650</t>
  </si>
  <si>
    <t>CN65154398</t>
  </si>
  <si>
    <t>CN77806390</t>
  </si>
  <si>
    <t>CN76111113</t>
  </si>
  <si>
    <t>CN76974400</t>
  </si>
  <si>
    <t>CN65165411</t>
  </si>
  <si>
    <t>CN77165124</t>
  </si>
  <si>
    <t>CN77326113</t>
  </si>
  <si>
    <t>CN11846439</t>
  </si>
  <si>
    <t>CN61999280</t>
  </si>
  <si>
    <t>CN65145566</t>
  </si>
  <si>
    <t>CN60202000</t>
  </si>
  <si>
    <t>CN76264138</t>
  </si>
  <si>
    <t>CN77353377</t>
  </si>
  <si>
    <t>CN77244520</t>
  </si>
  <si>
    <t>CN69120300</t>
  </si>
  <si>
    <t>CN69231200</t>
  </si>
  <si>
    <t>CN77063491</t>
  </si>
  <si>
    <t>CN78072204</t>
  </si>
  <si>
    <t>CN76110237</t>
  </si>
  <si>
    <t>CN70990700</t>
  </si>
  <si>
    <t>SECTOR</t>
  </si>
  <si>
    <t>PUBLICO</t>
  </si>
  <si>
    <t>PRIVADO</t>
  </si>
  <si>
    <t>COOPERATIVA MEDICINA Y SALUD INTEGRAL</t>
  </si>
  <si>
    <t>RAUL SALVADOR QUEZADA BILBAO</t>
  </si>
  <si>
    <t>ATEL</t>
  </si>
  <si>
    <t>NOR1</t>
  </si>
  <si>
    <t>SANT1</t>
  </si>
  <si>
    <t>SANT2</t>
  </si>
  <si>
    <t>SUR1</t>
  </si>
  <si>
    <t>SUR2</t>
  </si>
  <si>
    <t>CN12410655</t>
  </si>
  <si>
    <t>Victoria</t>
  </si>
  <si>
    <t>CN65191125</t>
  </si>
  <si>
    <t>LOS ÁLAMOS</t>
  </si>
  <si>
    <t>77147778K</t>
  </si>
  <si>
    <t>GLASSLABCHILE SPA</t>
  </si>
  <si>
    <t>CN77147778</t>
  </si>
  <si>
    <t>CN77714157</t>
  </si>
  <si>
    <t>HELPMEDICAL SPA</t>
  </si>
  <si>
    <t>CN78002548</t>
  </si>
  <si>
    <t>UNIVERSIDAD DE LA FRONTERA</t>
  </si>
  <si>
    <t>UMS UNITED MEDICAL SYSTEMS CHILE S A</t>
  </si>
  <si>
    <t>CN99512950</t>
  </si>
  <si>
    <t>REGION NOMBRE</t>
  </si>
  <si>
    <t>Region</t>
  </si>
  <si>
    <t>Nombre Región</t>
  </si>
  <si>
    <t>Región de Tarapacá</t>
  </si>
  <si>
    <t>Región de Antofagasta</t>
  </si>
  <si>
    <t>Región de Atacama</t>
  </si>
  <si>
    <t>Región de Coquimbo</t>
  </si>
  <si>
    <t>Región de Valparaíso</t>
  </si>
  <si>
    <t>Región de Libertador General Bernardo O'Higgins</t>
  </si>
  <si>
    <t>Región de Maule</t>
  </si>
  <si>
    <t>Región de Biobío</t>
  </si>
  <si>
    <t>Región de La Araucanía</t>
  </si>
  <si>
    <t>Región de Los Lagos</t>
  </si>
  <si>
    <t>Región de Aysén del General Carlos Ibáñez del Campo</t>
  </si>
  <si>
    <t>Región de Magallanes y de la Antártica Chilena</t>
  </si>
  <si>
    <t>Región de Metropolitana de Santiago</t>
  </si>
  <si>
    <t>Región de Los Ríos</t>
  </si>
  <si>
    <t>Región de Arica y Parinacota</t>
  </si>
  <si>
    <t>Región de Ñuble</t>
  </si>
  <si>
    <t>prueba</t>
  </si>
  <si>
    <t>PÚBLICO</t>
  </si>
  <si>
    <t>FUNDACION EDUCACIONAL PARA EL DESAROLLO INTEGRAL DE LA NIÑEZ</t>
  </si>
  <si>
    <t>CN70574900</t>
  </si>
  <si>
    <t>FARMACIAS LLANQUIHUE SPA</t>
  </si>
  <si>
    <t>CN78054202</t>
  </si>
  <si>
    <t>I MUNICIPALIDAD DE CAMARONES</t>
  </si>
  <si>
    <t>CAMARONES</t>
  </si>
  <si>
    <t>CN69251000</t>
  </si>
  <si>
    <t>GUSTAVO RIVAS PARRA COMERCIALIZADORA E.I.R.L.</t>
  </si>
  <si>
    <t>CN76471512</t>
  </si>
  <si>
    <t>REGIÓN DE METROPOLITANA DE SANTIAGO</t>
  </si>
  <si>
    <t>REGIÓN DE VALPARAÍSO</t>
  </si>
  <si>
    <t>REGIÓN DE MAGALLANES Y DE LA ANTÁRTICA CHILENA</t>
  </si>
  <si>
    <t>REGIÓN DE COQUIMBO</t>
  </si>
  <si>
    <t>REGIÓN DE BIOBÍO</t>
  </si>
  <si>
    <t>REGIÓN DE TARAPACÁ</t>
  </si>
  <si>
    <t>REGIÓN DE ANTOFAGASTA</t>
  </si>
  <si>
    <t>REGIÓN DE LOS LAGOS</t>
  </si>
  <si>
    <t>REGIÓN DE LIBERTADOR GENERAL BERNARDO O'HIGGINS</t>
  </si>
  <si>
    <t>REGIÓN DE ATACAMA</t>
  </si>
  <si>
    <t>CALEMA SPA</t>
  </si>
  <si>
    <t>MARIA JOSE MENDEZ VALENZUELA</t>
  </si>
  <si>
    <t>CN15060343</t>
  </si>
  <si>
    <t>ICSFARMA SPA</t>
  </si>
  <si>
    <t>CN76822455</t>
  </si>
  <si>
    <t>DISTRIBUIDORA C&amp;V LINARES SPA</t>
  </si>
  <si>
    <t>CN77183457</t>
  </si>
  <si>
    <t>HD MEDIC SPA</t>
  </si>
  <si>
    <t>CN77958307</t>
  </si>
  <si>
    <t>COMERCIALIZADORA DE INSUMOS MÉDICOS TRES MEDICAL LIMITADA</t>
  </si>
  <si>
    <t>CN78042815</t>
  </si>
  <si>
    <t>SOC DE PRESTACIONES MEDICAS SAN VI CENTE LIMITADA</t>
  </si>
  <si>
    <t>SOCIEDAD MEDICO QUIRURGICA ZULLEYMAN SPA</t>
  </si>
  <si>
    <t>CN76685887</t>
  </si>
  <si>
    <t>KOSANTE LIMITADA</t>
  </si>
  <si>
    <t>CN77037752</t>
  </si>
  <si>
    <t>CN78537870</t>
  </si>
  <si>
    <t>cn77409789</t>
  </si>
  <si>
    <t>MIVET SPA</t>
  </si>
  <si>
    <t>CN76914857</t>
  </si>
  <si>
    <t>DIRECCION DE PREVISION DE CARABINEROS</t>
  </si>
  <si>
    <t>cn61513000</t>
  </si>
  <si>
    <t>COLDIAB SPA</t>
  </si>
  <si>
    <t>cn76926460</t>
  </si>
  <si>
    <t>MADEGOM SPA</t>
  </si>
  <si>
    <t>cn84609600</t>
  </si>
  <si>
    <t>CORPORACION MUNICIPAL DE DESARROLLO SOCIAL DE CALAMA</t>
  </si>
  <si>
    <t>CN70954900</t>
  </si>
  <si>
    <t>SOC.DE SERVICIOS Y ASESORIA ODONTOLOGICA JORGE AGUAYO CABRERA Y CIA LTDA</t>
  </si>
  <si>
    <t>CN76734379</t>
  </si>
  <si>
    <t>SEPULVEDA Y ESPINOZA COMERCIALIZADORA MEDICA LIMITADA</t>
  </si>
  <si>
    <t>CN76795223</t>
  </si>
  <si>
    <t>FRANCISCO CAMPOS SANHUEZA</t>
  </si>
  <si>
    <t>ANA ABURDENE</t>
  </si>
  <si>
    <t>BELARMINO SEGUNDO DONOSO FUENTES</t>
  </si>
  <si>
    <t>ELIAS CORDOVA RUIZ</t>
  </si>
  <si>
    <t>DOCTOR SERGIO MAYORGA CIOCCA</t>
  </si>
  <si>
    <t>VICTOR MANUEL BORJE ARAYA</t>
  </si>
  <si>
    <t>JUAN A. RAMIREZ CASTILLO</t>
  </si>
  <si>
    <t>LEOCADIA GONZALEZ TORO</t>
  </si>
  <si>
    <t>ARTURO GUTIERREZ RUBILAR</t>
  </si>
  <si>
    <t>FRANCISCO JAVIER PARDO QUIROZ</t>
  </si>
  <si>
    <t>HECTOR CARRENO BAEZA</t>
  </si>
  <si>
    <t>MARGARITA RAILEN</t>
  </si>
  <si>
    <t>MARCO ANTONIO SALDIAS ESCOBAR</t>
  </si>
  <si>
    <t>ANA MARIA TICONA APANA</t>
  </si>
  <si>
    <t>NIPRO MEDICAL CORPORATION</t>
  </si>
  <si>
    <t>SUBSECRETARIA DE SERVICIOS SOCIALES</t>
  </si>
  <si>
    <t>POLICIA DE INVESTIGACIONES DE CHILE</t>
  </si>
  <si>
    <t>ESCUELA DE INVESTIGACIONES POLICIALES (ESCIPOL)</t>
  </si>
  <si>
    <t>SERVICIO NACIONAL DEL PATRIMONIO CULTURAL</t>
  </si>
  <si>
    <t>UNIVERSIDAD METROPOLITANA DE CIENCIAS DE LA EDUCACION</t>
  </si>
  <si>
    <t>UNIVERSIDAD DEL BIO BIO</t>
  </si>
  <si>
    <t>DIRECCION REGIONAL DE GENDARMERIA VII REGION DEL MAULE</t>
  </si>
  <si>
    <t>FUERZA AEREA DE CHILE COMANDANCIA EN JEFE COMANDO DE PERSONAL</t>
  </si>
  <si>
    <t>MINISTERIO DE OBRAS PUBLICAS DIREC CION GRAL DE OO PP DCYF</t>
  </si>
  <si>
    <t>INSTITUTO DE SEGURIDAD LABORAL</t>
  </si>
  <si>
    <t>INSTITUTO DE SALUD PUBLICA</t>
  </si>
  <si>
    <t>SERVICIO DE SALUD METROPOLITANO NORTE</t>
  </si>
  <si>
    <t>GOBIERNO REGIONAL METROPOLITANO DE SANTIAGO</t>
  </si>
  <si>
    <t>SERVICIO DE SALUD ARAUCANIA NORTE</t>
  </si>
  <si>
    <t>I. MUNICIPALIDAD DE MULCHEN</t>
  </si>
  <si>
    <t>RED INSTITUCIONAL DE CONSULTORIOS DE LA FACH</t>
  </si>
  <si>
    <t>MACRO ZONA DE SALUD SANTIAGO CENTRO NORTE</t>
  </si>
  <si>
    <t>SERVICIO LOCAL DE EDUCACION PUBLICA DE LLANQUIHUE</t>
  </si>
  <si>
    <t>ASOCIACION DE MUNICIPALIDADES NAHUELBUTA</t>
  </si>
  <si>
    <t>I MUNICIPALIDAD DE CONCHALI</t>
  </si>
  <si>
    <t>I MUNICIPALIDAD DE PROVIDENCIA</t>
  </si>
  <si>
    <t>ILUSTRE MUNICIPALIDAD DE PUDAHUEL</t>
  </si>
  <si>
    <t>ILUSTRE MUNICIPALIDAD DE MELIPILLA</t>
  </si>
  <si>
    <t>I MUNICIPALIDAD DE GRANEROS</t>
  </si>
  <si>
    <t>I. MUNICIPALIDAD DE SAN FABIAN</t>
  </si>
  <si>
    <t>I MUNICIPALIDAD DE PUREN</t>
  </si>
  <si>
    <t>I MUNICIPALIDAD DE MARIQUINA</t>
  </si>
  <si>
    <t>I MUNICIPALIDAD DE COYHAIQUE</t>
  </si>
  <si>
    <t>UNIVERSIDAD TECNOLOGICA</t>
  </si>
  <si>
    <t>UNIVERSIDAD DE LOS LAGOS</t>
  </si>
  <si>
    <t>UNIVERSIDAD DE ATACAMA</t>
  </si>
  <si>
    <t>SOCIEDAD RADIOLOGICA CHILLAN S.A.</t>
  </si>
  <si>
    <t>LOGISCARGO CHILE ALEJANDRO SAN MARTIN CARRASCO E.I.R.L</t>
  </si>
  <si>
    <t>ARLAB S.A.</t>
  </si>
  <si>
    <t>ARAMA NATURAL PRODUCTS DISTRIBUIDORA LIMITADA</t>
  </si>
  <si>
    <t>ARAUCO SALUD LTDA.</t>
  </si>
  <si>
    <t>SERVICIOS MEDICOS OFTALMOLOGICOS CEOLA VIÑA DEL MAR S.A.</t>
  </si>
  <si>
    <t>SERVICIOS ODONTOLOGICOS BUCALL LTDA</t>
  </si>
  <si>
    <t>RESOMAG SPA</t>
  </si>
  <si>
    <t>SOCIEDAD PROFESIONAL HERRERA Y SOTO LIMITADA</t>
  </si>
  <si>
    <t>EMIMED COMERCIALIZADORA DE EQUIPOS SPA</t>
  </si>
  <si>
    <t>BEMED SPA</t>
  </si>
  <si>
    <t>PABLO CATALAN EIRL</t>
  </si>
  <si>
    <t>SERVICIOS DE PERSONAL CLINICO CBS DOS SA.</t>
  </si>
  <si>
    <t>DOCTORES MENESES ASOCIADOS LIMITADA</t>
  </si>
  <si>
    <t>LABORATORIO VSC SPA</t>
  </si>
  <si>
    <t>DISTRIBUIDORA Y COMERCIALIZADORADE PRODUCTOS MEDICOS BIONHEALTH LIMITADA</t>
  </si>
  <si>
    <t>RICHARD FIGUEROA Y CIA. LIMITADA</t>
  </si>
  <si>
    <t>OPENLINE CHILE SPA</t>
  </si>
  <si>
    <t>SERVICIOS MEDICOS IMEDIC LTDA.</t>
  </si>
  <si>
    <t>ALPHALAB SPA</t>
  </si>
  <si>
    <t>AMBULANCIAS Y TRANSPORTE  EMS LIFE CARE LTDA</t>
  </si>
  <si>
    <t>INGENIERIA ENERTAK</t>
  </si>
  <si>
    <t>SIEMPRE CHILE SPA</t>
  </si>
  <si>
    <t>PLATECH SPA</t>
  </si>
  <si>
    <t>SANTA MARTA COURIR AND CARGO S.A.</t>
  </si>
  <si>
    <t>DRA MARIA PIA ANINAT Y COMPANIA LIMITADA</t>
  </si>
  <si>
    <t>SOCIEDAD COMERCIAL M &amp; M SPA</t>
  </si>
  <si>
    <t>ODONTOLOGIA MAXIMA LTDA.</t>
  </si>
  <si>
    <t>FIRST HEALTH CHILE SPA</t>
  </si>
  <si>
    <t>OCU MANTENIMIENTO INDUSTRIAL</t>
  </si>
  <si>
    <t>FARMACEUTICA CARIBEAN LTDA.</t>
  </si>
  <si>
    <t>VMC ONLINE SPA</t>
  </si>
  <si>
    <t>INVERSIONES DENTO REHABILITACION CLINICA DENTAL Y MEDICA SPA</t>
  </si>
  <si>
    <t>SOCIEDAD MEDICA PREVITERA SPA</t>
  </si>
  <si>
    <t>ELIZABETH VALDEBENITO MERINO, SERVICIOS DE SEGURIDAD Y CAPACITACION E.</t>
  </si>
  <si>
    <t>MORANO SPA, AESTHETICS AND HEALTH SERVICES LTDA</t>
  </si>
  <si>
    <t>SERVICIOS MEDICOS POCURO SPA</t>
  </si>
  <si>
    <t>IMPORTACIONES Y VENTAS DE EQUIPOS E INSUMOS MEDICOS IVANNA LLORENS</t>
  </si>
  <si>
    <t>VITAL SIMM SPA</t>
  </si>
  <si>
    <t>ODONTOLOGIA INTEGRAL DRA ALICIA CID CORDOVA LTDA</t>
  </si>
  <si>
    <t>SOCIEDAD MEDICA DR. ESCOBAR YAU SPA.</t>
  </si>
  <si>
    <t>SOCIEDAD DE PROFESIONALES MEDICO Y DENTAL RAHUE SALUD LTDA</t>
  </si>
  <si>
    <t>SOCIEDAD ALAVRADO Y ABATTE SPA</t>
  </si>
  <si>
    <t>AMAMEDICAL SPA</t>
  </si>
  <si>
    <t>VEN SALUD SPA</t>
  </si>
  <si>
    <t>HERNANDEZ, NEGRONI Y QUEIROLO LTDA.</t>
  </si>
  <si>
    <t>INVERSIONES INMOBILIARIA MARTIN Y RAMIREZ LIMITADA</t>
  </si>
  <si>
    <t>LABORATORIO CLINICO CORDILLERA S.A.</t>
  </si>
  <si>
    <t>INSTITUTO OFTALMOLOGICO PROFESOR ARENTSEN S.A.</t>
  </si>
  <si>
    <t>RED LAB S.A.</t>
  </si>
  <si>
    <t>VIDACELL S.A.</t>
  </si>
  <si>
    <t>15626895K</t>
  </si>
  <si>
    <t>69061300K</t>
  </si>
  <si>
    <t>I MUNICIPALIDAD DE QUILPUE</t>
  </si>
  <si>
    <t>69100600K</t>
  </si>
  <si>
    <t>69130602K</t>
  </si>
  <si>
    <t>69254000K</t>
  </si>
  <si>
    <t>I MUNICIPALIDAD DE PENALOLEN</t>
  </si>
  <si>
    <t>76017887K</t>
  </si>
  <si>
    <t>LUCO Y PARADA LTDA</t>
  </si>
  <si>
    <t>76033880K</t>
  </si>
  <si>
    <t>76066488K</t>
  </si>
  <si>
    <t>ANDMINISTRADORA MEDICA SAN BERNARDO S.A.</t>
  </si>
  <si>
    <t>76231391K</t>
  </si>
  <si>
    <t>EMPRESA COMERCIALIZADORA LUIS VALDES LYON SPA</t>
  </si>
  <si>
    <t>76259093K</t>
  </si>
  <si>
    <t>76510064K</t>
  </si>
  <si>
    <t>77039287K</t>
  </si>
  <si>
    <t>AVILA DENTAL LIMITADA</t>
  </si>
  <si>
    <t>77132732K</t>
  </si>
  <si>
    <t>MONTEMAR VETERINARIA SPA</t>
  </si>
  <si>
    <t>77166184K</t>
  </si>
  <si>
    <t>92288000K</t>
  </si>
  <si>
    <t>DROGUERIA HOFMANN S.A.C.</t>
  </si>
  <si>
    <t>CN3517865</t>
  </si>
  <si>
    <t>CN3753123</t>
  </si>
  <si>
    <t>CN5077288</t>
  </si>
  <si>
    <t>CN5320819</t>
  </si>
  <si>
    <t>CN6389002</t>
  </si>
  <si>
    <t>CN6412721</t>
  </si>
  <si>
    <t>CN6490320</t>
  </si>
  <si>
    <t>CN7303109</t>
  </si>
  <si>
    <t>CN7918692</t>
  </si>
  <si>
    <t>CN8181832</t>
  </si>
  <si>
    <t>CN8185029</t>
  </si>
  <si>
    <t>CN8185336</t>
  </si>
  <si>
    <t>CN8824822</t>
  </si>
  <si>
    <t>CN9151195</t>
  </si>
  <si>
    <t>CN9998730</t>
  </si>
  <si>
    <t>CN10503321</t>
  </si>
  <si>
    <t>CN10671103</t>
  </si>
  <si>
    <t>CN11872619</t>
  </si>
  <si>
    <t>CN12131783</t>
  </si>
  <si>
    <t>CN12283657</t>
  </si>
  <si>
    <t>CN14375136</t>
  </si>
  <si>
    <t>CN15085540</t>
  </si>
  <si>
    <t>CN16144757</t>
  </si>
  <si>
    <t>CN16528967</t>
  </si>
  <si>
    <t>CN17305473</t>
  </si>
  <si>
    <t>CN17605682</t>
  </si>
  <si>
    <t>CN17644546</t>
  </si>
  <si>
    <t>CN18056793</t>
  </si>
  <si>
    <t>CN18856361</t>
  </si>
  <si>
    <t>CN23645146</t>
  </si>
  <si>
    <t>CN25952636</t>
  </si>
  <si>
    <t>CN59077290</t>
  </si>
  <si>
    <t>CN60103000</t>
  </si>
  <si>
    <t>CN60506000</t>
  </si>
  <si>
    <t>CN60506012</t>
  </si>
  <si>
    <t>CN60511130</t>
  </si>
  <si>
    <t>CN60902063</t>
  </si>
  <si>
    <t>CN60905000</t>
  </si>
  <si>
    <t>CN60910047</t>
  </si>
  <si>
    <t>CN60911006</t>
  </si>
  <si>
    <t>CN61004007</t>
  </si>
  <si>
    <t>CN61004010</t>
  </si>
  <si>
    <t>CN61004051</t>
  </si>
  <si>
    <t>CN61004098</t>
  </si>
  <si>
    <t>CN61101017</t>
  </si>
  <si>
    <t>CN61103020</t>
  </si>
  <si>
    <t>CN61103022</t>
  </si>
  <si>
    <t>CN61103023</t>
  </si>
  <si>
    <t>CN61103032</t>
  </si>
  <si>
    <t>DEFENSA CIVIL DE CHILE</t>
  </si>
  <si>
    <t>CN61109000</t>
  </si>
  <si>
    <t>CN61202000</t>
  </si>
  <si>
    <t>CN61533000</t>
  </si>
  <si>
    <t>CN61605000</t>
  </si>
  <si>
    <t>CN61606000</t>
  </si>
  <si>
    <t>CN61607400</t>
  </si>
  <si>
    <t>CN61608000</t>
  </si>
  <si>
    <t>CN61821000</t>
  </si>
  <si>
    <t>CN61923200</t>
  </si>
  <si>
    <t>CN61955100</t>
  </si>
  <si>
    <t>CN61967400</t>
  </si>
  <si>
    <t>CONSULTORIO GENERAL URBANO DR. ALEJANDRO GUTIERREZ</t>
  </si>
  <si>
    <t>CN61974500</t>
  </si>
  <si>
    <t>CONSULTORIO VICTOR DOMINGO SILVA</t>
  </si>
  <si>
    <t>CN61974700</t>
  </si>
  <si>
    <t>CN61980260</t>
  </si>
  <si>
    <t>CN61980820</t>
  </si>
  <si>
    <t>CN61999130</t>
  </si>
  <si>
    <t>CN61999160</t>
  </si>
  <si>
    <t>CN61999330</t>
  </si>
  <si>
    <t>CN62000800</t>
  </si>
  <si>
    <t>CN65077833</t>
  </si>
  <si>
    <t>CORPORACION EDUCACIONAL JESUS ANGEL GAZO</t>
  </si>
  <si>
    <t>CN65142981</t>
  </si>
  <si>
    <t>CN65153604</t>
  </si>
  <si>
    <t>CN65164351</t>
  </si>
  <si>
    <t>CN65552540</t>
  </si>
  <si>
    <t>CN69070200</t>
  </si>
  <si>
    <t>CN69070300</t>
  </si>
  <si>
    <t>CN69071100</t>
  </si>
  <si>
    <t>CORPORACION MUNIC DE EDUC SALUD ATENCION</t>
  </si>
  <si>
    <t>CN69071801</t>
  </si>
  <si>
    <t>CN69072900</t>
  </si>
  <si>
    <t>CN69073900</t>
  </si>
  <si>
    <t>CN69080300</t>
  </si>
  <si>
    <t>CN69091201</t>
  </si>
  <si>
    <t>CN69140700</t>
  </si>
  <si>
    <t>CN69140800</t>
  </si>
  <si>
    <t>CN69151102</t>
  </si>
  <si>
    <t>CN69170200</t>
  </si>
  <si>
    <t>CN69180200</t>
  </si>
  <si>
    <t>CN69200400</t>
  </si>
  <si>
    <t>CN69240300</t>
  </si>
  <si>
    <t>CN70729100</t>
  </si>
  <si>
    <t>CN70772100</t>
  </si>
  <si>
    <t>CN71236700</t>
  </si>
  <si>
    <t>CN71309800</t>
  </si>
  <si>
    <t>CORP NACIONAL DE DESARROLLO INDIGENA</t>
  </si>
  <si>
    <t>CN72396000</t>
  </si>
  <si>
    <t>CN73923800</t>
  </si>
  <si>
    <t>CN74822900</t>
  </si>
  <si>
    <t>CN76016305</t>
  </si>
  <si>
    <t>CN76028688</t>
  </si>
  <si>
    <t>CN76044959</t>
  </si>
  <si>
    <t>CN76070033</t>
  </si>
  <si>
    <t>CN76074216</t>
  </si>
  <si>
    <t>CN76089296</t>
  </si>
  <si>
    <t>CN76110809</t>
  </si>
  <si>
    <t>CN76110892</t>
  </si>
  <si>
    <t>CN76116220</t>
  </si>
  <si>
    <t>CN76117597</t>
  </si>
  <si>
    <t>CN76118004</t>
  </si>
  <si>
    <t>CN76118892</t>
  </si>
  <si>
    <t>CN76147366</t>
  </si>
  <si>
    <t>CN76158723</t>
  </si>
  <si>
    <t>CN76170501</t>
  </si>
  <si>
    <t>CN76179207</t>
  </si>
  <si>
    <t>CONSTRUYENDO SONRISAS SPA</t>
  </si>
  <si>
    <t>CN76183821</t>
  </si>
  <si>
    <t>CN76194668</t>
  </si>
  <si>
    <t>CN76217761</t>
  </si>
  <si>
    <t>CN76240402</t>
  </si>
  <si>
    <t>CN76241803</t>
  </si>
  <si>
    <t>CN76251486</t>
  </si>
  <si>
    <t>CN76321282</t>
  </si>
  <si>
    <t>CN76329903</t>
  </si>
  <si>
    <t>CN76333143</t>
  </si>
  <si>
    <t>CN76342157</t>
  </si>
  <si>
    <t>CN76376473</t>
  </si>
  <si>
    <t>CN76386444</t>
  </si>
  <si>
    <t>COMERCIALIZADORA MATCHING DEALS LIMITADA</t>
  </si>
  <si>
    <t>CN76387797</t>
  </si>
  <si>
    <t>CN76399535</t>
  </si>
  <si>
    <t>CN76408079</t>
  </si>
  <si>
    <t>CN76449026</t>
  </si>
  <si>
    <t>CN76451127</t>
  </si>
  <si>
    <t>CN76462656</t>
  </si>
  <si>
    <t>CN76468698</t>
  </si>
  <si>
    <t>CN76476230</t>
  </si>
  <si>
    <t>CN76540070</t>
  </si>
  <si>
    <t>CN76544760</t>
  </si>
  <si>
    <t>CN76548337</t>
  </si>
  <si>
    <t>CN76567838</t>
  </si>
  <si>
    <t>CN76576326</t>
  </si>
  <si>
    <t>CN76606446</t>
  </si>
  <si>
    <t>CN76629600</t>
  </si>
  <si>
    <t>CN76665810</t>
  </si>
  <si>
    <t>CN76711857</t>
  </si>
  <si>
    <t>CN76719888</t>
  </si>
  <si>
    <t>CN76731671</t>
  </si>
  <si>
    <t>CN76747613</t>
  </si>
  <si>
    <t>CN76763230</t>
  </si>
  <si>
    <t>CN76810906</t>
  </si>
  <si>
    <t>CN76830090</t>
  </si>
  <si>
    <t>CN76851607</t>
  </si>
  <si>
    <t>CN76857770</t>
  </si>
  <si>
    <t>CN76867935</t>
  </si>
  <si>
    <t>CN76868795</t>
  </si>
  <si>
    <t>CN76871175</t>
  </si>
  <si>
    <t>CN76897509</t>
  </si>
  <si>
    <t>CN76947628</t>
  </si>
  <si>
    <t>CN76975454</t>
  </si>
  <si>
    <t>CN76984575</t>
  </si>
  <si>
    <t>CN76998781</t>
  </si>
  <si>
    <t>CN77020589</t>
  </si>
  <si>
    <t>CN77037659</t>
  </si>
  <si>
    <t>CN77075419</t>
  </si>
  <si>
    <t>CN77088789</t>
  </si>
  <si>
    <t>CURATIVA SPA</t>
  </si>
  <si>
    <t>CN77098211</t>
  </si>
  <si>
    <t>CN77111268</t>
  </si>
  <si>
    <t>CN77113891</t>
  </si>
  <si>
    <t>CN77116581</t>
  </si>
  <si>
    <t>CN77137408</t>
  </si>
  <si>
    <t>CN77183108</t>
  </si>
  <si>
    <t>CN77201658</t>
  </si>
  <si>
    <t>CN77221722</t>
  </si>
  <si>
    <t>CN77231137</t>
  </si>
  <si>
    <t>CN77244636</t>
  </si>
  <si>
    <t>CN77247841</t>
  </si>
  <si>
    <t>CN77250573</t>
  </si>
  <si>
    <t>CN77253729</t>
  </si>
  <si>
    <t>CN77269499</t>
  </si>
  <si>
    <t>CN77466836</t>
  </si>
  <si>
    <t>CN77490315</t>
  </si>
  <si>
    <t>CN77663470</t>
  </si>
  <si>
    <t>CN77704380</t>
  </si>
  <si>
    <t>CN77866770</t>
  </si>
  <si>
    <t>CN78591390</t>
  </si>
  <si>
    <t>CN78992720</t>
  </si>
  <si>
    <t>CN81210400</t>
  </si>
  <si>
    <t>CUERPO DE BOMBEROS DE TALCA</t>
  </si>
  <si>
    <t>CN82104800</t>
  </si>
  <si>
    <t>COMISION CHILENA DE ENERGIA NUCLEAR</t>
  </si>
  <si>
    <t>CN82983100</t>
  </si>
  <si>
    <t>CN93915000</t>
  </si>
  <si>
    <t>CN94544000</t>
  </si>
  <si>
    <t>CN96803090</t>
  </si>
  <si>
    <t>CN96803790</t>
  </si>
  <si>
    <t>CN99578600</t>
  </si>
  <si>
    <t>CN15626895</t>
  </si>
  <si>
    <t>CN69061300</t>
  </si>
  <si>
    <t>CN69100600</t>
  </si>
  <si>
    <t>CN69130602</t>
  </si>
  <si>
    <t>CN69254000</t>
  </si>
  <si>
    <t>CN76017887</t>
  </si>
  <si>
    <t>CN76033880</t>
  </si>
  <si>
    <t>CN76066488</t>
  </si>
  <si>
    <t>CN76231391</t>
  </si>
  <si>
    <t>CN76259093</t>
  </si>
  <si>
    <t>CN76510064</t>
  </si>
  <si>
    <t>CN77039287</t>
  </si>
  <si>
    <t>CN77132732</t>
  </si>
  <si>
    <t>CN77166184</t>
  </si>
  <si>
    <t>CN92288000</t>
  </si>
  <si>
    <t>ISABEL LEIVA FUENTEALBA</t>
  </si>
  <si>
    <t>ERIKA IVONNE CACERES PAVEZ</t>
  </si>
  <si>
    <t>SANDRA SOLIS FLORES</t>
  </si>
  <si>
    <t>OLGA JAVIERA VERGARA</t>
  </si>
  <si>
    <t>ROSA BURGOS DOMINGUEZ</t>
  </si>
  <si>
    <t>PAULA ANDREA RIVERA BRUNET</t>
  </si>
  <si>
    <t>ANDRES REYES</t>
  </si>
  <si>
    <t>IVAN CARLOS CANDIA ALDAY</t>
  </si>
  <si>
    <t>MARCO ANTONIO ALBORNOZ SOTO</t>
  </si>
  <si>
    <t>ANDREA LUPAYANTE LUPAYÀNTE</t>
  </si>
  <si>
    <t>HUMBERTO MIERES MORALES</t>
  </si>
  <si>
    <t>LEONARDO QUEZADA VERGARA</t>
  </si>
  <si>
    <t>ANDRES DIAZ</t>
  </si>
  <si>
    <t>INTENDENCIA REGION METROPOLITANA</t>
  </si>
  <si>
    <t>ESCUELA MILITAR -ESCMIL</t>
  </si>
  <si>
    <t>1A BRIGADA AEREA</t>
  </si>
  <si>
    <t>SERVIU IX REGION</t>
  </si>
  <si>
    <t>JUZGADO DE FAMILIA DE VILLA ALEMANA</t>
  </si>
  <si>
    <t>ILUSTRE MUNICIPALIDAD DE SAN NICOLAS</t>
  </si>
  <si>
    <t>ILUSTRE MUNICIPALIDAD DE SAN ROSENDO - SALUD</t>
  </si>
  <si>
    <t>ILUSTRE MUNICIPALIDAD DE SANTA BARBARA</t>
  </si>
  <si>
    <t>I MUNICIPALIDAD DE SIERRA GORDA</t>
  </si>
  <si>
    <t>POSITRONPHARMA S.A.</t>
  </si>
  <si>
    <t>AMBULANCIAS ADN LIMITADA</t>
  </si>
  <si>
    <t>SOCIEDAD PRESTADORA DE SERVICIOS DE SALUD DOMICILIARIO Y HOSPITALARIO S.A.</t>
  </si>
  <si>
    <t>SERVICIOS VETERINARIOS ESPECIALIZADOS SPA</t>
  </si>
  <si>
    <t>SOCIEDAD MEDICA Y ODONTOLOGICA YAÑEZ BRICEÑO LIMITADA.</t>
  </si>
  <si>
    <t>OZONOCARE LTDA</t>
  </si>
  <si>
    <t>SYV ORTODONCIA SPA</t>
  </si>
  <si>
    <t>VERTYCAL SPA</t>
  </si>
  <si>
    <t>SERVICIOS PROFESIONALES WULF RUDLOFF SPA</t>
  </si>
  <si>
    <t>SOCIEDAD COMERCIAL HURTADO Y REID LTDA.</t>
  </si>
  <si>
    <t>GRUPO AURRERA SPA</t>
  </si>
  <si>
    <t>MARILYN GALLEGOS E.I.R.L</t>
  </si>
  <si>
    <t>LABOCENTER S.A</t>
  </si>
  <si>
    <t>SERVICIOS DE VETERINARIA SEAV LIMITADA</t>
  </si>
  <si>
    <t>SALVAMED SPA</t>
  </si>
  <si>
    <t>INVERSIONES PUERTO MIRA S.P.A</t>
  </si>
  <si>
    <t>IMPORTADORA Y COMERCIALIZADORA FELIPE BARRIOS ALVAREZ</t>
  </si>
  <si>
    <t>INVERSIONES MELK SPA</t>
  </si>
  <si>
    <t>INDIMED SPA</t>
  </si>
  <si>
    <t>ANVIMED LIMITADA</t>
  </si>
  <si>
    <t>TELEMEDICARTE SPA</t>
  </si>
  <si>
    <t>INTEGRUM LIMITADA</t>
  </si>
  <si>
    <t>DIALISIS DEL VALLE LTDA</t>
  </si>
  <si>
    <t>DR. J. PATRICIO ULLOA SPA</t>
  </si>
  <si>
    <t>ILUSTRE MUNICIPALIDAD DE HUALAÑE</t>
  </si>
  <si>
    <t>DRAGER CHILE LTDA</t>
  </si>
  <si>
    <t>AMC INVERSIONES SPA</t>
  </si>
  <si>
    <t>FUERZA AEREA DE CHILE</t>
  </si>
  <si>
    <t>IVª BRIGADA AEREA</t>
  </si>
  <si>
    <t>RESONANCIA MAGNETICA DEL NORTE S.A.</t>
  </si>
  <si>
    <t>SOCIEDAD DE PRESTACIONES MEDICAS IMAGENES COQUIMBO LTDA</t>
  </si>
  <si>
    <t>SOCIEDAD MEDICA FREGA STRADOLINI</t>
  </si>
  <si>
    <t>FENIX RANCAGUA SPA</t>
  </si>
  <si>
    <t>SOCIEDAD MEDICA GURI SPA</t>
  </si>
  <si>
    <t>PRESTACIONES MEDICAS GONZALEZ ROJAS SPA</t>
  </si>
  <si>
    <t>MANUEL EDUARDO VIDAL BARRIA</t>
  </si>
  <si>
    <t>REGIMIENTO DE ARTILLERIA ANTIAEREA Y FUERZAS ESPECIALES</t>
  </si>
  <si>
    <t>SERVICIO DE SALUD ARAUCANIA SUR</t>
  </si>
  <si>
    <t>SUBSECRETARIA DE DERECHOS HUMANOS</t>
  </si>
  <si>
    <t>ILUSTRE MUNICIPALIDAD DE CURACAVI</t>
  </si>
  <si>
    <t>ZONA BIENESTAR VALPARAISO" BIENESTAR SOCIAL"</t>
  </si>
  <si>
    <t>BARRIA Y CONTRERAS LTDA</t>
  </si>
  <si>
    <t>ILUSTRE MUNICIPALIDAD DE LONGAVI</t>
  </si>
  <si>
    <t>SOCIEDAD MEDICA INTEGRAL CLINICA RAMIS</t>
  </si>
  <si>
    <t>JUAN ANDRES DIAZ GOMEZ</t>
  </si>
  <si>
    <t>JAVIER EDUARDO FLORES GOMEZ</t>
  </si>
  <si>
    <t>DIRECCION REGIONAL DE GENDARMERIA - ANTOFAGASTA</t>
  </si>
  <si>
    <t>DIRECCION REGIONAL DE GENDARMERIA - PUERTO MONTT</t>
  </si>
  <si>
    <t>SERVICIO NACIONAL DE PROTECCION ESPECIALIZADA A LA NIÑEZ Y ADOLESCENCI</t>
  </si>
  <si>
    <t>FUNDACION EDUCACIONAL MARGNOL</t>
  </si>
  <si>
    <t>FUND CENTRO DE EDUCACION Y CAPACITACION DE LA UCN</t>
  </si>
  <si>
    <t>SOCIEDAD DE SERVICIOS ODONTOLOGICOS BARRA &amp; STEVENS LTDA.</t>
  </si>
  <si>
    <t>DISTRIBUIDORA CONCEPCION SPA</t>
  </si>
  <si>
    <t>ODONTOLOGIA INTEGRAL DRA ELICIA CID CORDOVA LIMITADA</t>
  </si>
  <si>
    <t>DIRECCION DE ABASTECIMIENTO DE LA ARMADA</t>
  </si>
  <si>
    <t>TERESA DE JESUS ANDRADE ZELADA</t>
  </si>
  <si>
    <t>SERVICIO LOCAL DE EDUCACION PUBLICA DE HUASCO</t>
  </si>
  <si>
    <t>FUNDACION BIEN COMUN</t>
  </si>
  <si>
    <t>CORPORACION MUNICIPAL DE SERVICIOS Y DESARROLLO MAIPU</t>
  </si>
  <si>
    <t>JORGE SEPULVEDA GONZAÑEZ DD, E.I.R.L</t>
  </si>
  <si>
    <t>SOCIEDAD PORCIA, ROJAS, HASBUN SERVICIOS ODONTOLOGICOS SPA</t>
  </si>
  <si>
    <t>FARMACEUTICA DIFRAMA LTDA.</t>
  </si>
  <si>
    <t/>
  </si>
  <si>
    <t>PEDRO JORGE ALVEAL BIYANQUI</t>
  </si>
  <si>
    <t>CN6562450</t>
  </si>
  <si>
    <t>I MUNICIPALIDAD DE CABILDO</t>
  </si>
  <si>
    <t>CN69050200</t>
  </si>
  <si>
    <t>DIRECCION DE SALUD MUNICIPAL DE TOME</t>
  </si>
  <si>
    <t>COMERCIALIZADORA DIMED LIMITADA</t>
  </si>
  <si>
    <t>CN76514913</t>
  </si>
  <si>
    <t>DIAZ &amp; MATAMALA SPA</t>
  </si>
  <si>
    <t>CENTRO MEDICO DE PROCEDIMIENTOS AMBULATORIOS SPA</t>
  </si>
  <si>
    <t>CN77691034</t>
  </si>
  <si>
    <t>SOLUCIONES GADIEL SPA</t>
  </si>
  <si>
    <t>CN78000964</t>
  </si>
  <si>
    <t>ECOSCANNER SPA</t>
  </si>
  <si>
    <t>CN78018844</t>
  </si>
  <si>
    <t>CN96556940</t>
  </si>
  <si>
    <t>INSUMOS CEAP SPA</t>
  </si>
  <si>
    <t>PARACLINICS S A</t>
  </si>
  <si>
    <t>CN96986070</t>
  </si>
  <si>
    <t>SOCIEDAD HEMODIALISIS CONCON SPA</t>
  </si>
  <si>
    <t>CN77427731</t>
  </si>
  <si>
    <t>ACADEMIA POLITECNICA NAVAL</t>
  </si>
  <si>
    <t>CN61930100</t>
  </si>
  <si>
    <t>BLES SPA</t>
  </si>
  <si>
    <t>CN77855183</t>
  </si>
  <si>
    <t>REGIMIENTO DE POLICIA MILITAR N.°1 "SANTIAGO"</t>
  </si>
  <si>
    <t>CN65084220</t>
  </si>
  <si>
    <t>DR.RECASENS ODONTOLOGIA SPA</t>
  </si>
  <si>
    <t>CN76950149</t>
  </si>
  <si>
    <t>ALARMAS ABUMOHOR SPA</t>
  </si>
  <si>
    <t>CN77116486</t>
  </si>
  <si>
    <t>Etiquetas de fila</t>
  </si>
  <si>
    <t>Total general</t>
  </si>
  <si>
    <t>OPERADORA SALUD SIGLO XXI SA</t>
  </si>
  <si>
    <t>CN76203976</t>
  </si>
  <si>
    <t>COMERCIAL HOJA VERDE SPA</t>
  </si>
  <si>
    <t>CN77196261</t>
  </si>
  <si>
    <t>77529681K</t>
  </si>
  <si>
    <t>COMERCIALIZADORA CELGREN SPA</t>
  </si>
  <si>
    <t>CN77529681</t>
  </si>
  <si>
    <t>BAKELS CHILE S A</t>
  </si>
  <si>
    <t>CN96647600</t>
  </si>
  <si>
    <t>CORPORACION MUNICIPAL DE DESARROLLO SOCIAL DE COLINA</t>
  </si>
  <si>
    <t>CN70941900</t>
  </si>
  <si>
    <t>76635744K</t>
  </si>
  <si>
    <t>VYTROUS BIOTECH LIMITADA</t>
  </si>
  <si>
    <t>CN76635744</t>
  </si>
  <si>
    <t>COMERCIAL VYR SPA</t>
  </si>
  <si>
    <t>CN77079655</t>
  </si>
  <si>
    <t>SOCIEDAD DE PROFESIONALES INNRED SPA</t>
  </si>
  <si>
    <t>CN77350659</t>
  </si>
  <si>
    <t>CLÍNICA VIDAMAR SPA</t>
  </si>
  <si>
    <t>CN77999468</t>
  </si>
  <si>
    <t>ILUSTRE MUNICIPALIDAD DE RETIRO</t>
  </si>
  <si>
    <t>RETIRO</t>
  </si>
  <si>
    <t>CN69130800</t>
  </si>
  <si>
    <t>CORP DE EDUCACION Y SALUD DE LAS CONDES</t>
  </si>
  <si>
    <t>CN70902000</t>
  </si>
  <si>
    <t>CENTRO DE ESTUDIOS REPRODUCTIVOS NEVERIA LIMITADA</t>
  </si>
  <si>
    <t>CN77240970</t>
  </si>
  <si>
    <t>VETERINARIA CURACO SPA</t>
  </si>
  <si>
    <t>CN77896255</t>
  </si>
  <si>
    <t>I MUNICIPALIDAD DE LA FLORIDA</t>
  </si>
  <si>
    <t>CN69070700</t>
  </si>
  <si>
    <t>INVERSIONES SAN IGNACIO LIMITADA</t>
  </si>
  <si>
    <t>CN76305889</t>
  </si>
  <si>
    <t>IMPORTADORA Y COMERCIALIZADORA MEDICPRO LIMITADA</t>
  </si>
  <si>
    <t>CN76390967</t>
  </si>
  <si>
    <t>DIOMED SPA</t>
  </si>
  <si>
    <t>CN76785209</t>
  </si>
  <si>
    <t>CLINICA VETERINARIA ROBERTO CASTILLO BANDA E.I.R.L.</t>
  </si>
  <si>
    <t>CN77022041</t>
  </si>
  <si>
    <t>65061030k</t>
  </si>
  <si>
    <t>CENTRO REFERENCIA DE SALUD CRS MAIPU SANTIAGO</t>
  </si>
  <si>
    <t xml:space="preserve">HOSPITAL HIGUERAS TALCAHUANO </t>
  </si>
  <si>
    <t>DAS CORONEL</t>
  </si>
  <si>
    <t xml:space="preserve">DISPONIBLE </t>
  </si>
  <si>
    <t>CRS DE MAIPU SE INSTALA HOY 7 ENERO OTRAS DOS EN MANTENCION</t>
  </si>
  <si>
    <t xml:space="preserve">DAS CESFAM JUAN SOTO FERNANDEZ  DAS CONCEPCION </t>
  </si>
  <si>
    <t>HOSPITAL ASISTENCIA PUBLICA POSTA CENTRAL</t>
  </si>
  <si>
    <t>SAN JOSE</t>
  </si>
  <si>
    <t>MACRO ZONA DE SALUD VALDIVIA</t>
  </si>
  <si>
    <t>CN65144279</t>
  </si>
  <si>
    <t>COMERCIALIZADORA TODO SALUD LIMITADA</t>
  </si>
  <si>
    <t>CN76323473</t>
  </si>
  <si>
    <t>CENTRO VETERINARIO TALCAHUANO SPA</t>
  </si>
  <si>
    <t>CN76884004</t>
  </si>
  <si>
    <t>VET FARMA SPA</t>
  </si>
  <si>
    <t>CN77914035</t>
  </si>
  <si>
    <t>COMERCIAL MOTORSHOP SPA</t>
  </si>
  <si>
    <t>CN76193188</t>
  </si>
  <si>
    <t>INVERSIONES GALLARDO ISRAEL SPA</t>
  </si>
  <si>
    <t>CN77735221</t>
  </si>
  <si>
    <t>TATIANA ANDREA HERNANDEZ GALLARDO</t>
  </si>
  <si>
    <t>CN10712301</t>
  </si>
  <si>
    <t>IMPORTADORA SIMON CARLOS CUMSILLE CUMSILLE EMPRESA INDIVIDUAL DE RESPO</t>
  </si>
  <si>
    <t>CN76118191</t>
  </si>
  <si>
    <t>DIRECCION DE EDUCACION DOCTRINA E HISTORIA DE CARABINEROS</t>
  </si>
  <si>
    <t>cn61979960</t>
  </si>
  <si>
    <t>CENTRO MEDICO OCEANCLINIC SPA</t>
  </si>
  <si>
    <t>CN78148443</t>
  </si>
  <si>
    <t>a</t>
  </si>
  <si>
    <t>ASOC MAPUCHE PARA LA SALUD MAKEWE PELALE</t>
  </si>
  <si>
    <t>VITALSEC SPA</t>
  </si>
  <si>
    <t>CN76325278</t>
  </si>
  <si>
    <t>SERVICIO MEDICO DENTAL SANTIAGO</t>
  </si>
  <si>
    <t>CN61929200</t>
  </si>
  <si>
    <t>77897889K</t>
  </si>
  <si>
    <t>IMPORTADORA MAGNO SPA</t>
  </si>
  <si>
    <t>CN77897889</t>
  </si>
  <si>
    <t>COMERCIALIZADORA DE MATERIALES Y EQUIPOS RAPIMED SPA</t>
  </si>
  <si>
    <t>CN78054291</t>
  </si>
  <si>
    <t>SMARTSAVE SPA</t>
  </si>
  <si>
    <t>CN78080475</t>
  </si>
  <si>
    <t>SOCIEDAD TODO SALUD K Y R SPA</t>
  </si>
  <si>
    <t>CN76012276</t>
  </si>
  <si>
    <t>REDLASER CONCEPCION SPA</t>
  </si>
  <si>
    <t>CN76879540</t>
  </si>
  <si>
    <t>SERVICIOS VETERINARIOS MORALES &amp; MORALES LIMITADA</t>
  </si>
  <si>
    <t>CN77139976</t>
  </si>
  <si>
    <t>LIZANA Y RODRIGUEZ DATACAPTURE SPA</t>
  </si>
  <si>
    <t>LUIS LIPORACI</t>
  </si>
  <si>
    <t>CN77235184</t>
  </si>
  <si>
    <t>77371584K</t>
  </si>
  <si>
    <t>TREMA DENTAL SPA</t>
  </si>
  <si>
    <t>CN77371584-K</t>
  </si>
  <si>
    <t>DAU MEDIA SPA</t>
  </si>
  <si>
    <t>CN77533745</t>
  </si>
  <si>
    <t>VENTAS MAUNI SPA</t>
  </si>
  <si>
    <t>CN77618016</t>
  </si>
  <si>
    <t>SERVICIOS MEDICOS HAVANAHEALTH SPA</t>
  </si>
  <si>
    <t>CN77903921</t>
  </si>
  <si>
    <t>VETH WILD INSUMOS Y EQUIPAMIENTO VETERINARIO SPA</t>
  </si>
  <si>
    <t>CN78041017</t>
  </si>
  <si>
    <t>PDQ CARGO TRADER SPA</t>
  </si>
  <si>
    <t>DAVID TOLEDO</t>
  </si>
  <si>
    <t>CN79906540</t>
  </si>
  <si>
    <t>DIPROMED S A</t>
  </si>
  <si>
    <t>CN86397000</t>
  </si>
  <si>
    <t>INDUSTRIA</t>
  </si>
  <si>
    <t>DISTRIBUIDORES</t>
  </si>
  <si>
    <t>VETERINARIAS</t>
  </si>
  <si>
    <t>CLINICAS</t>
  </si>
  <si>
    <t>INST PUBLICAS</t>
  </si>
  <si>
    <t>HOSPITALES</t>
  </si>
  <si>
    <t>UNIVERSIDADES</t>
  </si>
  <si>
    <t>CORPORACIONES</t>
  </si>
  <si>
    <t>MUNICIPALIDADES</t>
  </si>
  <si>
    <t>LABORATORIOS</t>
  </si>
  <si>
    <t>77164581K</t>
  </si>
  <si>
    <t>QUIROMÉDICA LIMITADA</t>
  </si>
  <si>
    <t>CN77164581</t>
  </si>
  <si>
    <t>SOCIEDAD ESTETICA INTEGRAL PROVIDENCIA SPA</t>
  </si>
  <si>
    <t>CN76937251</t>
  </si>
  <si>
    <t>BIOTECNOLOGIA SUSTENTABLE INNOVACELL SPA</t>
  </si>
  <si>
    <t>SOCIEDAD DE SERVICIOS VETERINARIOS ALTO EL LOA LIMITADA</t>
  </si>
  <si>
    <t>CN78144463</t>
  </si>
  <si>
    <t>PRODUCTOS MEDICOS PROMEDON CHILE S A</t>
  </si>
  <si>
    <t>CN78566250</t>
  </si>
  <si>
    <t>REUTTER S A</t>
  </si>
  <si>
    <t>CLINICA DE PUERTO VARAS SPA</t>
  </si>
  <si>
    <t>CENTRO ODONTOLOGICO MILITAR N 1 LA REINA</t>
  </si>
  <si>
    <t>FUNDACION DEBRA CHILE, NINOS PIEL DE CRISTAL</t>
  </si>
  <si>
    <t>CN65881150</t>
  </si>
  <si>
    <t>MURANO S.A SPA</t>
  </si>
  <si>
    <t>CN77841137</t>
  </si>
  <si>
    <t>COMERCIALIZADORA HEALTH CARE SPA</t>
  </si>
  <si>
    <t>CN77961966</t>
  </si>
  <si>
    <t>GLOBAL VENTAS Y SERVICIOS SPA</t>
  </si>
  <si>
    <t>CN78028927</t>
  </si>
  <si>
    <t>TEXTIL SUPER LIMITADA</t>
  </si>
  <si>
    <t>CN78238490</t>
  </si>
  <si>
    <t>UNIVERSIDAD DE AYSEN</t>
  </si>
  <si>
    <t>CN61980520</t>
  </si>
  <si>
    <t>IMPORTADORA Y COMERCIALIZADORA RC SPA</t>
  </si>
  <si>
    <t>CN77638719</t>
  </si>
  <si>
    <t>SINGULAROS SPA</t>
  </si>
  <si>
    <t>CN78206462</t>
  </si>
  <si>
    <t>69141700K</t>
  </si>
  <si>
    <t>I MUNICIPALIDAD DE EL CARMEN</t>
  </si>
  <si>
    <t>CN69141700</t>
  </si>
  <si>
    <t>COMERCIALIZADORA Y DISTRIBUIDORA DIJOTA SPA</t>
  </si>
  <si>
    <t>CN77469641</t>
  </si>
  <si>
    <t>ALTA PERIODONCIA LIMITADA</t>
  </si>
  <si>
    <t>CN77927846</t>
  </si>
  <si>
    <t>HEALEX SPA</t>
  </si>
  <si>
    <t>CN77942194</t>
  </si>
  <si>
    <t>HECTOR ENRIQUE ALTAMIRANO CRUZ</t>
  </si>
  <si>
    <t>CN11990798</t>
  </si>
  <si>
    <t>JUAN BASTIAN GUERRERO VILLAGRA</t>
  </si>
  <si>
    <t>CN19361357</t>
  </si>
  <si>
    <t>SAAVEDRA Y PACHECO SERVICIOS MEDICOS LIMITADA</t>
  </si>
  <si>
    <t>CN76243200</t>
  </si>
  <si>
    <t>COMERCIALIZADORA BIODEL LIMITADA</t>
  </si>
  <si>
    <t>CN76341413</t>
  </si>
  <si>
    <t>SOCIEDAD VIVECLINIC SPA</t>
  </si>
  <si>
    <t>CN77335255</t>
  </si>
  <si>
    <t>SOCIEDAD PROSPERAMEDICAL SPA</t>
  </si>
  <si>
    <t>CN77488495</t>
  </si>
  <si>
    <t>I MUNICIPALIDAD DE HUASCO</t>
  </si>
  <si>
    <t>CN69030700</t>
  </si>
  <si>
    <t>SOCIEDAD PET&amp;PET LIMITADA</t>
  </si>
  <si>
    <t>CN76281131</t>
  </si>
  <si>
    <t>INVERSIONES D&amp;M SPA</t>
  </si>
  <si>
    <t>CN77207001</t>
  </si>
  <si>
    <t>JUAN LARA CASTRO Y OTRA LIMITADA</t>
  </si>
  <si>
    <t>CN77336120</t>
  </si>
  <si>
    <t>COMERCIALIZACION MEDICA Y PROFESIONAL SPA</t>
  </si>
  <si>
    <t>CN77994532</t>
  </si>
  <si>
    <t>INSUMONET SPA</t>
  </si>
  <si>
    <t>CN78011198</t>
  </si>
  <si>
    <t>FARMACIA VETERINARIA LOS TREILES SPA</t>
  </si>
  <si>
    <t>CN78072703</t>
  </si>
  <si>
    <t>CORP MUNICIPAL DE DESARROLLO SOCIAL DE TIL TI</t>
  </si>
  <si>
    <t>CN70981700</t>
  </si>
  <si>
    <t>INVERSIONES QUILPUE SPA</t>
  </si>
  <si>
    <t>CN76857567</t>
  </si>
  <si>
    <t>I MUNICIPALIDAD DE QUIRIHUE</t>
  </si>
  <si>
    <t>CN69140100</t>
  </si>
  <si>
    <t>CLINICA CHINQUIHUE</t>
  </si>
  <si>
    <t>CN77500308</t>
  </si>
  <si>
    <t>OHANAPET SPA</t>
  </si>
  <si>
    <t>CN78183235</t>
  </si>
  <si>
    <t>SOC WIGOLORCHEW FIGUEROA LIMITADA</t>
  </si>
  <si>
    <t>CN76153160</t>
  </si>
  <si>
    <t>NOLBERTO ANDRÉS GÁLVEZ ZAMORA COMERCIALIZADORA Y SERVICIOS E.I.R.L.</t>
  </si>
  <si>
    <t>CN76953545</t>
  </si>
  <si>
    <t>COMERCIALIZADORA CYS SPA</t>
  </si>
  <si>
    <t>BT &amp; ASOCIADOS SPA</t>
  </si>
  <si>
    <t>CN77808624</t>
  </si>
  <si>
    <t>SONNOS SPA</t>
  </si>
  <si>
    <t>CN78214526</t>
  </si>
  <si>
    <t>SIN DEFINIR</t>
  </si>
  <si>
    <t>76467149K</t>
  </si>
  <si>
    <t>SERVICIOS VETERINARIOS ILLANES Y RÍOS LIMITADA</t>
  </si>
  <si>
    <t>CN76467149</t>
  </si>
  <si>
    <t>AGROINSUMOS DEL SUR SPA</t>
  </si>
  <si>
    <t>CN76605397</t>
  </si>
  <si>
    <t>SOCIEDAD COMERCIAL NUTRASUR SPA</t>
  </si>
  <si>
    <t>CN76907823</t>
  </si>
  <si>
    <t>BOZA CENTRO MEDICO Y LABORATORIO CLINICO SPA</t>
  </si>
  <si>
    <t>CN77005264</t>
  </si>
  <si>
    <t>OFTAMEDICA S.A.</t>
  </si>
  <si>
    <t>CN78947610</t>
  </si>
  <si>
    <t>GENDARMERIA DE CHILE DIRECCION REGIONAL COPIAPO</t>
  </si>
  <si>
    <t>SERVICIO DE SALUD DE ARICA Y PARINACOTA</t>
  </si>
  <si>
    <t>SOCIEDAD VETERINARIA Y DE INVERSIONES UNION VETERINARIA PONIENTE SPA</t>
  </si>
  <si>
    <t>CN77145166</t>
  </si>
  <si>
    <t>77815515K</t>
  </si>
  <si>
    <t>CENTRO MEDICO SAN SEBASTIAN SPA</t>
  </si>
  <si>
    <t>CN77815515</t>
  </si>
  <si>
    <t>CENTRO RADIOLOGICO DENTAL HIGUERAS SPA</t>
  </si>
  <si>
    <t>CN78111781</t>
  </si>
  <si>
    <t>CLINICA SAN LORENZO LIMITADA</t>
  </si>
  <si>
    <t>CN88497100</t>
  </si>
  <si>
    <t>FUNDACION</t>
  </si>
  <si>
    <t>76093416K</t>
  </si>
  <si>
    <t>ADMINISTRADORA CLINICAS REGIONALES DOS SOCIEDAD ANONIMA</t>
  </si>
  <si>
    <t>CN76093416</t>
  </si>
  <si>
    <t>DROGUERIA ANDES SPA</t>
  </si>
  <si>
    <t>CN78205097</t>
  </si>
  <si>
    <t>69160201K</t>
  </si>
  <si>
    <t>I MUNICIPALIDAD DE CURANILAHUE DEPARTAMENTO COMUNAL DE EDUCACION</t>
  </si>
  <si>
    <t>CN69160201</t>
  </si>
  <si>
    <t>SANT3</t>
  </si>
  <si>
    <t>SOCIEDAD BARREAT Y GIL LIMITADA</t>
  </si>
  <si>
    <t>Isla de Maipo</t>
  </si>
  <si>
    <t>CN78024479</t>
  </si>
  <si>
    <t>STOREMED SPA</t>
  </si>
  <si>
    <t>CN77634551</t>
  </si>
  <si>
    <t>MEDICAL FRONT LIMITADA</t>
  </si>
  <si>
    <t>CN77649912</t>
  </si>
  <si>
    <t>BRAVO INVERSIONES INTERNACIONALES SPA</t>
  </si>
  <si>
    <t>CN77073444</t>
  </si>
  <si>
    <t>SERVICIOS MEDICOS CENUMET SPA</t>
  </si>
  <si>
    <t>CN77576153</t>
  </si>
  <si>
    <t>77997751K</t>
  </si>
  <si>
    <t>COMERCIAL FRANCHELI SPA</t>
  </si>
  <si>
    <t>CN77997751</t>
  </si>
  <si>
    <t>UNIVERSIDAD DE VIÑA DEL MAR</t>
  </si>
  <si>
    <t>CN71629400</t>
  </si>
  <si>
    <t>COMERCIALIZADORA PRODUS SPA</t>
  </si>
  <si>
    <t>CN77833839</t>
  </si>
  <si>
    <t>CN16798576</t>
  </si>
  <si>
    <t>DIRECCION REGIONAL DE LA ADUANA DE LOS ANDES</t>
  </si>
  <si>
    <t>CN60804007</t>
  </si>
  <si>
    <t>GRUPO GRAFENO CHILE SPA</t>
  </si>
  <si>
    <t>CN77032458</t>
  </si>
  <si>
    <t>SERVICIOS ODONTOLOGICOS DENT LIMITADA.</t>
  </si>
  <si>
    <t>TECNOLOTEC SPA</t>
  </si>
  <si>
    <t>CN77410387</t>
  </si>
  <si>
    <t>BIO MEDICAL SPA</t>
  </si>
  <si>
    <t>CN78178844</t>
  </si>
  <si>
    <t>SERVICIO DE BIENESTAR CENTRAL DE ABAST DEL S N S S</t>
  </si>
  <si>
    <t>CN65256930</t>
  </si>
  <si>
    <t>DR. ADRIAN GONZALEZ SPA</t>
  </si>
  <si>
    <t>CN77453504</t>
  </si>
  <si>
    <t>GESTIONES Y SERVICIOS MP LIMITADA</t>
  </si>
  <si>
    <t>CN77968591</t>
  </si>
  <si>
    <t>PELUQUERIA UNISEX VERONICA CATALAN E.I.R.L.</t>
  </si>
  <si>
    <t>CN78177186</t>
  </si>
  <si>
    <t>MARCO MARINAO</t>
  </si>
  <si>
    <t>DOMPAZ SERVICIOS CLINICOS LIMITADA</t>
  </si>
  <si>
    <t>CN76715183</t>
  </si>
  <si>
    <t>JEFATURA DE BIENESTAR POLICÍA DE INVESTIGACIONES DE CHILE</t>
  </si>
  <si>
    <t>CN60506011</t>
  </si>
  <si>
    <t>GENDARMERIA DE CHILE DIRECCION REGIONAL PUERTO MONTT</t>
  </si>
  <si>
    <t>65070990K</t>
  </si>
  <si>
    <t>COMITE DE SALUD INTERCULTURAL BOROA FILULAWEN</t>
  </si>
  <si>
    <t>CN65070990</t>
  </si>
  <si>
    <t>Insumos Médicos M y M Limitada</t>
  </si>
  <si>
    <t>CN76170187</t>
  </si>
  <si>
    <t>FUNDACION OFTALMOLOGICA LOS ANDES</t>
  </si>
  <si>
    <t>CN71457900</t>
  </si>
  <si>
    <t>GONZALEZ Y LEYTON LIMITADA</t>
  </si>
  <si>
    <t>CN76502023</t>
  </si>
  <si>
    <t>FLOVER INDUSTRIAL SAFETY SPA</t>
  </si>
  <si>
    <t>CN76527677</t>
  </si>
  <si>
    <t>SALAZAR Y CÍA SPA</t>
  </si>
  <si>
    <t>CN77317909</t>
  </si>
  <si>
    <t>CENTRO MÉDICO Y DERMATOLÓGICO SPA</t>
  </si>
  <si>
    <t>CN77383373</t>
  </si>
  <si>
    <t>CLINICA RIO BLANCO SPA</t>
  </si>
  <si>
    <t>PRESTACIÓN DE SERVICIOS MÉDICOS QUIRÚRGICOS Y ESTÉTICOS DANIEL PIÑANGO E.I.R.</t>
  </si>
  <si>
    <t>cn77449324</t>
  </si>
  <si>
    <t>SERVICIO NACIONAL DE REINSERCION SOCIAL JUVENIL</t>
  </si>
  <si>
    <t>CN62000970</t>
  </si>
  <si>
    <t>CUIDA VIDA SPA</t>
  </si>
  <si>
    <t>CN78174665</t>
  </si>
  <si>
    <t>PRIROQ SUPLIER SPA</t>
  </si>
  <si>
    <t>CN78254984</t>
  </si>
  <si>
    <t>ARMONIC SPA</t>
  </si>
  <si>
    <t>CN77465247</t>
  </si>
  <si>
    <t>MEDXION SPA</t>
  </si>
  <si>
    <t>CN77908543</t>
  </si>
  <si>
    <t>Sociedad Figueroa Arroyo Limitada</t>
  </si>
  <si>
    <t>CN76425024</t>
  </si>
  <si>
    <t>CLÍNICA VETERINARIA ELQUI LIMITADA</t>
  </si>
  <si>
    <t>CN76570861</t>
  </si>
  <si>
    <t>DISTRIBUIDORA Y COMERCIALIZADORA NEXT SPA</t>
  </si>
  <si>
    <t>CN77847579</t>
  </si>
  <si>
    <t>SOCIEDAD MEDICA VETERINARIA OFTADERM LIMITADA</t>
  </si>
  <si>
    <t>CN77967217</t>
  </si>
  <si>
    <t>CLINICA SAN FRANCISCO S.A</t>
  </si>
  <si>
    <t>CN88093300</t>
  </si>
  <si>
    <t>ALLTO SPA</t>
  </si>
  <si>
    <t>cn77687328</t>
  </si>
  <si>
    <t>GE PRODUCCIONES SPA</t>
  </si>
  <si>
    <t>cn78184343</t>
  </si>
  <si>
    <t>Sociedad Pri SpA</t>
  </si>
  <si>
    <t>CN76728819</t>
  </si>
  <si>
    <t>SOCIEDAD DE PROFESIONALES VETERINARIA CHICUREO</t>
  </si>
  <si>
    <t>CN77700419</t>
  </si>
  <si>
    <t>77554533K</t>
  </si>
  <si>
    <t>INVERSIONES BELTRAN SPA</t>
  </si>
  <si>
    <t>CN77554533</t>
  </si>
  <si>
    <t>Servicios Farmaceuticos y de salud Qafarma</t>
  </si>
  <si>
    <t>CN78045809</t>
  </si>
  <si>
    <t>INSUMOS MÉDICOS AG SPA</t>
  </si>
  <si>
    <t>CN78355329</t>
  </si>
  <si>
    <t>CN77938644</t>
  </si>
  <si>
    <t>CN77317355</t>
  </si>
  <si>
    <t>COMERCIAL LIZA SPA</t>
  </si>
  <si>
    <t>COMERCIAL DE ARTICULOS ORTOPEDICOS E INSUMOS M&amp;A Y COMPAÑIA LIMITADA</t>
  </si>
  <si>
    <t>CN76655206</t>
  </si>
  <si>
    <t>IMPORTADORA RM S.A.</t>
  </si>
  <si>
    <t>CN76817360</t>
  </si>
  <si>
    <t>DISTRIBUIDORA Y COMERCIALIZADORA LILYMED SPA</t>
  </si>
  <si>
    <t>CN78368492</t>
  </si>
  <si>
    <t>INSUMOS MEDICOS VILLANUEVA SPA</t>
  </si>
  <si>
    <t>I MUNICIPALIDAD DE LONGAVI DEPTO DE SALU</t>
  </si>
  <si>
    <t>LONGAVÍ</t>
  </si>
  <si>
    <t>76033460K</t>
  </si>
  <si>
    <t>SOC MANZO Y MANZO SPA</t>
  </si>
  <si>
    <t>CN76033460</t>
  </si>
  <si>
    <t>ACONCAGUA INSUMOS Y SERVICIO SPA</t>
  </si>
  <si>
    <t>CN78007222</t>
  </si>
  <si>
    <t>BOTICAMED SPA</t>
  </si>
  <si>
    <t>CN77150939</t>
  </si>
  <si>
    <t>I MUNICIPALIDAD PUERTO OCTAY</t>
  </si>
  <si>
    <t>CENABAST</t>
  </si>
  <si>
    <t>CN69210400</t>
  </si>
  <si>
    <t>VETERINARIA SYC LIMITADA</t>
  </si>
  <si>
    <t>CN77769346</t>
  </si>
  <si>
    <t>JEFATURA ADMINISTRATIVA Y LOGISTICA DEL CAMPO MILITAR "VALDIVIA"</t>
  </si>
  <si>
    <t>CN65127823</t>
  </si>
  <si>
    <t>CENTRO MÉDICO VETERINARIO RUCALAF LTDA.</t>
  </si>
  <si>
    <t>CN77903746</t>
  </si>
  <si>
    <t>GRUPO DINAMARCA SPA</t>
  </si>
  <si>
    <t>CN78298728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</si>
</sst>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 &quot;$&quot;* #,##0_ ;_ &quot;$&quot;* \-#,##0_ ;_ &quot;$&quot;* &quot;-&quot;_ ;_ @_ "/>
    <numFmt numFmtId="41" formatCode="_ * #,##0_ ;_ * \-#,##0_ ;_ * &quot;-&quot;_ ;_ @_ "/>
    <numFmt numFmtId="164" formatCode="[$-101340A]General"/>
    <numFmt numFmtId="165" formatCode="\$#,##0;\(\$#,##0\);\$#,##0"/>
    <numFmt numFmtId="166" formatCode="0.0\ %;\-0.0\ %;0.0\ %"/>
    <numFmt numFmtId="167" formatCode="#,###,##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Avenir Next LT Pro"/>
      <family val="2"/>
    </font>
    <font>
      <sz val="11"/>
      <color theme="1"/>
      <name val="Avenir Next LT Pro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Aptos"/>
      <family val="2"/>
    </font>
    <font>
      <sz val="11"/>
      <color theme="0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 count="15">
    <xf numFmtId="0" fontId="0" fillId="0" borderId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42" fontId="2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</cellStyleXfs>
  <cellXfs count="141">
    <xf numFmtId="0" fontId="0" fillId="0" borderId="0" xfId="0"/>
    <xf numFmtId="0" fontId="0" fillId="0" borderId="0" xfId="0" applyAlignment="1">
      <alignment wrapText="1"/>
    </xf>
    <xf numFmtId="42" fontId="0" fillId="0" borderId="0" xfId="2" applyFont="1" applyFill="1" applyBorder="1" applyAlignment="1">
      <alignment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left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 wrapText="1"/>
    </xf>
    <xf numFmtId="0" fontId="7" fillId="0" borderId="0" xfId="3" applyFont="1" applyAlignment="1">
      <alignment wrapText="1"/>
    </xf>
    <xf numFmtId="0" fontId="7" fillId="0" borderId="0" xfId="4" applyFont="1" applyAlignment="1">
      <alignment wrapText="1"/>
    </xf>
    <xf numFmtId="0" fontId="7" fillId="0" borderId="0" xfId="5" applyFont="1" applyAlignment="1">
      <alignment wrapText="1"/>
    </xf>
    <xf numFmtId="0" fontId="7" fillId="0" borderId="0" xfId="6" applyFont="1" applyAlignment="1">
      <alignment wrapText="1"/>
    </xf>
    <xf numFmtId="0" fontId="7" fillId="0" borderId="0" xfId="7" applyFont="1" applyAlignment="1">
      <alignment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/>
    </xf>
    <xf numFmtId="0" fontId="7" fillId="0" borderId="0" xfId="0" applyFont="1"/>
    <xf numFmtId="0" fontId="9" fillId="0" borderId="0" xfId="0" applyFont="1"/>
    <xf numFmtId="0" fontId="10" fillId="0" borderId="0" xfId="0" applyFont="1" applyAlignment="1">
      <alignment horizontal="left" vertical="center" indent="1"/>
    </xf>
    <xf numFmtId="0" fontId="7" fillId="0" borderId="0" xfId="3" applyFont="1" applyAlignment="1">
      <alignment horizontal="right" wrapText="1"/>
    </xf>
    <xf numFmtId="0" fontId="7" fillId="0" borderId="0" xfId="4" applyFont="1" applyAlignment="1">
      <alignment horizontal="right" wrapText="1"/>
    </xf>
    <xf numFmtId="0" fontId="7" fillId="0" borderId="0" xfId="5" applyFont="1" applyAlignment="1">
      <alignment horizontal="right" wrapText="1"/>
    </xf>
    <xf numFmtId="0" fontId="7" fillId="0" borderId="0" xfId="6" applyFont="1" applyAlignment="1">
      <alignment horizontal="right" wrapText="1"/>
    </xf>
    <xf numFmtId="0" fontId="7" fillId="0" borderId="0" xfId="7" applyFont="1" applyAlignment="1">
      <alignment horizontal="right" wrapText="1"/>
    </xf>
    <xf numFmtId="1" fontId="0" fillId="0" borderId="0" xfId="0" applyNumberFormat="1" applyAlignment="1">
      <alignment horizontal="right" wrapText="1"/>
    </xf>
    <xf numFmtId="1" fontId="0" fillId="0" borderId="0" xfId="2" applyNumberFormat="1" applyFont="1" applyFill="1" applyBorder="1" applyAlignment="1">
      <alignment horizontal="right" wrapText="1"/>
    </xf>
    <xf numFmtId="1" fontId="0" fillId="0" borderId="0" xfId="1" applyNumberFormat="1" applyFont="1" applyFill="1" applyBorder="1" applyAlignment="1">
      <alignment horizontal="right" wrapText="1"/>
    </xf>
    <xf numFmtId="0" fontId="0" fillId="0" borderId="0" xfId="1" applyNumberFormat="1" applyFont="1" applyFill="1" applyBorder="1" applyAlignment="1">
      <alignment horizontal="right" wrapText="1"/>
    </xf>
    <xf numFmtId="0" fontId="0" fillId="0" borderId="0" xfId="0" applyAlignment="1">
      <alignment horizontal="right"/>
    </xf>
    <xf numFmtId="164" fontId="6" fillId="0" borderId="0" xfId="0" applyNumberFormat="1" applyFont="1" applyAlignment="1">
      <alignment horizontal="right" vertical="center" wrapText="1" readingOrder="1"/>
    </xf>
    <xf numFmtId="49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right"/>
    </xf>
    <xf numFmtId="1" fontId="11" fillId="2" borderId="0" xfId="0" applyNumberFormat="1" applyFont="1" applyFill="1" applyAlignment="1">
      <alignment wrapText="1"/>
    </xf>
    <xf numFmtId="1" fontId="11" fillId="3" borderId="0" xfId="0" applyNumberFormat="1" applyFont="1" applyFill="1" applyAlignment="1">
      <alignment wrapText="1"/>
    </xf>
    <xf numFmtId="49" fontId="0" fillId="0" borderId="0" xfId="0" applyNumberFormat="1" applyAlignment="1">
      <alignment horizontal="right" vertical="center"/>
    </xf>
    <xf numFmtId="0" fontId="1" fillId="0" borderId="0" xfId="0" applyFont="1" applyAlignment="1">
      <alignment horizontal="left" vertical="center"/>
    </xf>
    <xf numFmtId="1" fontId="9" fillId="0" borderId="0" xfId="0" applyNumberFormat="1" applyFont="1"/>
    <xf numFmtId="15" fontId="9" fillId="0" borderId="0" xfId="0" applyNumberFormat="1" applyFont="1"/>
    <xf numFmtId="165" fontId="9" fillId="0" borderId="0" xfId="0" applyNumberFormat="1" applyFont="1"/>
    <xf numFmtId="3" fontId="9" fillId="0" borderId="0" xfId="0" applyNumberFormat="1" applyFont="1"/>
    <xf numFmtId="166" fontId="9" fillId="0" borderId="0" xfId="0" applyNumberFormat="1" applyFont="1"/>
    <xf numFmtId="0" fontId="0" fillId="0" borderId="2" xfId="0" applyBorder="1" applyAlignment="1">
      <alignment horizontal="right"/>
    </xf>
    <xf numFmtId="0" fontId="0" fillId="4" borderId="3" xfId="0" applyFill="1" applyBorder="1" applyAlignment="1">
      <alignment horizontal="right" wrapText="1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/>
    </xf>
    <xf numFmtId="0" fontId="6" fillId="0" borderId="0" xfId="0" applyFont="1"/>
    <xf numFmtId="1" fontId="6" fillId="0" borderId="0" xfId="0" applyNumberFormat="1" applyFont="1" applyAlignment="1">
      <alignment horizontal="right" vertic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  <xf numFmtId="1" fontId="7" fillId="0" borderId="0" xfId="3" applyNumberFormat="1" applyFont="1" applyAlignment="1">
      <alignment horizontal="right"/>
    </xf>
    <xf numFmtId="1" fontId="0" fillId="0" borderId="0" xfId="6" applyNumberFormat="1" applyFont="1" applyAlignment="1">
      <alignment horizontal="right" vertical="center"/>
    </xf>
    <xf numFmtId="0" fontId="12" fillId="0" borderId="0" xfId="0" applyFont="1" applyAlignment="1">
      <alignment horizontal="right"/>
    </xf>
    <xf numFmtId="0" fontId="12" fillId="0" borderId="0" xfId="0" applyFont="1"/>
    <xf numFmtId="0" fontId="12" fillId="0" borderId="0" xfId="0" applyFont="1" applyAlignment="1">
      <alignment wrapText="1"/>
    </xf>
    <xf numFmtId="0" fontId="6" fillId="0" borderId="0" xfId="0" applyFont="1" applyAlignment="1">
      <alignment horizontal="left"/>
    </xf>
    <xf numFmtId="0" fontId="14" fillId="5" borderId="4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left" vertical="center"/>
    </xf>
    <xf numFmtId="0" fontId="14" fillId="5" borderId="5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vertical="center"/>
    </xf>
    <xf numFmtId="0" fontId="14" fillId="5" borderId="6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15" fillId="6" borderId="0" xfId="0" applyFont="1" applyFill="1" applyAlignment="1">
      <alignment horizontal="left"/>
    </xf>
    <xf numFmtId="0" fontId="15" fillId="6" borderId="0" xfId="0" applyFont="1" applyFill="1" applyAlignment="1">
      <alignment horizontal="center"/>
    </xf>
    <xf numFmtId="0" fontId="15" fillId="6" borderId="0" xfId="0" applyFont="1" applyFill="1"/>
    <xf numFmtId="0" fontId="16" fillId="6" borderId="0" xfId="0" applyFont="1" applyFill="1"/>
    <xf numFmtId="14" fontId="0" fillId="0" borderId="0" xfId="0" applyNumberFormat="1"/>
    <xf numFmtId="0" fontId="17" fillId="6" borderId="0" xfId="0" applyFont="1" applyFill="1" applyAlignment="1">
      <alignment horizontal="left"/>
    </xf>
    <xf numFmtId="0" fontId="17" fillId="6" borderId="0" xfId="0" applyFont="1" applyFill="1"/>
    <xf numFmtId="0" fontId="15" fillId="6" borderId="7" xfId="0" applyFont="1" applyFill="1" applyBorder="1" applyAlignment="1">
      <alignment horizontal="center"/>
    </xf>
    <xf numFmtId="0" fontId="0" fillId="6" borderId="0" xfId="0" applyFill="1"/>
    <xf numFmtId="0" fontId="18" fillId="6" borderId="0" xfId="0" applyFont="1" applyFill="1" applyAlignment="1">
      <alignment horizontal="left"/>
    </xf>
    <xf numFmtId="0" fontId="0" fillId="0" borderId="8" xfId="0" applyBorder="1" applyAlignment="1">
      <alignment horizontal="right"/>
    </xf>
    <xf numFmtId="0" fontId="0" fillId="0" borderId="8" xfId="0" applyBorder="1"/>
    <xf numFmtId="0" fontId="19" fillId="7" borderId="0" xfId="0" applyFont="1" applyFill="1" applyAlignment="1">
      <alignment wrapText="1"/>
    </xf>
    <xf numFmtId="0" fontId="0" fillId="0" borderId="0" xfId="1" applyNumberFormat="1" applyFont="1" applyFill="1" applyAlignment="1">
      <alignment horizontal="right"/>
    </xf>
    <xf numFmtId="41" fontId="0" fillId="0" borderId="0" xfId="1" applyFont="1" applyFill="1" applyAlignment="1">
      <alignment horizontal="right"/>
    </xf>
    <xf numFmtId="0" fontId="12" fillId="0" borderId="0" xfId="0" applyFont="1" applyAlignment="1">
      <alignment horizontal="center"/>
    </xf>
    <xf numFmtId="0" fontId="20" fillId="0" borderId="0" xfId="0" applyFont="1"/>
    <xf numFmtId="0" fontId="19" fillId="0" borderId="0" xfId="0" applyFont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wrapText="1"/>
    </xf>
    <xf numFmtId="0" fontId="20" fillId="0" borderId="0" xfId="0" applyFont="1" applyAlignment="1">
      <alignment horizontal="right" wrapText="1"/>
    </xf>
    <xf numFmtId="0" fontId="21" fillId="8" borderId="1" xfId="0" applyFont="1" applyFill="1" applyBorder="1" applyAlignment="1">
      <alignment horizontal="center" vertical="center" wrapText="1"/>
    </xf>
    <xf numFmtId="167" fontId="0" fillId="0" borderId="8" xfId="0" applyNumberFormat="1" applyBorder="1"/>
    <xf numFmtId="167" fontId="22" fillId="0" borderId="8" xfId="0" applyNumberFormat="1" applyFont="1" applyBorder="1"/>
    <xf numFmtId="0" fontId="4" fillId="0" borderId="8" xfId="0" applyFont="1" applyBorder="1"/>
    <xf numFmtId="0" fontId="22" fillId="0" borderId="8" xfId="0" applyFont="1" applyBorder="1"/>
    <xf numFmtId="0" fontId="19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23" fillId="0" borderId="0" xfId="0" applyFont="1"/>
    <xf numFmtId="0" fontId="0" fillId="4" borderId="9" xfId="0" applyFill="1" applyBorder="1"/>
    <xf numFmtId="0" fontId="0" fillId="4" borderId="10" xfId="0" applyFill="1" applyBorder="1"/>
    <xf numFmtId="0" fontId="0" fillId="9" borderId="9" xfId="0" applyFill="1" applyBorder="1"/>
    <xf numFmtId="0" fontId="0" fillId="9" borderId="10" xfId="0" applyFill="1" applyBorder="1"/>
    <xf numFmtId="0" fontId="12" fillId="9" borderId="9" xfId="0" applyFont="1" applyFill="1" applyBorder="1"/>
    <xf numFmtId="0" fontId="20" fillId="9" borderId="9" xfId="0" applyFont="1" applyFill="1" applyBorder="1"/>
    <xf numFmtId="0" fontId="0" fillId="9" borderId="9" xfId="0" applyFill="1" applyBorder="1" applyAlignment="1">
      <alignment horizontal="center"/>
    </xf>
    <xf numFmtId="0" fontId="12" fillId="4" borderId="9" xfId="0" applyFont="1" applyFill="1" applyBorder="1"/>
    <xf numFmtId="0" fontId="20" fillId="4" borderId="9" xfId="0" applyFont="1" applyFill="1" applyBorder="1"/>
    <xf numFmtId="0" fontId="0" fillId="4" borderId="9" xfId="0" applyFill="1" applyBorder="1" applyAlignment="1">
      <alignment horizontal="center"/>
    </xf>
    <xf numFmtId="0" fontId="20" fillId="9" borderId="9" xfId="0" applyFont="1" applyFill="1" applyBorder="1" applyAlignment="1">
      <alignment horizontal="center"/>
    </xf>
    <xf numFmtId="0" fontId="20" fillId="9" borderId="10" xfId="0" applyFont="1" applyFill="1" applyBorder="1"/>
    <xf numFmtId="0" fontId="20" fillId="4" borderId="9" xfId="0" applyFont="1" applyFill="1" applyBorder="1" applyAlignment="1">
      <alignment horizontal="center"/>
    </xf>
    <xf numFmtId="0" fontId="20" fillId="4" borderId="10" xfId="0" applyFont="1" applyFill="1" applyBorder="1"/>
    <xf numFmtId="0" fontId="12" fillId="9" borderId="2" xfId="0" applyFont="1" applyFill="1" applyBorder="1"/>
    <xf numFmtId="1" fontId="12" fillId="9" borderId="3" xfId="0" applyNumberFormat="1" applyFont="1" applyFill="1" applyBorder="1" applyAlignment="1">
      <alignment horizontal="left"/>
    </xf>
    <xf numFmtId="0" fontId="24" fillId="9" borderId="9" xfId="0" applyFont="1" applyFill="1" applyBorder="1"/>
    <xf numFmtId="0" fontId="24" fillId="9" borderId="9" xfId="0" applyFont="1" applyFill="1" applyBorder="1" applyAlignment="1">
      <alignment horizontal="center"/>
    </xf>
    <xf numFmtId="0" fontId="24" fillId="9" borderId="10" xfId="0" applyFont="1" applyFill="1" applyBorder="1"/>
    <xf numFmtId="1" fontId="12" fillId="4" borderId="3" xfId="0" applyNumberFormat="1" applyFont="1" applyFill="1" applyBorder="1" applyAlignment="1">
      <alignment horizontal="left"/>
    </xf>
    <xf numFmtId="0" fontId="24" fillId="4" borderId="9" xfId="0" applyFont="1" applyFill="1" applyBorder="1"/>
    <xf numFmtId="0" fontId="24" fillId="4" borderId="9" xfId="0" applyFont="1" applyFill="1" applyBorder="1" applyAlignment="1">
      <alignment horizontal="center"/>
    </xf>
    <xf numFmtId="0" fontId="24" fillId="4" borderId="10" xfId="0" applyFont="1" applyFill="1" applyBorder="1"/>
    <xf numFmtId="1" fontId="12" fillId="9" borderId="12" xfId="0" applyNumberFormat="1" applyFont="1" applyFill="1" applyBorder="1" applyAlignment="1">
      <alignment horizontal="left"/>
    </xf>
    <xf numFmtId="0" fontId="24" fillId="9" borderId="2" xfId="0" applyFont="1" applyFill="1" applyBorder="1" applyAlignment="1">
      <alignment horizontal="center"/>
    </xf>
    <xf numFmtId="0" fontId="24" fillId="9" borderId="2" xfId="0" applyFont="1" applyFill="1" applyBorder="1"/>
    <xf numFmtId="0" fontId="24" fillId="9" borderId="11" xfId="0" applyFont="1" applyFill="1" applyBorder="1"/>
    <xf numFmtId="0" fontId="25" fillId="0" borderId="0" xfId="0" applyFont="1"/>
    <xf numFmtId="0" fontId="26" fillId="0" borderId="0" xfId="3" applyFont="1" applyAlignment="1">
      <alignment horizontal="left"/>
    </xf>
    <xf numFmtId="0" fontId="25" fillId="0" borderId="13" xfId="0" applyFont="1" applyBorder="1" applyAlignment="1">
      <alignment horizontal="left"/>
    </xf>
    <xf numFmtId="0" fontId="25" fillId="0" borderId="14" xfId="0" applyFont="1" applyBorder="1" applyAlignment="1">
      <alignment horizontal="left"/>
    </xf>
    <xf numFmtId="0" fontId="27" fillId="0" borderId="0" xfId="0" applyFont="1"/>
    <xf numFmtId="0" fontId="20" fillId="0" borderId="0" xfId="0" applyFont="1" applyAlignment="1">
      <alignment horizontal="center" vertical="center"/>
    </xf>
    <xf numFmtId="0" fontId="20" fillId="10" borderId="0" xfId="0" applyFont="1" applyFill="1"/>
    <xf numFmtId="0" fontId="0" fillId="0" borderId="0" xfId="0" pivotButton="1"/>
    <xf numFmtId="16" fontId="0" fillId="0" borderId="0" xfId="0" applyNumberFormat="1"/>
    <xf numFmtId="1" fontId="0" fillId="0" borderId="0" xfId="0" applyNumberFormat="1"/>
    <xf numFmtId="0" fontId="2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5" fillId="0" borderId="0" xfId="0" applyFont="1" applyAlignment="1">
      <alignment horizontal="left"/>
    </xf>
    <xf numFmtId="1" fontId="20" fillId="0" borderId="0" xfId="0" applyNumberFormat="1" applyFont="1" applyAlignment="1">
      <alignment horizontal="right"/>
    </xf>
    <xf numFmtId="1" fontId="20" fillId="0" borderId="0" xfId="3" applyNumberFormat="1" applyFont="1" applyAlignment="1">
      <alignment horizontal="right"/>
    </xf>
    <xf numFmtId="3" fontId="0" fillId="0" borderId="0" xfId="0" applyNumberFormat="1"/>
    <xf numFmtId="0" fontId="0" fillId="7" borderId="0" xfId="0" applyFill="1"/>
    <xf numFmtId="0" fontId="29" fillId="11" borderId="8" xfId="0" applyFont="1" applyFill="1" applyBorder="1" applyAlignment="1">
      <alignment horizontal="center" vertical="center"/>
    </xf>
    <xf numFmtId="0" fontId="28" fillId="0" borderId="8" xfId="0" applyFont="1" applyBorder="1" applyAlignment="1">
      <alignment horizontal="center"/>
    </xf>
    <xf numFmtId="0" fontId="20" fillId="0" borderId="0" xfId="0" applyNumberFormat="1" applyFont="1" applyFill="1" applyAlignment="1"/>
    <xf numFmtId="0" fontId="20" fillId="0" borderId="0" xfId="0" applyNumberFormat="1" applyFont="1" applyFill="1" applyAlignment="1">
      <alignment horizontal="center" vertical="center"/>
    </xf>
  </cellXfs>
  <cellStyles count="15">
    <cellStyle name="Millares [0]" xfId="1" builtinId="6"/>
    <cellStyle name="Millares [0] 2" xfId="13" xr:uid="{D4777843-4350-4608-8ECB-9A0DE6BB93FD}"/>
    <cellStyle name="Millares [0] 3" xfId="11" xr:uid="{18A3EBBD-3F65-46B3-9D65-CECB571E1A35}"/>
    <cellStyle name="Moneda [0]" xfId="2" builtinId="7"/>
    <cellStyle name="Moneda [0] 2" xfId="14" xr:uid="{82E70713-F639-4CAA-AD1C-D80E638AC863}"/>
    <cellStyle name="Moneda [0] 3" xfId="9" xr:uid="{FA50A269-D8F3-4962-9908-8F7BD4B00AE6}"/>
    <cellStyle name="Normal" xfId="0" builtinId="0"/>
    <cellStyle name="Normal 2" xfId="10" xr:uid="{343FF846-41F2-4DF2-B38C-27D6E7E11247}"/>
    <cellStyle name="Normal 3" xfId="8" xr:uid="{B179C1DF-F3BD-4C1B-92FE-308EDE78CA6E}"/>
    <cellStyle name="Normal_Hoja1" xfId="6" xr:uid="{5A49A974-09E0-4993-B487-6BF14E651C76}"/>
    <cellStyle name="Normal_Hoja1_1" xfId="5" xr:uid="{5CB605D7-F6AC-44DD-949F-E8DFE8CF32AE}"/>
    <cellStyle name="Normal_Hoja1_2" xfId="4" xr:uid="{B65EA1E6-6743-4774-BE02-57E0A4EFA305}"/>
    <cellStyle name="Normal_UN AÑO" xfId="3" xr:uid="{0A4E3B90-7E4B-444F-A9C7-C7D784EC12DA}"/>
    <cellStyle name="Normal_UN AÑO_1" xfId="7" xr:uid="{78D9FECB-EB88-4BAC-BEBF-BE55A0A34E35}"/>
    <cellStyle name="Porcentaje 2" xfId="12" xr:uid="{A7BFC073-A699-4D1A-A9BA-D9406F0BA777}"/>
  </cellStyles>
  <dxfs count="2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textRotation="0" indent="0" justifyLastLine="0" shrinkToFit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ill>
        <patternFill patternType="solid">
          <fgColor rgb="FFDBDBDB"/>
          <bgColor rgb="FFDBDBDB"/>
        </patternFill>
      </fill>
    </dxf>
    <dxf>
      <fill>
        <patternFill patternType="solid">
          <fgColor rgb="FFDBDBDB"/>
          <bgColor rgb="FFDBDBDB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A5A5A5"/>
          <bgColor rgb="FFA5A5A5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EDEDED"/>
          <bgColor rgb="FFEDEDED"/>
        </patternFill>
      </fill>
      <border>
        <vertical style="thin">
          <color rgb="FFFFFFFF"/>
        </vertical>
        <horizontal style="thin">
          <color rgb="FFFFFFFF"/>
        </horizontal>
      </border>
    </dxf>
  </dxfs>
  <tableStyles count="1" defaultTableStyle="TableStyleMedium2" defaultPivotStyle="PivotStyleLight16">
    <tableStyle name="TableStyleMedium11 2" pivot="0" count="7" xr9:uid="{CEFC832D-3816-4FEF-8343-70F6E97E9DF3}">
      <tableStyleElement type="wholeTable" dxfId="261"/>
      <tableStyleElement type="headerRow" dxfId="260"/>
      <tableStyleElement type="totalRow" dxfId="259"/>
      <tableStyleElement type="firstColumn" dxfId="258"/>
      <tableStyleElement type="lastColumn" dxfId="257"/>
      <tableStyleElement type="firstRowStripe" dxfId="256"/>
      <tableStyleElement type="firstColumnStripe" dxfId="25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uel Belmar" refreshedDate="45782.566035763892" createdVersion="8" refreshedVersion="8" minRefreshableVersion="3" recordCount="1395" xr:uid="{874C730A-2AE4-4A98-B83E-0A2F12DE8BC9}">
  <cacheSource type="worksheet">
    <worksheetSource name="Tabla13"/>
  </cacheSource>
  <cacheFields count="9">
    <cacheField name="RUT" numFmtId="0">
      <sharedItems containsMixedTypes="1" containsNumber="1" containsInteger="1" minValue="35178651" maxValue="995931702"/>
    </cacheField>
    <cacheField name="RAZON" numFmtId="0">
      <sharedItems count="1384">
        <s v="FRANCISCO CAMPOS SANHUEZA"/>
        <s v="ANA ABURDENE"/>
        <s v="CLAUDIO ALVAREZ URRA"/>
        <s v="TERESA DE JESUS ANDRADE ZELADA"/>
        <s v="BELARMINO SEGUNDO DONOSO FUENTES"/>
        <s v="ELIAS CORDOVA RUIZ"/>
        <s v="DOCTOR SERGIO MAYORGA CIOCCA"/>
        <s v="VICTOR MANUEL BORJE ARAYA"/>
        <s v="JUAN A. RAMIREZ CASTILLO"/>
        <s v="MANUEL EDUARDO VIDAL BARRIA"/>
        <s v="LEOCADIA GONZALEZ TORO"/>
        <s v="ISABEL LEIVA FUENTEALBA"/>
        <s v="ARTURO GUTIERREZ RUBILAR"/>
        <s v="ERIKA IVONNE CACERES PAVEZ"/>
        <s v="FRANCISCO JAVIER PARDO QUIROZ"/>
        <s v="SANDRA SOLIS FLORES"/>
        <s v="OLGA JAVIERA VERGARA"/>
        <s v="ROSA BURGOS DOMINGUEZ"/>
        <s v="CARLOS IGNACIO ARANCIBIA BARRENECHEA"/>
        <s v="PAULA ANDREA RIVERA BRUNET"/>
        <s v="HECTOR CARRENO BAEZA"/>
        <s v="MARGARITA RAILEN"/>
        <s v="MARCO ANTONIO SALDIAS ESCOBAR"/>
        <s v="ANDRES REYES"/>
        <s v="IVAN CARLOS CANDIA ALDAY"/>
        <s v="MARCO ANTONIO ALBORNOZ SOTO"/>
        <s v="ANDREA LUPAYANTE LUPAYÀNTE"/>
        <s v="JUAN ANDRES DIAZ GOMEZ"/>
        <s v="HUMBERTO MIERES MORALES"/>
        <s v="LEONARDO QUEZADA VERGARA"/>
        <s v="JAVIER EDUARDO FLORES GOMEZ"/>
        <s v="ANA MARIA TICONA APANA"/>
        <s v="ANDRES DIAZ"/>
        <s v="NIPRO MEDICAL CORPORATION"/>
        <s v="SUBSECRETARIA DE SERVICIOS SOCIALES"/>
        <s v="CAMARA DE DIPUTADOS DE CHILE"/>
        <s v="POLICIA DE INVESTIGACIONES DE CHILE"/>
        <s v="ESCUELA DE INVESTIGACIONES POLICIALES (ESCIPOL)"/>
        <s v="INTENDENCIA REGION METROPOLITANA"/>
        <s v="ILUSTRE MUNICIPALIDAD DE LINARES"/>
        <s v="SERVICIO NACIONAL DEL PATRIMONIO CULTURAL"/>
        <s v="UNIVERSIDAD METROPOLITANA DE CIENCIAS DE LA EDUCACION"/>
        <s v="UNIVERSIDAD DEL BIO BIO"/>
        <s v="DIRECCION REGIONAL DE GENDARMERIA - ANTOFAGASTA"/>
        <s v="DIRECCION REGIONAL DE GENDARMERIA - COPIAPO"/>
        <s v="DIRECCION REGIONAL DE GENDARMERIA VII REGION DEL MAULE"/>
        <s v="DIRECCION REGIONAL DE GENDARMERIA - PUERTO MONTT"/>
        <s v="ESCUELA MILITAR -ESCMIL"/>
        <s v="CENTRO DE INSTRUCCION Y CAPACITACION MARITIMA"/>
        <s v="FUERZA AEREA DE CHILE"/>
        <s v="IVª BRIGADA AEREA"/>
        <s v="REGIMIENTO DE ARTILLERIA ANTIAEREA Y FUERZAS ESPECIALES"/>
        <s v="1A BRIGADA AEREA"/>
        <s v="FUERZA AEREA DE CHILE COMANDANCIA EN JEFE COMANDO DE PERSONAL"/>
        <s v="DEFENSA CIVIL DE CHILE"/>
        <s v="MINISTERIO DE OBRAS PUBLICAS DIREC CION GRAL DE OO PP DCYF"/>
        <s v="INSTITUTO DE SEGURIDAD LABORAL"/>
        <s v="INSTITUTO DE SALUD PUBLICA"/>
        <s v="HOSPITAL JUAN NOE"/>
        <s v="SERVICIO DE SALUD ARAUCANIA SUR"/>
        <s v="SERVICIO DE SALUD METROPOLITANO NORTE"/>
        <s v="SERVIU IX REGION"/>
        <s v="GOBIERNO REGIONAL METROPOLITANO DE SANTIAGO"/>
        <s v="SERVICIO DE SALUD ARAUCANIA NORTE"/>
        <s v="I. MUNICIPALIDAD DE MULCHEN"/>
        <s v="EJERCITO DE CHILE"/>
        <s v="CONSULTORIO GENERAL URBANO DR. ALEJANDRO GUTIERREZ"/>
        <s v="CONSULTORIO VICTOR DOMINGO SILVA"/>
        <s v="DIRECCION DE EDUCACION, DOCTRINA E HISTORIA DE CARABINEROS"/>
        <s v="RED INSTITUCIONAL DE CONSULTORIOS DE LA FACH"/>
        <s v="SUBSECRETARIA DE DERECHOS HUMANOS"/>
        <s v="MACRO ZONA DE SALUD SANTIAGO CENTRO NORTE"/>
        <s v="CENTRO DE FORMACION TECNICA DE LA REGION DE COQUIMBO"/>
        <s v="SERVICIO LOCAL DE EDUCACION PUBLICA DE HUASCO"/>
        <s v="SERVICIO LOCAL DE EDUCACION PUBLICA DE LLANQUIHUE"/>
        <s v="SERVICIO NACIONAL DE PROTECCION ESPECIALIZADA A LA NIÑEZ Y ADOLESCENCI"/>
        <s v="ASOCIACION DE MUNICIPALIDADES NAHUELBUTA"/>
        <s v="CORPORACION EDUCACIONAL JESUS ANGEL GAZO"/>
        <s v="COLEGIO AMERICANO CE"/>
        <s v="FUNDACION EDUCACIONAL MARGNOL"/>
        <s v="CENTRO DE FORMACION TECNICA DE LA REGION DE TARAPA"/>
        <s v="FUNDACION BIEN COMUN"/>
        <s v="CENTRO DE FORMACION TECNICA ESTATAL DE LA REGION DE VALPARAISO"/>
        <s v="JUZGADO DE FAMILIA DE VILLA ALEMANA"/>
        <s v="I MUNICIPALIDAD DE CONCHALI"/>
        <s v="I MUNICIPALIDAD DE PROVIDENCIA"/>
        <s v="ILUSTRE MUNICIPALIDAD DE PUDAHUEL"/>
        <s v="CORPORACION MUNIC DE EDUC SALUD ATENCION"/>
        <s v="ILUSTRE MUNICIPALIDAD DE MELIPILLA"/>
        <s v="ILUSTRE MUNICIPALIDAD DE CURACAVI"/>
        <s v="I MUNICIPALIDAD DE GRANEROS"/>
        <s v="ILUSTRE MUNICIPALIDAD DE PICHILEMU"/>
        <s v="I. MUNICIPALIDAD DE SAN FABIAN"/>
        <s v="ILUSTRE MUNICIPALIDAD DE SAN NICOLAS"/>
        <s v="ILUSTRE MUNICIPALIDAD DE SAN ROSENDO - SALUD"/>
        <s v="ILUSTRE MUNICIPALIDAD DE SANTA BARBARA"/>
        <s v="I MUNICIPALIDAD DE PUREN"/>
        <s v="I MUNICIPALIDAD DE MARIQUINA"/>
        <s v="I MUNICIPALIDAD DE COYHAIQUE"/>
        <s v="I MUNICIPALIDAD DE SIERRA GORDA"/>
        <s v="UNIVERSIDAD TECNOLOGICA"/>
        <s v="UNIVERSIDAD DE LOS LAGOS"/>
        <s v="UNIVERSIDAD DE ATACAMA"/>
        <s v="CORPORACION MUNICIPAL DE SERVICIOS Y DESARROLLO MAIPU"/>
        <s v="CORP NACIONAL DE DESARROLLO INDIGENA"/>
        <s v="ZONA BIENESTAR VALPARAISO&quot; BIENESTAR SOCIAL&quot;"/>
        <s v="FUND CENTRO DE EDUCACION Y CAPACITACION DE LA UCN"/>
        <s v="SOCIEDAD RADIOLOGICA CHILLAN S.A."/>
        <s v="LOGISCARGO CHILE ALEJANDRO SAN MARTIN CARRASCO E.I.R.L"/>
        <s v="ARLAB S.A."/>
        <s v="ARAMA NATURAL PRODUCTS DISTRIBUIDORA LIMITADA"/>
        <s v="RESONANCIA MAGNETICA DEL NORTE S.A."/>
        <s v="POSITRONPHARMA S.A."/>
        <s v="ARAUCO SALUD LTDA."/>
        <s v="JORGE SEPULVEDA GONZAÑEZ DD, E.I.R.L"/>
        <s v="CLINICAL MARKET S.A"/>
        <s v="BARRIA Y CONTRERAS LTDA"/>
        <s v="SERVICIOS MEDICOS OFTALMOLOGICOS CEOLA VIÑA DEL MAR S.A."/>
        <s v="SERVICIOS ODONTOLOGICOS BUCALL LTDA"/>
        <s v="AMBULANCIAS ADN LIMITADA"/>
        <s v="RESOMAG SPA"/>
        <s v="SOCIEDAD PROFESIONAL HERRERA Y SOTO LIMITADA"/>
        <s v="EMIMED COMERCIALIZADORA DE EQUIPOS SPA"/>
        <s v="BEMED SPA"/>
        <s v="CONSTRUYENDO SONRISAS SPA"/>
        <s v="PABLO CATALAN EIRL"/>
        <s v="SERVICIOS DE PERSONAL CLINICO CBS DOS SA."/>
        <s v="BUPA SERVICIOS CLINICOS S.A."/>
        <s v="CENTRO DE BIOTECNOLOGIA Y BIOMEDICINA SPA"/>
        <s v="SERVICIOS ODONTOLOGICOS DENT LIMITADA"/>
        <s v="SOCIEDAD PRESTADORA DE SERVICIOS DE SALUD DOMICILIARIO Y HOSPITALARIO S.A."/>
        <s v="DOCTORES MENESES ASOCIADOS LIMITADA"/>
        <s v="CARDIOTEC VASCULAR LTDA"/>
        <s v="CENTRO DE DIALISIS OSMODIAL LTDA."/>
        <s v="SERVICIOS VETERINARIOS ESPECIALIZADOS SPA"/>
        <s v="SOCIEDAD MEDICA Y ODONTOLOGICA YAÑEZ BRICEÑO LIMITADA."/>
        <s v="LABORATORIO VSC SPA"/>
        <s v="CELLUS MEDICINA REGENERATIVA SA"/>
        <s v="OZONOCARE LTDA"/>
        <s v="SYV ORTODONCIA SPA"/>
        <s v="DISTRIBUIDORA Y COMERCIALIZADORADE PRODUCTOS MEDICOS BIONHEALTH LIMITADA"/>
        <s v="COMERCIALIZADORA MATCHING DEALS LIMITADA"/>
        <s v="RICHARD FIGUEROA Y CIA. LIMITADA"/>
        <s v="OPENLINE CHILE SPA"/>
        <s v="SERVICIOS MEDICOS IMEDIC LTDA."/>
        <s v="ALPHALAB SPA"/>
        <s v="CENTRO MEDICO LIRAY"/>
        <s v="VERTYCAL SPA"/>
        <s v="SERVICIOS PROFESIONALES WULF RUDLOFF SPA"/>
        <s v="SOCIEDAD COMERCIAL HURTADO Y REID LTDA."/>
        <s v="CLINICA PUERTO VARAS"/>
        <s v="AMBULANCIAS Y TRANSPORTE  EMS LIFE CARE LTDA"/>
        <s v="INGENIERIA ENERTAK"/>
        <s v="SOCIEDAD PORCIA, ROJAS, HASBUN SERVICIOS ODONTOLOGICOS SPA"/>
        <s v="BOTIQUINES A DOMICILIO SPA"/>
        <s v="SIEMPRE CHILE SPA"/>
        <s v="PLATECH SPA"/>
        <s v="GRUPO AURRERA SPA"/>
        <s v="SANTA MARTA COURIR AND CARGO S.A."/>
        <s v="DRA MARIA PIA ANINAT Y COMPANIA LIMITADA"/>
        <s v="SOCIEDAD COMERCIAL M &amp; M SPA"/>
        <s v="ODONTOLOGIA MAXIMA LTDA."/>
        <s v="MARILYN GALLEGOS E.I.R.L"/>
        <s v="FIRST HEALTH CHILE SPA"/>
        <s v="LABOCENTER S.A"/>
        <s v="CENTRO MEDICO SAN DIEGO SPA"/>
        <s v="OCU MANTENIMIENTO INDUSTRIAL"/>
        <s v="FARMACEUTICA CARIBEAN LTDA."/>
        <s v="VMC ONLINE SPA"/>
        <s v="SOCIEDAD DE PRESTACIONES MEDICAS IMAGENES COQUIMBO LTDA"/>
        <s v="INVERSIONES DENTO REHABILITACION CLINICA DENTAL Y MEDICA SPA"/>
        <s v="SOCIEDAD MEDICA PREVITERA SPA"/>
        <s v="SERVICIOS DE VETERINARIA SEAV LIMITADA"/>
        <s v="SOCIEDAD MEDICA FREGA STRADOLINI"/>
        <s v="SALVAMED SPA"/>
        <s v="CLINICA ODONTOLOGICA WHITTLE"/>
        <s v="ELIZABETH VALDEBENITO MERINO, SERVICIOS DE SEGURIDAD Y CAPACITACION E."/>
        <s v="MORANO SPA, AESTHETICS AND HEALTH SERVICES LTDA"/>
        <s v="INVERSIONES PUERTO MIRA S.P.A"/>
        <s v="SERVICIOS MEDICOS POCURO SPA"/>
        <s v="FENIX RANCAGUA SPA"/>
        <s v="SOCIEDAD MEDICA GURI SPA"/>
        <s v="IMPORTACIONES Y VENTAS DE EQUIPOS E INSUMOS MEDICOS IVANNA LLORENS"/>
        <s v="CURATIVA SPA"/>
        <s v="VITAL SIMM SPA"/>
        <s v="ODONTOLOGIA INTEGRAL DRA ALICIA CID CORDOVA LTDA"/>
        <s v="SOCIEDAD MEDICA DR. ESCOBAR YAU SPA."/>
        <s v="IMPORTADORA Y COMERCIALIZADORA FELIPE BARRIOS ALVAREZ"/>
        <s v="COM. LUIS GABRIEL HERNANDEZ EIRL"/>
        <s v="SOCIEDAD DE PROFESIONALES MEDICO Y DENTAL RAHUE SALUD LTDA"/>
        <s v="INVERSIONES MELK SPA"/>
        <s v="INDIMED SPA"/>
        <s v="PRESTACIONES MEDICAS GONZALEZ ROJAS SPA"/>
        <s v="CENTRO RADIOLOGICO TALCA LIMITADA"/>
        <s v="SOCIEDAD DE SERVICIOS ODONTOLOGICOS BARRA &amp; STEVENS LTDA."/>
        <s v="ANVIMED LIMITADA"/>
        <s v="SOCIEDAD ALAVRADO Y ABATTE SPA"/>
        <s v="TELEMEDICARTE SPA"/>
        <s v="DISTRIBUIDORA CONCEPCION SPA"/>
        <s v="BIOTECNOLOGIA SUSTENTABLE INNOVACELL"/>
        <s v="AMAMEDICAL SPA"/>
        <s v="VEN SALUD SPA"/>
        <s v="INTEGRUM LIMITADA"/>
        <s v="HERNANDEZ, NEGRONI Y QUEIROLO LTDA."/>
        <s v="ORTOPEDIC SPA"/>
        <s v="COMERCIALIZADORA ARTICULOS HOSPITALARIOS LTDA."/>
        <s v="INVERSIONES INMOBILIARIA MARTIN Y RAMIREZ LIMITADA"/>
        <s v="CLINICA SAN PEDRO LTDA."/>
        <s v="LABORATORIO CLINICO CORDILLERA S.A."/>
        <s v="DIALISIS DEL VALLE LTDA"/>
        <s v="CENTRO RADIOLOGICO EL TAMARUGAL"/>
        <s v="REUTTER SA"/>
        <s v="CUERPO DE BOMBEROS DE TALCA"/>
        <s v="COMISION CHILENA DE ENERGIA NUCLEAR"/>
        <s v="INSTITUTO OFTALMOLOGICO PROFESOR ARENTSEN S.A."/>
        <s v="MEGALABS CHILE S.A"/>
        <s v="MEDICAL POLICENTER S.A."/>
        <s v="DR. J. PATRICIO ULLOA SPA"/>
        <s v="RED LAB S.A."/>
        <s v="CENTRO RENAL SPA"/>
        <s v="VIDACELL S.A."/>
        <s v="ODONTOLOGIA INTEGRAL DRA ELICIA CID CORDOVA LIMITADA"/>
        <s v="DIRECCION DE ABASTECIMIENTO DE LA ARMADA"/>
        <s v="HOSPITAL GUILLERMO GRANT BENAVENTE"/>
        <s v="I MUNICIPALIDAD DE QUILPUE"/>
        <s v="ILUSTRE MUNICIPALIDAD DE HUALAÑE"/>
        <s v="ILUSTRE MUNICIPALIDAD DE LONGAVI"/>
        <s v="I MUNICIPALIDAD DE PENALOLEN"/>
        <s v="LUCO Y PARADA LTDA"/>
        <s v="DRAGER CHILE LTDA"/>
        <s v="ANDMINISTRADORA MEDICA SAN BERNARDO S.A."/>
        <s v="EMPRESA COMERCIALIZADORA LUIS VALDES LYON SPA"/>
        <s v="SOCIEDAD MEDICA INTEGRAL CLINICA RAMIS"/>
        <s v="FARMACEUTICA DIFRAMA LTDA."/>
        <s v="AVILA DENTAL LIMITADA"/>
        <s v="MONTEMAR VETERINARIA SPA"/>
        <s v="AMC INVERSIONES SPA"/>
        <s v="CLINICA DENTAL ROJOS SPA"/>
        <s v="COMERCIALIZADORA DE PRODUCTOS MEDICOS Y DEPORTIVOS PTM CHILE LIMITADA"/>
        <s v="CLINICA Y CENTRO MEDICO DELGADO LTDA"/>
        <s v="COMERCIAL SERVICOPIER SPA"/>
        <s v="DROGUERIA HOFMANN S.A.C."/>
        <s v="RAUL SALVADOR QUEZADA BILBAO"/>
        <s v="ERWIN ACUÑA ROMAN"/>
        <s v="ISAAC ALEJANDRO QUERO VALLEJOS"/>
        <s v="EVELYN ARANDA ARANDA"/>
        <s v="MARIA JOSE ROSAS"/>
        <s v="MARIA JOSE MENDEZ VALENZUELA"/>
        <s v="MIGUEL EDUARDO PEÑA PARRA"/>
        <s v="DANIEL ALEJANDRO PINO MARTINEZ"/>
        <s v="JAVIERA LUCIA FUENTES VILLALOBOS"/>
        <s v="ANAHI FRANCISCA ROJAS HERNANDEZ"/>
        <s v="JUAN LUIS FERNANDEZ"/>
        <s v="PIERINA EVELIDA LOAYZA RAMIREZ"/>
        <s v="COMUNIDAD HOSPITAL DEL PROFESOR"/>
        <s v="CONS EXTERNO VALDIVIA"/>
        <s v="GERMAN BEHNKE GUTIERREZ"/>
        <s v="GLOBAL HEALTHCARE CHILE LP"/>
        <s v="XIV ZONA DE CARABINEROS LOS RIOS"/>
        <s v="HOSPITAL DE CARABINEROS"/>
        <s v="FONDOS PARA HOSPITALES DE CARABINEROS DE CHILE"/>
        <s v="UNIVERSIDAD DE CHILE"/>
        <s v="UNIVERSIDAD DE SANTIAGO DE CHILE"/>
        <s v="UNIVERSIDAD DE VALPARAISO"/>
        <s v="GENDARMERIA DE CHILE"/>
        <s v="GENDARMERIA DE CHILE DIRECCION REGIONAL DE COQUIMBO"/>
        <s v="DIRECCION REGIONAL DE GENDARMERIA - VALPARAISO"/>
        <s v="GENDARMERIA DE CHILE VI DIRECCION REGIONAL RANCAGUA"/>
        <s v="GENDARMERIA DE CHILE DIRECCION REGIONAL CONCEPCION"/>
        <s v="SERVICIO NACIONAL DE MENORES"/>
        <s v="HOSPITAL MILITAR DE SANTIAGO"/>
        <s v="CENTRAL ODONTOLOGICA DEL EJERCITO - COE"/>
        <s v="CENTRO CLINICO MILITAR ARICA"/>
        <s v="HOSPITAL MILITAR DEL NORTE"/>
        <s v="HOSPITAL NAVAL ALMIRANTE NEF"/>
        <s v="HOSPITAL NAVAL TALCAHUANO A.A."/>
        <s v="HOSPITAL NAVAL CIRUJANO GUZMAN DE MAGALLANES"/>
        <s v="CENTRAL ODONTOLOGICA IIA ZONA NAVAL"/>
        <s v="DIVISION DE BIENESTAR SOCIAL DE LA FUERZA AEREA DE CHILE"/>
        <s v="HOSPITAL CLINICO GENERAL DR. RAUL YAZIGI J."/>
        <s v="ALA BASE N.1"/>
        <s v="FUERZA AEREA DE CHILE COMANDO LOGISTICO"/>
        <s v="INSTITUTO NACIONAL DE DEPORTES DE CHILE"/>
        <s v="CAJA DE PREVISION DE LA DEFENSA NACIONAL"/>
        <s v="SERVICIO AGRICOLA Y GANADERO"/>
        <s v="CORP NACIONAL FORESTAL"/>
        <s v="SUBSECRETARIA DE SALUD PUBLICA"/>
        <s v="HOSPITAL SAN JUAN DE DIOS DE LOS ANDES"/>
        <s v="HOSPITAL SAN CAMILO DE SAN FELIPE"/>
        <s v="HOSPITAL PSIQUIATRICO DR. PHILIPPE PINEL PUTAENDO"/>
        <s v="HOSPITAL SAN FRANCISCO DE LLAY LLAY"/>
        <s v="HOSPITAL CARLOS VAN BUREN"/>
        <s v="HOSPITAL EDUARDO PEREIRA"/>
        <s v="HOSPITAL SAN JOSE CASABLANCA"/>
        <s v="INSTITUTO NAC. DE REHABILITACION PEDRO AGUIRRE"/>
        <s v="HOSPITAL DE PEÑAFLOR"/>
        <s v="HOSPITAL DE TALAGANTE"/>
        <s v="HOSPITAL DE MELIPILLA"/>
        <s v="HOSPITAL DE CURACAVI"/>
        <s v="HOSPITAL CLAUDIO VICUÑA"/>
        <s v="HOSPITAL SANTA FILOMENA DE GRANEROS"/>
        <s v="HOSPITAL COINCO"/>
        <s v="HOSPITAL REGIONAL RANCAGUA"/>
        <s v="HOSPITAL DE RENGO"/>
        <s v="HOSPITAL DE SAN VICENTE DE TAGUA TAGUA"/>
        <s v="HOSPITAL DE PEUMO"/>
        <s v="HOSPITAL DE PICHIDEGUA"/>
        <s v="HOSPITAL DE SAN FERNANDO"/>
        <s v="HOSPITAL DE CHIMBARONGO"/>
        <s v="HOSPITAL DE NANCAGUA"/>
        <s v="HOSPITAL DE SANTA CRUZ"/>
        <s v="HOSPITAL LOLOL"/>
        <s v="HOSPITAL DE MARCHIGUE"/>
        <s v="HOSPITAL LITUECHE"/>
        <s v="HOSPITAL PICHILEMU"/>
        <s v="HOSPITAL DE COELEMU"/>
        <s v="HOSPITAL DE PENCO"/>
        <s v="HOSPITAL FLORIDA"/>
        <s v="HOSPITAL SAN JOSE DE CORONEL"/>
        <s v="HOSPITAL LOTA"/>
        <s v="HOSPITAL SANTA JUANA"/>
        <s v="HOSPITAL ARAUCO"/>
        <s v="HOSPITAL DE CURANILAHUE"/>
        <s v="HOSPITAL LEBU"/>
        <s v="HOSPITAL CAÑETE"/>
        <s v="HOSPITAL NACIMIENTO"/>
        <s v="HOSPITAL ANGOL"/>
        <s v="HOSPITAL COLLIPULLI"/>
        <s v="HOSPITAL PUREN"/>
        <s v="HOSPITAL DE TRAIGUEN"/>
        <s v="HOSPITAL VICTORIA"/>
        <s v="HOSPITAL DOCTOR HERNAN HENRIQUEZ ARAVENA"/>
        <s v="HOSPITAL DR. ABRAHAM GODOY PEÑA"/>
        <s v="HOSPITAL PITRUFQUEN"/>
        <s v="HOSPITAL GALVARINO"/>
        <s v="HOSPITAL CURACAUTIN"/>
        <s v="HOSPITAL VILCUN"/>
        <s v="HOSPITAL TOLTEN"/>
        <s v="HOSPITAL DE CUNCO"/>
        <s v="SERVICIO DE SALUD ARAUCANIA SUR HOSPITAL DE GORBEA"/>
        <s v="HOSPITAL CARAHUE"/>
        <s v="HOSPITAL DE LONCOCHE"/>
        <s v="HOSPITAL VILLARRICA"/>
        <s v="HOSPITAL BASE OSORNO"/>
        <s v="HOSPITAL DE PUERTO OCTAY"/>
        <s v="HOSPITAL RIO NEGRO"/>
        <s v="HOSPITAL LLANQUIHUE"/>
        <s v="HOSPITAL DE FRUTILLAR"/>
        <s v="HOSPITAL DE FRESIA"/>
        <s v="HOSPITAL DE MAULLIN"/>
        <s v="HOSPITAL CALBUCO"/>
        <s v="HOSPITAL FUTALEUFU"/>
        <s v="HOSPITAL DE CASTRO DR. AUGUSTO RIFFART"/>
        <s v="HOSPITAL DE QUELLON"/>
        <s v="HOSPITAL ACHAO"/>
        <s v="HOSPITAL PUERTO AYSEN"/>
        <s v="HOSPITAL  COYHAIQUE"/>
        <s v="HOSPITAL CHILE CHICO"/>
        <s v="HOSPITAL COCHRANE"/>
        <s v="HOSPITAL PUERTO CISNES"/>
        <s v="HOSPITAL TRAUMATOLOGICO DE CONCEPCION"/>
        <s v="HOSPITAL PUERTO SAAVEDRA"/>
        <s v="HOSPITAL CHAITEN"/>
        <s v="HOSPITAL ALTO PALENA"/>
        <s v="SERVICIO DE SALUD ARICA HOSPITAL DR. JUAN NOE CREVANI"/>
        <s v="SERVICIO DE SALUD IQUIQUE."/>
        <s v="DIRECCION SERVICIO DE SALUD ANTOFAGASTA"/>
        <s v="HOSPITAL REGIONAL DE ANTOFAGASTA"/>
        <s v="HOSPITAL CARLOS CISTERNAS DE CALAMA"/>
        <s v="HOSPITAL DE TOCOPILLA"/>
        <s v="HOSPITAL DE TALTAL"/>
        <s v="HOSPITAL DE MEJILLONES"/>
        <s v="SERVICIO DE SALUD ATACAMA"/>
        <s v="HOSPITAL PROVINCIAL DEL HUASCO MONS FERNANDO ARIZTIA R."/>
        <s v="HOSPITAL CHAÑARAL"/>
        <s v="HOSPITAL DIEGO DE ALMAGRO"/>
        <s v="HOSPITAL DE COPIAPO"/>
        <s v="HOSPITAL DE HUASCO"/>
        <s v="SERVICIO DE SALUD COQUIMBO"/>
        <s v="HOSPITAL DE VICUÑA"/>
        <s v="HOSPITAL LA SERENA"/>
        <s v="HOSPITAL COQUIMBO"/>
        <s v="HOSPITAL OVALLE"/>
        <s v="HOSPITAL ANDACOLLO"/>
        <s v="HOSPITAL COMBARBALA"/>
        <s v="HOSPITAL DE ILLAPEL"/>
        <s v="HOSPITAL SALAMANCA"/>
        <s v="HOSPITAL LOS VILOS"/>
        <s v="SERVICIO DE SALUD VALPARAISO SAN ANTONIO"/>
        <s v="SERVICIO SALUD VIÑA DEL MAR QUILLOTA"/>
        <s v="HOSPITAL DR. GUSTAVO FRICKE"/>
        <s v="HOSPITAL ADRIANA COUSIÑO DE QUINTERO"/>
        <s v="HOSPITAL DE QUILPUE"/>
        <s v="HOSPITAL PENABLANCA"/>
        <s v="HOSPITAL SANTO TOMAS DE LIMACHE"/>
        <s v="HOSPITAL GERIATRICO LA PAZ DE TARDE"/>
        <s v="HOSPITAL SAN MARTIN DE QUILLOTA"/>
        <s v="HOSPITAL LA CALERA"/>
        <s v="HOSPITAL CABILDO"/>
        <s v="HOSPITAL LA LIGUA"/>
        <s v="HOSPITAL PETORCA"/>
        <s v="SS ACONCAGUA"/>
        <s v="HOSPITAL MODULAR SAN ANTONIO DE PUTAENDO"/>
        <s v="SERVICIO DE SALUD LIBERTADOR BDO OHIGGINS"/>
        <s v="SERVICIO DE SALUD DEL MAULE"/>
        <s v="HOSPITAL TALCA"/>
        <s v="HOSPITAL DE CURICO"/>
        <s v="HOSPITAL LICANTEN"/>
        <s v="HOSPITAL HUALAÑE"/>
        <s v="HOSPITAL TENO"/>
        <s v="HOSPITAL MOLINA"/>
        <s v="HOSPITAL DE CUREPTO"/>
        <s v="HOSPITAL DE CONSTITUCION"/>
        <s v="HOSPITAL SAN JAVIER"/>
        <s v="HOSPITAL SAN JUAN DE DIOS DE CAUQUENES"/>
        <s v="HOSPITAL CHANCO"/>
        <s v="HOSPITAL LINARES"/>
        <s v="HOSPITAL PARRAL"/>
        <s v="SERVICIO DE SALUD ÑUBLE"/>
        <s v="HOSPITAL CLINICO HERMINDA MARTIN"/>
        <s v="HOSPITAL DE SAN CARLOS"/>
        <s v="HOSPITAL DE BULNES"/>
        <s v="HOSPITAL DE YUNGAY"/>
        <s v="HOSPITAL DE QUIRIHUE"/>
        <s v="SERVICIO DE SALUD NUBLE HOSPITAL DE EL CARMEN"/>
        <s v="SERVICIO DE SALUD DE CONCEPCION"/>
        <s v="HOSPITAL CONTULMO"/>
        <s v="CENTRO DE SALUD DR. VICTOR RIOS M. FERNANDEZ"/>
        <s v="SERVICIO DE SALUD TALCAHUANO"/>
        <s v="HOSPITAL DE TOME"/>
        <s v="HOSPITAL LAS HIGUERAS"/>
        <s v="HOSPITAL BASE DR. VICTOR RIOS RUIZ"/>
        <s v="HOSPITAL DE MULCHEN"/>
        <s v="HOSPITAL SANTA BARBARA"/>
        <s v="HOSPITAL DE HUEPIL"/>
        <s v="HOSPITAL LAJA"/>
        <s v="HOSPITAL DE YUMBEL"/>
        <s v="HOSPITAL NUEVA IMPERIAL"/>
        <s v="HOSPITAL LONQUIMAY"/>
        <s v="SERVICIO DE SALUD LOS RIOS"/>
        <s v="HOSPITAL VALDIVIA"/>
        <s v="HOSPITAL DE LA UNION"/>
        <s v="HOSPITAL DE LANCO"/>
        <s v="HOSPITAL CORRAL"/>
        <s v="HOSPITAL DE PAILLACO"/>
        <s v="HOSPITAL RIO BUENO"/>
        <s v="HOSPITAL LOS LAGOS"/>
        <s v="SERVICIO DE SALUD OSORNO"/>
        <s v="HOSPITAL DE PURRANQUE"/>
        <s v="SERVICIO DE SALUD RELONCAVI"/>
        <s v="SERVICIO DE SALUD AYSEN CARLOS IBANEZ DEL CAMPO"/>
        <s v="SS MAGALLANES"/>
        <s v="HOSPITAL DR. LAUTARO NAVARRO AVARIA"/>
        <s v="HOSPITAL PORVENIR"/>
        <s v="HOSPITAL DR. AUGUSTO ESSMANN BURGOS"/>
        <s v="HOSPITAL SAN JOSE"/>
        <s v="INSTITUTO PSIQUIATRICO DR. JOSE HORWITZ B."/>
        <s v="HOSPITAL DE NIÑOS ROBERTO DEL RIO"/>
        <s v="HOSPITAL TIL-TIL"/>
        <s v="HOSPITAL BARROS LUCO TRUDEAU"/>
        <s v="HOSPITAL DR. EXEQUIEL GONZALEZ CORTES"/>
        <s v="S.S. METROPOLITANO SUR HOSPITAL LUCIO CORDOVA"/>
        <s v="HOSPITAL SAN LUIS"/>
        <s v="SERVICIO DE SALUD SUR HOSPITAL SANATORIO"/>
        <s v="HOSPITAL EL PINO"/>
        <s v="SERVICIO DE SALUD SUR UNIDAD HOSPITALARI"/>
        <s v="SERVICIO SALUD METROPOLITANO OCCIDENTE"/>
        <s v="SERVICIO DE SALUD OCCIDENTE INSTITUTO TRAUMATOLOGICO DE SANTIAGO"/>
        <s v="HOSPITAL SAN JUAN DE DIOS"/>
        <s v="HOSPITAL DR. FELIX BULNES CERDA"/>
        <s v="SERVICIO DE SALUD METROPOLITANO ORIENTE"/>
        <s v="INSTITUTO NACIONAL DEL TORAX"/>
        <s v="INSTITUTO NACIONAL DE GERIATRIA"/>
        <s v="INSTITUTO NACIONAL DEL CANCER"/>
        <s v="HOSPITAL DEL SALVADOR"/>
        <s v="INSTITUTO DE NEUROCIRUGIA"/>
        <s v="HOSPITAL DR. LUIS CALVO MACKENNA"/>
        <s v="SERVICIO DE SALUD METROPOLITANO SUR ORIENTE"/>
        <s v="COMPLEJO ASISTENCIAL DR. SOTERO DEL RIO"/>
        <s v="HOSPITAL SANATORIO SAN JOSE DE MAIPO"/>
        <s v="HOSPITAL DE URGENCIA ASISTENCIA PUBLICA"/>
        <s v="HOSPITAL CLINICO SAN BORJA ARRIARAN"/>
        <s v="DIRECCION ATENCION PRIMARIA, SERVICIO DE SALUD METROPOLITANO CENTRAL"/>
        <s v="CENTRAL DE ABASTECIMIENTO S.N.S.S CENABAST"/>
        <s v="DIRECCION ADMIN. SALUD MUNICIPAL FLORIDA"/>
        <s v="ACADEMIA POLITECNICA NAVAL"/>
        <s v="CONSULTORIO GENERAL URBANO VIOLETA PARRA"/>
        <s v="MUNIC COCHAMO DEPTO SALUD"/>
        <s v="CENTRO DE REFERENCIA SALUD DOCTOR SALVADOR ALLENDE G."/>
        <s v="DIRECCION DE LOGISTICA DE CARABINEROS"/>
        <s v="CENTRO DE EDUCACION Y TRABAJO COLINA I"/>
        <s v="CENTRO CLINICO MILITAR DE IQUIQUE"/>
        <s v="CRS  DE PEÑALOLEN CORDILLERA ORIENTE"/>
        <s v="SERVICIO DE SALUD ARAUCO"/>
        <s v="MUNICIPALIDAD DE PADRE LAS CASAS"/>
        <s v="HOSPITAL PADRE ALBERTO HURTADO"/>
        <s v="HOSPITAL SANTIAGO ORIENTE DR. LUIS TISNE BROUSSE"/>
        <s v="MUNICIPALIDAD DE QUILLON"/>
        <s v="CONS DIRECCION DE SALUD RURAL"/>
        <s v="HOSPITAL DE PUERTO MONTT"/>
        <s v="HOSPITAL ANCUD SERVICIO DE SALUD CHILOE"/>
        <s v="POLICLINICO MEDICO - DENTAL"/>
        <s v="IIª Brigada Aérea"/>
        <s v="HOSPITAL DE QUEILEN"/>
        <s v="DIRECCION REGIONAL ARICA Y PARINACOTA"/>
        <s v="SS CHILOE"/>
        <s v="HOSPITAL HANGA ROA"/>
        <s v="HOSPITAL METROPOLITANO DE SANTIAGO"/>
        <s v="HOSPITAL SAN JUAN DE LA COSTA"/>
        <s v="HOSP DEL P SOCORRO QUILACAHUIN"/>
        <s v="HOSPITAL CLINICO METROPOLITANO EL CARMEN DOCTOR LUIS VALENTIN FERRADA"/>
        <s v="CESFAM LIRQUEN"/>
        <s v="CENTRAL DE ATENCIO PRIMARIA DE SALUD DE LA ARMADA"/>
        <s v="UNIVERSIDAD DE OHIGGINS"/>
        <s v="CRS HOSPITAL PROVINCIA CORDILLERA"/>
        <s v="HOSPITAL SANTA ELISA DE SAN JOSE DE LA MARIQUINA"/>
        <s v="HOSPITAL COMUNITARIO CRISTINA CALDERON DE PUERTO WILLIAMS"/>
        <s v="CESFAM RIO NEGRO HORNOPIREN"/>
        <s v="CENTRO METROPOLITANO DE ATENCION PREHOSPITALARIA"/>
        <s v="MACROZONA DE SALUD CONCEPCION"/>
        <s v="CENTRO DE ESPECIALIDAD ATENCION PREHOSPITALARIA SAMU BIOBIO"/>
        <s v="CENTRO ONCOLOGICO DEL NORTE"/>
        <s v="HOSPITAL DR. ERNESTO TORRES GALDAMES"/>
        <s v="GENDARMERIA DE CHILE DIRECCION REGIONAL DE ÑUBLE"/>
        <s v="CESFAM LLAY LLAY"/>
        <s v="CENTRO DE FORMACION"/>
        <s v="HOSPITAL COMPLEJO ASISTENCIAL PADRE LAS CASAS"/>
        <s v="CENTRO DE SALUD FAMILIAR PUERTO AYSEN"/>
        <s v="FUNDACION CHILENA DE ENFERMEDADES LISOSOMALES"/>
        <s v="CENTRO DE REFERENCIA DE SALUD DE MAIPU"/>
        <s v="FUNDACION SALUD Y FAMILIA"/>
        <s v="HOSPITAL CLINICO METROPOLITANA LA FLORIDA DRA ELOISA  DIAZ INSUNZA"/>
        <s v="REGIMIENTO DE POLICIA MILITAR N.°1 &quot;SANTIAGO&quot;"/>
        <s v="MACROZONA DE SALUD SANTIAGO CENTRO SUR"/>
        <s v="COOPERATIVA MEDICINA Y SALUD INTEGRAL"/>
        <s v="CENTRO CLINICO MILITAR COYHAIQUE"/>
        <s v="HOSPITAL DE ALTO HOSPICIO"/>
        <s v="CENTRO CLINICO MILITAR VALDIVIA"/>
        <s v="CENTRO CLINICO MILITAR CONCEPCION"/>
        <s v="ILUSTRE MUNICIPALIDAD DE CALBUCO"/>
        <s v="CENTRAL ODONTOLOGICA PRIMERA ZONA NAVAL"/>
        <s v="ILUSTRE MUNICIPALIDAD DE ALTO BIOBIO DEPARTAMENTO DE SALUD"/>
        <s v="PEDRO JORGE ALVEAL BIYANQUI"/>
        <s v="FUNDAC.FACULTAD DE CIENC.VETER.Y PECUAR.UNIVERSIDAD DE CHILE"/>
        <s v="ILUSTRE MUNICIPALIDAD DE ARICA"/>
        <s v="MUNICIPALIDAD DE HUARA"/>
        <s v="I MUNICIPALIDAD DE IQUIQUE"/>
        <s v="MUNICIPALIDAD PICA"/>
        <s v="I MUNICIPALIDAD DE CALAMA"/>
        <s v="I MUNICIPALIDAD DE CHANARAL"/>
        <s v="MUNICIPALIDAD DE COPIAPO"/>
        <s v="I MUNICIPALIDAD DE CALDERA"/>
        <s v="I MUNICIPALIDAD DE TIERRA AMARILLA"/>
        <s v="I MUNICIPALIDAD DE VALLENAR"/>
        <s v="MUNICIPALIDAD DE FREIRINA"/>
        <s v="I MUNICIPALIDAD DE LA SERENA"/>
        <s v="MUNICIPALIDAD DE LA HIGUERA"/>
        <s v="ILUSTRE MUNICIPALIDAD DE COQUIMBO"/>
        <s v="I MUNICIPALIDAD DE VICUNA"/>
        <s v="MUNICIPALIDAD PAIHUANO"/>
        <s v="I. MUNICIPALIDAD DE OVALLE"/>
        <s v="I MUNICIPALIDAD DE MONTEPATRIA"/>
        <s v="MUNICIPALIDAD PUNITAQUI"/>
        <s v="IMUNICIPALIDAD DE RIO HURTADO"/>
        <s v="MUNICIPALIDAD COMBARBALA"/>
        <s v="I MUNICIPALIDAD DE ILLAPEL"/>
        <s v="I MUNICIPALIDAD DE CANELA"/>
        <s v="MUNICIPALIDAD SALAMANCA"/>
        <s v="MUNICIPALIDAD LOS VILOS"/>
        <s v="I MUNICIPALIDAD DE LA LIGUA"/>
        <s v="I MUNICIPALIDAD DE CABILDO"/>
        <s v="ILUSTRE MUNICIPALIDAD DE PAPUDO"/>
        <s v="ILUSTRE MUNICIPALIDAD DE ZAPALLAR"/>
        <s v="MUNICIPALIDAD PETORCA"/>
        <s v="ILUSTRE MUNICIPALIDAD DE SAN FELIPE"/>
        <s v="MUNIC DE PUTAENDO"/>
        <s v="I MUNICIPALIDAD DE PANQUEHUE"/>
        <s v="ILUSTRE MUNICIPALIDAD DE CATEMU"/>
        <s v="I MUNICIPALIDAD DE SANTA MARIA"/>
        <s v="MUNICIPALIDAD LOS ANDES"/>
        <s v="I MUNICIPALIDAD DE CALLE LARGA"/>
        <s v="MUNIC RINCONADA LOS ANDES"/>
        <s v="ILUSTRE MUNICIPALIDAD DE SAN ESTEBAN"/>
        <s v="I MUNICIPALIDAD DE LA CRUZ"/>
        <s v="MUNIC LA CALERA"/>
        <s v="I MUNICIPALIDAD DE HIJUELAS"/>
        <s v="I MUNICIPALIDAD DE NOGALES"/>
        <s v="I MUNICIPALIDAD DE QUINTERO"/>
        <s v="MUNICIPALIDAD PUCHUNCAVI"/>
        <s v="MUNICIPALIDAD DE LIMACHE"/>
        <s v="I.MUNICIPALIDAD DE OLMUE"/>
        <s v="I MUNICIPALIDAD DE CASABLANCA"/>
        <s v="MUNICIPALIDAD DE ALGARROBO"/>
        <s v="MUNICIPALIDAD DE EL QUISCO"/>
        <s v="I MUNICIPALIDAD DE SANTIAGO"/>
        <s v="CORP DES SOC PROVIDENCIA"/>
        <s v="I. MUNICIPALIDAD MAIPU"/>
        <s v="I MUNICIPALIDAD DE QUILICURA"/>
        <s v="I MUNICIPALIDAD DE PENAFLOR"/>
        <s v="ILUSTRE MUNICIPALIDAD DE TALAGANTE"/>
        <s v="MUNICIPALIDAD DE LA CISTERNA"/>
        <s v="ILUSTRE MUNICIPALIDAD DE LA GRANJA"/>
        <s v="I MUNICIPALIDAD DE PAINE"/>
        <s v="ILUSTRE MUNICIPALIDAD DE CALERA DE TANGO"/>
        <s v="I MUNICIPALIDAD DE EL MONTE"/>
        <s v="MUNICIPALIDAD SAN PEDRO MELIPILLA"/>
        <s v="I MUNICIPALIDAD DE ALHUE"/>
        <s v="I MUNICIPALIDAD DE SAN ANTONIO"/>
        <s v="ILUSTRE MUNICIPALIDAD DE SANTO DOMINGO"/>
        <s v="MUNICIPALIDAD DE CARTAGENA"/>
        <s v="ILUSTRE MUNICIPALIDAD EL TABO"/>
        <s v="MUNICIPALIDAD NAVIDAD"/>
        <s v="ILUSTRE MUNICIPALIDAD DE MACHALI"/>
        <s v="ILUSTRE MUNICIPALIDAD DE CODEGUA"/>
        <s v="I MUNICIPALIDAD DE MOSTAZAL"/>
        <s v="MUNICIPALIDAD DE DONIHUE"/>
        <s v="I MUNICIPALIDAD DE  COLTAUCO"/>
        <s v="MUNIC LAS CABRAS"/>
        <s v="ILUSTRE MUNICIPALIDAD DE PEUMO"/>
        <s v="MUNICIPALIDAD DE SAN VICENTE DE TAGUA TAGUA"/>
        <s v="ILUSTRE MUNICIPALIDAD DE PICHIDEGUA"/>
        <s v="I MUNICIPALIDAD DE RENGO"/>
        <s v="I MUNICIPALIDAD DE REQUINOA"/>
        <s v="MUNICIPALIDAD DE OLIVAR"/>
        <s v="ILUSTRE MUNICIPALIDAD DE MALLOA"/>
        <s v="MUNIC QUINTA DE TILCOCO"/>
        <s v="ILUSTRE MUNICIPALIDAD DE PLACILLA"/>
        <s v="I MUNICIPALIDAD DE CHIMBARONGO"/>
        <s v="I MUNICIPALIDAD DE NANCAGUA"/>
        <s v="MUNICIPALIDAD LOLOL"/>
        <s v="I MUNICIPALIDAD DE SANTA CRUZ"/>
        <s v="I MUNICIPALIDAD DE CHEPICA"/>
        <s v="I MUNICIPALIDAD DE PUMANQUE"/>
        <s v="ILUSTRE MUNICIPALIDAD DE PAREDONES"/>
        <s v="MUNIC PALMILLA"/>
        <s v="I MUNICIPALIDAD DE LITUECHE"/>
        <s v="I MUNICIPALIDAD DE MARCHIGUE"/>
        <s v="MUNICIPALIDAD LA ESTRELLA"/>
        <s v="I. MUNICIPALIDAD DE PERALILLO"/>
        <s v="I MUNICIPALIDAD DE CURICO"/>
        <s v="MUNICIPALIDAD ROMERAL"/>
        <s v="I MUNICIPALIDAD DE TENO"/>
        <s v="MUNICIPALIDAD DE RAUCO"/>
        <s v="I MUNICIPALIDAD DE LICANTEN"/>
        <s v="MUNICIPALIDAD DE VICHUQUEN"/>
        <s v="MUNICIPALIDAD DE MOLINA"/>
        <s v="MUNICIPALIDAD SAGRADA FAMILIA"/>
        <s v="ILUSTRE MUNICIPALIDAD DE CUREPTO"/>
        <s v="I MUNICIPALIDAD DE TALCA"/>
        <s v="MUNICIPALIDAD SAN CLEMENTE"/>
        <s v="MUNIC PELARCO"/>
        <s v="ILUSTRE MUNICIPALIDAD DE RIO CLARO"/>
        <s v="I MUNICIPALIDAD DE PENCAHUE"/>
        <s v="I MUNICIPALIDAD DE CONSTITUCION"/>
        <s v="MUNICIPALIDAD EMPEDRADO"/>
        <s v="MUNICIPALIDAD DE CHANCO"/>
        <s v="I. MUNICIPALIDAD DE CAUQUENES"/>
        <s v="I MUNICIPALIDAD DE SAN JAVIER"/>
        <s v="ILUSTRE MUNICIPALIDAD DE VILLA ALEGRE SALUD"/>
        <s v="MUNICIPALIDAD DE YERBAS BUENAS"/>
        <s v="ILUSTRE MUNICIPALIDAD DE COLBUN"/>
        <s v="I MUNICIPALIDAD DE PARRAL"/>
        <s v="MUNIC PORTEZUELO DEPTO SALUD"/>
        <s v="I. MUNICIPALIDAD DE NINHUE - DEPTO. DE SALUD"/>
        <s v="I MUNICIPALIDAD DE COBQUECURA"/>
        <s v="ILUSTRE MUNICIPALIDAD DE SAN CARLOS"/>
        <s v="MUNICIPALIDAD DE NIQUEN"/>
        <s v="MUNIC SAN NICOLAS"/>
        <s v="I MUNICIPALIDAD DE COIHUECO DEPARTAMENTO DE SALUD"/>
        <s v="I MUNICIPALIDAD DE BULNES"/>
        <s v="MUNIC SAN IGNACIO"/>
        <s v="I MUNICIPALIDAD DE YUNGAY"/>
        <s v="MUNICIPALIDAD TUCAPEL"/>
        <s v="I MUNICIPALIDAD DE TOME DEPARTAMENTO DE EDUCACION"/>
        <s v="DIRECCION DE SALUD MUNICIPAL DE TOME"/>
        <s v="MUNICIPALIDAD DE COELEMU"/>
        <s v="ILUSTRE MUNICIPALIDAD DE RAQUIL"/>
        <s v="I. MUNICIPALIDAD  DE PENCO"/>
        <s v="ILUSTRE MUNICIPALIDAD DE HUALQUI - SALUD"/>
        <s v="I MUNICIPALIDAD DE TALCAHUANO"/>
        <s v="MUNICIPALIDAD YUMBEL"/>
        <s v="I MUNICIPALIDAD DE CABRERO"/>
        <s v="I MUNICIPALIDAD DE CABRERO DEPARTAMENTO DE SALUD"/>
        <s v="MUNICIPALIDAD SAN ROSENDO"/>
        <s v="I MUNICIPALIDAD DE CORONEL DPTO ADMINIST"/>
        <s v="MUNICIPALIDAD SANTA JUANA"/>
        <s v="I MUNICIPALIDAD DE ARAUCO"/>
        <s v="ILUSTRE MUNICIPALIDAD DE CURANILAHUE"/>
        <s v="MUNICIPALIDAD LEBU"/>
        <s v="MUNICIPALIDAD DE LOS ALAMOS"/>
        <s v="ILUSTRE MUNICIPALIDAD DE CAÑTE"/>
        <s v="ILUSTRE MUNICIPALIDAD DE TIRUA"/>
        <s v="MUNICIPALIDAD DE LOS ANGELES"/>
        <s v="CECOSF SANTA BARBARA"/>
        <s v="MUNICIPALIDAD LAJA"/>
        <s v="I. MUNICIPALIDAD QUILLECO"/>
        <s v="I MUNICIPALIDAD DE NACIMIENTO"/>
        <s v="MUNICIPALIDAD NEGRETE"/>
        <s v="MUNIC.QUILACO"/>
        <s v="I MUNICIPALIDAD DE ANGOL"/>
        <s v="I MUNICIPALIDAD DE LOS SAUCES"/>
        <s v="I MUNICIPALIDAD DE RENAICO"/>
        <s v="I MUNICIPALIDAD DE COLLIPULLI"/>
        <s v="I MUNICIPALIDAD DE ERCILLA"/>
        <s v="MUNIC.TRAIGUEN"/>
        <s v="I MUNICIPALIDAD DE LUMACO"/>
        <s v="ILUSTRE MUNICIPALIDAD DE VICTORIA"/>
        <s v="I MUNICIPALIDAD DE CURACAUTIN"/>
        <s v="MUNIC.LONQUIMAY"/>
        <s v="I MUNICIPALIDAD DE LAUTARO"/>
        <s v="MUNIC.GALVARINO"/>
        <s v="I MUNICIPALIDAD DE PERQUENCO"/>
        <s v="I. MUNICIPALIDAD DE NUEVA IMPERIAL"/>
        <s v="MUNIC CARAHUE DPTO SALUD GENERAL"/>
        <s v="I MUNICIPALIDAD DE SAAVEDRA"/>
        <s v="MUNICIPALIDAD DE TEMUCO"/>
        <s v="MUNICIPALIDAD DE VILCUN"/>
        <s v="MUNICIPALIDAD FREIRE"/>
        <s v="MUNICIPALIDAD CUNCO"/>
        <s v="ILUSTRE MUNICIPALIDAD DE LONCOCHE"/>
        <s v="ILUSTRE MUNICIPALIDAD DE GORBEA"/>
        <s v="I MUNICIPALIDAD DE PITRUFQUEN"/>
        <s v="MUNICIPALIDAD DE TOLTEN"/>
        <s v="I MUNICIPALIDAD DE VILLARRICA"/>
        <s v="MUNICIPALIDAD PUCON"/>
        <s v="I MUNICIPALIDAD VALDIVIA"/>
        <s v="MUNIC LANCO"/>
        <s v="MUNIC.MAFIL"/>
        <s v="I MUNICIPALIDAD DE LOS LAGOS"/>
        <s v="MUNICIPALIDAD FUTRONO"/>
        <s v="ILUSTRE MUNICIPALIDAD DE LA UNION"/>
        <s v="ILUSTRE MUNICIPALIDAD DE PAILLACO"/>
        <s v="I MUNICIPALIDAD DE RIO BUENO"/>
        <s v="CESFAM LAGO RANCO"/>
        <s v="MUNICIPALIDAD DE OSORNO"/>
        <s v="DEPARTAMENTO DE SALUD SAN PABLO"/>
        <s v="MUNIC RIO NEGRO"/>
        <s v="I MUNICIPALIDAD DE PURRANQUE"/>
        <s v="MUNICIPALIDAD PUYEHUE"/>
        <s v="ILUSTRE MUNICIPALIDAD DE PUERTO MONTT"/>
        <s v="I MUNICIPALIDAD DE PUERTO VARAS"/>
        <s v="MUNIC LLANQUIHUE"/>
        <s v="ILUSTRE MUNICIPALIDAD DE FRESIA"/>
        <s v="MUNIC MAULLIN"/>
        <s v="MUNICIPALIDAD DE FRUTILLAR"/>
        <s v="ILUSTRE MUNICIPALIDAD DE LOS MUERMOS"/>
        <s v="MUNIC QUEMCHI"/>
        <s v="MUNIC CHAITEN"/>
        <s v="I MUNICIPALIDAD DE FUTALEUFU"/>
        <s v="I MUNICIPALIDAD DE CHILE CHICO"/>
        <s v="I MUNICIPALIDAD DE PUNTA ARENAS"/>
        <s v="I MUNICIPALIDAD DE DIEGO DE ALMAGRO"/>
        <s v="MUNICIPALIDAD PUTRE"/>
        <s v="I MUNICIPALIDAD DE CAMARONES"/>
        <s v="MUNIC SAN GREGORIO"/>
        <s v="ILUSTRE MUNICIPALIDAD DE TIMAUKEL"/>
        <s v="MUNIC.SAN JUAN DE LA COSTA"/>
        <s v="ILUSTRE MUNICIPALIDAD DE ALTO DEL CARMEN"/>
        <s v="MUNICIPALIDAD TEODORO SCHMIDT"/>
        <s v="MUNICIPALIDAD DE JUAN FERNANDEZ"/>
        <s v="MUNIC SAN PEDRO DE ATACAMA"/>
        <s v="I MUNICIPALIDAD DE PELLUHUE"/>
        <s v="I MUNICIPALIDAD DE MARIA"/>
        <s v="MUNICIPALIDAD LA PINTANA"/>
        <s v="ILUSTRE MUNICIPALIDAD DE SAN RAMON"/>
        <s v="ILUSTRE MUNICIPALIDAD DE CERRO NAVIA"/>
        <s v="MUNICIPALIDAD ESTACION CENTRAL"/>
        <s v="ILUSTRE MUNICIPALIDAD DE RECOLETA"/>
        <s v="I. MUNICIPALIDAD PEDRO AGUIRRE CERDA"/>
        <s v="MUNICIPALIDAD LO ESPEJO"/>
        <s v="IMUNICIPALIDAD DE LO BARNECHEA"/>
        <s v="I. MUNICIPALIDAD DE LA COMUNA DEL BOSQUE"/>
        <s v="MUNICIPALIDAD DE HUECHURABA"/>
        <s v="I MUNICIPALIDAD DE INDEPENDENCIA"/>
        <s v="I. MUNICIPALIDAD DE VITACURA"/>
        <s v="MUNICIPALIDAD DE CONCEPCION"/>
        <s v="I MUNICIPALIDAD DE LOTA DEPARTAMENTO DE SALUD"/>
        <s v="MUNIC QUILLOTA DPTO SALUD"/>
        <s v="I MUNICIPALIDAD DE PADRE HURTADO"/>
        <s v="MUNICIPALIDAD DE ANTUCO - SALUD"/>
        <s v="MUNICIPALIDAD DE HUALPEN"/>
        <s v="I MUNICIPALIDAD DE SAN RAFAEL"/>
        <s v="MUNICIPALIDAD ALTO BIOBIO"/>
        <s v="ILUSTRE MUNICIPALIDAD DE CHIGUAYANTE"/>
        <s v="I MUNICIPALIDAD DE SAN PEDRO DE LA PAZ"/>
        <s v="MUNICIPALIDAD CHOLCHOL"/>
        <s v="MUNICIPALIDAD DE ALTO HOSPICIO"/>
        <s v="ILUSTRE MUNICIPALIDAD DE TREHUACO"/>
        <s v="ILUSTRE MUNICIPALIDAD DE CHILLAN VIEJO"/>
        <s v="ILUSTRE MUNICIPALIDAD DE CHILLAN DPTO SALUD"/>
        <s v="CONSULTORIO GENERAL URBANO SAN FELIPE"/>
        <s v="CONSULTORIO GENERAL URBANO NÂ°2"/>
        <s v="FUNDACION JOSEFINA MARTINEZ DE FERRARI"/>
        <s v="HOSPITAL JOSEFINA MARTINEZ"/>
        <s v="INSTITUTO DE SEGURIDAD DEL TRABAJO"/>
        <s v="JUNTA NACIONAL DE JARDINES INFANTILES"/>
        <s v="CASA DE REPOSO S MARIA"/>
        <s v="MUTUAL DE SEGURIDAD C.CH.C."/>
        <s v="ASOCIACION CHILENA DE SEGURIDAD"/>
        <s v="CONIN"/>
        <s v="FUNDACION ARTURO LOPEZ PEREZ"/>
        <s v="FUNDACION EDUCACIONAL PARA EL DESAROLLO INTEGRAL DE LA NIÑEZ"/>
        <s v="CONSULTORIO MIRAFLORES"/>
        <s v="UNIVERSIDAD DE PLAYA ANCHA DE CIENCIAS DE LA EDUCACION"/>
        <s v="MUNICIPALIDAD MELIPEUCO"/>
        <s v="UNIVERSIDAD DE TARAPACA"/>
        <s v="UNIVERSIDAD ARTURO PRAT SEDE VICTORIA"/>
        <s v="UNIVERSIDAD DE LA SERENA"/>
        <s v="UNIVERSIDAD DE ANTOFAGASTA"/>
        <s v="CORP MUNIC DE PUDAHUEL"/>
        <s v="CORP MUNIC EDUC SALUD Y AT MEN PTE ALTO"/>
        <s v="CORPORACION MUNICIPAL VALPARAISO"/>
        <s v="CORPORACION MUNICIPAL VIÑA DEL MAR"/>
        <s v="CORP MUNIC CONCHALI"/>
        <s v="CORP MUNIC QUILPUE"/>
        <s v="CORP MUNIC PIRQUE"/>
        <s v="CORPORACION MUNICIPAL MARIA PINTO"/>
        <s v="UNIVERSIDAD DE TALCA"/>
        <s v="CORPORACION MUNICIPAL G G VIDELA"/>
        <s v="CORP MUNIC SAN JOSE DE MAIPO"/>
        <s v="FUND DE SALUD EL TENIENTE"/>
        <s v="CORPORACION MUNICIPAL QUINTA NORMAL"/>
        <s v="CORPORACION MUNICIPAL SAN BERNARDO"/>
        <s v="CORP MUNIC DE RENCA"/>
        <s v="CORP MUNIC PUNTA ARENAS"/>
        <s v="CORPORACION MUNICIPAL DE DESARROLLO SOCIAL DE ÑUÑOA"/>
        <s v="CORP MUNICIPAL DE EDUC SALUD CULTURA Y RECREACION DE LA FLORIDA"/>
        <s v="CORP DE DESARROLLO SOCIAL DE BUIN"/>
        <s v="CORP MUNIC ISLA DE MAIPO"/>
        <s v="CORP MUNIC IQUIQUE"/>
        <s v="CORP.MUNICIPAL DE DES.SOCIAL DE LAMPA"/>
        <s v="CORPORACION MUNICIPAL DE DESARROLLO SOCIAL DE CALAMA"/>
        <s v="CORPORACION MUNICIPAL SAN MIGUEL"/>
        <s v="CORP.MUNICIPAL PARA DES.SOCIAL-V.ALEMANA"/>
        <s v="UNIVERSIDAD DIEGO PORTALES"/>
        <s v="CORP MUNIC CALERA DE TANGO"/>
        <s v="CORMUN RANCAGUA - ADMINISTRACION CENTRA"/>
        <s v="CORP MUNICIPAL DE PANGUIPULLI"/>
        <s v="CORP MUNIC ANTOFAGASTA"/>
        <s v="POSTA DE SALUD RURAL AGONI"/>
        <s v="CORP MUNIC RAMON FREIRE"/>
        <s v="CORP MUNIC CASTRO ED Y SALUD"/>
        <s v="CORP MUNIC PUQUELDON"/>
        <s v="CORPORACION MUNICIPAL QUINCHAO"/>
        <s v="CORP DE EDUCACION SALUD Y MENORES DE PUERTO NATALES"/>
        <s v="CORP MUNIC QUELLON"/>
        <s v="CORPORACION MUNICIPAL DEL PEÑALOLEN"/>
        <s v="CORP MUNIC LO PRADO"/>
        <s v="CORP MUNIC CURACO DE VELEZ"/>
        <s v="CORP MUNIC DE MELIPILLA"/>
        <s v="CORP MUNIC EDUC SALUD Y"/>
        <s v="CORP MUNICIPAL SAN FERNANDO PARA LA ATENCION MENORES Y LAS A DE E Y S"/>
        <s v="CORP MUNIC DE MACUL"/>
        <s v="CORPORACION DE DESARROLLO SOCIAL DE LA REINA"/>
        <s v="CORP MUNIC ANCUD"/>
        <s v="CORP MUNIC SAN JOAQUIN"/>
        <s v="CORP MUNIC POZO ALMONTE"/>
        <s v="UNIVERSIDAD MAYOR"/>
        <s v="UNIVERSIDAD NACIONAL ANDRES BELLO"/>
        <s v="CLINICA UNIVERSIDAD DE LOS ANDES"/>
        <s v="UNIVERSIDAD SEK"/>
        <s v="UNIVERSIDAD AUTONOMA DE CHILE"/>
        <s v="UNIVERSIDAD DEL DESARROLLO"/>
        <s v="UNIVERSIDAD CATOLICA DE LA SANTISIMA CONCEPCION"/>
        <s v="UNIVERSIDAD CATOLICA DEL MAULE"/>
        <s v="CORP SALUD Y DES SOC CONCEPCION"/>
        <s v="MUNIC PINTO DEPTO SALUD"/>
        <s v="I MUNICIPALIDAD DE PEMUCO DEPARTA MENTO DE SALUD"/>
        <s v="MUNICIPALIDAD CONTULMO"/>
        <s v="MUNICIPALIDAD CONCON"/>
        <s v="DIRECCION DE SALUD DE CARABINEROS DE CHILE"/>
        <s v="DIRECCION DE SALUD SAN PEDRO DE LA PAZ"/>
        <s v="ASOC IND P LA SALUD GENERAL"/>
        <s v="SOCIEDAD DE SERVICIOS MEDICOS MEDIPLUS HOMECARE LTDA."/>
        <s v="IMPORTADORA MEGAMARKET"/>
        <s v="CLINICA MEDICAL HOME CHILE LIMITADA"/>
        <s v="CLINICA ANDES SALUD CONCEPCION S.A"/>
        <s v="BUPA SERVICIOS DE SALUD SPA"/>
        <s v="SIRAK PRESTACIONES CLINICAS"/>
        <s v="MEGAMED CHILE LIMITADA"/>
        <s v="ORTODONCIA  MANQUEHUE LTDA"/>
        <s v="SOCIEDAD MEDICA RACUM LIMITADA"/>
        <s v="FERNANDA VIEYRA SPA"/>
        <s v="COMERCIALIZADORA DE EQUIPOS E INSUMOS MEDICOS S.A."/>
        <s v="CLINICA ODONTOLOGICA SONRIE LTDA"/>
        <s v="IMPORTADORA Y COMERCIALIZADORA BBC CHILE SA"/>
        <s v="SERVICIOS CLINICOS DEL DESARROLLO SA"/>
        <s v="HOSPITAL CLINICO DEL SUR"/>
        <s v="COPROLAN LIMITADA"/>
        <s v="PRESTACIONES MEDICAS A Y C LTDA"/>
        <s v="SOCIEDAD COMERCIAL Y DE SERVICIOS MEDICOS PUNTOMED LIMITADA"/>
        <s v="CMA COSTANERA CMA"/>
        <s v="INTEGRAMEDICA S.A."/>
        <s v="SOCIEDAD SANTA BLANCA SPA"/>
        <s v="HN SPA"/>
        <s v="MEDISERVI LIMITADA"/>
        <s v="SOCIEDAD SERVICIOS ODONTOLOGICOS PAREDES Y PAREDES LTDA."/>
        <s v="PRESTACIONES MEDICAS DRA. JACOB LTM"/>
        <s v="HOSPITAL DOCENTE VETERINARIO UNIVERSIDAD MAYOR SPA"/>
        <s v="PROMED LTDA."/>
        <s v="ICPOE SPA"/>
        <s v="CLINICA HOGAR BUENA SALUD SPA"/>
        <s v="SOCIEDAD COMERCIAL E INVERSIONES SIERRA BELLA LTDA."/>
        <s v="CEA Y CORNEJO LIMITADA"/>
        <s v="CENTRO DE OFTALMOLOGIA DR. DAVID BITRAN"/>
        <s v="CENTRO VETERINARIO ALEMAN KLEINTIERKLINIK LIMITADA."/>
        <s v="EMPRESA DE SERVICIOS EXTERNOS ASOCIACION CHILENA DE SEGURIDAD TRANSPOR"/>
        <s v="COMERCIAL LEGUER S.A."/>
        <s v="COMERCIAL INTERMEDICA LTDA"/>
        <s v="AWAD ARTICULOS MEDICOS LTDA."/>
        <s v="DAVID PARRA GAETE SERVIVIOS VETERINARIOS INTEGRALES EIRL"/>
        <s v="SOCIEDAD INMOBILIARIA Y PRESTADORA DE SERVICIOS MEDICOS VIVIRSALUD LIM"/>
        <s v="ARTICULOS MEDICOS Y QUIRURGICOS CHILE S.A."/>
        <s v="NEMO CHILE S.A."/>
        <s v="COMERCIAL RESCATELIFE LIMITADA"/>
        <s v="DISTRIBUIDORA DE INSUMOS MARIA INES GALLEGOS REYES E.I.R.L."/>
        <s v="SANALAB S.A."/>
        <s v="SERVICIOS MEDICOS VALERIA GALLEGOS Y CIA LTDA"/>
        <s v="BERGEN MEDICAL SPA"/>
        <s v="COMERCIALIZADORA ILHABELLA EIRL"/>
        <s v="CENTRO MEDICO Y ODONTOLOGICO ALCARDENT LIMITADA"/>
        <s v="INVERSIONES GEERDINK LTDA"/>
        <s v="SERCOMIN SPA"/>
        <s v="SOCIEDAD CELIC ORTIZ LIMITADA"/>
        <s v="IMPORTADORA NECGROUP SPA"/>
        <s v="CENTRO DE ENFERMERIA ESPECIALIZADA DOMINURSING LIMITADA"/>
        <s v="SERVICIOS MEDICOS JORGE CORDERO ORELLANA Y CIA LTDA"/>
        <s v="INSUMOS JORGE LEONARDO LOAIZA VIDAL EIRL"/>
        <s v="SDOS LTDA"/>
        <s v="ESTERILIZACION INTEGRAL CENCOMEX S.A."/>
        <s v="SOCIEDAD DE PROFESIONALES CIRUGIA MAXILO FACIAL Y CUIDADOS POST QUIRURGICOS LIMI"/>
        <s v="IMV INGENIERIA SPA"/>
        <s v="CLINICA MEDS"/>
        <s v="IMPORTADORA Y COMERCIALIZADORA LUIS F CUBILLOS VENEGAS EIRL"/>
        <s v="RTSALUD LIMITADA"/>
        <s v="SOCIEDAD COMERCIAL EXPORTADORA Y DE INVERSIONES SOCOSEP S.A."/>
        <s v="CLINICA ENSENADA SPA"/>
        <s v="SOCIEDAD ODONTOLOGICA KENNEDY ORIENTE LTDA"/>
        <s v="SERVICIOS DE ATENCION MEDICA INTEGRAL"/>
        <s v="SERVICIOS DE ADIESTRAMIENTO, GUARDERIA, PELUQUERIA, PASEO DE MASCOTAS"/>
        <s v="GLOBAL PHARMA SPA"/>
        <s v="SEGURIDAD Y SALUD SUR LTDA."/>
        <s v="GLOBALMED SPA"/>
        <s v="CLINICA STUDIOMED SPA"/>
        <s v="NOVAPARTNERS LTDA."/>
        <s v="NUCLEO SALUD SPA"/>
        <s v="SERVICIOS MEDICOS OFTALMOLOGICOS CEOLA- LOS ANGELES"/>
        <s v="CLINICA PUERTO MONTT S.P.A."/>
        <s v="SOCIEDAD ENDOSCOPIA CLINICA LINARES SPA"/>
        <s v="SOC. COMERCIAL PHAROS SPA."/>
        <s v="DISTRIBUIDORA DE ARTICULOS MEDICOS Y DENTALES JUAN ALBERTO MORA MUNOZ E.I.R.L"/>
        <s v="CENTRO DE LA VISION S.A."/>
        <s v="PRISA LOGISTICA S.A."/>
        <s v="SOC. FARM. Y COMERCIAL PATRICIO MONTECINO EIRL"/>
        <s v="GUSTAVO RIVAS PARRA COMERCIALIZADORA E.I.R.L."/>
        <s v="COMPAÑIA TECNOLOGICA GOBACK TECHNOLOGY  LTDA."/>
        <s v="SERVICIOS DE DIAGNOSTICOS VETERINARIOS SPA"/>
        <s v="SOCIEDAD ALEJANDROS LIMITADA"/>
        <s v="ANDES INVESTMENTS SANTIAGO S.A."/>
        <s v="SERVICIOS Y PRODUCTOS EDUCATIVOS CRISOL LIMITADA"/>
        <s v="CENTRO MEDICO HTS SPA"/>
        <s v="KLEEN SUPPLY SPA"/>
        <s v="INVERSIONES HEVM LIMITADA"/>
        <s v="NUEVA SANTA CATALINA S.A."/>
        <s v="GRUPO ORINOCO LIMITADA"/>
        <s v="DELTAMED LIMITADA"/>
        <s v="COMERCIALIZADORA DIMED LIMITADA"/>
        <s v="CLINICA ANDES SALUD CHILLAN S.A"/>
        <s v="RED NACIONAL DE CENTROS MEDICOS Y DE DIALISIS S.A."/>
        <s v="INVERMED LTDA"/>
        <s v="CENTRO MEDICO BIOQUANTUM LTDA"/>
        <s v="BIOHEIS SPA"/>
        <s v="COMERCIAL ISACAR SPA."/>
        <s v="SERVICIOS PROFESIONALES PETER SWUAN LIMITADA"/>
        <s v="SOCIEDAD LOS MOLINOS SPA"/>
        <s v="SUPPLIES MED CHILE SPA"/>
        <s v="EXPORTACIONES IMPORTACIONES DISTIRBUIDORA KAREM CHILE SPA"/>
        <s v="CLINICA ALEMANA DE VALDIVIA"/>
        <s v="SOCIEDAD COMERCIAL NORFARMA LIMITADA"/>
        <s v="IMPORTADORA Y COMERCIALIZADORA TODOMED SPA"/>
        <s v="IMPORTADORA MOTAC SPA"/>
        <s v="CLINICA EDEM SPA"/>
        <s v="ONEWAY SPA"/>
        <s v="COMERCIALIZADORA ROBINS CARRILLO SALAZAR E.I.R.L."/>
        <s v="DIAZ &amp; MATAMALA SPA"/>
        <s v="COMERCIALIZADORA RAMP LIMITADA"/>
        <s v="COMERCIALIZADORA Y DISTRIBUIDORA MIREYA VALLEJOS VALLCHILE EMPRESA IND"/>
        <s v="INPUT MEDICAL SPA"/>
        <s v="INMUNOMEDICA ECOGRAFIA CHILLAN"/>
        <s v="MLCHV COMERCIALIZADORA DE INSUMOS MEDICOS EIRL"/>
        <s v="INSUMOS Y EQUIPOS MEDICOS KEP MEDICAL SPA"/>
        <s v="CENTRO DE PROCEDIMINETOS AMBULATORIOS SPA"/>
        <s v="R &amp; E GROUP SPA"/>
        <s v="SOCIEDAD MEDICO QUIRURGICA ZULLEYMAN SPA"/>
        <s v="SANASALUD CENTROS MEDICOS SA"/>
        <s v="CLINICA VETERINARIA MASTER VET SPA"/>
        <s v="ECSA COMERCIAL LTDA"/>
        <s v="VETERINARIA CLAUDIA PARRAGUEZ GARRIDO E.I.R.L."/>
        <s v="EDUCARBUS LTDA"/>
        <s v="DISTRIBUIDORA DE INSUMOS MEDICOS ALBURIMED SPA"/>
        <s v="COMERCIALIZADORA DE INSUMOS MEDICOS Y ORTOPEDICOS"/>
        <s v="CV SALUD SPA"/>
        <s v="SOC.DE SERVICIOS Y ASESORIA ODONTOLOGICA JORGE AGUAYO CABRERA Y CIA LTDA"/>
        <s v="COMERCIAL MEDEXIN SPA"/>
        <s v="CAVIMED SALUD SPA"/>
        <s v="FARMANOSTICA SPA"/>
        <s v="MUNZENMAYER NUÑEZ MAXILOFACIAL LTDA."/>
        <s v="SOCIEDAD GABRIEL ACUÑA Y CIA LIMITADA"/>
        <s v="STEP OF LIFE LTDA"/>
        <s v="SOCIEDAD DE SERVICIOS MEDICOS IL RETORNO SPA"/>
        <s v="CLINICA NUEVA COSTANERA SPA"/>
        <s v="ELLEN STORE COMERCIALIALIZADORA"/>
        <s v="AQUAMED SPA"/>
        <s v="FEDEX EXPRESS CHILE  SPA"/>
        <s v="LEAL Y GUERRA SPA"/>
        <s v="SOCIEDAD DE INVERSIONES BARCELONETA SPA"/>
        <s v="SOTECNO MEDICAL SPA"/>
        <s v="NOVOSALUD SPA"/>
        <s v="SKY-WALKERS SPA"/>
        <s v="B&amp;B MANTENCIONES SPA."/>
        <s v="SOCIEDAD VETERINARIA ALTO EL LOA LTDA"/>
        <s v="PROYECTO 360 LTDA"/>
        <s v="CASA SALUD SPA"/>
        <s v="LABORATORIO MEDICTEST SPA"/>
        <s v="SEPULVEDA Y ESPINOZA COMERCIALIZADORA MEDICA LIMITADA"/>
        <s v="CLINICA CELLUS SPA"/>
        <s v="INFRASPORTS SPA"/>
        <s v="MEDPLAN S.P.A."/>
        <s v="VALMA INSUMOS SPA"/>
        <s v="SERVICIOS MEDICO VETERINARIOS INTEGRALES SPA"/>
        <s v="ICSFARMA SPA"/>
        <s v="BEFORE PUBLICIDAD SPA"/>
        <s v="CLINICA REGIONAL LIRCAY SPA"/>
        <s v="DENTAL PLUS SPA"/>
        <s v="DROGUERIA COMED SPA."/>
        <s v="SOCIEDAD COMERCIAL ARTCLINIC LIMITADA"/>
        <s v="SOCIEDAD MEDICA Y DE INVERSIONES RODRIGUEZ Y RODRIGUEZ SPA"/>
        <s v="SOCIEDAD COMERCIAL Y DE SERVICIOS CLINICOS INTEGRADOS SPA."/>
        <s v="EDUCACION DEPORTE Y CULTURA EDDECU SPA"/>
        <s v="FRANKFERT"/>
        <s v="GRUPO YOUSSEF SPA SPA"/>
        <s v="NUEVA CLINICA CORDILLERA PREST.HOSPITALIZADAS S.A."/>
        <s v="SOLUMEDICA SOLUCIONES INTEGRALES SPA"/>
        <s v="CLICKMEDICAL SPA"/>
        <s v="COMERCIALIZADORA Y SERVICIOS INTEGRALES MARCO ANTONIO HENRIQUEZ BUSTAMANTE E.I.R.L."/>
        <s v="AC MEDICAL GROUP"/>
        <s v="PRODUCTOS Y SERVICIOS CLINICOS DOMICILIARIOS P Y C SPA"/>
        <s v="COMERCIAL NOVAQUIM LTDA."/>
        <s v="SOCRA SPA"/>
        <s v="MIVET SPA"/>
        <s v="SASF COMERCIAL LTDA"/>
        <s v="CLINICA ATACAMA"/>
        <s v="HOSPITAL SAN FRANCISCO PUCON SPA"/>
        <s v="DR.RECASENS ODONTOLOGIA SPA"/>
        <s v="COMERCIAL V&amp;V SPA"/>
        <s v="ARRIENDOS Y CAPACITACION TUBOX LIMITADA"/>
        <s v="ORANGE RETAIL SPA"/>
        <s v="FABRICA DE BANDEJA LIMITADA MARIA ANGELICA VANNI"/>
        <s v="CENTRO INTEGRAL VASQUEZ VARGAS LTDA."/>
        <s v="MEDICAL ENSEMBLE SPA"/>
        <s v="DISTRIBUIDORA Y COMERCIADORA DE INSUMOS MEDICOS FULL ORTHO MEDIC LIMITADA"/>
        <s v="BIOMATIC DE CHILE SPA"/>
        <s v="COMERCIAL E &amp; E SPA"/>
        <s v="M26 MARKETING SPA"/>
        <s v="NUTRICION Y SALUD DANIEL ALONSO GARRIDO HERNANDEZ E.I.R.L"/>
        <s v="HEALTHMARKETS SPA"/>
        <s v="SERVICIOS DE SALUD Y ASESORIAS INTEGRALES LTDA"/>
        <s v="VENSUAR NEUROLOGIA VETERINARIA SPA"/>
        <s v="MEKS PRESTACIONES CLINICAS SPA"/>
        <s v="INGENIERIA, SOPORTE Y CADENA DE SUMINISTRO SPA"/>
        <s v="EVERGREEN HEALTH SPA"/>
        <s v="DIERTEC MEDICAL I SPA"/>
        <s v="QUINTAVET SPA"/>
        <s v="FARMAPLUS CHILE SPA."/>
        <s v="KOSANTE LIMITADA"/>
        <s v="QUALITY SPA"/>
        <s v="ASESORIA Y SERVICIOS MEDICOS NILSER MARIA SANTOS ALVARADO E.I.R.L."/>
        <s v="SANAMEDICAL SPA"/>
        <s v="GREENWICH MEDICAL SPA"/>
        <s v="MADE SPA"/>
        <s v="FARMACIA VETS SPA"/>
        <s v="CENTRO MEDICO DENTAL SCALA LIMITADA"/>
        <s v="CLINICAL PLUS SPA"/>
        <s v="DISTRIBUIDORA DE INSUMOS MEDICOS S.P.A"/>
        <s v="CLINICA PLANAS SPA"/>
        <s v="COMERCIALIZADORA E IMPORTADORA DOSALIA GROUP LTDA"/>
        <s v="DEVIT3K SPA"/>
        <s v="SOCIEDAD QUIRURGICA INMOBILIARIA SP, SPA"/>
        <s v="AMBULANCIAS MEDICAL PROGRESS SPA"/>
        <s v="SOCIALMEDIC SPA"/>
        <s v="ALARMAS ABUMOHOR SPA"/>
        <s v="DISTRIBUIDORA DE ARTICULOS MEDICOS MICAELA NAHIR JARA IBAÑEZ EIRL"/>
        <s v="TERAPIA Y SALUD"/>
        <s v="MARAMAN SPA"/>
        <s v="ALVARO ALEXYS TAPIA LARA VENTA AL POR MENOR DE OTROS PRODUCTOS EN COME"/>
        <s v="GLASSLABCHILE SPA"/>
        <s v="MULTIVERSO"/>
        <s v="NIMOBRU SPA"/>
        <s v="MEDIC HOME SPA"/>
        <s v="INSUNOVO SPA"/>
        <s v="DUOMO SALUD SPA"/>
        <s v="MV JULIO GABRIEL ZUÑIGA ARANGUA EIRL"/>
        <s v="OUTLET MEDICO SPA"/>
        <s v="INVERSIONES INAVE SPA"/>
        <s v="COMERCIALIZACIÓN Y MANTENCIÓN HIGHTECH MEDICAL CHILE SPA"/>
        <s v="COMERCIAL CONNEXO SPA"/>
        <s v="SERVICIOS MEDICOS Y LABORATORIO KORUMED LIMITADA"/>
        <s v="DISTRIBUIDORA C&amp;V LINARES SPA"/>
        <s v="LUZGOMED CHILE SPA"/>
        <s v="COMERCIAL CEQUIVET SPA"/>
        <s v="SOCIEDAD COMERCIALIZADORA E IMPORTADORA HOUSE OTAZAM LIMITADA"/>
        <s v="IMPORTADORA Y COMERCIALIZADORA AILLON Y SIERRA SPA."/>
        <s v="COMERCIALIZADORA DE INSUMOS MEDICOS ANA MARCELA DE LOURDES ESPINOZA NA"/>
        <s v="SEVENVET SPA"/>
        <s v="BIOUP SPA"/>
        <s v="SOC IMPORTADORA OPTIVISION LIMITADA"/>
        <s v="RADS SPA"/>
        <s v="D&amp;P SPA"/>
        <s v="CELLUS DIAGNOSTIX SPA"/>
        <s v="VIMED SPA"/>
        <s v="B BROTHERS SPA"/>
        <s v="LEBLON PLASTIC SURGERY SPA"/>
        <s v="COMERCIALIZADORA Y DISTRIBUIDORA VASSAN LTDA"/>
        <s v="IMPORTADORA INSUMEDICAL CHILE"/>
        <s v="LABLE &amp; CORREA ASOCIADOS LIMITADA"/>
        <s v="TROPICAL BODY"/>
        <s v="DRA. ANDREA GARCIA RUIZ SERVICIOS MEDICOS SPA"/>
        <s v="ROCARITES SPA"/>
        <s v="COMERCIAL INSUCONFEX SPA"/>
        <s v="SERVICIOS CLINICOS LIMITADA"/>
        <s v="CLINICA VETERINARIA TOPCAT LIMITADA"/>
        <s v="SERVIFRAP SPA"/>
        <s v="IMAS EQUIPAMIENTO E INSUMOS MEDICOS SPA"/>
        <s v="IMPORTADORA Y COMERCIALIZADORA VIKTUS SPA."/>
        <s v="CLINICA DE IMPLANTOLOGIA Y PERIODONCIA SANZ LTDA"/>
        <s v="KLINICA LEON SPA"/>
        <s v="AMPUERO TOVAR SERVICIOS ESTETICOS SPA"/>
        <s v="INSUMOS MEDICOS VETERINARIOS"/>
        <s v="EQUIPOS MEDICOS CHILE SPA"/>
        <s v="CLINICA VETERINARIA AUSTRAL SPA"/>
        <s v="SOCIEDAD HERREGOM SPA"/>
        <s v="SALUD HOGAR Y CENTRAL DE VIDA LTDA"/>
        <s v="INSUMED SPA"/>
        <s v="ANDES INVESTMENTS SANTIAGO TRES S.A"/>
        <s v="SUR SPA"/>
        <s v="CONFECCION Y COMERCIALIZACION DE PRENDAS DE VESTIR, TEJIDOS, TELAR, OT"/>
        <s v="ANESTESIA TORRES SPA"/>
        <s v="PRODUCTOS Y SERVICIOS MEDICOS SPA"/>
        <s v="GLOBALIMPLANT"/>
        <s v="CIRUJANOS DENTISTA LTDA."/>
        <s v="INNOVACION Y CALIDAD EN SALUD PATRICIO LOBOS EIRL"/>
        <s v="QUANTUM BIOLOGICS SPA"/>
        <s v="CLINICA HUINGANAL SPA"/>
        <s v="TRANSPORTES PENTACROM EXPRESS S.A"/>
        <s v="ARTMEDICAL SPA"/>
        <s v="SOCIEDAD CMA SPA"/>
        <s v="SOCIEDAD HEMODIALISIS CONCON SPA"/>
        <s v="VOYSERVICE SPA"/>
        <s v="SERVICIOS VETERINARIOS PAULA ANDREA GONZALEZ VALDERRAMA E.I.R.L."/>
        <s v="PACIFIC HEALTH CARE LTDA"/>
        <s v="BIO HEALTH SPA"/>
        <s v="FARMACIA SETOP PHARMA LTDA"/>
        <s v="PATIPERROS PET SPA"/>
        <s v="CLINICA PLUSDENTAL"/>
        <s v="EXCELMED SPA"/>
        <s v="FRESENIUS KABI CHILE LTDA"/>
        <s v="CLINICA ALONSO DE CORDOVA SPA"/>
        <s v="SERVICIOS DE SALUD CAROLINA PANZA E.I.R.L"/>
        <s v="SERVICIOS MEDICOS REDMEDICA LTDA."/>
        <s v="SOCIEDAD INMOBILIARIA VENEZIA SPA"/>
        <s v="INSUMEDICAL SPA"/>
        <s v="COMERCIAL CARANDAY SPA"/>
        <s v="SERVICIOS CLINICOS Y CUIDADOS INTEGRALES SPA"/>
        <s v="SERVICIOS CASTILLO CASTILLO LIMITADA"/>
        <s v="SOCIEDAD MEDICO QUIRURGICO ASMOR LTDA"/>
        <s v="IMPORTADORA Y COMERCIALIZADORA COMU SPA"/>
        <s v="CLINICA NEO SPA"/>
        <s v="SOCIEDAD DE INVERSION PQCR SPA"/>
        <s v="INSUMOS CEAP SPA"/>
        <s v="CLINICA ALMIRANTE PASTENE SPA"/>
        <s v="CLÃNICA ALMIRANTE PASTENE SPA"/>
        <s v="SERVICIOS INTEGRALES MEDICOS VALERIA ESTEFANIA MOLINA ROMAN E.I.R.L."/>
        <s v="KHV PRODUCTOS Y SERVICIOS SPA"/>
        <s v="JFV SPA"/>
        <s v="SOMNUS SPA"/>
        <s v="QUINTAMED SPA"/>
        <s v="INTRAMEDICAL CHILE SPA"/>
        <s v="SERVICIOS ASESORIAS FINANCIERAS LTDA."/>
        <s v="CLINICA DE CIRUGIA Y ESTETICA MAXILOFACIAL LIMITADA"/>
        <s v="INSUMAX SPA"/>
        <s v="SERVICIOS E INSUMOS MEDICOS SPA"/>
        <s v="MULTIPRODUCTO SPA"/>
        <s v="OPERACION CLINICA HUINGANAL"/>
        <s v="SOCIAL INTERMEDICA LTDA"/>
        <s v="CENTRO DE ESPECIALIDADES MEDICAS OHIGGINS SPA"/>
        <s v="SOCIEDAD DE SERVICIOS LIUCURA SPA"/>
        <s v="CENTRO DE ENFERMERIA ACONCAGUA LTDA."/>
        <s v="NEWMEDICALSPA"/>
        <s v="SOCIEDAD MEDICA DEORUM ARS SPA"/>
        <s v="SOCIALVET"/>
        <s v="SOCIEDAD DE PROFESIONALES VETERINARIOS LAGO PEÑUELAS LIMITADA"/>
        <s v="SOCIEDAD DE PROFESIONALES VETERINARIOS PETHOUSE LIMITADA"/>
        <s v="CLINICA VETERINARIA Y LABORATORIO ONCOVET SPA"/>
        <s v="COMERCIALIZADORA SAFE CARE SPA"/>
        <s v="ODONTOLOGIA SOTOMAYOR LIMITADA"/>
        <s v="SERVICIOS VETERINARIOS FPA LIMITADA"/>
        <s v="CENTRO MEDICO DE PROCEDIMIENTOS AMBULATORIOS SPA"/>
        <s v="SOCIEDAD MEDICO VETERINARIA PETROHUE LIMITADA"/>
        <s v="INSUMOS MEDICOS JAVIERA TORREBLANCA MUÑOZ E.I.R.L."/>
        <s v="VIDDAQA SPA"/>
        <s v="Comercializadora CyS Spa"/>
        <s v="SOCOFAR S.A. AGENCIA EN CHILE"/>
        <s v="CENTRO MEDICO DRA. EDELWEISS MAYR SPA"/>
        <s v="MAUCEN SPA"/>
        <s v="INSUMOS ANGELO ZAMORA E.I.R.L."/>
        <s v="ATENCION INTEGRAL PARA EL ENFERMO LIMITADA"/>
        <s v="AUNFLUX IMPORTADORA LIMITADA"/>
        <s v="ESPECIALIDADES ODONTOLOGICAS MORA PAVIC S.A."/>
        <s v="ROCA SERVICIOS MEDICOS Y ENFERMERIA LIMITADA"/>
        <s v="SERVICIOS VETERINARIOS ROBERTO REREQUE CANDIA E.I.R.L"/>
        <s v="COMERCIALIZADORA AL POR MAYOR Y MENOR DE PRODUCTOS MEDICOS Y VETERINAR"/>
        <s v="MAYERS SALUD Y TECNOLOGIA SPA"/>
        <s v="SERVICIOS DE SALUD CHILE AYR SPA"/>
        <s v="INSUMOS CLINICOS CYV"/>
        <s v="CENTRO MEDICO OCHAGAVIA SPA."/>
        <s v="RECETARIO MAGISTRAL ENDOVENOSO"/>
        <s v="JACK MEMPHIS MEDICAL SPA"/>
        <s v="CRONIC CARE SPA"/>
        <s v="ANESTESIAVET SPA"/>
        <s v="COMERCIALIZADORA Y DISTRIBUIDORA LIYO SPA"/>
        <s v="BLES SPA"/>
        <s v="PROVIMED CHILE SPA"/>
        <s v="COMERCIALIZADORA JJE SPA"/>
        <s v="CLINICA MAITENES"/>
        <s v="GOODLUCKY SPA"/>
        <s v="COMERCIALIZADORA COPROCK LTDA."/>
        <s v="BIOSOLUCIONES MEDICAS CHILE LIMITADA"/>
        <s v="INSUCHILE SPA"/>
        <s v="LABORATORIO CLINICO SOCIEDAD COMERCIAL ROCOR LTDA"/>
        <s v="MOTA MASCOTA SPA"/>
        <s v="PLASTICOS HOMS LIMITADA"/>
        <s v="INMEVET SPA"/>
        <s v="SOLUCIONES DE PULPA MOLDEADA SPA"/>
        <s v="FASTMED.CL SPA"/>
        <s v="AMSAB MEDICINA LTDA."/>
        <s v="HD MEDIC SPA"/>
        <s v="JORGE CONTRERAS VEGA Y CIA LTDA"/>
        <s v="COMERCIALIZADORA J. J. FERRER SPA"/>
        <s v="SOLUCIONES GADIEL SPA"/>
        <s v="HELPMEDICAL SPA"/>
        <s v="OVERCOMED SPA"/>
        <s v="COMERCIALIZADORA DE PRODUCTOS DENTALES Y MEDICOS LTDA"/>
        <s v="ECOSCANNER SPA"/>
        <s v="DIPROLAB LTDA"/>
        <s v="LUIS PÉREZ SPA"/>
        <s v="CLINICA SAN ANTONIO S.A."/>
        <s v="AEROCARDAL LTDA"/>
        <s v="ORTOPEDIA SATURNO LIMITADA"/>
        <s v="CLINICA AVANSALUD S.A."/>
        <s v="COMERCIALIZADORA DE INSUMOS MÉDICOS TRES MEDICAL LIMITADA"/>
        <s v="SERVICIOS MEDICOS TABANCURA S.P.A."/>
        <s v="FARMACIAS LLANQUIHUE SPA"/>
        <s v="EXXIMMED 2000 SPA"/>
        <s v="PRIWESTER SPA"/>
        <s v="IMH S.A"/>
        <s v="CODIMED CHILE LIMITADA"/>
        <s v="UNIDAD DE DIALISIS HEMOSUR LTDA"/>
        <s v="CLINICA CLEVER SALUD LTDA"/>
        <s v="HOSPITALIA PRODUCTOS MEDICOS LTDA."/>
        <s v="CENTRO DE ESPECIALIDADES FARMACEUTICAS SPA"/>
        <s v="SOC DE PRESTACIONES MEDICAS SAN VI CENTE LIMITADA"/>
        <s v="SOCIEDAD DE SERVICIOS MEDICOS QUIRURGICO LTDA."/>
        <s v="COMERCIAL ETHOS S.A."/>
        <s v="CENTROS MEDICOS Y DENTALES MULTIMED LTDA"/>
        <s v="CLINICA OFTALMOLOGICA ISV LIMITADA"/>
        <s v="SERVICIOS MEDICOS DE DIALISIS LTDA"/>
        <s v="KYCHENTHAL MEDICOS ASOCIADOS LTDA"/>
        <s v="CLINICA  DE SALUD INTEGRAL S.A."/>
        <s v="ETHA DISTRIBUIDORA MEDICA LTDA."/>
        <s v="CLINICA REÑACA S.A."/>
        <s v="CLINICA LAS AMAPOLAS LIMITADA"/>
        <s v="WINKLER LTDA"/>
        <s v="EKIPOTEL CHILE S.A"/>
        <s v="SERVICIOS MEDICOS OFTALMOLOGICOS CEOLA"/>
        <s v="PV EQUIP S.A"/>
        <s v="GERARDO ANTONIO VEGA NEIRA"/>
        <s v="JOSE BORTNIK Y CIA LTDA"/>
        <s v="CLINICA SANATORIO ALEMAN"/>
        <s v="INMED S.A"/>
        <s v="UNIVERSIDAD DE CONCEPCION"/>
        <s v="HOSPITAL CLINICO U.C."/>
        <s v="SOC PRO AYUDA DEL NINO LISIADO"/>
        <s v="CORPORACION DE BENEFICENCIA OSORNO"/>
        <s v="FUNDACION HOSPITAL PARROQUIAL  SAN BERNARDO"/>
        <s v="CONG PEQ OBRA DIVINA PROVIDENCIA"/>
        <s v="SANATORIO MARITIMO SAN JUAN DE DIOS"/>
        <s v="CORPORACION IGLESIA ADVENTISTA DEL 7Â° DIA"/>
        <s v="FARMACIA PRAT LTDA"/>
        <s v="CENTRO DE DIAGNOSTICO DIGESTIVO LIMITADA"/>
        <s v="CLINICA SAN AGUSTIN S.A."/>
        <s v="MEDIPLEX S.A"/>
        <s v="LABORATORIO CLINICO ANALYZER LTDA."/>
        <s v="INMED DROGUERIA LTDA."/>
        <s v="UNIVERSIDAD DE LA FRONTERA"/>
        <s v="LABORATORIO CLINICO LONCOMILLA LTDA"/>
        <s v="CENTRO DE DIALISIS ARAUCANIA LTDA"/>
        <s v="CLINICA SANATORIO ALEMAN S.A"/>
        <s v="LUIS IGNACIO HUMBERTO ROASENDA SEGUEL"/>
        <s v="CORTES Y AGUILERA S.A."/>
        <s v="E.C.M. INGENIERIA S.A."/>
        <s v="CLUB HIPICO DE SANTIAGO"/>
        <s v="SOCIEDAD HIPODROMO CHILE S.A."/>
        <s v="CLINICA SANTA MARIA SPA"/>
        <s v="SOCOFAR SA"/>
        <s v="INSTITUTO DE DIAGNOSTICO S.A."/>
        <s v="MIGUEL BULLER MIRANDA"/>
        <s v="IMPORTADORA Y DISTRIBUIDORA ARQUIMED LTDA"/>
        <s v="CLINICA LAS CONDES S.A."/>
        <s v="SERVICIOS Y ABASTECIMIENTOS A CLINICAS S.A."/>
        <s v="CLINICA DAVILA Y SERVICIOS MEDICOS SPA"/>
        <s v="HEMISFERIO SUR S.A."/>
        <s v="PROVEEDORES INTEGRALES PRISA S A"/>
        <s v="SOCIEDAD DE DIALISIS Y NEFROLOGIA S.A."/>
        <s v="SERVICIOS PROFESIONALES ANDRES BELLO SPA."/>
        <s v="CLINICA MAGALLANES S.P.A."/>
        <s v="RECUPAC S.A"/>
        <s v="CLINICA IQUIQUE S.A."/>
        <s v="SERVI SALUD S.A."/>
        <s v="CLINICA ALEMANA DE TEMUCO S A"/>
        <s v="INTERNATIONAL MEDICAL PRODUCTS"/>
        <s v="CORPORACION MEDICA DE ARICA S.A."/>
        <s v="CLINICA EUROPA SPA"/>
        <s v="TECNIKA S.A."/>
        <s v="ALLMEDICA S.A."/>
        <s v="IMAGENOLOGIA DIAGNOSTICO S.A."/>
        <s v="CLINICA LOS ANDES DE LOS ANGELES"/>
        <s v="SOC MEDICA DE ESTABLECIMIENTOS CLINICOS DE SALUD S A"/>
        <s v="SERVICLINICA S.A"/>
        <s v="ATM ALTA TECNOLOGIA MEDICA"/>
        <s v="C.G.M NUCLEAR S.A."/>
        <s v="INSTITUTO OFTALMOLOGICO PUERTA DEL SOL S.A."/>
        <s v="CLINICA ANDES SALUD PUERTO MONTT S.A"/>
        <s v="LABORATORIO DIAGNOMED S.A."/>
        <s v="CLINICA ALEMANA"/>
        <s v="INMOBILIARIA INVERSALUD SPA"/>
        <s v="SOCIEDAD MEDICA LA TIRANA"/>
        <s v="CLINICA COLONIAL S.A."/>
        <s v="CLINICA ANDES SALUD EL LOA S.A."/>
        <s v="SERVICLINICA IQUIQUE S.A."/>
        <s v="SONORAD II S.A."/>
        <s v="CLINICA BICENTENARIO S.A."/>
        <s v="CLINICA BIO BIO SPA"/>
        <s v="CLINICA CIUDAD DEL MAR S.A."/>
        <s v="CLINICA VESPUCIO SPA"/>
        <s v="BIOCLIN S.A."/>
        <s v="CLINICA LOS COIHUES"/>
        <s v="MEGASALUD S.A."/>
        <s v="HOSPITAL CLINICO VIÑA DEL MAR"/>
        <s v="CENTRO AVANZADO DE TRATAMIENTO DE HERIDAS SA"/>
        <s v="EXAMENES DE LABORATORIO S A"/>
        <s v="PARACLINICS S A"/>
        <s v="CENTRO VETERINARIO INTEGRAL SA"/>
        <s v="NEPHROCARE CHILE S.A."/>
        <s v="UMS UNITED MEDICAL SYSTEMS CHILE S A"/>
        <s v="CLINICA REGIONAL DEL ELQUI SPA"/>
        <s v="LASER VISION CONCEPCION S.A"/>
        <s v="CLINICA PORTADA"/>
        <s v="CLINICA SAN JULIAN DE SAN ANTONIO"/>
        <s v="SERVICIOS MEDICOS IQUIQUE S.A"/>
        <s v="CLINICA CUMBRES DE NORTE ANTOFAGASTA"/>
        <s v="CLINICA MIGUEL CLARO"/>
        <s v="CLINICA VALPARAISO SPA"/>
        <s v="FARMACEUTICA ACUA NASER S.A."/>
        <s v="UC CHRISTUS SERVICIOS CLINICOS SPA."/>
        <s v="CLINICA RIO BLANCO S.A"/>
        <s v="EMPRESA DE SERV. EXTERNOS ACHS S.A."/>
        <s v="NEW TECH COPPER SPA"/>
        <s v="CEGAMED CHILE S.A."/>
        <s v="DIRECCION DE PREVISION DE CARABINEROS"/>
        <s v="COLDIAB SPA"/>
        <s v="CALEMA SPA"/>
        <s v="MADEGOM SPA"/>
        <s v="DIRECCION DEL TRABAJO"/>
        <s v="CENTRO DE FORMACIÓN TÉCNICA ESTATAL REGIÓN ARICA"/>
      </sharedItems>
    </cacheField>
    <cacheField name="COMUNA" numFmtId="0">
      <sharedItems/>
    </cacheField>
    <cacheField name="REGION" numFmtId="0">
      <sharedItems containsMixedTypes="1" containsNumber="1" containsInteger="1" minValue="1" maxValue="16"/>
    </cacheField>
    <cacheField name="VENDEDOR" numFmtId="0">
      <sharedItems count="6">
        <s v="ATENCION TELEFONICA"/>
        <s v="MAURICIO RAMOS MORENO"/>
        <s v="MARCELO RUIZ"/>
        <s v="GIANCARLO MANNESCHI GALLARDO"/>
        <s v="CONSTANZA VALENZUELA"/>
        <s v="RICARDO ENRIQUE ARAYA GONZÁLEZ"/>
      </sharedItems>
    </cacheField>
    <cacheField name="COD CLIENTE" numFmtId="0">
      <sharedItems containsBlank="1"/>
    </cacheField>
    <cacheField name="SECTOR" numFmtId="0">
      <sharedItems/>
    </cacheField>
    <cacheField name="CARTERA" numFmtId="0">
      <sharedItems/>
    </cacheField>
    <cacheField name="REGION NOMB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5">
  <r>
    <n v="35178651"/>
    <x v="0"/>
    <s v=""/>
    <n v="13"/>
    <x v="0"/>
    <s v="CN3517865"/>
    <s v=""/>
    <s v="ATEL"/>
    <s v="REGIÓN DE METROPOLITANA DE SANTIAGO"/>
  </r>
  <r>
    <n v="37531235"/>
    <x v="1"/>
    <s v=""/>
    <n v="16"/>
    <x v="0"/>
    <s v="CN3753123"/>
    <s v=""/>
    <s v="ATEL"/>
    <s v="REGIÓN DE ÑUBLE"/>
  </r>
  <r>
    <n v="45008673"/>
    <x v="2"/>
    <s v="SANTIAGO"/>
    <n v="13"/>
    <x v="0"/>
    <s v="CN4500867"/>
    <s v="PRIVADO"/>
    <s v="ATEL"/>
    <s v="REGIÓN DE METROPOLITANA DE SANTIAGO"/>
  </r>
  <r>
    <n v="50772888"/>
    <x v="3"/>
    <s v=""/>
    <n v="13"/>
    <x v="0"/>
    <s v="CN5077288"/>
    <s v=""/>
    <s v="ATEL"/>
    <s v="REGIÓN DE METROPOLITANA DE SANTIAGO"/>
  </r>
  <r>
    <n v="53208193"/>
    <x v="4"/>
    <s v=""/>
    <n v="13"/>
    <x v="0"/>
    <s v="CN5320819"/>
    <s v=""/>
    <s v="ATEL"/>
    <s v="REGIÓN DE METROPOLITANA DE SANTIAGO"/>
  </r>
  <r>
    <n v="63890022"/>
    <x v="5"/>
    <s v=""/>
    <n v="4"/>
    <x v="0"/>
    <s v="CN6389002"/>
    <s v=""/>
    <s v="ATEL"/>
    <s v="REGIÓN DE COQUIMBO"/>
  </r>
  <r>
    <n v="64127217"/>
    <x v="6"/>
    <s v=""/>
    <n v="13"/>
    <x v="0"/>
    <s v="CN6412721"/>
    <s v=""/>
    <s v="ATEL"/>
    <s v="REGIÓN DE METROPOLITANA DE SANTIAGO"/>
  </r>
  <r>
    <n v="64903209"/>
    <x v="7"/>
    <s v=""/>
    <n v="13"/>
    <x v="0"/>
    <s v="CN6490320"/>
    <s v=""/>
    <s v="ATEL"/>
    <s v="REGIÓN DE METROPOLITANA DE SANTIAGO"/>
  </r>
  <r>
    <n v="73031095"/>
    <x v="8"/>
    <s v=""/>
    <n v="9"/>
    <x v="0"/>
    <s v="CN7303109"/>
    <s v=""/>
    <s v="ATEL"/>
    <s v="REGIÓN DE LA ARAUCANÍA"/>
  </r>
  <r>
    <n v="79186929"/>
    <x v="9"/>
    <s v=""/>
    <n v="8"/>
    <x v="0"/>
    <s v="CN7918692"/>
    <s v=""/>
    <s v="ATEL"/>
    <s v="REGIÓN DE BIOBÍO"/>
  </r>
  <r>
    <n v="81818320"/>
    <x v="10"/>
    <s v=""/>
    <n v="14"/>
    <x v="0"/>
    <s v="CN8181832"/>
    <s v=""/>
    <s v="ATEL"/>
    <s v="REGIÓN DE LOS RÍOS"/>
  </r>
  <r>
    <n v="81850291"/>
    <x v="11"/>
    <s v=""/>
    <n v="16"/>
    <x v="0"/>
    <s v="CN8185029"/>
    <s v=""/>
    <s v="ATEL"/>
    <s v="REGIÓN DE ÑUBLE"/>
  </r>
  <r>
    <n v="81853363"/>
    <x v="12"/>
    <s v=""/>
    <n v="9"/>
    <x v="0"/>
    <s v="CN8185336"/>
    <s v=""/>
    <s v="ATEL"/>
    <s v="REGIÓN DE LA ARAUCANÍA"/>
  </r>
  <r>
    <n v="88248228"/>
    <x v="13"/>
    <s v=""/>
    <n v="13"/>
    <x v="0"/>
    <s v="CN8824822"/>
    <s v=""/>
    <s v="ATEL"/>
    <s v="REGIÓN DE METROPOLITANA DE SANTIAGO"/>
  </r>
  <r>
    <n v="91511959"/>
    <x v="14"/>
    <s v=""/>
    <n v="13"/>
    <x v="0"/>
    <s v="CN9151195"/>
    <s v=""/>
    <s v="ATEL"/>
    <s v="REGIÓN DE METROPOLITANA DE SANTIAGO"/>
  </r>
  <r>
    <n v="99987308"/>
    <x v="15"/>
    <s v=""/>
    <n v="16"/>
    <x v="0"/>
    <s v="CN9998730"/>
    <s v=""/>
    <s v="ATEL"/>
    <s v="REGIÓN DE ÑUBLE"/>
  </r>
  <r>
    <n v="105033214"/>
    <x v="16"/>
    <s v=""/>
    <n v="13"/>
    <x v="0"/>
    <s v="CN10503321"/>
    <s v=""/>
    <s v="ATEL"/>
    <s v="REGIÓN DE METROPOLITANA DE SANTIAGO"/>
  </r>
  <r>
    <n v="106711038"/>
    <x v="17"/>
    <s v=""/>
    <n v="3"/>
    <x v="0"/>
    <s v="CN10671103"/>
    <s v=""/>
    <s v="ATEL"/>
    <s v="REGIÓN DE ATACAMA"/>
  </r>
  <r>
    <n v="118464397"/>
    <x v="18"/>
    <s v="SANTIAGO"/>
    <n v="13"/>
    <x v="0"/>
    <s v="CN11846439"/>
    <s v="PRIVADO"/>
    <s v="ATEL"/>
    <s v="REGIÓN DE METROPOLITANA DE SANTIAGO"/>
  </r>
  <r>
    <n v="118726197"/>
    <x v="19"/>
    <s v=""/>
    <n v="8"/>
    <x v="0"/>
    <s v="CN11872619"/>
    <s v=""/>
    <s v="ATEL"/>
    <s v="REGIÓN DE BIOBÍO"/>
  </r>
  <r>
    <n v="121317834"/>
    <x v="20"/>
    <s v=""/>
    <n v="13"/>
    <x v="0"/>
    <s v="CN12131783"/>
    <s v=""/>
    <s v="ATEL"/>
    <s v="REGIÓN DE METROPOLITANA DE SANTIAGO"/>
  </r>
  <r>
    <n v="122836576"/>
    <x v="21"/>
    <s v=""/>
    <n v="13"/>
    <x v="0"/>
    <s v="CN12283657"/>
    <s v=""/>
    <s v="ATEL"/>
    <s v="REGIÓN DE METROPOLITANA DE SANTIAGO"/>
  </r>
  <r>
    <n v="143751368"/>
    <x v="22"/>
    <s v=""/>
    <n v="8"/>
    <x v="0"/>
    <s v="CN14375136"/>
    <s v=""/>
    <s v="ATEL"/>
    <s v="REGIÓN DE BIOBÍO"/>
  </r>
  <r>
    <n v="150855403"/>
    <x v="23"/>
    <s v=""/>
    <n v="5"/>
    <x v="0"/>
    <s v="CN15085540"/>
    <s v=""/>
    <s v="ATEL"/>
    <s v="REGIÓN DE VALPARAÍSO"/>
  </r>
  <r>
    <n v="161447579"/>
    <x v="24"/>
    <s v=""/>
    <n v="13"/>
    <x v="0"/>
    <s v="CN16144757"/>
    <s v=""/>
    <s v="ATEL"/>
    <s v="REGIÓN DE METROPOLITANA DE SANTIAGO"/>
  </r>
  <r>
    <n v="165289676"/>
    <x v="25"/>
    <s v=""/>
    <n v="6"/>
    <x v="0"/>
    <s v="CN16528967"/>
    <s v=""/>
    <s v="ATEL"/>
    <s v="REGIÓN DE LIBERTADOR GENERAL BERNARDO O'HIGGINS"/>
  </r>
  <r>
    <n v="173054734"/>
    <x v="26"/>
    <s v=""/>
    <n v="13"/>
    <x v="0"/>
    <s v="CN17305473"/>
    <s v=""/>
    <s v="ATEL"/>
    <s v="REGIÓN DE METROPOLITANA DE SANTIAGO"/>
  </r>
  <r>
    <n v="176056827"/>
    <x v="27"/>
    <s v=""/>
    <n v="8"/>
    <x v="0"/>
    <s v="CN17605682"/>
    <s v=""/>
    <s v="ATEL"/>
    <s v="REGIÓN DE BIOBÍO"/>
  </r>
  <r>
    <n v="176445467"/>
    <x v="28"/>
    <s v=""/>
    <n v="13"/>
    <x v="0"/>
    <s v="CN17644546"/>
    <s v=""/>
    <s v="ATEL"/>
    <s v="REGIÓN DE METROPOLITANA DE SANTIAGO"/>
  </r>
  <r>
    <n v="180567933"/>
    <x v="29"/>
    <s v=""/>
    <n v="13"/>
    <x v="0"/>
    <s v="CN18056793"/>
    <s v=""/>
    <s v="ATEL"/>
    <s v="REGIÓN DE METROPOLITANA DE SANTIAGO"/>
  </r>
  <r>
    <n v="188563619"/>
    <x v="30"/>
    <s v=""/>
    <n v="3"/>
    <x v="0"/>
    <s v="CN18856361"/>
    <s v=""/>
    <s v="ATEL"/>
    <s v="REGIÓN DE ATACAMA"/>
  </r>
  <r>
    <n v="236451461"/>
    <x v="31"/>
    <s v=""/>
    <n v="13"/>
    <x v="0"/>
    <s v="CN23645146"/>
    <s v=""/>
    <s v="ATEL"/>
    <s v="REGIÓN DE METROPOLITANA DE SANTIAGO"/>
  </r>
  <r>
    <n v="259526361"/>
    <x v="32"/>
    <s v=""/>
    <n v="13"/>
    <x v="0"/>
    <s v="CN25952636"/>
    <s v=""/>
    <s v="ATEL"/>
    <s v="REGIÓN DE METROPOLITANA DE SANTIAGO"/>
  </r>
  <r>
    <n v="590772909"/>
    <x v="33"/>
    <s v=""/>
    <n v="13"/>
    <x v="0"/>
    <s v="CN59077290"/>
    <s v=""/>
    <s v="ATEL"/>
    <s v="REGIÓN DE METROPOLITANA DE SANTIAGO"/>
  </r>
  <r>
    <n v="601030004"/>
    <x v="34"/>
    <s v=""/>
    <n v="13"/>
    <x v="0"/>
    <s v="CN60103000"/>
    <s v=""/>
    <s v="ATEL"/>
    <s v="REGIÓN DE METROPOLITANA DE SANTIAGO"/>
  </r>
  <r>
    <n v="602020002"/>
    <x v="35"/>
    <s v="VALPARAÍSO"/>
    <n v="5"/>
    <x v="0"/>
    <s v="CN60202000"/>
    <s v="PÚBLICO"/>
    <s v="ATEL"/>
    <s v="REGIÓN DE VALPARAÍSO"/>
  </r>
  <r>
    <n v="605060005"/>
    <x v="36"/>
    <s v=""/>
    <n v="10"/>
    <x v="0"/>
    <s v="CN60506000"/>
    <s v=""/>
    <s v="ATEL"/>
    <s v="REGIÓN DE LOS LAGOS"/>
  </r>
  <r>
    <n v="605060129"/>
    <x v="37"/>
    <s v=""/>
    <n v="13"/>
    <x v="0"/>
    <s v="CN60506012"/>
    <s v=""/>
    <s v="ATEL"/>
    <s v="REGIÓN DE METROPOLITANA DE SANTIAGO"/>
  </r>
  <r>
    <n v="605111300"/>
    <x v="38"/>
    <s v=""/>
    <n v="13"/>
    <x v="0"/>
    <s v="CN60511130"/>
    <s v=""/>
    <s v="ATEL"/>
    <s v="REGIÓN DE METROPOLITANA DE SANTIAGO"/>
  </r>
  <r>
    <n v="609020636"/>
    <x v="39"/>
    <s v=""/>
    <n v="7"/>
    <x v="0"/>
    <s v="CN60902063"/>
    <s v=""/>
    <s v="ATEL"/>
    <s v="REGIÓN DE MAULE"/>
  </r>
  <r>
    <n v="609050004"/>
    <x v="40"/>
    <s v=""/>
    <n v="4"/>
    <x v="0"/>
    <s v="CN60905000"/>
    <s v=""/>
    <s v="ATEL"/>
    <s v="REGIÓN DE COQUIMBO"/>
  </r>
  <r>
    <n v="609100478"/>
    <x v="41"/>
    <s v=""/>
    <n v="13"/>
    <x v="0"/>
    <s v="CN60910047"/>
    <s v=""/>
    <s v="ATEL"/>
    <s v="REGIÓN DE METROPOLITANA DE SANTIAGO"/>
  </r>
  <r>
    <n v="609110066"/>
    <x v="42"/>
    <s v=""/>
    <n v="8"/>
    <x v="0"/>
    <s v="CN60911006"/>
    <s v=""/>
    <s v="ATEL"/>
    <s v="REGIÓN DE BIOBÍO"/>
  </r>
  <r>
    <n v="610040071"/>
    <x v="43"/>
    <s v=""/>
    <n v="2"/>
    <x v="0"/>
    <s v="CN61004007"/>
    <s v=""/>
    <s v="ATEL"/>
    <s v="REGIÓN DE ANTOFAGASTA"/>
  </r>
  <r>
    <n v="610040101"/>
    <x v="44"/>
    <s v=""/>
    <n v="3"/>
    <x v="0"/>
    <s v="CN61004010"/>
    <s v=""/>
    <s v="ATEL"/>
    <s v="REGIÓN DE ATACAMA"/>
  </r>
  <r>
    <n v="610040519"/>
    <x v="45"/>
    <s v=""/>
    <n v="7"/>
    <x v="0"/>
    <s v="CN61004051"/>
    <s v=""/>
    <s v="ATEL"/>
    <s v="REGIÓN DE MAULE"/>
  </r>
  <r>
    <n v="610040985"/>
    <x v="46"/>
    <s v=""/>
    <n v="10"/>
    <x v="0"/>
    <s v="CN61004098"/>
    <s v=""/>
    <s v="ATEL"/>
    <s v="REGIÓN DE LOS LAGOS"/>
  </r>
  <r>
    <n v="611010176"/>
    <x v="47"/>
    <s v=""/>
    <n v="13"/>
    <x v="0"/>
    <s v="CN61101017"/>
    <s v=""/>
    <s v="ATEL"/>
    <s v="REGIÓN DE METROPOLITANA DE SANTIAGO"/>
  </r>
  <r>
    <n v="611021275"/>
    <x v="48"/>
    <s v="VALPARAÍSO"/>
    <n v="5"/>
    <x v="0"/>
    <s v="CN61102127"/>
    <s v="PRIVADO"/>
    <s v="ATEL"/>
    <s v="REGIÓN DE VALPARAÍSO"/>
  </r>
  <r>
    <n v="611030207"/>
    <x v="49"/>
    <s v=""/>
    <n v="10"/>
    <x v="0"/>
    <s v="CN61103020"/>
    <s v=""/>
    <s v="ATEL"/>
    <s v="REGIÓN DE LOS LAGOS"/>
  </r>
  <r>
    <n v="611030215"/>
    <x v="50"/>
    <s v="PUNTA ARENAS"/>
    <s v=""/>
    <x v="0"/>
    <s v="CN61103021"/>
    <s v="PÚBLICO"/>
    <s v="ATEL"/>
    <s v=""/>
  </r>
  <r>
    <n v="611030223"/>
    <x v="51"/>
    <s v=""/>
    <n v="5"/>
    <x v="0"/>
    <s v="CN61103022"/>
    <s v=""/>
    <s v="ATEL"/>
    <s v="REGIÓN DE VALPARAÍSO"/>
  </r>
  <r>
    <n v="611030231"/>
    <x v="52"/>
    <s v=""/>
    <n v="1"/>
    <x v="0"/>
    <s v="CN61103023"/>
    <s v=""/>
    <s v="ATEL"/>
    <s v="REGIÓN DE TARAPACÁ"/>
  </r>
  <r>
    <n v="611030320"/>
    <x v="53"/>
    <s v=""/>
    <n v="13"/>
    <x v="0"/>
    <s v="CN61103032"/>
    <s v=""/>
    <s v="ATEL"/>
    <s v="REGIÓN DE METROPOLITANA DE SANTIAGO"/>
  </r>
  <r>
    <n v="611090005"/>
    <x v="54"/>
    <s v=""/>
    <n v="13"/>
    <x v="0"/>
    <s v="CN61109000"/>
    <s v=""/>
    <s v="ATEL"/>
    <s v="REGIÓN DE METROPOLITANA DE SANTIAGO"/>
  </r>
  <r>
    <n v="612020000"/>
    <x v="55"/>
    <s v=""/>
    <n v="13"/>
    <x v="0"/>
    <s v="CN61202000"/>
    <s v=""/>
    <s v="ATEL"/>
    <s v="REGIÓN DE METROPOLITANA DE SANTIAGO"/>
  </r>
  <r>
    <n v="615330000"/>
    <x v="56"/>
    <s v=""/>
    <n v="13"/>
    <x v="0"/>
    <s v="CN61533000"/>
    <s v=""/>
    <s v="ATEL"/>
    <s v="REGIÓN DE METROPOLITANA DE SANTIAGO"/>
  </r>
  <r>
    <n v="616050001"/>
    <x v="57"/>
    <s v=""/>
    <n v="13"/>
    <x v="0"/>
    <s v="CN61605000"/>
    <s v=""/>
    <s v="ATEL"/>
    <s v="REGIÓN DE METROPOLITANA DE SANTIAGO"/>
  </r>
  <r>
    <n v="616060007"/>
    <x v="58"/>
    <s v=""/>
    <n v="1"/>
    <x v="0"/>
    <s v="CN61606000"/>
    <s v=""/>
    <s v="ATEL"/>
    <s v="REGIÓN DE TARAPACÁ"/>
  </r>
  <r>
    <n v="616074008"/>
    <x v="59"/>
    <s v=""/>
    <n v="9"/>
    <x v="0"/>
    <s v="CN61607400"/>
    <s v=""/>
    <s v="ATEL"/>
    <s v="REGIÓN DE LA ARAUCANÍA"/>
  </r>
  <r>
    <n v="616080008"/>
    <x v="60"/>
    <s v=""/>
    <n v="13"/>
    <x v="0"/>
    <s v="CN61608000"/>
    <s v=""/>
    <s v="ATEL"/>
    <s v="REGIÓN DE METROPOLITANA DE SANTIAGO"/>
  </r>
  <r>
    <n v="618210006"/>
    <x v="61"/>
    <s v=""/>
    <n v="9"/>
    <x v="0"/>
    <s v="CN61821000"/>
    <s v=""/>
    <s v="ATEL"/>
    <s v="REGIÓN DE LA ARAUCANÍA"/>
  </r>
  <r>
    <n v="619232003"/>
    <x v="62"/>
    <s v=""/>
    <n v="13"/>
    <x v="0"/>
    <s v="CN61923200"/>
    <s v=""/>
    <s v="ATEL"/>
    <s v="REGIÓN DE METROPOLITANA DE SANTIAGO"/>
  </r>
  <r>
    <n v="619551001"/>
    <x v="63"/>
    <s v=""/>
    <n v="9"/>
    <x v="0"/>
    <s v="CN61955100"/>
    <s v=""/>
    <s v="ATEL"/>
    <s v="REGIÓN DE LA ARAUCANÍA"/>
  </r>
  <r>
    <n v="619674006"/>
    <x v="64"/>
    <s v=""/>
    <n v="8"/>
    <x v="0"/>
    <s v="CN61967400"/>
    <s v=""/>
    <s v="ATEL"/>
    <s v="REGIÓN DE BIOBÍO"/>
  </r>
  <r>
    <n v="619742001"/>
    <x v="65"/>
    <s v="SANTIAGO"/>
    <n v="13"/>
    <x v="0"/>
    <s v="CN61974200"/>
    <s v="PÚBLICO"/>
    <s v="ATEL"/>
    <s v="REGIÓN DE METROPOLITANA DE SANTIAGO"/>
  </r>
  <r>
    <n v="619745000"/>
    <x v="66"/>
    <s v=""/>
    <n v="11"/>
    <x v="0"/>
    <s v="CN61974500"/>
    <s v=""/>
    <s v="ATEL"/>
    <s v="REGIÓN DE AYSÉN DEL GENERAL CARLOS IBÁÑEZ DEL CAMPO"/>
  </r>
  <r>
    <n v="619747003"/>
    <x v="67"/>
    <s v=""/>
    <n v="11"/>
    <x v="0"/>
    <s v="CN61974700"/>
    <s v=""/>
    <s v="ATEL"/>
    <s v="REGIÓN DE AYSÉN DEL GENERAL CARLOS IBÁÑEZ DEL CAMPO"/>
  </r>
  <r>
    <n v="619799607"/>
    <x v="68"/>
    <s v=""/>
    <n v="13"/>
    <x v="0"/>
    <s v="CN61979960"/>
    <s v=""/>
    <s v="ATEL"/>
    <s v="REGIÓN DE METROPOLITANA DE SANTIAGO"/>
  </r>
  <r>
    <n v="619802608"/>
    <x v="69"/>
    <s v=""/>
    <n v="13"/>
    <x v="0"/>
    <s v="CN61980260"/>
    <s v=""/>
    <s v="ATEL"/>
    <s v="REGIÓN DE METROPOLITANA DE SANTIAGO"/>
  </r>
  <r>
    <n v="619808207"/>
    <x v="70"/>
    <s v=""/>
    <n v="13"/>
    <x v="0"/>
    <s v="CN61980820"/>
    <s v=""/>
    <s v="ATEL"/>
    <s v="REGIÓN DE METROPOLITANA DE SANTIAGO"/>
  </r>
  <r>
    <n v="619991303"/>
    <x v="71"/>
    <s v=""/>
    <n v="13"/>
    <x v="0"/>
    <s v="CN61999130"/>
    <s v=""/>
    <s v="ATEL"/>
    <s v="REGIÓN DE METROPOLITANA DE SANTIAGO"/>
  </r>
  <r>
    <n v="619991605"/>
    <x v="65"/>
    <s v=""/>
    <n v="1"/>
    <x v="0"/>
    <s v="CN61999160"/>
    <s v=""/>
    <s v="ATEL"/>
    <s v="REGIÓN DE TARAPACÁ"/>
  </r>
  <r>
    <n v="619992806"/>
    <x v="72"/>
    <s v="COQUIMBO"/>
    <n v="4"/>
    <x v="0"/>
    <s v="CN61999280"/>
    <s v="PRIVADO"/>
    <s v="ATEL"/>
    <s v="REGIÓN DE COQUIMBO"/>
  </r>
  <r>
    <n v="619993306"/>
    <x v="73"/>
    <s v=""/>
    <n v="3"/>
    <x v="0"/>
    <s v="CN61999330"/>
    <s v=""/>
    <s v="ATEL"/>
    <s v="REGIÓN DE ATACAMA"/>
  </r>
  <r>
    <n v="620008001"/>
    <x v="74"/>
    <s v=""/>
    <n v="10"/>
    <x v="0"/>
    <s v="CN62000800"/>
    <s v=""/>
    <s v="ATEL"/>
    <s v="REGIÓN DE LOS LAGOS"/>
  </r>
  <r>
    <n v="620008907"/>
    <x v="75"/>
    <s v="CONCEPCIÓN"/>
    <s v=""/>
    <x v="0"/>
    <s v="CN62000890"/>
    <s v="PÚBLICO"/>
    <s v="ATEL"/>
    <s v=""/>
  </r>
  <r>
    <n v="650778332"/>
    <x v="76"/>
    <s v=""/>
    <n v="9"/>
    <x v="0"/>
    <s v="CN65077833"/>
    <s v=""/>
    <s v="ATEL"/>
    <s v="REGIÓN DE LA ARAUCANÍA"/>
  </r>
  <r>
    <n v="651429811"/>
    <x v="77"/>
    <s v=""/>
    <n v="13"/>
    <x v="0"/>
    <s v="CN65142981"/>
    <s v=""/>
    <s v="ATEL"/>
    <s v="REGIÓN DE METROPOLITANA DE SANTIAGO"/>
  </r>
  <r>
    <n v="651455669"/>
    <x v="78"/>
    <s v="LA SERENA"/>
    <n v="4"/>
    <x v="0"/>
    <s v="CN65145566"/>
    <s v="PRIVADO"/>
    <s v="ATEL"/>
    <s v="REGIÓN DE COQUIMBO"/>
  </r>
  <r>
    <n v="651536049"/>
    <x v="79"/>
    <s v=""/>
    <n v="8"/>
    <x v="0"/>
    <s v="CN65153604"/>
    <s v=""/>
    <s v="ATEL"/>
    <s v="REGIÓN DE BIOBÍO"/>
  </r>
  <r>
    <n v="651543983"/>
    <x v="80"/>
    <s v="IQUIQUE"/>
    <n v="1"/>
    <x v="0"/>
    <s v="CN65154398"/>
    <s v="PRIVADO"/>
    <s v="ATEL"/>
    <s v="REGIÓN DE TARAPACÁ"/>
  </r>
  <r>
    <n v="651643511"/>
    <x v="81"/>
    <s v=""/>
    <n v="15"/>
    <x v="0"/>
    <s v="CN65164351"/>
    <s v=""/>
    <s v="ATEL"/>
    <s v="REGIÓN DE ARICA Y PARINACOTA"/>
  </r>
  <r>
    <n v="651654114"/>
    <x v="82"/>
    <s v="VIÑA DEL MAR"/>
    <n v="5"/>
    <x v="0"/>
    <s v="CN65165411"/>
    <s v="PÚBLICO"/>
    <s v="ATEL"/>
    <s v="REGIÓN DE VALPARAÍSO"/>
  </r>
  <r>
    <n v="654556504"/>
    <x v="65"/>
    <s v="ANTOFAGASTA"/>
    <s v=""/>
    <x v="0"/>
    <s v="CN65455650"/>
    <s v="PÚBLICO"/>
    <s v="ATEL"/>
    <s v=""/>
  </r>
  <r>
    <n v="655525408"/>
    <x v="83"/>
    <s v=""/>
    <n v="5"/>
    <x v="0"/>
    <s v="CN65552540"/>
    <s v=""/>
    <s v="ATEL"/>
    <s v="REGIÓN DE VALPARAÍSO"/>
  </r>
  <r>
    <n v="690702002"/>
    <x v="84"/>
    <s v=""/>
    <n v="13"/>
    <x v="0"/>
    <s v="CN69070200"/>
    <s v=""/>
    <s v="ATEL"/>
    <s v="REGIÓN DE METROPOLITANA DE SANTIAGO"/>
  </r>
  <r>
    <n v="690703009"/>
    <x v="85"/>
    <s v=""/>
    <n v="13"/>
    <x v="0"/>
    <s v="CN69070300"/>
    <s v=""/>
    <s v="ATEL"/>
    <s v="REGIÓN DE METROPOLITANA DE SANTIAGO"/>
  </r>
  <r>
    <n v="690711001"/>
    <x v="86"/>
    <s v=""/>
    <n v="13"/>
    <x v="0"/>
    <s v="CN69071100"/>
    <s v=""/>
    <s v="ATEL"/>
    <s v="REGIÓN DE METROPOLITANA DE SANTIAGO"/>
  </r>
  <r>
    <n v="690718014"/>
    <x v="87"/>
    <s v=""/>
    <n v="13"/>
    <x v="0"/>
    <s v="CN69071801"/>
    <s v=""/>
    <s v="ATEL"/>
    <s v="REGIÓN DE METROPOLITANA DE SANTIAGO"/>
  </r>
  <r>
    <n v="690729008"/>
    <x v="88"/>
    <s v=""/>
    <n v="13"/>
    <x v="0"/>
    <s v="CN69072900"/>
    <s v=""/>
    <s v="ATEL"/>
    <s v="REGIÓN DE METROPOLITANA DE SANTIAGO"/>
  </r>
  <r>
    <n v="690739003"/>
    <x v="89"/>
    <s v=""/>
    <n v="13"/>
    <x v="0"/>
    <s v="CN69073900"/>
    <s v=""/>
    <s v="ATEL"/>
    <s v="REGIÓN DE METROPOLITANA DE SANTIAGO"/>
  </r>
  <r>
    <n v="690803003"/>
    <x v="90"/>
    <s v=""/>
    <n v="6"/>
    <x v="0"/>
    <s v="CN69080300"/>
    <s v=""/>
    <s v="ATEL"/>
    <s v="REGIÓN DE LIBERTADOR GENERAL BERNARDO O'HIGGINS"/>
  </r>
  <r>
    <n v="690912015"/>
    <x v="91"/>
    <s v=""/>
    <n v="6"/>
    <x v="0"/>
    <s v="CN69091201"/>
    <s v=""/>
    <s v="ATEL"/>
    <s v="REGIÓN DE LIBERTADOR GENERAL BERNARDO O'HIGGINS"/>
  </r>
  <r>
    <n v="691407004"/>
    <x v="92"/>
    <s v=""/>
    <n v="8"/>
    <x v="0"/>
    <s v="CN69140700"/>
    <s v=""/>
    <s v="ATEL"/>
    <s v="REGIÓN DE BIOBÍO"/>
  </r>
  <r>
    <n v="691408000"/>
    <x v="93"/>
    <s v=""/>
    <n v="16"/>
    <x v="0"/>
    <s v="CN69140800"/>
    <s v=""/>
    <s v="ATEL"/>
    <s v="REGIÓN DE ÑUBLE"/>
  </r>
  <r>
    <n v="691511022"/>
    <x v="94"/>
    <s v=""/>
    <n v="8"/>
    <x v="0"/>
    <s v="CN69151102"/>
    <s v=""/>
    <s v="ATEL"/>
    <s v="REGIÓN DE BIOBÍO"/>
  </r>
  <r>
    <n v="691702006"/>
    <x v="95"/>
    <s v=""/>
    <n v="8"/>
    <x v="0"/>
    <s v="CN69170200"/>
    <s v=""/>
    <s v="ATEL"/>
    <s v="REGIÓN DE BIOBÍO"/>
  </r>
  <r>
    <n v="691802000"/>
    <x v="96"/>
    <s v=""/>
    <n v="9"/>
    <x v="0"/>
    <s v="CN69180200"/>
    <s v=""/>
    <s v="ATEL"/>
    <s v="REGIÓN DE LA ARAUCANÍA"/>
  </r>
  <r>
    <n v="692004000"/>
    <x v="97"/>
    <s v=""/>
    <n v="14"/>
    <x v="0"/>
    <s v="CN69200400"/>
    <s v=""/>
    <s v="ATEL"/>
    <s v="REGIÓN DE LOS RÍOS"/>
  </r>
  <r>
    <n v="692403002"/>
    <x v="98"/>
    <s v=""/>
    <n v="11"/>
    <x v="0"/>
    <s v="CN69240300"/>
    <s v=""/>
    <s v="ATEL"/>
    <s v="REGIÓN DE AYSÉN DEL GENERAL CARLOS IBÁÑEZ DEL CAMPO"/>
  </r>
  <r>
    <n v="692532007"/>
    <x v="99"/>
    <s v="SIERRA GORDA"/>
    <s v=""/>
    <x v="0"/>
    <s v="CN69253200"/>
    <s v="PÚBLICO"/>
    <s v="ATEL"/>
    <s v=""/>
  </r>
  <r>
    <n v="707291001"/>
    <x v="100"/>
    <s v=""/>
    <n v="13"/>
    <x v="0"/>
    <s v="CN70729100"/>
    <s v=""/>
    <s v="ATEL"/>
    <s v="REGIÓN DE METROPOLITANA DE SANTIAGO"/>
  </r>
  <r>
    <n v="707721006"/>
    <x v="101"/>
    <s v=""/>
    <n v="10"/>
    <x v="0"/>
    <s v="CN70772100"/>
    <s v=""/>
    <s v="ATEL"/>
    <s v="REGIÓN DE LOS LAGOS"/>
  </r>
  <r>
    <n v="712367008"/>
    <x v="102"/>
    <s v=""/>
    <n v="3"/>
    <x v="0"/>
    <s v="CN71236700"/>
    <s v=""/>
    <s v="ATEL"/>
    <s v="REGIÓN DE ATACAMA"/>
  </r>
  <r>
    <n v="713098000"/>
    <x v="103"/>
    <s v=""/>
    <n v="13"/>
    <x v="0"/>
    <s v="CN71309800"/>
    <s v=""/>
    <s v="ATEL"/>
    <s v="REGIÓN DE METROPOLITANA DE SANTIAGO"/>
  </r>
  <r>
    <n v="723960002"/>
    <x v="104"/>
    <s v=""/>
    <n v="9"/>
    <x v="0"/>
    <s v="CN72396000"/>
    <s v=""/>
    <s v="ATEL"/>
    <s v="REGIÓN DE LA ARAUCANÍA"/>
  </r>
  <r>
    <n v="739238005"/>
    <x v="105"/>
    <s v=""/>
    <n v="8"/>
    <x v="0"/>
    <s v="CN73923800"/>
    <s v=""/>
    <s v="ATEL"/>
    <s v="REGIÓN DE BIOBÍO"/>
  </r>
  <r>
    <n v="748229000"/>
    <x v="106"/>
    <s v=""/>
    <n v="4"/>
    <x v="0"/>
    <s v="CN74822900"/>
    <s v=""/>
    <s v="ATEL"/>
    <s v="REGIÓN DE COQUIMBO"/>
  </r>
  <r>
    <n v="760163058"/>
    <x v="107"/>
    <s v=""/>
    <n v="16"/>
    <x v="0"/>
    <s v="CN76016305"/>
    <s v=""/>
    <s v="ATEL"/>
    <s v="REGIÓN DE ÑUBLE"/>
  </r>
  <r>
    <n v="760286885"/>
    <x v="108"/>
    <s v=""/>
    <n v="13"/>
    <x v="0"/>
    <s v="CN76028688"/>
    <s v=""/>
    <s v="ATEL"/>
    <s v="REGIÓN DE METROPOLITANA DE SANTIAGO"/>
  </r>
  <r>
    <n v="760449598"/>
    <x v="109"/>
    <s v=""/>
    <n v="13"/>
    <x v="0"/>
    <s v="CN76044959"/>
    <s v=""/>
    <s v="ATEL"/>
    <s v="REGIÓN DE METROPOLITANA DE SANTIAGO"/>
  </r>
  <r>
    <n v="760700339"/>
    <x v="110"/>
    <s v=""/>
    <n v="13"/>
    <x v="0"/>
    <s v="CN76070033"/>
    <s v=""/>
    <s v="ATEL"/>
    <s v="REGIÓN DE METROPOLITANA DE SANTIAGO"/>
  </r>
  <r>
    <n v="760742163"/>
    <x v="111"/>
    <s v=""/>
    <n v="4"/>
    <x v="0"/>
    <s v="CN76074216"/>
    <s v=""/>
    <s v="ATEL"/>
    <s v="REGIÓN DE COQUIMBO"/>
  </r>
  <r>
    <n v="760892963"/>
    <x v="112"/>
    <s v=""/>
    <n v="13"/>
    <x v="0"/>
    <s v="CN76089296"/>
    <s v=""/>
    <s v="ATEL"/>
    <s v="REGIÓN DE METROPOLITANA DE SANTIAGO"/>
  </r>
  <r>
    <n v="761108093"/>
    <x v="113"/>
    <s v=""/>
    <n v="13"/>
    <x v="0"/>
    <s v="CN76110809"/>
    <s v=""/>
    <s v="ATEL"/>
    <s v="REGIÓN DE METROPOLITANA DE SANTIAGO"/>
  </r>
  <r>
    <n v="761108921"/>
    <x v="114"/>
    <s v=""/>
    <n v="13"/>
    <x v="0"/>
    <s v="CN76110892"/>
    <s v=""/>
    <s v="ATEL"/>
    <s v="REGIÓN DE METROPOLITANA DE SANTIAGO"/>
  </r>
  <r>
    <n v="761111132"/>
    <x v="115"/>
    <s v="SANTIAGO"/>
    <n v="13"/>
    <x v="0"/>
    <s v="CN76111113"/>
    <s v="PRIVADO"/>
    <s v="ATEL"/>
    <s v="REGIÓN DE METROPOLITANA DE SANTIAGO"/>
  </r>
  <r>
    <n v="761162209"/>
    <x v="116"/>
    <s v=""/>
    <n v="10"/>
    <x v="0"/>
    <s v="CN76116220"/>
    <s v=""/>
    <s v="ATEL"/>
    <s v="REGIÓN DE LOS LAGOS"/>
  </r>
  <r>
    <n v="761175971"/>
    <x v="117"/>
    <s v=""/>
    <n v="5"/>
    <x v="0"/>
    <s v="CN76117597"/>
    <s v=""/>
    <s v="ATEL"/>
    <s v="REGIÓN DE VALPARAÍSO"/>
  </r>
  <r>
    <n v="761180045"/>
    <x v="118"/>
    <s v=""/>
    <n v="8"/>
    <x v="0"/>
    <s v="CN76118004"/>
    <s v=""/>
    <s v="ATEL"/>
    <s v="REGIÓN DE BIOBÍO"/>
  </r>
  <r>
    <n v="761188925"/>
    <x v="119"/>
    <s v=""/>
    <n v="13"/>
    <x v="0"/>
    <s v="CN76118892"/>
    <s v=""/>
    <s v="ATEL"/>
    <s v="REGIÓN DE METROPOLITANA DE SANTIAGO"/>
  </r>
  <r>
    <n v="761473662"/>
    <x v="120"/>
    <s v=""/>
    <n v="2"/>
    <x v="0"/>
    <s v="CN76147366"/>
    <s v=""/>
    <s v="ATEL"/>
    <s v="REGIÓN DE ANTOFAGASTA"/>
  </r>
  <r>
    <n v="761587234"/>
    <x v="121"/>
    <s v=""/>
    <n v="5"/>
    <x v="0"/>
    <s v="CN76158723"/>
    <s v=""/>
    <s v="ATEL"/>
    <s v="REGIÓN DE VALPARAÍSO"/>
  </r>
  <r>
    <n v="761705016"/>
    <x v="122"/>
    <s v=""/>
    <n v="13"/>
    <x v="0"/>
    <s v="CN76170501"/>
    <s v=""/>
    <s v="ATEL"/>
    <s v="REGIÓN DE METROPOLITANA DE SANTIAGO"/>
  </r>
  <r>
    <n v="761792075"/>
    <x v="123"/>
    <s v=""/>
    <n v="13"/>
    <x v="0"/>
    <s v="CN76179207"/>
    <s v=""/>
    <s v="ATEL"/>
    <s v="REGIÓN DE METROPOLITANA DE SANTIAGO"/>
  </r>
  <r>
    <n v="761838210"/>
    <x v="124"/>
    <s v=""/>
    <n v="13"/>
    <x v="0"/>
    <s v="CN76183821"/>
    <s v=""/>
    <s v="ATEL"/>
    <s v="REGIÓN DE METROPOLITANA DE SANTIAGO"/>
  </r>
  <r>
    <n v="761946684"/>
    <x v="125"/>
    <s v=""/>
    <n v="13"/>
    <x v="0"/>
    <s v="CN76194668"/>
    <s v=""/>
    <s v="ATEL"/>
    <s v="REGIÓN DE METROPOLITANA DE SANTIAGO"/>
  </r>
  <r>
    <n v="762177617"/>
    <x v="126"/>
    <s v=""/>
    <n v="13"/>
    <x v="0"/>
    <s v="CN76217761"/>
    <s v=""/>
    <s v="ATEL"/>
    <s v="REGIÓN DE METROPOLITANA DE SANTIAGO"/>
  </r>
  <r>
    <n v="762177684"/>
    <x v="127"/>
    <s v="SANTIAGO"/>
    <n v="13"/>
    <x v="1"/>
    <s v="CN76217768"/>
    <s v="PRIVADO"/>
    <s v="SANT2"/>
    <s v="REGIÓN DE METROPOLITANA DE SANTIAGO"/>
  </r>
  <r>
    <n v="762342960"/>
    <x v="128"/>
    <s v="CONCEPCIÓN"/>
    <n v="8"/>
    <x v="0"/>
    <s v="CN76234296"/>
    <s v="PRIVADO"/>
    <s v="ATEL"/>
    <s v="REGIÓN DE BIOBÍO"/>
  </r>
  <r>
    <n v="762404028"/>
    <x v="129"/>
    <s v=""/>
    <n v="13"/>
    <x v="0"/>
    <s v="CN76240402"/>
    <s v=""/>
    <s v="ATEL"/>
    <s v="REGIÓN DE METROPOLITANA DE SANTIAGO"/>
  </r>
  <r>
    <n v="762418037"/>
    <x v="130"/>
    <s v=""/>
    <n v="13"/>
    <x v="0"/>
    <s v="CN76241803"/>
    <s v=""/>
    <s v="ATEL"/>
    <s v="REGIÓN DE METROPOLITANA DE SANTIAGO"/>
  </r>
  <r>
    <n v="762514869"/>
    <x v="131"/>
    <s v=""/>
    <n v="5"/>
    <x v="0"/>
    <s v="CN76251486"/>
    <s v=""/>
    <s v="ATEL"/>
    <s v="REGIÓN DE VALPARAÍSO"/>
  </r>
  <r>
    <n v="762641380"/>
    <x v="132"/>
    <s v="SANTIAGO"/>
    <n v="13"/>
    <x v="0"/>
    <s v="CN76264138"/>
    <s v="PRIVADO"/>
    <s v="ATEL"/>
    <s v="REGIÓN DE METROPOLITANA DE SANTIAGO"/>
  </r>
  <r>
    <n v="762977079"/>
    <x v="133"/>
    <s v="COQUIMBO"/>
    <n v="4"/>
    <x v="0"/>
    <s v="CN76297707"/>
    <s v="PRIVADO"/>
    <s v="ATEL"/>
    <s v="REGIÓN DE COQUIMBO"/>
  </r>
  <r>
    <n v="763212823"/>
    <x v="134"/>
    <s v=""/>
    <n v="13"/>
    <x v="0"/>
    <s v="CN76321282"/>
    <s v=""/>
    <s v="ATEL"/>
    <s v="REGIÓN DE METROPOLITANA DE SANTIAGO"/>
  </r>
  <r>
    <n v="763299031"/>
    <x v="135"/>
    <s v=""/>
    <n v="13"/>
    <x v="0"/>
    <s v="CN76329903"/>
    <s v=""/>
    <s v="ATEL"/>
    <s v="REGIÓN DE METROPOLITANA DE SANTIAGO"/>
  </r>
  <r>
    <n v="763331431"/>
    <x v="136"/>
    <s v=""/>
    <n v="13"/>
    <x v="0"/>
    <s v="CN76333143"/>
    <s v=""/>
    <s v="ATEL"/>
    <s v="REGIÓN DE METROPOLITANA DE SANTIAGO"/>
  </r>
  <r>
    <n v="763376826"/>
    <x v="137"/>
    <s v="SANTIAGO"/>
    <n v="13"/>
    <x v="0"/>
    <s v="CN76337682"/>
    <s v="PRIVADO"/>
    <s v="ATEL"/>
    <s v="REGIÓN DE METROPOLITANA DE SANTIAGO"/>
  </r>
  <r>
    <n v="763421570"/>
    <x v="138"/>
    <s v=""/>
    <n v="13"/>
    <x v="0"/>
    <s v="CN76342157"/>
    <s v=""/>
    <s v="ATEL"/>
    <s v="REGIÓN DE METROPOLITANA DE SANTIAGO"/>
  </r>
  <r>
    <n v="763764737"/>
    <x v="139"/>
    <s v=""/>
    <n v="13"/>
    <x v="0"/>
    <s v="CN76376473"/>
    <s v=""/>
    <s v="ATEL"/>
    <s v="REGIÓN DE METROPOLITANA DE SANTIAGO"/>
  </r>
  <r>
    <n v="763864448"/>
    <x v="140"/>
    <s v=""/>
    <n v="13"/>
    <x v="0"/>
    <s v="CN76386444"/>
    <s v=""/>
    <s v="ATEL"/>
    <s v="REGIÓN DE METROPOLITANA DE SANTIAGO"/>
  </r>
  <r>
    <n v="763877973"/>
    <x v="141"/>
    <s v=""/>
    <n v="13"/>
    <x v="0"/>
    <s v="CN76387797"/>
    <s v=""/>
    <s v="ATEL"/>
    <s v="REGIÓN DE METROPOLITANA DE SANTIAGO"/>
  </r>
  <r>
    <n v="763995356"/>
    <x v="142"/>
    <s v=""/>
    <n v="9"/>
    <x v="0"/>
    <s v="CN76399535"/>
    <s v=""/>
    <s v="ATEL"/>
    <s v="REGIÓN DE LA ARAUCANÍA"/>
  </r>
  <r>
    <n v="764080793"/>
    <x v="143"/>
    <s v=""/>
    <n v="8"/>
    <x v="0"/>
    <s v="CN76408079"/>
    <s v=""/>
    <s v="ATEL"/>
    <s v="REGIÓN DE BIOBÍO"/>
  </r>
  <r>
    <n v="764490266"/>
    <x v="144"/>
    <s v=""/>
    <n v="8"/>
    <x v="0"/>
    <s v="CN76449026"/>
    <s v=""/>
    <s v="ATEL"/>
    <s v="REGIÓN DE BIOBÍO"/>
  </r>
  <r>
    <n v="764511271"/>
    <x v="145"/>
    <s v=""/>
    <n v="13"/>
    <x v="0"/>
    <s v="CN76451127"/>
    <s v=""/>
    <s v="ATEL"/>
    <s v="REGIÓN DE METROPOLITANA DE SANTIAGO"/>
  </r>
  <r>
    <n v="764606418"/>
    <x v="146"/>
    <s v="SANTIAGO"/>
    <n v="13"/>
    <x v="0"/>
    <s v="CN76460641"/>
    <s v="PRIVADO"/>
    <s v="ATEL"/>
    <s v="REGIÓN DE METROPOLITANA DE SANTIAGO"/>
  </r>
  <r>
    <n v="764626567"/>
    <x v="147"/>
    <s v=""/>
    <n v="13"/>
    <x v="0"/>
    <s v="CN76462656"/>
    <s v=""/>
    <s v="ATEL"/>
    <s v="REGIÓN DE METROPOLITANA DE SANTIAGO"/>
  </r>
  <r>
    <n v="764686985"/>
    <x v="148"/>
    <s v=""/>
    <n v="10"/>
    <x v="0"/>
    <s v="CN76468698"/>
    <s v=""/>
    <s v="ATEL"/>
    <s v="REGIÓN DE LOS LAGOS"/>
  </r>
  <r>
    <n v="764762304"/>
    <x v="149"/>
    <s v=""/>
    <n v="5"/>
    <x v="0"/>
    <s v="CN76476230"/>
    <s v=""/>
    <s v="ATEL"/>
    <s v="REGIÓN DE VALPARAÍSO"/>
  </r>
  <r>
    <n v="764898419"/>
    <x v="150"/>
    <s v="PUERTO VARAS"/>
    <n v="10"/>
    <x v="0"/>
    <s v="CN76489841"/>
    <s v="PRIVADO"/>
    <s v="ATEL"/>
    <s v="REGIÓN DE LOS LAGOS"/>
  </r>
  <r>
    <n v="765400708"/>
    <x v="151"/>
    <s v=""/>
    <n v="13"/>
    <x v="0"/>
    <s v="CN76540070"/>
    <s v=""/>
    <s v="ATEL"/>
    <s v="REGIÓN DE METROPOLITANA DE SANTIAGO"/>
  </r>
  <r>
    <n v="765447607"/>
    <x v="152"/>
    <s v=""/>
    <n v="13"/>
    <x v="0"/>
    <s v="CN76544760"/>
    <s v=""/>
    <s v="ATEL"/>
    <s v="REGIÓN DE METROPOLITANA DE SANTIAGO"/>
  </r>
  <r>
    <n v="765483379"/>
    <x v="153"/>
    <s v=""/>
    <n v="13"/>
    <x v="0"/>
    <s v="CN76548337"/>
    <s v=""/>
    <s v="ATEL"/>
    <s v="REGIÓN DE METROPOLITANA DE SANTIAGO"/>
  </r>
  <r>
    <n v="765599164"/>
    <x v="154"/>
    <s v="SANTIAGO"/>
    <n v="13"/>
    <x v="0"/>
    <s v="CN76559916"/>
    <s v="PRIVADO"/>
    <s v="ATEL"/>
    <s v="REGIÓN DE METROPOLITANA DE SANTIAGO"/>
  </r>
  <r>
    <n v="765678382"/>
    <x v="155"/>
    <s v=""/>
    <n v="13"/>
    <x v="0"/>
    <s v="CN76567838"/>
    <s v=""/>
    <s v="ATEL"/>
    <s v="REGIÓN DE METROPOLITANA DE SANTIAGO"/>
  </r>
  <r>
    <n v="765763266"/>
    <x v="156"/>
    <s v=""/>
    <n v="5"/>
    <x v="0"/>
    <s v="CN76576326"/>
    <s v=""/>
    <s v="ATEL"/>
    <s v="REGIÓN DE VALPARAÍSO"/>
  </r>
  <r>
    <n v="766064469"/>
    <x v="157"/>
    <s v=""/>
    <n v="13"/>
    <x v="0"/>
    <s v="CN76606446"/>
    <s v=""/>
    <s v="ATEL"/>
    <s v="REGIÓN DE METROPOLITANA DE SANTIAGO"/>
  </r>
  <r>
    <n v="766296009"/>
    <x v="158"/>
    <s v=""/>
    <n v="13"/>
    <x v="0"/>
    <s v="CN76629600"/>
    <s v=""/>
    <s v="ATEL"/>
    <s v="REGIÓN DE METROPOLITANA DE SANTIAGO"/>
  </r>
  <r>
    <n v="766658105"/>
    <x v="159"/>
    <s v=""/>
    <n v="13"/>
    <x v="0"/>
    <s v="CN76665810"/>
    <s v=""/>
    <s v="ATEL"/>
    <s v="REGIÓN DE METROPOLITANA DE SANTIAGO"/>
  </r>
  <r>
    <n v="767118570"/>
    <x v="160"/>
    <s v=""/>
    <n v="13"/>
    <x v="0"/>
    <s v="CN76711857"/>
    <s v=""/>
    <s v="ATEL"/>
    <s v="REGIÓN DE METROPOLITANA DE SANTIAGO"/>
  </r>
  <r>
    <n v="767198884"/>
    <x v="161"/>
    <s v=""/>
    <n v="13"/>
    <x v="0"/>
    <s v="CN76719888"/>
    <s v=""/>
    <s v="ATEL"/>
    <s v="REGIÓN DE METROPOLITANA DE SANTIAGO"/>
  </r>
  <r>
    <n v="767316712"/>
    <x v="162"/>
    <s v=""/>
    <n v="9"/>
    <x v="0"/>
    <s v="CN76731671"/>
    <s v=""/>
    <s v="ATEL"/>
    <s v="REGIÓN DE LA ARAUCANÍA"/>
  </r>
  <r>
    <n v="767476132"/>
    <x v="163"/>
    <s v=""/>
    <n v="13"/>
    <x v="0"/>
    <s v="CN76747613"/>
    <s v=""/>
    <s v="ATEL"/>
    <s v="REGIÓN DE METROPOLITANA DE SANTIAGO"/>
  </r>
  <r>
    <n v="767632304"/>
    <x v="164"/>
    <s v=""/>
    <n v="13"/>
    <x v="0"/>
    <s v="CN76763230"/>
    <s v=""/>
    <s v="ATEL"/>
    <s v="REGIÓN DE METROPOLITANA DE SANTIAGO"/>
  </r>
  <r>
    <n v="767974698"/>
    <x v="165"/>
    <s v="SANTIAGO"/>
    <n v="13"/>
    <x v="0"/>
    <s v="CN76797469"/>
    <s v="PRIVADO"/>
    <s v="ATEL"/>
    <s v="REGIÓN DE METROPOLITANA DE SANTIAGO"/>
  </r>
  <r>
    <n v="768109060"/>
    <x v="166"/>
    <s v=""/>
    <n v="13"/>
    <x v="0"/>
    <s v="CN76810906"/>
    <s v=""/>
    <s v="ATEL"/>
    <s v="REGIÓN DE METROPOLITANA DE SANTIAGO"/>
  </r>
  <r>
    <n v="768300909"/>
    <x v="167"/>
    <s v=""/>
    <n v="13"/>
    <x v="0"/>
    <s v="CN76830090"/>
    <s v=""/>
    <s v="ATEL"/>
    <s v="REGIÓN DE METROPOLITANA DE SANTIAGO"/>
  </r>
  <r>
    <n v="768516073"/>
    <x v="168"/>
    <s v=""/>
    <n v="13"/>
    <x v="0"/>
    <s v="CN76851607"/>
    <s v=""/>
    <s v="ATEL"/>
    <s v="REGIÓN DE METROPOLITANA DE SANTIAGO"/>
  </r>
  <r>
    <n v="768577706"/>
    <x v="169"/>
    <s v=""/>
    <n v="4"/>
    <x v="0"/>
    <s v="CN76857770"/>
    <s v=""/>
    <s v="ATEL"/>
    <s v="REGIÓN DE COQUIMBO"/>
  </r>
  <r>
    <n v="768679355"/>
    <x v="170"/>
    <s v=""/>
    <n v="9"/>
    <x v="0"/>
    <s v="CN76867935"/>
    <s v=""/>
    <s v="ATEL"/>
    <s v="REGIÓN DE LA ARAUCANÍA"/>
  </r>
  <r>
    <n v="768687951"/>
    <x v="171"/>
    <s v=""/>
    <n v="13"/>
    <x v="0"/>
    <s v="CN76868795"/>
    <s v=""/>
    <s v="ATEL"/>
    <s v="REGIÓN DE METROPOLITANA DE SANTIAGO"/>
  </r>
  <r>
    <n v="768711755"/>
    <x v="172"/>
    <s v=""/>
    <n v="13"/>
    <x v="0"/>
    <s v="CN76871175"/>
    <s v=""/>
    <s v="ATEL"/>
    <s v="REGIÓN DE METROPOLITANA DE SANTIAGO"/>
  </r>
  <r>
    <n v="768975094"/>
    <x v="173"/>
    <s v=""/>
    <n v="13"/>
    <x v="0"/>
    <s v="CN76897509"/>
    <s v=""/>
    <s v="ATEL"/>
    <s v="REGIÓN DE METROPOLITANA DE SANTIAGO"/>
  </r>
  <r>
    <n v="769476288"/>
    <x v="174"/>
    <s v=""/>
    <n v="4"/>
    <x v="0"/>
    <s v="CN76947628"/>
    <s v=""/>
    <s v="ATEL"/>
    <s v="REGIÓN DE COQUIMBO"/>
  </r>
  <r>
    <n v="769744002"/>
    <x v="175"/>
    <s v="SANTIAGO"/>
    <n v="13"/>
    <x v="0"/>
    <s v="CN76974400"/>
    <s v="PRIVADO"/>
    <s v="ATEL"/>
    <s v="REGIÓN DE METROPOLITANA DE SANTIAGO"/>
  </r>
  <r>
    <n v="769754547"/>
    <x v="176"/>
    <s v=""/>
    <n v="13"/>
    <x v="0"/>
    <s v="CN76975454"/>
    <s v=""/>
    <s v="ATEL"/>
    <s v="REGIÓN DE METROPOLITANA DE SANTIAGO"/>
  </r>
  <r>
    <n v="769845755"/>
    <x v="177"/>
    <s v=""/>
    <n v="13"/>
    <x v="0"/>
    <s v="CN76984575"/>
    <s v=""/>
    <s v="ATEL"/>
    <s v="REGIÓN DE METROPOLITANA DE SANTIAGO"/>
  </r>
  <r>
    <n v="769987819"/>
    <x v="178"/>
    <s v=""/>
    <n v="5"/>
    <x v="0"/>
    <s v="CN76998781"/>
    <s v=""/>
    <s v="ATEL"/>
    <s v="REGIÓN DE VALPARAÍSO"/>
  </r>
  <r>
    <n v="770205891"/>
    <x v="179"/>
    <s v=""/>
    <n v="13"/>
    <x v="0"/>
    <s v="CN77020589"/>
    <s v=""/>
    <s v="ATEL"/>
    <s v="REGIÓN DE METROPOLITANA DE SANTIAGO"/>
  </r>
  <r>
    <n v="770376599"/>
    <x v="180"/>
    <s v=""/>
    <n v="6"/>
    <x v="0"/>
    <s v="CN77037659"/>
    <s v=""/>
    <s v="ATEL"/>
    <s v="REGIÓN DE LIBERTADOR GENERAL BERNARDO O'HIGGINS"/>
  </r>
  <r>
    <n v="770754194"/>
    <x v="181"/>
    <s v=""/>
    <n v="13"/>
    <x v="0"/>
    <s v="CN77075419"/>
    <s v=""/>
    <s v="ATEL"/>
    <s v="REGIÓN DE METROPOLITANA DE SANTIAGO"/>
  </r>
  <r>
    <n v="770887895"/>
    <x v="182"/>
    <s v=""/>
    <n v="13"/>
    <x v="0"/>
    <s v="CN77088789"/>
    <s v=""/>
    <s v="ATEL"/>
    <s v="REGIÓN DE METROPOLITANA DE SANTIAGO"/>
  </r>
  <r>
    <n v="770982111"/>
    <x v="183"/>
    <s v=""/>
    <n v="5"/>
    <x v="0"/>
    <s v="CN77098211"/>
    <s v=""/>
    <s v="ATEL"/>
    <s v="REGIÓN DE VALPARAÍSO"/>
  </r>
  <r>
    <n v="771112684"/>
    <x v="184"/>
    <s v=""/>
    <n v="13"/>
    <x v="0"/>
    <s v="CN77111268"/>
    <s v=""/>
    <s v="ATEL"/>
    <s v="REGIÓN DE METROPOLITANA DE SANTIAGO"/>
  </r>
  <r>
    <n v="771138918"/>
    <x v="185"/>
    <s v=""/>
    <n v="8"/>
    <x v="0"/>
    <s v="CN77113891"/>
    <s v=""/>
    <s v="ATEL"/>
    <s v="REGIÓN DE BIOBÍO"/>
  </r>
  <r>
    <n v="771165818"/>
    <x v="186"/>
    <s v=""/>
    <n v="13"/>
    <x v="0"/>
    <s v="CN77116581"/>
    <s v=""/>
    <s v="ATEL"/>
    <s v="REGIÓN DE METROPOLITANA DE SANTIAGO"/>
  </r>
  <r>
    <n v="771374085"/>
    <x v="187"/>
    <s v=""/>
    <n v="13"/>
    <x v="0"/>
    <s v="CN77137408"/>
    <s v=""/>
    <s v="ATEL"/>
    <s v="REGIÓN DE METROPOLITANA DE SANTIAGO"/>
  </r>
  <r>
    <n v="771651240"/>
    <x v="188"/>
    <s v="SANTIAGO"/>
    <n v="13"/>
    <x v="0"/>
    <s v="CN77165124"/>
    <s v="PRIVADO"/>
    <s v="ATEL"/>
    <s v="REGIÓN DE METROPOLITANA DE SANTIAGO"/>
  </r>
  <r>
    <n v="771831087"/>
    <x v="189"/>
    <s v=""/>
    <n v="10"/>
    <x v="0"/>
    <s v="CN77183108"/>
    <s v=""/>
    <s v="ATEL"/>
    <s v="REGIÓN DE LOS LAGOS"/>
  </r>
  <r>
    <n v="772016581"/>
    <x v="190"/>
    <s v=""/>
    <n v="13"/>
    <x v="0"/>
    <s v="CN77201658"/>
    <s v=""/>
    <s v="ATEL"/>
    <s v="REGIÓN DE METROPOLITANA DE SANTIAGO"/>
  </r>
  <r>
    <n v="772217226"/>
    <x v="191"/>
    <s v=""/>
    <n v="13"/>
    <x v="0"/>
    <s v="CN77221722"/>
    <s v=""/>
    <s v="ATEL"/>
    <s v="REGIÓN DE METROPOLITANA DE SANTIAGO"/>
  </r>
  <r>
    <n v="772311370"/>
    <x v="192"/>
    <s v=""/>
    <n v="13"/>
    <x v="0"/>
    <s v="CN77231137"/>
    <s v=""/>
    <s v="ATEL"/>
    <s v="REGIÓN DE METROPOLITANA DE SANTIAGO"/>
  </r>
  <r>
    <n v="772445202"/>
    <x v="193"/>
    <s v="TALCA"/>
    <n v="7"/>
    <x v="0"/>
    <s v="CN77244520"/>
    <s v="PRIVADO"/>
    <s v="ATEL"/>
    <s v="REGIÓN DE MAULE"/>
  </r>
  <r>
    <n v="772446365"/>
    <x v="194"/>
    <s v=""/>
    <n v="8"/>
    <x v="0"/>
    <s v="CN77244636"/>
    <s v=""/>
    <s v="ATEL"/>
    <s v="REGIÓN DE BIOBÍO"/>
  </r>
  <r>
    <n v="772478410"/>
    <x v="195"/>
    <s v=""/>
    <n v="13"/>
    <x v="0"/>
    <s v="CN77247841"/>
    <s v=""/>
    <s v="ATEL"/>
    <s v="REGIÓN DE METROPOLITANA DE SANTIAGO"/>
  </r>
  <r>
    <n v="772505736"/>
    <x v="196"/>
    <s v=""/>
    <n v="5"/>
    <x v="0"/>
    <s v="CN77250573"/>
    <s v=""/>
    <s v="ATEL"/>
    <s v="REGIÓN DE VALPARAÍSO"/>
  </r>
  <r>
    <n v="772537298"/>
    <x v="197"/>
    <s v=""/>
    <n v="10"/>
    <x v="0"/>
    <s v="CN77253729"/>
    <s v=""/>
    <s v="ATEL"/>
    <s v="REGIÓN DE LOS LAGOS"/>
  </r>
  <r>
    <n v="772694997"/>
    <x v="198"/>
    <s v=""/>
    <n v="8"/>
    <x v="0"/>
    <s v="CN77269499"/>
    <s v=""/>
    <s v="ATEL"/>
    <s v="REGIÓN DE BIOBÍO"/>
  </r>
  <r>
    <n v="773533776"/>
    <x v="199"/>
    <s v="SANTIAGO"/>
    <n v="13"/>
    <x v="0"/>
    <s v="CN77353377"/>
    <s v="PRIVADO"/>
    <s v="ATEL"/>
    <s v="REGIÓN DE METROPOLITANA DE SANTIAGO"/>
  </r>
  <r>
    <n v="774668365"/>
    <x v="200"/>
    <s v=""/>
    <n v="13"/>
    <x v="0"/>
    <s v="CN77466836"/>
    <s v=""/>
    <s v="ATEL"/>
    <s v="REGIÓN DE METROPOLITANA DE SANTIAGO"/>
  </r>
  <r>
    <n v="774903151"/>
    <x v="201"/>
    <s v=""/>
    <n v="16"/>
    <x v="0"/>
    <s v="CN77490315"/>
    <s v=""/>
    <s v="ATEL"/>
    <s v="REGIÓN DE ÑUBLE"/>
  </r>
  <r>
    <n v="776634700"/>
    <x v="202"/>
    <s v=""/>
    <n v="7"/>
    <x v="0"/>
    <s v="CN77663470"/>
    <s v=""/>
    <s v="ATEL"/>
    <s v="REGIÓN DE MAULE"/>
  </r>
  <r>
    <n v="777043803"/>
    <x v="203"/>
    <s v=""/>
    <n v="8"/>
    <x v="0"/>
    <s v="CN77704380"/>
    <s v=""/>
    <s v="ATEL"/>
    <s v="REGIÓN DE BIOBÍO"/>
  </r>
  <r>
    <n v="777656309"/>
    <x v="204"/>
    <s v=""/>
    <n v="13"/>
    <x v="0"/>
    <s v="CN77765630"/>
    <s v=""/>
    <s v="ATEL"/>
    <s v="REGIÓN DE METROPOLITANA DE SANTIAGO"/>
  </r>
  <r>
    <n v="778063905"/>
    <x v="205"/>
    <s v="SANTIAGO"/>
    <n v="13"/>
    <x v="0"/>
    <s v="CN77806390"/>
    <s v="PRIVADO"/>
    <s v="ATEL"/>
    <s v="REGIÓN DE METROPOLITANA DE SANTIAGO"/>
  </r>
  <r>
    <n v="778667703"/>
    <x v="206"/>
    <s v=""/>
    <n v="13"/>
    <x v="0"/>
    <s v="CN77866770"/>
    <s v=""/>
    <s v="ATEL"/>
    <s v="REGIÓN DE METROPOLITANA DE SANTIAGO"/>
  </r>
  <r>
    <n v="779778207"/>
    <x v="207"/>
    <s v="SAN PEDRO DE LA PAZ"/>
    <n v="8"/>
    <x v="0"/>
    <s v="CN77977820"/>
    <s v="PRIVADO"/>
    <s v="ATEL"/>
    <s v="REGIÓN DE BIOBÍO"/>
  </r>
  <r>
    <n v="785913906"/>
    <x v="208"/>
    <s v=""/>
    <n v="8"/>
    <x v="0"/>
    <s v="CN78591390"/>
    <s v=""/>
    <s v="ATEL"/>
    <s v="REGIÓN DE BIOBÍO"/>
  </r>
  <r>
    <n v="789927200"/>
    <x v="209"/>
    <s v=""/>
    <n v="5"/>
    <x v="0"/>
    <s v="CN78992720"/>
    <s v=""/>
    <s v="ATEL"/>
    <s v="REGIÓN DE VALPARAÍSO"/>
  </r>
  <r>
    <n v="796490608"/>
    <x v="210"/>
    <s v="IQUIQUE"/>
    <n v="1"/>
    <x v="0"/>
    <s v="CN79649060"/>
    <s v="PRIVADO"/>
    <s v="ATEL"/>
    <s v="REGIÓN DE TARAPACÁ"/>
  </r>
  <r>
    <n v="812104004"/>
    <x v="211"/>
    <s v=""/>
    <n v="13"/>
    <x v="0"/>
    <s v="CN81210400"/>
    <s v=""/>
    <s v="ATEL"/>
    <s v="REGIÓN DE METROPOLITANA DE SANTIAGO"/>
  </r>
  <r>
    <n v="821048001"/>
    <x v="212"/>
    <s v=""/>
    <n v="7"/>
    <x v="0"/>
    <s v="CN82104800"/>
    <s v=""/>
    <s v="ATEL"/>
    <s v="REGIÓN DE MAULE"/>
  </r>
  <r>
    <n v="829831007"/>
    <x v="213"/>
    <s v=""/>
    <n v="13"/>
    <x v="0"/>
    <s v="CN82983100"/>
    <s v=""/>
    <s v="ATEL"/>
    <s v="REGIÓN DE METROPOLITANA DE SANTIAGO"/>
  </r>
  <r>
    <n v="939150005"/>
    <x v="214"/>
    <s v=""/>
    <n v="13"/>
    <x v="0"/>
    <s v="CN93915000"/>
    <s v=""/>
    <s v="ATEL"/>
    <s v="REGIÓN DE METROPOLITANA DE SANTIAGO"/>
  </r>
  <r>
    <n v="945440007"/>
    <x v="215"/>
    <s v=""/>
    <n v="13"/>
    <x v="0"/>
    <s v="CN94544000"/>
    <s v=""/>
    <s v="ATEL"/>
    <s v="REGIÓN DE METROPOLITANA DE SANTIAGO"/>
  </r>
  <r>
    <n v="967591904"/>
    <x v="216"/>
    <s v=""/>
    <n v="13"/>
    <x v="0"/>
    <s v="CN96759190"/>
    <s v=""/>
    <s v="ATEL"/>
    <s v="REGIÓN DE METROPOLITANA DE SANTIAGO"/>
  </r>
  <r>
    <n v="968030906"/>
    <x v="217"/>
    <s v=""/>
    <n v="8"/>
    <x v="0"/>
    <s v="CN96803090"/>
    <s v=""/>
    <s v="ATEL"/>
    <s v="REGIÓN DE BIOBÍO"/>
  </r>
  <r>
    <n v="968037900"/>
    <x v="218"/>
    <s v=""/>
    <n v="13"/>
    <x v="0"/>
    <s v="CN96803790"/>
    <s v=""/>
    <s v="ATEL"/>
    <s v="REGIÓN DE METROPOLITANA DE SANTIAGO"/>
  </r>
  <r>
    <n v="995240300"/>
    <x v="219"/>
    <s v="QUILPUÉ"/>
    <n v="5"/>
    <x v="0"/>
    <s v="CN99524030"/>
    <s v="PRIVADO"/>
    <s v="ATEL"/>
    <s v="REGIÓN DE VALPARAÍSO"/>
  </r>
  <r>
    <n v="995786001"/>
    <x v="220"/>
    <s v=""/>
    <n v="13"/>
    <x v="0"/>
    <s v="CN99578600"/>
    <s v=""/>
    <s v="ATEL"/>
    <s v="REGIÓN DE METROPOLITANA DE SANTIAGO"/>
  </r>
  <r>
    <s v="15626895K"/>
    <x v="221"/>
    <s v=""/>
    <n v="8"/>
    <x v="0"/>
    <s v="CN15626895"/>
    <s v=""/>
    <s v="ATEL"/>
    <s v="REGIÓN DE BIOBÍO"/>
  </r>
  <r>
    <s v="61102004K"/>
    <x v="222"/>
    <s v="ALGARROBO"/>
    <s v=""/>
    <x v="0"/>
    <s v="CN61102004"/>
    <s v="PRIVADO"/>
    <s v="ATEL"/>
    <s v=""/>
  </r>
  <r>
    <s v="616021893 "/>
    <x v="223"/>
    <s v=""/>
    <s v=""/>
    <x v="0"/>
    <s v="CN616021893"/>
    <s v=""/>
    <s v="ATEL"/>
    <s v=""/>
  </r>
  <r>
    <s v="69061300K"/>
    <x v="224"/>
    <s v=""/>
    <n v="5"/>
    <x v="0"/>
    <s v="CN69061300"/>
    <s v=""/>
    <s v="ATEL"/>
    <s v="REGIÓN DE VALPARAÍSO"/>
  </r>
  <r>
    <s v="69100600K"/>
    <x v="225"/>
    <s v=""/>
    <n v="7"/>
    <x v="0"/>
    <s v="CN69100600"/>
    <s v=""/>
    <s v="ATEL"/>
    <s v="REGIÓN DE MAULE"/>
  </r>
  <r>
    <s v="69130602K"/>
    <x v="226"/>
    <s v=""/>
    <n v="7"/>
    <x v="0"/>
    <s v="CN69130602"/>
    <s v=""/>
    <s v="ATEL"/>
    <s v="REGIÓN DE MAULE"/>
  </r>
  <r>
    <s v="69254000K"/>
    <x v="227"/>
    <s v=""/>
    <n v="13"/>
    <x v="0"/>
    <s v="CN69254000"/>
    <s v=""/>
    <s v="ATEL"/>
    <s v="REGIÓN DE METROPOLITANA DE SANTIAGO"/>
  </r>
  <r>
    <s v="76017887K"/>
    <x v="228"/>
    <s v=""/>
    <n v="8"/>
    <x v="0"/>
    <s v="CN76017887"/>
    <s v=""/>
    <s v="ATEL"/>
    <s v="REGIÓN DE BIOBÍO"/>
  </r>
  <r>
    <s v="76033880K"/>
    <x v="229"/>
    <s v=""/>
    <n v="13"/>
    <x v="0"/>
    <s v="CN76033880"/>
    <s v=""/>
    <s v="ATEL"/>
    <s v="REGIÓN DE METROPOLITANA DE SANTIAGO"/>
  </r>
  <r>
    <s v="76066488K"/>
    <x v="230"/>
    <s v=""/>
    <n v="13"/>
    <x v="0"/>
    <s v="CN76066488"/>
    <s v=""/>
    <s v="ATEL"/>
    <s v="REGIÓN DE METROPOLITANA DE SANTIAGO"/>
  </r>
  <r>
    <s v="76231391K"/>
    <x v="231"/>
    <s v=""/>
    <n v="9"/>
    <x v="0"/>
    <s v="CN76231391"/>
    <s v=""/>
    <s v="ATEL"/>
    <s v="REGIÓN DE LA ARAUCANÍA"/>
  </r>
  <r>
    <s v="76259093K"/>
    <x v="232"/>
    <s v=""/>
    <n v="14"/>
    <x v="0"/>
    <s v="CN76259093"/>
    <s v=""/>
    <s v="ATEL"/>
    <s v="REGIÓN DE LOS RÍOS"/>
  </r>
  <r>
    <s v="76510064K"/>
    <x v="233"/>
    <s v=""/>
    <n v="8"/>
    <x v="0"/>
    <s v="CN76510064"/>
    <s v=""/>
    <s v="ATEL"/>
    <s v="REGIÓN DE BIOBÍO"/>
  </r>
  <r>
    <s v="77039287K"/>
    <x v="234"/>
    <s v=""/>
    <n v="13"/>
    <x v="0"/>
    <s v="CN77039287"/>
    <s v=""/>
    <s v="ATEL"/>
    <s v="REGIÓN DE METROPOLITANA DE SANTIAGO"/>
  </r>
  <r>
    <s v="77132732K"/>
    <x v="235"/>
    <s v=""/>
    <n v="5"/>
    <x v="0"/>
    <s v="CN77132732"/>
    <s v=""/>
    <s v="ATEL"/>
    <s v="REGIÓN DE VALPARAÍSO"/>
  </r>
  <r>
    <s v="77166184K"/>
    <x v="236"/>
    <s v=""/>
    <n v="13"/>
    <x v="0"/>
    <s v="CN77166184"/>
    <s v=""/>
    <s v="ATEL"/>
    <s v="REGIÓN DE METROPOLITANA DE SANTIAGO"/>
  </r>
  <r>
    <s v="77326113K"/>
    <x v="237"/>
    <s v="COPIAPÓ"/>
    <n v="3"/>
    <x v="0"/>
    <s v="CN77326113"/>
    <s v="PRIVADO"/>
    <s v="ATEL"/>
    <s v="REGIÓN DE ATACAMA"/>
  </r>
  <r>
    <s v="777492101 "/>
    <x v="238"/>
    <s v="PROVIDENCIA"/>
    <s v=""/>
    <x v="0"/>
    <s v="CN777492101"/>
    <s v="PRIVADO"/>
    <s v="ATEL"/>
    <s v=""/>
  </r>
  <r>
    <s v="77849650K"/>
    <x v="239"/>
    <s v="SANTIAGO"/>
    <n v="13"/>
    <x v="0"/>
    <s v="CN77849650"/>
    <s v="PRIVADO"/>
    <s v="ATEL"/>
    <s v="REGIÓN DE METROPOLITANA DE SANTIAGO"/>
  </r>
  <r>
    <s v="78464300K"/>
    <x v="240"/>
    <s v="SANTIAGO"/>
    <n v="13"/>
    <x v="0"/>
    <s v="CN78464300"/>
    <s v="PRIVADO"/>
    <s v="ATEL"/>
    <s v="REGIÓN DE METROPOLITANA DE SANTIAGO"/>
  </r>
  <r>
    <s v="92288000K"/>
    <x v="241"/>
    <s v=""/>
    <n v="13"/>
    <x v="0"/>
    <s v="CN92288000"/>
    <s v=""/>
    <s v="ATEL"/>
    <s v="REGIÓN DE METROPOLITANA DE SANTIAGO"/>
  </r>
  <r>
    <n v="124106559"/>
    <x v="242"/>
    <s v="LA REINA"/>
    <n v="13"/>
    <x v="0"/>
    <s v="CN12410655"/>
    <s v="PRIVADO"/>
    <s v="ATEL"/>
    <s v="REGIÓN DE METROPOLITANA DE SANTIAGO"/>
  </r>
  <r>
    <n v="128624430"/>
    <x v="243"/>
    <s v="CALERA DE TANGO"/>
    <n v="13"/>
    <x v="0"/>
    <s v="CN12862443"/>
    <s v="PÚBLICO"/>
    <s v="ATEL"/>
    <s v="REGIÓN DE METROPOLITANA DE SANTIAGO"/>
  </r>
  <r>
    <n v="130628583"/>
    <x v="244"/>
    <s v="VALDIVIA"/>
    <n v="14"/>
    <x v="0"/>
    <s v="CN13062858"/>
    <s v="PRIVADO"/>
    <s v="ATEL"/>
    <s v="REGIÓN DE LOS RÍOS"/>
  </r>
  <r>
    <n v="137714132"/>
    <x v="245"/>
    <s v="MACUL"/>
    <n v="13"/>
    <x v="0"/>
    <s v="CN13771413"/>
    <s v="PRIVADO"/>
    <s v="ATEL"/>
    <s v="REGIÓN DE METROPOLITANA DE SANTIAGO"/>
  </r>
  <r>
    <n v="138177564"/>
    <x v="246"/>
    <s v="VALDIVIA"/>
    <n v="14"/>
    <x v="0"/>
    <s v="CN13817756"/>
    <s v="PRIVADO"/>
    <s v="ATEL"/>
    <s v="REGIÓN DE LOS RÍOS"/>
  </r>
  <r>
    <n v="150603439"/>
    <x v="247"/>
    <s v="LOS ANDES"/>
    <n v="5"/>
    <x v="0"/>
    <s v="CN15060343"/>
    <s v="PRIVADO"/>
    <s v="ATEL"/>
    <s v="REGIÓN DE VALPARAÍSO"/>
  </r>
  <r>
    <n v="159017230"/>
    <x v="248"/>
    <s v="LA SERENA"/>
    <n v="4"/>
    <x v="0"/>
    <s v="CN15901723"/>
    <s v="PRIVADO"/>
    <s v="ATEL"/>
    <s v="REGIÓN DE COQUIMBO"/>
  </r>
  <r>
    <n v="164793079"/>
    <x v="249"/>
    <s v="PEDRO AGUIRRE CERDA"/>
    <n v="13"/>
    <x v="0"/>
    <s v="CN16479307"/>
    <s v="PRIVADO"/>
    <s v="ATEL"/>
    <s v="REGIÓN DE METROPOLITANA DE SANTIAGO"/>
  </r>
  <r>
    <n v="176010681"/>
    <x v="250"/>
    <s v="LA PINTANA"/>
    <n v="13"/>
    <x v="0"/>
    <s v="CN17601068"/>
    <s v="PRIVADO"/>
    <s v="ATEL"/>
    <s v="REGIÓN DE METROPOLITANA DE SANTIAGO"/>
  </r>
  <r>
    <s v="17777412K"/>
    <x v="251"/>
    <s v="HUECHURABA"/>
    <n v="13"/>
    <x v="0"/>
    <s v="CN17777412"/>
    <s v="PRIVADO"/>
    <s v="ATEL"/>
    <s v="REGIÓN DE METROPOLITANA DE SANTIAGO"/>
  </r>
  <r>
    <n v="236443140"/>
    <x v="252"/>
    <s v="RECOLETA"/>
    <n v="13"/>
    <x v="0"/>
    <s v="CN23644314"/>
    <s v="PRIVADO"/>
    <s v="ATEL"/>
    <s v="REGIÓN DE METROPOLITANA DE SANTIAGO"/>
  </r>
  <r>
    <n v="267104476"/>
    <x v="253"/>
    <s v="RECOLETA"/>
    <n v="13"/>
    <x v="0"/>
    <s v="CN26710447"/>
    <s v="PRIVADO"/>
    <s v="ATEL"/>
    <s v="REGIÓN DE METROPOLITANA DE SANTIAGO"/>
  </r>
  <r>
    <n v="531258509"/>
    <x v="254"/>
    <s v="ESTACIÓN CENTRAL"/>
    <n v="13"/>
    <x v="1"/>
    <s v="CN53125850"/>
    <s v="PRIVADO"/>
    <s v="SANT2"/>
    <s v="REGIÓN DE METROPOLITANA DE SANTIAGO"/>
  </r>
  <r>
    <s v="53335808K"/>
    <x v="255"/>
    <s v="VALDIVIA"/>
    <n v="14"/>
    <x v="2"/>
    <s v="CN53335808"/>
    <s v="PRIVADO"/>
    <s v="SUR2"/>
    <s v="REGIÓN DE LOS RÍOS"/>
  </r>
  <r>
    <n v="58921203"/>
    <x v="256"/>
    <s v="PUDAHUEL"/>
    <n v="13"/>
    <x v="0"/>
    <s v="CN5892120"/>
    <s v="PRIVADO"/>
    <s v="ATEL"/>
    <s v="REGIÓN DE METROPOLITANA DE SANTIAGO"/>
  </r>
  <r>
    <s v="59106780K"/>
    <x v="257"/>
    <s v="SAN BERNARDO"/>
    <n v="13"/>
    <x v="0"/>
    <s v="CN59106780"/>
    <s v="PRIVADO"/>
    <s v="ATEL"/>
    <s v="REGIÓN DE METROPOLITANA DE SANTIAGO"/>
  </r>
  <r>
    <n v="605055230"/>
    <x v="258"/>
    <s v="VALDIVIA"/>
    <n v="14"/>
    <x v="0"/>
    <s v="CN60505523"/>
    <s v="PRIVADO"/>
    <s v="ATEL"/>
    <s v="REGIÓN DE LOS RÍOS"/>
  </r>
  <r>
    <n v="605057233"/>
    <x v="259"/>
    <s v="ÑUÑOA"/>
    <n v="13"/>
    <x v="3"/>
    <s v="CN60505723"/>
    <s v="PÚBLICO"/>
    <s v="SANT1"/>
    <s v="REGIÓN DE METROPOLITANA DE SANTIAGO"/>
  </r>
  <r>
    <n v="605140009"/>
    <x v="260"/>
    <s v="Ñuñoa"/>
    <n v="13"/>
    <x v="3"/>
    <s v="CN60514000"/>
    <s v="PÚBLICO"/>
    <s v="SANT1"/>
    <s v="REGIÓN DE METROPOLITANA DE SANTIAGO"/>
  </r>
  <r>
    <n v="609100001"/>
    <x v="261"/>
    <s v="INDEPENDENCIA"/>
    <n v="13"/>
    <x v="1"/>
    <s v="CN60910000"/>
    <s v="PÚBLICO"/>
    <s v="SANT2"/>
    <s v="REGIÓN DE METROPOLITANA DE SANTIAGO"/>
  </r>
  <r>
    <n v="609110007"/>
    <x v="262"/>
    <s v="ESTACIÓN CENTRAL"/>
    <n v="13"/>
    <x v="0"/>
    <s v="CN60911000"/>
    <s v="PÚBLICO"/>
    <s v="ATEL"/>
    <s v="REGIÓN DE METROPOLITANA DE SANTIAGO"/>
  </r>
  <r>
    <n v="609210001"/>
    <x v="263"/>
    <s v="VIÑA DEL MAR"/>
    <n v="5"/>
    <x v="0"/>
    <s v="CN60921000"/>
    <s v="PÚBLICO"/>
    <s v="ATEL"/>
    <s v="REGIÓN DE VALPARAÍSO"/>
  </r>
  <r>
    <n v="610040004"/>
    <x v="264"/>
    <s v="SANTIAGO"/>
    <n v="13"/>
    <x v="0"/>
    <s v="CN61004000"/>
    <s v="PÚBLICO"/>
    <s v="ATEL"/>
    <s v="REGIÓN DE METROPOLITANA DE SANTIAGO"/>
  </r>
  <r>
    <n v="610040128"/>
    <x v="265"/>
    <s v="LA SERENA"/>
    <n v="4"/>
    <x v="0"/>
    <s v="CN61004012"/>
    <s v="PRIVADO"/>
    <s v="ATEL"/>
    <s v="REGIÓN DE COQUIMBO"/>
  </r>
  <r>
    <n v="610040241"/>
    <x v="266"/>
    <s v="VALPARAÍSO"/>
    <n v="5"/>
    <x v="0"/>
    <s v="CN61004024"/>
    <s v="PÚBLICO"/>
    <s v="ATEL"/>
    <s v="REGIÓN DE VALPARAÍSO"/>
  </r>
  <r>
    <s v="61004042K"/>
    <x v="267"/>
    <s v="RANCAGUA"/>
    <n v="6"/>
    <x v="0"/>
    <s v="CN61004042"/>
    <s v="PÚBLICO"/>
    <s v="ATEL"/>
    <s v="REGIÓN DE LIBERTADOR GENERAL BERNARDO O'HIGGINS"/>
  </r>
  <r>
    <n v="610040683"/>
    <x v="268"/>
    <s v="CONCEPCIÓN"/>
    <n v="8"/>
    <x v="0"/>
    <s v="CN61004068"/>
    <s v="PÚBLICO"/>
    <s v="ATEL"/>
    <s v="REGIÓN DE BIOBÍO"/>
  </r>
  <r>
    <n v="610080006"/>
    <x v="269"/>
    <s v="CONCEPCIÓN"/>
    <n v="8"/>
    <x v="0"/>
    <s v="CN61008000"/>
    <s v="PÚBLICO"/>
    <s v="ATEL"/>
    <s v="REGIÓN DE BIOBÍO"/>
  </r>
  <r>
    <n v="611010303"/>
    <x v="270"/>
    <s v="LA REINA"/>
    <n v="13"/>
    <x v="3"/>
    <s v="CN61101030"/>
    <s v="PÚBLICO"/>
    <s v="SANT1"/>
    <s v="REGIÓN DE METROPOLITANA DE SANTIAGO"/>
  </r>
  <r>
    <n v="611010311"/>
    <x v="271"/>
    <s v="SANTIAGO"/>
    <n v="13"/>
    <x v="0"/>
    <s v="CN61101031"/>
    <s v="PÚBLICO"/>
    <s v="ATEL"/>
    <s v="REGIÓN DE METROPOLITANA DE SANTIAGO"/>
  </r>
  <r>
    <n v="611010826"/>
    <x v="272"/>
    <s v="ARICA"/>
    <n v="15"/>
    <x v="0"/>
    <s v="CN61101082"/>
    <s v="PÚBLICO"/>
    <s v="ATEL"/>
    <s v="REGIÓN DE ARICA Y PARINACOTA"/>
  </r>
  <r>
    <n v="611010869"/>
    <x v="273"/>
    <s v="ANTOFAGASTA"/>
    <n v="2"/>
    <x v="0"/>
    <s v="CN61101086"/>
    <s v="PÚBLICO"/>
    <s v="ATEL"/>
    <s v="REGIÓN DE ANTOFAGASTA"/>
  </r>
  <r>
    <n v="611020171"/>
    <x v="274"/>
    <s v="VIÑA DEL MAR"/>
    <n v="5"/>
    <x v="4"/>
    <s v="CN61102017"/>
    <s v="PÚBLICO"/>
    <s v="NOR1"/>
    <s v="REGIÓN DE VALPARAÍSO"/>
  </r>
  <r>
    <n v="611020252"/>
    <x v="275"/>
    <s v="TALCAHUANO"/>
    <n v="8"/>
    <x v="5"/>
    <s v="CN61102025"/>
    <s v="PÚBLICO"/>
    <s v="SUR1"/>
    <s v="REGIÓN DE BIOBÍO"/>
  </r>
  <r>
    <n v="611020295"/>
    <x v="276"/>
    <s v="PUNTA ARENAS"/>
    <n v="12"/>
    <x v="0"/>
    <s v="CN61102029"/>
    <s v="PÚBLICO"/>
    <s v="ATEL"/>
    <s v="REGIÓN DE MAGALLANES Y DE LA ANTÁRTICA CHILENA"/>
  </r>
  <r>
    <n v="611020678"/>
    <x v="277"/>
    <s v="TALCAHUANO"/>
    <n v="8"/>
    <x v="0"/>
    <s v="CN61102067"/>
    <s v="PÚBLICO"/>
    <s v="ATEL"/>
    <s v="REGIÓN DE BIOBÍO"/>
  </r>
  <r>
    <n v="611030061"/>
    <x v="278"/>
    <s v="IQUIQUE"/>
    <n v="1"/>
    <x v="1"/>
    <s v="CN61103006"/>
    <s v="PÚBLICO"/>
    <s v="SANT2"/>
    <s v="REGIÓN DE TARAPACÁ"/>
  </r>
  <r>
    <s v="61103007K"/>
    <x v="279"/>
    <s v="LAS CONDES"/>
    <n v="13"/>
    <x v="3"/>
    <s v="CN61103007"/>
    <s v="PÚBLICO"/>
    <s v="SANT1"/>
    <s v="REGIÓN DE METROPOLITANA DE SANTIAGO"/>
  </r>
  <r>
    <n v="611030193"/>
    <x v="280"/>
    <s v="ANTOFAGASTA"/>
    <n v="2"/>
    <x v="0"/>
    <s v="CN61103019"/>
    <s v="PÚBLICO"/>
    <s v="ATEL"/>
    <s v="REGIÓN DE ANTOFAGASTA"/>
  </r>
  <r>
    <n v="611030355"/>
    <x v="281"/>
    <s v="EL BOSQUE"/>
    <n v="13"/>
    <x v="0"/>
    <s v="CN61103035"/>
    <s v="PÚBLICO"/>
    <s v="ATEL"/>
    <s v="REGIÓN DE METROPOLITANA DE SANTIAGO"/>
  </r>
  <r>
    <n v="611070004"/>
    <x v="282"/>
    <s v="PROVIDENCIA"/>
    <n v="13"/>
    <x v="0"/>
    <s v="CN61107000"/>
    <s v="PÚBLICO"/>
    <s v="ATEL"/>
    <s v="REGIÓN DE METROPOLITANA DE SANTIAGO"/>
  </r>
  <r>
    <s v="61108000K"/>
    <x v="283"/>
    <s v="Santiago"/>
    <n v="5"/>
    <x v="0"/>
    <s v="CN61108000"/>
    <s v="PÚBLICO"/>
    <s v="ATEL"/>
    <s v="REGIÓN DE VALPARAÍSO"/>
  </r>
  <r>
    <n v="613080007"/>
    <x v="284"/>
    <s v="COPIAPÓ"/>
    <n v="3"/>
    <x v="0"/>
    <s v="CN61308000"/>
    <s v="PÚBLICO"/>
    <s v="ATEL"/>
    <s v="REGIÓN DE ATACAMA"/>
  </r>
  <r>
    <n v="613130004"/>
    <x v="285"/>
    <s v="LA UNIÓN"/>
    <n v="14"/>
    <x v="0"/>
    <s v="CN61313000"/>
    <s v="PÚBLICO"/>
    <s v="ATEL"/>
    <s v="REGIÓN DE LOS RÍOS"/>
  </r>
  <r>
    <n v="615130036"/>
    <x v="260"/>
    <s v="LAS CONDES"/>
    <n v="13"/>
    <x v="3"/>
    <s v="CN61513003"/>
    <s v="PÚBLICO"/>
    <s v="SANT1"/>
    <s v="REGIÓN DE METROPOLITANA DE SANTIAGO"/>
  </r>
  <r>
    <s v="61601000K"/>
    <x v="286"/>
    <s v="VALPARAÍSO"/>
    <n v="4"/>
    <x v="0"/>
    <s v="CN61601000"/>
    <s v="PÚBLICO"/>
    <s v="ATEL"/>
    <s v="REGIÓN DE COQUIMBO"/>
  </r>
  <r>
    <n v="616020366"/>
    <x v="287"/>
    <s v="LOS ANDES"/>
    <n v="5"/>
    <x v="4"/>
    <s v="CN61602036"/>
    <s v="PÚBLICO"/>
    <s v="NOR1"/>
    <s v="REGIÓN DE VALPARAÍSO"/>
  </r>
  <r>
    <n v="616020382"/>
    <x v="288"/>
    <s v="SAN FELIPE"/>
    <n v="5"/>
    <x v="4"/>
    <s v="CN61602038"/>
    <s v="PÚBLICO"/>
    <s v="NOR1"/>
    <s v="REGIÓN DE VALPARAÍSO"/>
  </r>
  <r>
    <n v="616020404"/>
    <x v="289"/>
    <s v="PUTAENDO"/>
    <n v="5"/>
    <x v="0"/>
    <s v="CN61602040"/>
    <s v="PÚBLICO"/>
    <s v="ATEL"/>
    <s v="REGIÓN DE VALPARAÍSO"/>
  </r>
  <r>
    <n v="616020420"/>
    <x v="290"/>
    <s v="LLAY-LLAY"/>
    <n v="5"/>
    <x v="0"/>
    <s v="CN61602042"/>
    <s v="PÚBLICO"/>
    <s v="ATEL"/>
    <s v="REGIÓN DE VALPARAÍSO"/>
  </r>
  <r>
    <n v="616020544"/>
    <x v="291"/>
    <s v="VALPARAÍSO"/>
    <n v="5"/>
    <x v="4"/>
    <s v="CN61602054"/>
    <s v="PÚBLICO"/>
    <s v="NOR1"/>
    <s v="REGIÓN DE VALPARAÍSO"/>
  </r>
  <r>
    <n v="616020579"/>
    <x v="292"/>
    <s v="VALPARAÍSO"/>
    <n v="5"/>
    <x v="4"/>
    <s v="CN61602057"/>
    <s v="PÚBLICO"/>
    <s v="NOR1"/>
    <s v="REGIÓN DE VALPARAÍSO"/>
  </r>
  <r>
    <n v="616020676"/>
    <x v="293"/>
    <s v="CASABLANCA"/>
    <n v="5"/>
    <x v="0"/>
    <s v="CN61602067"/>
    <s v="PÚBLICO"/>
    <s v="ATEL"/>
    <s v="REGIÓN DE VALPARAÍSO"/>
  </r>
  <r>
    <n v="616021176"/>
    <x v="294"/>
    <s v="PEÑALOLÉN"/>
    <n v="13"/>
    <x v="0"/>
    <s v="CN61602117"/>
    <s v="PÚBLICO"/>
    <s v="ATEL"/>
    <s v="REGIÓN DE METROPOLITANA DE SANTIAGO"/>
  </r>
  <r>
    <n v="616021214"/>
    <x v="295"/>
    <s v="PEÑAFLOR"/>
    <n v="13"/>
    <x v="0"/>
    <s v="CN61602121"/>
    <s v="PÚBLICO"/>
    <s v="ATEL"/>
    <s v="REGIÓN DE METROPOLITANA DE SANTIAGO"/>
  </r>
  <r>
    <n v="616021222"/>
    <x v="296"/>
    <s v="TALAGANTE"/>
    <n v="13"/>
    <x v="0"/>
    <s v="CN61602122"/>
    <s v="PÚBLICO"/>
    <s v="ATEL"/>
    <s v="REGIÓN DE METROPOLITANA DE SANTIAGO"/>
  </r>
  <r>
    <n v="616021230"/>
    <x v="297"/>
    <s v="MELIPILLA"/>
    <n v="13"/>
    <x v="3"/>
    <s v="CN61602123"/>
    <s v="PÚBLICO"/>
    <s v="SANT1"/>
    <s v="REGIÓN DE METROPOLITANA DE SANTIAGO"/>
  </r>
  <r>
    <n v="616021257"/>
    <x v="298"/>
    <s v="CURACAVÍ"/>
    <n v="13"/>
    <x v="0"/>
    <s v="CN61602125"/>
    <s v="PÚBLICO"/>
    <s v="ATEL"/>
    <s v="REGIÓN DE METROPOLITANA DE SANTIAGO"/>
  </r>
  <r>
    <n v="616021265"/>
    <x v="299"/>
    <s v="SAN ANTONIO"/>
    <n v="5"/>
    <x v="4"/>
    <s v="CN61602126"/>
    <s v="PÚBLICO"/>
    <s v="NOR1"/>
    <s v="REGIÓN DE VALPARAÍSO"/>
  </r>
  <r>
    <s v="61602132K"/>
    <x v="300"/>
    <s v="GRANEROS"/>
    <n v="6"/>
    <x v="0"/>
    <s v="CN61602132"/>
    <s v="PÚBLICO"/>
    <s v="ATEL"/>
    <s v="REGIÓN DE LIBERTADOR GENERAL BERNARDO O'HIGGINS"/>
  </r>
  <r>
    <n v="616021346"/>
    <x v="301"/>
    <s v="COINCO"/>
    <n v="6"/>
    <x v="0"/>
    <s v="CN61602134"/>
    <s v="PÚBLICO"/>
    <s v="ATEL"/>
    <s v="REGIÓN DE LIBERTADOR GENERAL BERNARDO O'HIGGINS"/>
  </r>
  <r>
    <n v="616021389"/>
    <x v="302"/>
    <s v="RANCAGUA"/>
    <n v="6"/>
    <x v="0"/>
    <s v="CN61602138"/>
    <s v="PÚBLICO"/>
    <s v="ATEL"/>
    <s v="REGIÓN DE LIBERTADOR GENERAL BERNARDO O'HIGGINS"/>
  </r>
  <r>
    <n v="616021400"/>
    <x v="303"/>
    <s v="RENGO"/>
    <n v="6"/>
    <x v="0"/>
    <s v="CN61602140"/>
    <s v="PÚBLICO"/>
    <s v="ATEL"/>
    <s v="REGIÓN DE LIBERTADOR GENERAL BERNARDO O'HIGGINS"/>
  </r>
  <r>
    <n v="616021419"/>
    <x v="304"/>
    <s v="SAN VICENTE"/>
    <n v="6"/>
    <x v="0"/>
    <s v="CN61602141"/>
    <s v="PÚBLICO"/>
    <s v="ATEL"/>
    <s v="REGIÓN DE LIBERTADOR GENERAL BERNARDO O'HIGGINS"/>
  </r>
  <r>
    <n v="616021427"/>
    <x v="305"/>
    <s v="PEUMO"/>
    <n v="6"/>
    <x v="0"/>
    <s v="CN61602142"/>
    <s v="PÚBLICO"/>
    <s v="ATEL"/>
    <s v="REGIÓN DE LIBERTADOR GENERAL BERNARDO O'HIGGINS"/>
  </r>
  <r>
    <n v="616021435"/>
    <x v="306"/>
    <s v="PICHIDEGUA"/>
    <n v="6"/>
    <x v="0"/>
    <s v="CN61602143"/>
    <s v="PÚBLICO"/>
    <s v="ATEL"/>
    <s v="REGIÓN DE LIBERTADOR GENERAL BERNARDO O'HIGGINS"/>
  </r>
  <r>
    <n v="616021451"/>
    <x v="307"/>
    <s v="SAN FERNANDO"/>
    <n v="6"/>
    <x v="0"/>
    <s v="CN61602145"/>
    <s v="PÚBLICO"/>
    <s v="ATEL"/>
    <s v="REGIÓN DE LIBERTADOR GENERAL BERNARDO O'HIGGINS"/>
  </r>
  <r>
    <s v="61602146K"/>
    <x v="308"/>
    <s v="CHIMBARONGO"/>
    <n v="6"/>
    <x v="0"/>
    <s v="CN61602146"/>
    <s v="PÚBLICO"/>
    <s v="ATEL"/>
    <s v="REGIÓN DE LIBERTADOR GENERAL BERNARDO O'HIGGINS"/>
  </r>
  <r>
    <n v="616021478"/>
    <x v="309"/>
    <s v="NANCAGUA"/>
    <n v="6"/>
    <x v="0"/>
    <s v="CN61602147"/>
    <s v="PÚBLICO"/>
    <s v="ATEL"/>
    <s v="REGIÓN DE LIBERTADOR GENERAL BERNARDO O'HIGGINS"/>
  </r>
  <r>
    <n v="616021486"/>
    <x v="310"/>
    <s v="SANTA CRUZ"/>
    <n v="6"/>
    <x v="0"/>
    <s v="CN61602148"/>
    <s v="PÚBLICO"/>
    <s v="ATEL"/>
    <s v="REGIÓN DE LIBERTADOR GENERAL BERNARDO O'HIGGINS"/>
  </r>
  <r>
    <n v="616021508"/>
    <x v="311"/>
    <s v="LOLOL"/>
    <n v="6"/>
    <x v="0"/>
    <s v="CN61602150"/>
    <s v="PÚBLICO"/>
    <s v="ATEL"/>
    <s v="REGIÓN DE LIBERTADOR GENERAL BERNARDO O'HIGGINS"/>
  </r>
  <r>
    <n v="616021516"/>
    <x v="312"/>
    <s v="MARCHIHUE"/>
    <n v="6"/>
    <x v="0"/>
    <s v="CN61602151"/>
    <s v="PÚBLICO"/>
    <s v="ATEL"/>
    <s v="REGIÓN DE LIBERTADOR GENERAL BERNARDO O'HIGGINS"/>
  </r>
  <r>
    <n v="616021524"/>
    <x v="313"/>
    <s v="LITUECHE"/>
    <n v="6"/>
    <x v="0"/>
    <s v="CN61602152"/>
    <s v="PÚBLICO"/>
    <s v="ATEL"/>
    <s v="REGIÓN DE LIBERTADOR GENERAL BERNARDO O'HIGGINS"/>
  </r>
  <r>
    <n v="616021532"/>
    <x v="314"/>
    <s v="PICHILEMU"/>
    <n v="6"/>
    <x v="0"/>
    <s v="CN61602153"/>
    <s v="PÚBLICO"/>
    <s v="ATEL"/>
    <s v="REGIÓN DE LIBERTADOR GENERAL BERNARDO O'HIGGINS"/>
  </r>
  <r>
    <n v="616021893"/>
    <x v="223"/>
    <s v="CONCEPCIÓN"/>
    <n v="8"/>
    <x v="5"/>
    <s v="CN61602189"/>
    <s v="PÚBLICO"/>
    <s v="SUR1"/>
    <s v="REGIÓN DE BIOBÍO"/>
  </r>
  <r>
    <s v="61602194K"/>
    <x v="315"/>
    <s v="COELEMU"/>
    <n v="16"/>
    <x v="0"/>
    <s v="CN61602194"/>
    <s v="PÚBLICO"/>
    <s v="ATEL"/>
    <s v="REGIÓN DE ÑUBLE"/>
  </r>
  <r>
    <n v="616021982"/>
    <x v="316"/>
    <s v="PENCO"/>
    <n v="8"/>
    <x v="5"/>
    <s v="CN61602198"/>
    <s v="PÚBLICO"/>
    <s v="SUR1"/>
    <s v="REGIÓN DE BIOBÍO"/>
  </r>
  <r>
    <n v="616021990"/>
    <x v="317"/>
    <s v="FLORIDA"/>
    <n v="8"/>
    <x v="0"/>
    <s v="CN61602199"/>
    <s v="PÚBLICO"/>
    <s v="ATEL"/>
    <s v="REGIÓN DE BIOBÍO"/>
  </r>
  <r>
    <n v="616022016"/>
    <x v="318"/>
    <s v="CORONEL"/>
    <n v="8"/>
    <x v="5"/>
    <s v="CN61602201"/>
    <s v="PÚBLICO"/>
    <s v="SUR1"/>
    <s v="REGIÓN DE BIOBÍO"/>
  </r>
  <r>
    <n v="616022032"/>
    <x v="319"/>
    <s v="LOTA"/>
    <n v="8"/>
    <x v="5"/>
    <s v="CN61602203"/>
    <s v="PÚBLICO"/>
    <s v="SUR1"/>
    <s v="REGIÓN DE BIOBÍO"/>
  </r>
  <r>
    <n v="616022040"/>
    <x v="320"/>
    <s v="SANTA JUANA"/>
    <n v="8"/>
    <x v="0"/>
    <s v="CN61602204"/>
    <s v="PÚBLICO"/>
    <s v="ATEL"/>
    <s v="REGIÓN DE BIOBÍO"/>
  </r>
  <r>
    <n v="616022091"/>
    <x v="321"/>
    <s v="ARAUCO"/>
    <n v="8"/>
    <x v="5"/>
    <s v="CN61602209"/>
    <s v="PÚBLICO"/>
    <s v="SUR1"/>
    <s v="REGIÓN DE BIOBÍO"/>
  </r>
  <r>
    <n v="616022113"/>
    <x v="322"/>
    <s v="CURANILAHUE"/>
    <n v="8"/>
    <x v="5"/>
    <s v="CN61602211"/>
    <s v="PÚBLICO"/>
    <s v="SUR1"/>
    <s v="REGIÓN DE BIOBÍO"/>
  </r>
  <r>
    <n v="616022121"/>
    <x v="323"/>
    <s v="LEBU"/>
    <n v="8"/>
    <x v="5"/>
    <s v="CN61602212"/>
    <s v="PÚBLICO"/>
    <s v="SUR1"/>
    <s v="REGIÓN DE BIOBÍO"/>
  </r>
  <r>
    <s v="61602213K"/>
    <x v="324"/>
    <s v="Cañete"/>
    <n v="8"/>
    <x v="5"/>
    <s v="CN61602213"/>
    <s v="PÚBLICO"/>
    <s v="SUR1"/>
    <s v="REGIÓN DE BIOBÍO"/>
  </r>
  <r>
    <n v="616022202"/>
    <x v="325"/>
    <s v="NACIMIENTO"/>
    <n v="8"/>
    <x v="0"/>
    <s v="CN61602220"/>
    <s v="PÚBLICO"/>
    <s v="ATEL"/>
    <s v="REGIÓN DE BIOBÍO"/>
  </r>
  <r>
    <n v="616022229"/>
    <x v="326"/>
    <s v="ANGOL"/>
    <n v="9"/>
    <x v="5"/>
    <s v="CN61602222"/>
    <s v="PÚBLICO"/>
    <s v="SUR1"/>
    <s v="REGIÓN DE LA ARAUCANÍA"/>
  </r>
  <r>
    <n v="616022237"/>
    <x v="327"/>
    <s v="COLLIPULLI"/>
    <n v="9"/>
    <x v="0"/>
    <s v="CN61602223"/>
    <s v="PÚBLICO"/>
    <s v="ATEL"/>
    <s v="REGIÓN DE LA ARAUCANÍA"/>
  </r>
  <r>
    <n v="616022245"/>
    <x v="328"/>
    <s v="PURÉN"/>
    <n v="9"/>
    <x v="0"/>
    <s v="CN61602224"/>
    <s v="PÚBLICO"/>
    <s v="ATEL"/>
    <s v="REGIÓN DE LA ARAUCANÍA"/>
  </r>
  <r>
    <n v="616022261"/>
    <x v="329"/>
    <s v="TRAIGUÉN"/>
    <n v="9"/>
    <x v="0"/>
    <s v="CN61602226"/>
    <s v="PÚBLICO"/>
    <s v="ATEL"/>
    <s v="REGIÓN DE LA ARAUCANÍA"/>
  </r>
  <r>
    <n v="616022296"/>
    <x v="330"/>
    <s v="Victoria"/>
    <n v="9"/>
    <x v="2"/>
    <s v="CN61602229"/>
    <s v="PÚBLICO"/>
    <s v="SUR2"/>
    <s v="REGIÓN DE LA ARAUCANÍA"/>
  </r>
  <r>
    <n v="616022326"/>
    <x v="331"/>
    <s v="TEMUCO"/>
    <n v="9"/>
    <x v="2"/>
    <s v="CN61602232"/>
    <s v="PÚBLICO"/>
    <s v="SUR2"/>
    <s v="REGIÓN DE LA ARAUCANÍA"/>
  </r>
  <r>
    <n v="616022369"/>
    <x v="332"/>
    <s v="LAUTARO"/>
    <n v="9"/>
    <x v="2"/>
    <s v="CN61602236"/>
    <s v="PÚBLICO"/>
    <s v="SUR2"/>
    <s v="REGIÓN DE LA ARAUCANÍA"/>
  </r>
  <r>
    <n v="616022385"/>
    <x v="333"/>
    <s v="PITRUFQUÉN"/>
    <n v="9"/>
    <x v="2"/>
    <s v="CN61602238"/>
    <s v="PÚBLICO"/>
    <s v="SUR2"/>
    <s v="REGIÓN DE LA ARAUCANÍA"/>
  </r>
  <r>
    <n v="616022407"/>
    <x v="334"/>
    <s v="GALVARINO"/>
    <n v="9"/>
    <x v="0"/>
    <s v="CN61602240"/>
    <s v="PÚBLICO"/>
    <s v="ATEL"/>
    <s v="REGIÓN DE LA ARAUCANÍA"/>
  </r>
  <r>
    <n v="616022415"/>
    <x v="335"/>
    <s v="CURACAUTÍN"/>
    <n v="9"/>
    <x v="0"/>
    <s v="CN61602241"/>
    <s v="PÚBLICO"/>
    <s v="ATEL"/>
    <s v="REGIÓN DE LA ARAUCANÍA"/>
  </r>
  <r>
    <n v="616022423"/>
    <x v="336"/>
    <s v="VILCÚN"/>
    <n v="9"/>
    <x v="0"/>
    <s v="CN61602242"/>
    <s v="PÚBLICO"/>
    <s v="ATEL"/>
    <s v="REGIÓN DE LA ARAUCANÍA"/>
  </r>
  <r>
    <n v="616022431"/>
    <x v="337"/>
    <s v="TOLTÉN"/>
    <n v="9"/>
    <x v="0"/>
    <s v="CN61602243"/>
    <s v="PÚBLICO"/>
    <s v="ATEL"/>
    <s v="REGIÓN DE LA ARAUCANÍA"/>
  </r>
  <r>
    <s v="61602244K"/>
    <x v="338"/>
    <s v="CUNCO"/>
    <n v="9"/>
    <x v="0"/>
    <s v="CN61602244"/>
    <s v="PÚBLICO"/>
    <s v="ATEL"/>
    <s v="REGIÓN DE LA ARAUCANÍA"/>
  </r>
  <r>
    <n v="616022458"/>
    <x v="339"/>
    <s v="GORBEA"/>
    <n v="9"/>
    <x v="0"/>
    <s v="CN61602245"/>
    <s v="PÚBLICO"/>
    <s v="ATEL"/>
    <s v="REGIÓN DE LA ARAUCANÍA"/>
  </r>
  <r>
    <n v="616022466"/>
    <x v="340"/>
    <s v="CARAHUE"/>
    <n v="9"/>
    <x v="0"/>
    <s v="CN61602246"/>
    <s v="PÚBLICO"/>
    <s v="ATEL"/>
    <s v="REGIÓN DE LA ARAUCANÍA"/>
  </r>
  <r>
    <n v="616022474"/>
    <x v="341"/>
    <s v="LONCOCHE"/>
    <n v="9"/>
    <x v="0"/>
    <s v="CN61602247"/>
    <s v="PÚBLICO"/>
    <s v="ATEL"/>
    <s v="REGIÓN DE LA ARAUCANÍA"/>
  </r>
  <r>
    <n v="616022482"/>
    <x v="342"/>
    <s v="VILLARRICA"/>
    <n v="9"/>
    <x v="2"/>
    <s v="CN61602248"/>
    <s v="PÚBLICO"/>
    <s v="SUR2"/>
    <s v="REGIÓN DE LA ARAUCANÍA"/>
  </r>
  <r>
    <n v="616022601"/>
    <x v="343"/>
    <s v="OSORNO"/>
    <n v="10"/>
    <x v="2"/>
    <s v="CN61602260"/>
    <s v="PÚBLICO"/>
    <s v="SUR2"/>
    <s v="REGIÓN DE LOS LAGOS"/>
  </r>
  <r>
    <s v="61602261K"/>
    <x v="344"/>
    <s v="PUERTO OCTAY"/>
    <n v="10"/>
    <x v="0"/>
    <s v="CN61602261"/>
    <s v="PÚBLICO"/>
    <s v="ATEL"/>
    <s v="REGIÓN DE LOS LAGOS"/>
  </r>
  <r>
    <n v="616022628"/>
    <x v="345"/>
    <s v="RÍO NEGRO"/>
    <n v="10"/>
    <x v="0"/>
    <s v="CN61602262"/>
    <s v="PÚBLICO"/>
    <s v="ATEL"/>
    <s v="REGIÓN DE LOS LAGOS"/>
  </r>
  <r>
    <n v="616022687"/>
    <x v="346"/>
    <s v="LLANQUIHUE"/>
    <n v="10"/>
    <x v="0"/>
    <s v="CN61602268"/>
    <s v="PÚBLICO"/>
    <s v="ATEL"/>
    <s v="REGIÓN DE LOS LAGOS"/>
  </r>
  <r>
    <n v="616022709"/>
    <x v="347"/>
    <s v="FRUTILLAR"/>
    <n v="10"/>
    <x v="0"/>
    <s v="CN61602270"/>
    <s v="PÚBLICO"/>
    <s v="ATEL"/>
    <s v="REGIÓN DE LOS LAGOS"/>
  </r>
  <r>
    <n v="616022717"/>
    <x v="348"/>
    <s v="FRESIA"/>
    <n v="10"/>
    <x v="0"/>
    <s v="CN61602271"/>
    <s v="PÚBLICO"/>
    <s v="ATEL"/>
    <s v="REGIÓN DE LOS LAGOS"/>
  </r>
  <r>
    <n v="616022725"/>
    <x v="349"/>
    <s v="MAULLÍN"/>
    <n v="10"/>
    <x v="0"/>
    <s v="CN61602272"/>
    <s v="PÚBLICO"/>
    <s v="ATEL"/>
    <s v="REGIÓN DE LOS LAGOS"/>
  </r>
  <r>
    <n v="616022733"/>
    <x v="350"/>
    <s v="CALBUCO"/>
    <n v="10"/>
    <x v="2"/>
    <s v="CN61602273"/>
    <s v="PÚBLICO"/>
    <s v="SUR2"/>
    <s v="REGIÓN DE LOS LAGOS"/>
  </r>
  <r>
    <n v="616022741"/>
    <x v="351"/>
    <s v="FUTALEUFÚ"/>
    <n v="10"/>
    <x v="0"/>
    <s v="CN61602274"/>
    <s v="PÚBLICO"/>
    <s v="ATEL"/>
    <s v="REGIÓN DE LOS LAGOS"/>
  </r>
  <r>
    <s v="61602275K"/>
    <x v="352"/>
    <s v="CASTRO"/>
    <n v="10"/>
    <x v="2"/>
    <s v="CN61602275"/>
    <s v="PÚBLICO"/>
    <s v="SUR2"/>
    <s v="REGIÓN DE LOS LAGOS"/>
  </r>
  <r>
    <n v="616022768"/>
    <x v="353"/>
    <s v="QUELLÓN"/>
    <n v="10"/>
    <x v="0"/>
    <s v="CN61602276"/>
    <s v="PÚBLICO"/>
    <s v="ATEL"/>
    <s v="REGIÓN DE LOS LAGOS"/>
  </r>
  <r>
    <n v="616022784"/>
    <x v="354"/>
    <s v="QUINCHAO"/>
    <n v="10"/>
    <x v="0"/>
    <s v="CN61602278"/>
    <s v="PÚBLICO"/>
    <s v="ATEL"/>
    <s v="REGIÓN DE LOS LAGOS"/>
  </r>
  <r>
    <n v="616022792"/>
    <x v="355"/>
    <s v="AYSÉN"/>
    <n v="11"/>
    <x v="0"/>
    <s v="CN61602279"/>
    <s v="PÚBLICO"/>
    <s v="ATEL"/>
    <s v="REGIÓN DE AYSÉN DEL GENERAL CARLOS IBÁÑEZ DEL CAMPO"/>
  </r>
  <r>
    <n v="616022806"/>
    <x v="356"/>
    <s v="Coyhaique"/>
    <n v="11"/>
    <x v="0"/>
    <s v="CN61602280"/>
    <s v="PÚBLICO"/>
    <s v="ATEL"/>
    <s v="REGIÓN DE AYSÉN DEL GENERAL CARLOS IBÁÑEZ DEL CAMPO"/>
  </r>
  <r>
    <n v="616022814"/>
    <x v="357"/>
    <s v="CHILE CHICO"/>
    <n v="11"/>
    <x v="0"/>
    <s v="CN61602281"/>
    <s v="PÚBLICO"/>
    <s v="ATEL"/>
    <s v="REGIÓN DE AYSÉN DEL GENERAL CARLOS IBÁÑEZ DEL CAMPO"/>
  </r>
  <r>
    <s v="61602292K"/>
    <x v="358"/>
    <s v="COCHRANE"/>
    <n v="11"/>
    <x v="0"/>
    <s v="CN61602292"/>
    <s v="PÚBLICO"/>
    <s v="ATEL"/>
    <s v="REGIÓN DE AYSÉN DEL GENERAL CARLOS IBÁÑEZ DEL CAMPO"/>
  </r>
  <r>
    <n v="616022938"/>
    <x v="359"/>
    <s v="CISNES"/>
    <n v="11"/>
    <x v="0"/>
    <s v="CN61602293"/>
    <s v="PÚBLICO"/>
    <s v="ATEL"/>
    <s v="REGIÓN DE AYSÉN DEL GENERAL CARLOS IBÁÑEZ DEL CAMPO"/>
  </r>
  <r>
    <n v="616022954"/>
    <x v="360"/>
    <s v="CONCEPCIÓN"/>
    <n v="8"/>
    <x v="5"/>
    <s v="CN61602295"/>
    <s v="PÚBLICO"/>
    <s v="SUR1"/>
    <s v="REGIÓN DE BIOBÍO"/>
  </r>
  <r>
    <n v="616022997"/>
    <x v="361"/>
    <s v="SAAVEDRA"/>
    <n v="9"/>
    <x v="0"/>
    <s v="CN61602299"/>
    <s v="PÚBLICO"/>
    <s v="ATEL"/>
    <s v="REGIÓN DE LA ARAUCANÍA"/>
  </r>
  <r>
    <s v="61602311K"/>
    <x v="362"/>
    <s v="CHAITÉN"/>
    <n v="10"/>
    <x v="0"/>
    <s v="CN61602311"/>
    <s v="PÚBLICO"/>
    <s v="ATEL"/>
    <s v="REGIÓN DE LOS LAGOS"/>
  </r>
  <r>
    <n v="616023128"/>
    <x v="363"/>
    <s v="PALENA"/>
    <n v="10"/>
    <x v="0"/>
    <s v="CN61602312"/>
    <s v="PÚBLICO"/>
    <s v="ATEL"/>
    <s v="REGIÓN DE LOS LAGOS"/>
  </r>
  <r>
    <n v="616060015"/>
    <x v="364"/>
    <s v="ARICA"/>
    <n v="15"/>
    <x v="0"/>
    <s v="CN61606001"/>
    <s v="PÚBLICO"/>
    <s v="ATEL"/>
    <s v="REGIÓN DE ARICA Y PARINACOTA"/>
  </r>
  <r>
    <n v="616061003"/>
    <x v="365"/>
    <s v="IQUIQUE"/>
    <n v="1"/>
    <x v="1"/>
    <s v="CN61606100"/>
    <s v="PÚBLICO"/>
    <s v="SANT2"/>
    <s v="REGIÓN DE TARAPACÁ"/>
  </r>
  <r>
    <s v="61606200K"/>
    <x v="366"/>
    <s v="ANTOFAGASTA"/>
    <n v="2"/>
    <x v="0"/>
    <s v="CN61606200"/>
    <s v="PÚBLICO"/>
    <s v="ATEL"/>
    <s v="REGIÓN DE ANTOFAGASTA"/>
  </r>
  <r>
    <n v="616062018"/>
    <x v="367"/>
    <s v="ANTOFAGASTA"/>
    <n v="2"/>
    <x v="0"/>
    <s v="CN61606201"/>
    <s v="PÚBLICO"/>
    <s v="ATEL"/>
    <s v="REGIÓN DE ANTOFAGASTA"/>
  </r>
  <r>
    <n v="616062026"/>
    <x v="368"/>
    <s v="CALAMA"/>
    <n v="2"/>
    <x v="0"/>
    <s v="CN61606202"/>
    <s v="PÚBLICO"/>
    <s v="ATEL"/>
    <s v="REGIÓN DE ANTOFAGASTA"/>
  </r>
  <r>
    <n v="616062034"/>
    <x v="369"/>
    <s v="TOCOPILLA"/>
    <n v="2"/>
    <x v="0"/>
    <s v="CN61606203"/>
    <s v="PÚBLICO"/>
    <s v="ATEL"/>
    <s v="REGIÓN DE ANTOFAGASTA"/>
  </r>
  <r>
    <n v="616062042"/>
    <x v="370"/>
    <s v="TALTAL"/>
    <n v="2"/>
    <x v="0"/>
    <s v="CN61606204"/>
    <s v="PÚBLICO"/>
    <s v="ATEL"/>
    <s v="REGIÓN DE ANTOFAGASTA"/>
  </r>
  <r>
    <n v="616062050"/>
    <x v="371"/>
    <s v="MEJILLONES"/>
    <n v="2"/>
    <x v="0"/>
    <s v="CN61606205"/>
    <s v="PÚBLICO"/>
    <s v="ATEL"/>
    <s v="REGIÓN DE ANTOFAGASTA"/>
  </r>
  <r>
    <n v="616063006"/>
    <x v="372"/>
    <s v="COPIAPÓ"/>
    <n v="3"/>
    <x v="0"/>
    <s v="CN61606300"/>
    <s v="PÚBLICO"/>
    <s v="ATEL"/>
    <s v="REGIÓN DE ATACAMA"/>
  </r>
  <r>
    <n v="616063030"/>
    <x v="373"/>
    <s v="VALLENAR"/>
    <n v="3"/>
    <x v="0"/>
    <s v="CN61606303"/>
    <s v="PÚBLICO"/>
    <s v="ATEL"/>
    <s v="REGIÓN DE ATACAMA"/>
  </r>
  <r>
    <n v="616063057"/>
    <x v="374"/>
    <s v="CHAÑARAL"/>
    <n v="3"/>
    <x v="0"/>
    <s v="CN61606305"/>
    <s v="PÚBLICO"/>
    <s v="ATEL"/>
    <s v="REGIÓN DE ATACAMA"/>
  </r>
  <r>
    <n v="616063065"/>
    <x v="375"/>
    <s v="DIEGO DE ALMAGRO"/>
    <n v="3"/>
    <x v="0"/>
    <s v="CN61606306"/>
    <s v="PÚBLICO"/>
    <s v="ATEL"/>
    <s v="REGIÓN DE ATACAMA"/>
  </r>
  <r>
    <n v="616063073"/>
    <x v="376"/>
    <s v="COPIAPÓ"/>
    <n v="3"/>
    <x v="0"/>
    <s v="CN61606307"/>
    <s v="PÚBLICO"/>
    <s v="ATEL"/>
    <s v="REGIÓN DE ATACAMA"/>
  </r>
  <r>
    <s v="61606309K"/>
    <x v="377"/>
    <s v="HUASCO"/>
    <n v="3"/>
    <x v="0"/>
    <s v="CN61606309"/>
    <s v="PÚBLICO"/>
    <s v="ATEL"/>
    <s v="REGIÓN DE ATACAMA"/>
  </r>
  <r>
    <n v="616064002"/>
    <x v="378"/>
    <s v="LA SERENA"/>
    <n v="4"/>
    <x v="0"/>
    <s v="CN61606400"/>
    <s v="PÚBLICO"/>
    <s v="ATEL"/>
    <s v="REGIÓN DE COQUIMBO"/>
  </r>
  <r>
    <n v="616064010"/>
    <x v="379"/>
    <s v="VICUÑA"/>
    <n v="4"/>
    <x v="0"/>
    <s v="CN61606401"/>
    <s v="PÚBLICO"/>
    <s v="ATEL"/>
    <s v="REGIÓN DE COQUIMBO"/>
  </r>
  <r>
    <n v="616064029"/>
    <x v="380"/>
    <s v="LA SERENA"/>
    <n v="4"/>
    <x v="4"/>
    <s v="CN61606402"/>
    <s v="PÚBLICO"/>
    <s v="NOR1"/>
    <s v="REGIÓN DE COQUIMBO"/>
  </r>
  <r>
    <n v="616064037"/>
    <x v="381"/>
    <s v="COQUIMBO"/>
    <n v="4"/>
    <x v="4"/>
    <s v="CN61606403"/>
    <s v="PÚBLICO"/>
    <s v="NOR1"/>
    <s v="REGIÓN DE COQUIMBO"/>
  </r>
  <r>
    <n v="616064045"/>
    <x v="382"/>
    <s v="OVALLE"/>
    <n v="4"/>
    <x v="4"/>
    <s v="CN61606404"/>
    <s v="PÚBLICO"/>
    <s v="NOR1"/>
    <s v="REGIÓN DE COQUIMBO"/>
  </r>
  <r>
    <n v="616064053"/>
    <x v="383"/>
    <s v="ANDACOLLO"/>
    <n v="4"/>
    <x v="0"/>
    <s v="CN61606405"/>
    <s v="PÚBLICO"/>
    <s v="ATEL"/>
    <s v="REGIÓN DE COQUIMBO"/>
  </r>
  <r>
    <n v="616064061"/>
    <x v="384"/>
    <s v="COMBARBALÁ"/>
    <n v="4"/>
    <x v="0"/>
    <s v="CN61606406"/>
    <s v="PÚBLICO"/>
    <s v="ATEL"/>
    <s v="REGIÓN DE COQUIMBO"/>
  </r>
  <r>
    <s v="61606407K"/>
    <x v="385"/>
    <s v="ILLAPEL"/>
    <n v="4"/>
    <x v="0"/>
    <s v="CN61606407"/>
    <s v="PÚBLICO"/>
    <s v="ATEL"/>
    <s v="REGIÓN DE COQUIMBO"/>
  </r>
  <r>
    <n v="616064088"/>
    <x v="386"/>
    <s v="SALAMANCA"/>
    <n v="4"/>
    <x v="0"/>
    <s v="CN61606408"/>
    <s v="PÚBLICO"/>
    <s v="ATEL"/>
    <s v="REGIÓN DE COQUIMBO"/>
  </r>
  <r>
    <n v="616064096"/>
    <x v="387"/>
    <s v="LOS VILOS"/>
    <n v="4"/>
    <x v="0"/>
    <s v="CN61606409"/>
    <s v="PÚBLICO"/>
    <s v="ATEL"/>
    <s v="REGIÓN DE COQUIMBO"/>
  </r>
  <r>
    <n v="616065009"/>
    <x v="388"/>
    <s v="VALPARAÍSO"/>
    <n v="5"/>
    <x v="4"/>
    <s v="CN61606500"/>
    <s v="PÚBLICO"/>
    <s v="NOR1"/>
    <s v="REGIÓN DE VALPARAÍSO"/>
  </r>
  <r>
    <n v="616066005"/>
    <x v="389"/>
    <s v="VIÑA DEL MAR"/>
    <n v="5"/>
    <x v="0"/>
    <s v="CN61606600"/>
    <s v="PÚBLICO"/>
    <s v="ATEL"/>
    <s v="REGIÓN DE VALPARAÍSO"/>
  </r>
  <r>
    <n v="616066021"/>
    <x v="390"/>
    <s v="VIÑA DEL MAR"/>
    <n v="5"/>
    <x v="4"/>
    <s v="CN61606602"/>
    <s v="PÚBLICO"/>
    <s v="NOR1"/>
    <s v="REGIÓN DE VALPARAÍSO"/>
  </r>
  <r>
    <s v="61606603K"/>
    <x v="391"/>
    <s v="QUINTERO"/>
    <n v="5"/>
    <x v="0"/>
    <s v="CN61606603"/>
    <s v="PÚBLICO"/>
    <s v="ATEL"/>
    <s v="REGIÓN DE VALPARAÍSO"/>
  </r>
  <r>
    <n v="616066048"/>
    <x v="392"/>
    <s v="QUILPUÉ"/>
    <n v="5"/>
    <x v="4"/>
    <s v="CN61606604"/>
    <s v="PÚBLICO"/>
    <s v="NOR1"/>
    <s v="REGIÓN DE VALPARAÍSO"/>
  </r>
  <r>
    <n v="616066056"/>
    <x v="393"/>
    <s v="VILLA ALEMANA"/>
    <n v="5"/>
    <x v="0"/>
    <s v="CN61606605"/>
    <s v="PÚBLICO"/>
    <s v="ATEL"/>
    <s v="REGIÓN DE VALPARAÍSO"/>
  </r>
  <r>
    <n v="616066064"/>
    <x v="394"/>
    <s v="LIMACHE"/>
    <n v="5"/>
    <x v="0"/>
    <s v="CN61606606"/>
    <s v="PÚBLICO"/>
    <s v="ATEL"/>
    <s v="REGIÓN DE VALPARAÍSO"/>
  </r>
  <r>
    <n v="616066072"/>
    <x v="395"/>
    <s v="LIMACHE"/>
    <n v="5"/>
    <x v="0"/>
    <s v="CN61606607"/>
    <s v="PÚBLICO"/>
    <s v="ATEL"/>
    <s v="REGIÓN DE VALPARAÍSO"/>
  </r>
  <r>
    <n v="616066080"/>
    <x v="396"/>
    <s v="QUILLOTA"/>
    <n v="5"/>
    <x v="4"/>
    <s v="CN61606608"/>
    <s v="PÚBLICO"/>
    <s v="NOR1"/>
    <s v="REGIÓN DE VALPARAÍSO"/>
  </r>
  <r>
    <n v="616066099"/>
    <x v="397"/>
    <s v="LA CALERA"/>
    <n v="5"/>
    <x v="0"/>
    <s v="CN61606609"/>
    <s v="PÚBLICO"/>
    <s v="ATEL"/>
    <s v="REGIÓN DE VALPARAÍSO"/>
  </r>
  <r>
    <n v="616066102"/>
    <x v="398"/>
    <s v="CABILDO"/>
    <n v="5"/>
    <x v="0"/>
    <s v="CN61606610"/>
    <s v="PÚBLICO"/>
    <s v="ATEL"/>
    <s v="REGIÓN DE VALPARAÍSO"/>
  </r>
  <r>
    <n v="616066110"/>
    <x v="399"/>
    <s v="LA LIGUA"/>
    <n v="5"/>
    <x v="0"/>
    <s v="CN61606611"/>
    <s v="PÚBLICO"/>
    <s v="ATEL"/>
    <s v="REGIÓN DE VALPARAÍSO"/>
  </r>
  <r>
    <n v="616066129"/>
    <x v="400"/>
    <s v="PETORCA"/>
    <n v="5"/>
    <x v="0"/>
    <s v="CN61606612"/>
    <s v="PÚBLICO"/>
    <s v="ATEL"/>
    <s v="REGIÓN DE VALPARAÍSO"/>
  </r>
  <r>
    <n v="616067001"/>
    <x v="401"/>
    <s v="SAN FELIPE"/>
    <n v="5"/>
    <x v="0"/>
    <s v="CN61606700"/>
    <s v="PÚBLICO"/>
    <s v="ATEL"/>
    <s v="REGIÓN DE VALPARAÍSO"/>
  </r>
  <r>
    <n v="616067036"/>
    <x v="402"/>
    <s v="PUTAENDO"/>
    <n v="5"/>
    <x v="0"/>
    <s v="CN61606703"/>
    <s v="PÚBLICO"/>
    <s v="ATEL"/>
    <s v="REGIÓN DE VALPARAÍSO"/>
  </r>
  <r>
    <n v="616068008"/>
    <x v="403"/>
    <s v="RANCAGUA"/>
    <n v="6"/>
    <x v="0"/>
    <s v="CN61606800"/>
    <s v="PÚBLICO"/>
    <s v="ATEL"/>
    <s v="REGIÓN DE LIBERTADOR GENERAL BERNARDO O'HIGGINS"/>
  </r>
  <r>
    <n v="616069004"/>
    <x v="404"/>
    <s v="TALCA"/>
    <n v="7"/>
    <x v="0"/>
    <s v="CN61606900"/>
    <s v="PÚBLICO"/>
    <s v="ATEL"/>
    <s v="REGIÓN DE MAULE"/>
  </r>
  <r>
    <n v="616069012"/>
    <x v="405"/>
    <s v="TALCA"/>
    <n v="7"/>
    <x v="0"/>
    <s v="CN61606901"/>
    <s v="PÚBLICO"/>
    <s v="ATEL"/>
    <s v="REGIÓN DE MAULE"/>
  </r>
  <r>
    <n v="616069039"/>
    <x v="406"/>
    <s v="CURICÓ"/>
    <n v="7"/>
    <x v="0"/>
    <s v="CN61606903"/>
    <s v="PÚBLICO"/>
    <s v="ATEL"/>
    <s v="REGIÓN DE MAULE"/>
  </r>
  <r>
    <n v="616069055"/>
    <x v="407"/>
    <s v="LICANTÉN"/>
    <n v="7"/>
    <x v="0"/>
    <s v="CN61606905"/>
    <s v="PÚBLICO"/>
    <s v="ATEL"/>
    <s v="REGIÓN DE MAULE"/>
  </r>
  <r>
    <n v="616069063"/>
    <x v="408"/>
    <s v="HUALAÑÉ"/>
    <n v="7"/>
    <x v="0"/>
    <s v="CN61606906"/>
    <s v="PÚBLICO"/>
    <s v="ATEL"/>
    <s v="REGIÓN DE MAULE"/>
  </r>
  <r>
    <n v="616069071"/>
    <x v="409"/>
    <s v="TENO"/>
    <n v="7"/>
    <x v="0"/>
    <s v="CN61606907"/>
    <s v="PÚBLICO"/>
    <s v="ATEL"/>
    <s v="REGIÓN DE MAULE"/>
  </r>
  <r>
    <s v="61606908K"/>
    <x v="410"/>
    <s v="Molina"/>
    <n v="7"/>
    <x v="0"/>
    <s v="CN61606908"/>
    <s v="PÚBLICO"/>
    <s v="ATEL"/>
    <s v="REGIÓN DE MAULE"/>
  </r>
  <r>
    <n v="616069101"/>
    <x v="411"/>
    <s v="CUREPTO"/>
    <n v="7"/>
    <x v="0"/>
    <s v="CN61606910"/>
    <s v="PÚBLICO"/>
    <s v="ATEL"/>
    <s v="REGIÓN DE MAULE"/>
  </r>
  <r>
    <s v="61606911K"/>
    <x v="412"/>
    <s v="CONSTITUCIÓN"/>
    <n v="7"/>
    <x v="0"/>
    <s v="CN61606911"/>
    <s v="PÚBLICO"/>
    <s v="ATEL"/>
    <s v="REGIÓN DE MAULE"/>
  </r>
  <r>
    <n v="616069128"/>
    <x v="413"/>
    <s v="SAN JAVIER"/>
    <n v="7"/>
    <x v="0"/>
    <s v="CN61606912"/>
    <s v="PÚBLICO"/>
    <s v="ATEL"/>
    <s v="REGIÓN DE MAULE"/>
  </r>
  <r>
    <n v="616069136"/>
    <x v="414"/>
    <s v="CAUQUENES"/>
    <n v="7"/>
    <x v="0"/>
    <s v="CN61606913"/>
    <s v="PÚBLICO"/>
    <s v="ATEL"/>
    <s v="REGIÓN DE MAULE"/>
  </r>
  <r>
    <n v="616069152"/>
    <x v="415"/>
    <s v="CHANCO"/>
    <n v="7"/>
    <x v="0"/>
    <s v="CN61606915"/>
    <s v="PÚBLICO"/>
    <s v="ATEL"/>
    <s v="REGIÓN DE MAULE"/>
  </r>
  <r>
    <n v="616069179"/>
    <x v="416"/>
    <s v="LINARES"/>
    <n v="7"/>
    <x v="0"/>
    <s v="CN61606917"/>
    <s v="PÚBLICO"/>
    <s v="ATEL"/>
    <s v="REGIÓN DE MAULE"/>
  </r>
  <r>
    <n v="616069187"/>
    <x v="417"/>
    <s v="Parral"/>
    <n v="7"/>
    <x v="0"/>
    <s v="CN61606918"/>
    <s v="PÚBLICO"/>
    <s v="ATEL"/>
    <s v="REGIÓN DE MAULE"/>
  </r>
  <r>
    <n v="616070002"/>
    <x v="418"/>
    <s v="CHILLÁN"/>
    <n v="16"/>
    <x v="0"/>
    <s v="CN61607000"/>
    <s v="PÚBLICO"/>
    <s v="ATEL"/>
    <s v="REGIÓN DE ÑUBLE"/>
  </r>
  <r>
    <n v="616070010"/>
    <x v="419"/>
    <s v="CHILLÁN"/>
    <n v="16"/>
    <x v="5"/>
    <s v="CN61607001"/>
    <s v="PÚBLICO"/>
    <s v="SUR1"/>
    <s v="REGIÓN DE ÑUBLE"/>
  </r>
  <r>
    <n v="616070029"/>
    <x v="420"/>
    <s v="SAN CARLOS"/>
    <n v="16"/>
    <x v="5"/>
    <s v="CN61607002"/>
    <s v="PÚBLICO"/>
    <s v="SUR1"/>
    <s v="REGIÓN DE ÑUBLE"/>
  </r>
  <r>
    <n v="616070037"/>
    <x v="421"/>
    <s v="BULNES"/>
    <n v="16"/>
    <x v="0"/>
    <s v="CN61607003"/>
    <s v="PÚBLICO"/>
    <s v="ATEL"/>
    <s v="REGIÓN DE ÑUBLE"/>
  </r>
  <r>
    <n v="616070045"/>
    <x v="422"/>
    <s v="YUNGAY"/>
    <n v="16"/>
    <x v="0"/>
    <s v="CN61607004"/>
    <s v="PÚBLICO"/>
    <s v="ATEL"/>
    <s v="REGIÓN DE ÑUBLE"/>
  </r>
  <r>
    <n v="616070053"/>
    <x v="423"/>
    <s v="QUIRIHUE"/>
    <n v="16"/>
    <x v="0"/>
    <s v="CN61607005"/>
    <s v="PÚBLICO"/>
    <s v="ATEL"/>
    <s v="REGIÓN DE ÑUBLE"/>
  </r>
  <r>
    <n v="616070061"/>
    <x v="424"/>
    <s v="EL CARMEN"/>
    <n v="16"/>
    <x v="0"/>
    <s v="CN61607006"/>
    <s v="PÚBLICO"/>
    <s v="ATEL"/>
    <s v="REGIÓN DE ÑUBLE"/>
  </r>
  <r>
    <n v="616071009"/>
    <x v="425"/>
    <s v="CONCEPCIÓN"/>
    <n v="8"/>
    <x v="0"/>
    <s v="CN61607100"/>
    <s v="PÚBLICO"/>
    <s v="ATEL"/>
    <s v="REGIÓN DE BIOBÍO"/>
  </r>
  <r>
    <n v="616071033"/>
    <x v="426"/>
    <s v="CONTULMO"/>
    <n v="8"/>
    <x v="0"/>
    <s v="CN61607103"/>
    <s v="PÚBLICO"/>
    <s v="ATEL"/>
    <s v="REGIÓN DE BIOBÍO"/>
  </r>
  <r>
    <n v="616071041"/>
    <x v="427"/>
    <s v="CONCEPCIÓN"/>
    <n v="8"/>
    <x v="5"/>
    <s v="CN61607104"/>
    <s v="PÚBLICO"/>
    <s v="SUR1"/>
    <s v="REGIÓN DE BIOBÍO"/>
  </r>
  <r>
    <n v="616072005"/>
    <x v="428"/>
    <s v="Talcahuano"/>
    <n v="8"/>
    <x v="0"/>
    <s v="CN61607200"/>
    <s v="PÚBLICO"/>
    <s v="ATEL"/>
    <s v="REGIÓN DE BIOBÍO"/>
  </r>
  <r>
    <n v="616072013"/>
    <x v="429"/>
    <s v="TOMÉ"/>
    <n v="8"/>
    <x v="5"/>
    <s v="CN61607201"/>
    <s v="PÚBLICO"/>
    <s v="SUR1"/>
    <s v="REGIÓN DE BIOBÍO"/>
  </r>
  <r>
    <n v="616072021"/>
    <x v="430"/>
    <s v="TALCAHUANO"/>
    <n v="8"/>
    <x v="5"/>
    <s v="CN61607202"/>
    <s v="PÚBLICO"/>
    <s v="SUR1"/>
    <s v="REGIÓN DE BIOBÍO"/>
  </r>
  <r>
    <s v="61607301K"/>
    <x v="431"/>
    <s v="LOS ÁNGELES"/>
    <n v="8"/>
    <x v="5"/>
    <s v="CN61607301"/>
    <s v="PÚBLICO"/>
    <s v="SUR1"/>
    <s v="REGIÓN DE BIOBÍO"/>
  </r>
  <r>
    <n v="616073028"/>
    <x v="432"/>
    <s v="MULCHÉN"/>
    <n v="8"/>
    <x v="0"/>
    <s v="CN61607302"/>
    <s v="PÚBLICO"/>
    <s v="ATEL"/>
    <s v="REGIÓN DE BIOBÍO"/>
  </r>
  <r>
    <n v="616073044"/>
    <x v="433"/>
    <s v="SANTA BÁRBARA"/>
    <n v="8"/>
    <x v="0"/>
    <s v="CN61607304"/>
    <s v="PÚBLICO"/>
    <s v="ATEL"/>
    <s v="REGIÓN DE BIOBÍO"/>
  </r>
  <r>
    <n v="616073052"/>
    <x v="434"/>
    <s v="TUCAPEL"/>
    <n v="8"/>
    <x v="0"/>
    <s v="CN61607305"/>
    <s v="PÚBLICO"/>
    <s v="ATEL"/>
    <s v="REGIÓN DE BIOBÍO"/>
  </r>
  <r>
    <n v="616073060"/>
    <x v="435"/>
    <s v="Laja"/>
    <n v="8"/>
    <x v="0"/>
    <s v="CN61607306"/>
    <s v="PÚBLICO"/>
    <s v="ATEL"/>
    <s v="REGIÓN DE BIOBÍO"/>
  </r>
  <r>
    <n v="616073079"/>
    <x v="436"/>
    <s v="YUMBEL"/>
    <n v="8"/>
    <x v="0"/>
    <s v="CN61607307"/>
    <s v="PÚBLICO"/>
    <s v="ATEL"/>
    <s v="REGIÓN DE BIOBÍO"/>
  </r>
  <r>
    <n v="616074016"/>
    <x v="437"/>
    <s v="NUEVA IMPERIAL"/>
    <n v="9"/>
    <x v="2"/>
    <s v="CN61607401"/>
    <s v="PÚBLICO"/>
    <s v="SUR2"/>
    <s v="REGIÓN DE LA ARAUCANÍA"/>
  </r>
  <r>
    <n v="616074024"/>
    <x v="438"/>
    <s v="LONQUIMAY"/>
    <n v="9"/>
    <x v="0"/>
    <s v="CN61607402"/>
    <s v="PÚBLICO"/>
    <s v="ATEL"/>
    <s v="REGIÓN DE LA ARAUCANÍA"/>
  </r>
  <r>
    <n v="616075004"/>
    <x v="439"/>
    <s v="VALDIVIA"/>
    <n v="14"/>
    <x v="0"/>
    <s v="CN61607500"/>
    <s v="PÚBLICO"/>
    <s v="ATEL"/>
    <s v="REGIÓN DE LOS RÍOS"/>
  </r>
  <r>
    <n v="616075020"/>
    <x v="440"/>
    <s v="VALDIVIA"/>
    <n v="14"/>
    <x v="2"/>
    <s v="CN61607502"/>
    <s v="PÚBLICO"/>
    <s v="SUR2"/>
    <s v="REGIÓN DE LOS RÍOS"/>
  </r>
  <r>
    <n v="616075039"/>
    <x v="441"/>
    <s v="LA UNIÓN"/>
    <n v="14"/>
    <x v="2"/>
    <s v="CN61607503"/>
    <s v="PÚBLICO"/>
    <s v="SUR2"/>
    <s v="REGIÓN DE LOS RÍOS"/>
  </r>
  <r>
    <n v="616075047"/>
    <x v="442"/>
    <s v="LANCO"/>
    <n v="14"/>
    <x v="0"/>
    <s v="CN61607504"/>
    <s v="PÚBLICO"/>
    <s v="ATEL"/>
    <s v="REGIÓN DE LOS RÍOS"/>
  </r>
  <r>
    <n v="616075055"/>
    <x v="443"/>
    <s v="CORRAL"/>
    <n v="14"/>
    <x v="0"/>
    <s v="CN61607505"/>
    <s v="PÚBLICO"/>
    <s v="ATEL"/>
    <s v="REGIÓN DE LOS RÍOS"/>
  </r>
  <r>
    <n v="616075071"/>
    <x v="444"/>
    <s v="PAILLACO"/>
    <n v="14"/>
    <x v="0"/>
    <s v="CN61607507"/>
    <s v="PÚBLICO"/>
    <s v="ATEL"/>
    <s v="REGIÓN DE LOS RÍOS"/>
  </r>
  <r>
    <s v="61607508K"/>
    <x v="445"/>
    <s v="RÍO BUENO"/>
    <n v="14"/>
    <x v="0"/>
    <s v="CN61607508"/>
    <s v="PÚBLICO"/>
    <s v="ATEL"/>
    <s v="REGIÓN DE LOS RÍOS"/>
  </r>
  <r>
    <n v="616075098"/>
    <x v="446"/>
    <s v="LOS LAGOS"/>
    <n v="14"/>
    <x v="0"/>
    <s v="CN61607509"/>
    <s v="PÚBLICO"/>
    <s v="ATEL"/>
    <s v="REGIÓN DE LOS RÍOS"/>
  </r>
  <r>
    <n v="616076000"/>
    <x v="447"/>
    <s v="OSORNO"/>
    <n v="10"/>
    <x v="0"/>
    <s v="CN61607600"/>
    <s v="PÚBLICO"/>
    <s v="ATEL"/>
    <s v="REGIÓN DE LOS LAGOS"/>
  </r>
  <r>
    <n v="616076027"/>
    <x v="448"/>
    <s v="PURRANQUE"/>
    <n v="10"/>
    <x v="0"/>
    <s v="CN61607602"/>
    <s v="PÚBLICO"/>
    <s v="ATEL"/>
    <s v="REGIÓN DE LOS LAGOS"/>
  </r>
  <r>
    <n v="616077007"/>
    <x v="449"/>
    <s v="PUERTO MONTT"/>
    <n v="10"/>
    <x v="0"/>
    <s v="CN61607700"/>
    <s v="PÚBLICO"/>
    <s v="ATEL"/>
    <s v="REGIÓN DE LOS LAGOS"/>
  </r>
  <r>
    <n v="616078003"/>
    <x v="450"/>
    <s v="COYHAIQUE"/>
    <n v="11"/>
    <x v="0"/>
    <s v="CN61607800"/>
    <s v="PÚBLICO"/>
    <s v="ATEL"/>
    <s v="REGIÓN DE AYSÉN DEL GENERAL CARLOS IBÁÑEZ DEL CAMPO"/>
  </r>
  <r>
    <s v="61607900K"/>
    <x v="451"/>
    <s v="PUNTA ARENAS"/>
    <n v="12"/>
    <x v="0"/>
    <s v="CN61607900"/>
    <s v="PÚBLICO"/>
    <s v="ATEL"/>
    <s v="REGIÓN DE MAGALLANES Y DE LA ANTÁRTICA CHILENA"/>
  </r>
  <r>
    <n v="616079018"/>
    <x v="452"/>
    <s v="PUNTA ARENAS"/>
    <n v="12"/>
    <x v="0"/>
    <s v="CN61607901"/>
    <s v="PÚBLICO"/>
    <s v="ATEL"/>
    <s v="REGIÓN DE MAGALLANES Y DE LA ANTÁRTICA CHILENA"/>
  </r>
  <r>
    <n v="616079034"/>
    <x v="453"/>
    <s v="PORVENIR"/>
    <n v="12"/>
    <x v="0"/>
    <s v="CN61607903"/>
    <s v="PÚBLICO"/>
    <s v="ATEL"/>
    <s v="REGIÓN DE MAGALLANES Y DE LA ANTÁRTICA CHILENA"/>
  </r>
  <r>
    <n v="616079042"/>
    <x v="454"/>
    <s v="NATALES"/>
    <n v="12"/>
    <x v="0"/>
    <s v="CN61607904"/>
    <s v="PÚBLICO"/>
    <s v="ATEL"/>
    <s v="REGIÓN DE MAGALLANES Y DE LA ANTÁRTICA CHILENA"/>
  </r>
  <r>
    <n v="616080024"/>
    <x v="455"/>
    <s v="INDEPENDENCIA"/>
    <n v="13"/>
    <x v="1"/>
    <s v="CN61608002"/>
    <s v="PÚBLICO"/>
    <s v="SANT2"/>
    <s v="REGIÓN DE METROPOLITANA DE SANTIAGO"/>
  </r>
  <r>
    <n v="616080032"/>
    <x v="456"/>
    <s v="RECOLETA"/>
    <n v="13"/>
    <x v="1"/>
    <s v="CN61608003"/>
    <s v="PÚBLICO"/>
    <s v="SANT2"/>
    <s v="REGIÓN DE METROPOLITANA DE SANTIAGO"/>
  </r>
  <r>
    <n v="616080040"/>
    <x v="457"/>
    <s v="INDEPENDENCIA"/>
    <n v="13"/>
    <x v="1"/>
    <s v="CN61608004"/>
    <s v="PÚBLICO"/>
    <s v="SANT2"/>
    <s v="REGIÓN DE METROPOLITANA DE SANTIAGO"/>
  </r>
  <r>
    <n v="616080067"/>
    <x v="458"/>
    <s v="TIL TIL"/>
    <n v="13"/>
    <x v="0"/>
    <s v="CN61608006"/>
    <s v="PÚBLICO"/>
    <s v="ATEL"/>
    <s v="REGIÓN DE METROPOLITANA DE SANTIAGO"/>
  </r>
  <r>
    <n v="616081012"/>
    <x v="459"/>
    <s v="San Miguel"/>
    <n v="13"/>
    <x v="1"/>
    <s v="CN61608101"/>
    <s v="PÚBLICO"/>
    <s v="SANT2"/>
    <s v="REGIÓN DE METROPOLITANA DE SANTIAGO"/>
  </r>
  <r>
    <n v="616081020"/>
    <x v="460"/>
    <s v="SAN MIGUEL"/>
    <n v="13"/>
    <x v="1"/>
    <s v="CN61608102"/>
    <s v="PÚBLICO"/>
    <s v="SANT2"/>
    <s v="REGIÓN DE METROPOLITANA DE SANTIAGO"/>
  </r>
  <r>
    <n v="616081047"/>
    <x v="461"/>
    <s v="SAN MIGUEL"/>
    <n v="13"/>
    <x v="1"/>
    <s v="CN61608104"/>
    <s v="PÚBLICO"/>
    <s v="SANT2"/>
    <s v="REGIÓN DE METROPOLITANA DE SANTIAGO"/>
  </r>
  <r>
    <n v="616081055"/>
    <x v="462"/>
    <s v="BUIN"/>
    <n v="13"/>
    <x v="0"/>
    <s v="CN61608105"/>
    <s v="PÚBLICO"/>
    <s v="ATEL"/>
    <s v="REGIÓN DE METROPOLITANA DE SANTIAGO"/>
  </r>
  <r>
    <n v="616081063"/>
    <x v="463"/>
    <s v="PUENTE ALTO"/>
    <n v="13"/>
    <x v="0"/>
    <s v="CN61608106"/>
    <s v="PÚBLICO"/>
    <s v="ATEL"/>
    <s v="REGIÓN DE METROPOLITANA DE SANTIAGO"/>
  </r>
  <r>
    <n v="616081071"/>
    <x v="464"/>
    <s v="SAN BERNARDO"/>
    <n v="13"/>
    <x v="3"/>
    <s v="CN61608107"/>
    <s v="PÚBLICO"/>
    <s v="SANT1"/>
    <s v="REGIÓN DE METROPOLITANA DE SANTIAGO"/>
  </r>
  <r>
    <s v="61608108K"/>
    <x v="465"/>
    <s v="SAN MIGUEL"/>
    <n v="13"/>
    <x v="0"/>
    <s v="CN61608108"/>
    <s v="PÚBLICO"/>
    <s v="ATEL"/>
    <s v="REGIÓN DE METROPOLITANA DE SANTIAGO"/>
  </r>
  <r>
    <n v="616082000"/>
    <x v="466"/>
    <s v="SANTIAGO"/>
    <n v="13"/>
    <x v="0"/>
    <s v="CN61608200"/>
    <s v="PÚBLICO"/>
    <s v="ATEL"/>
    <s v="REGIÓN DE METROPOLITANA DE SANTIAGO"/>
  </r>
  <r>
    <n v="616082035"/>
    <x v="467"/>
    <s v="SANTIAGO"/>
    <n v="13"/>
    <x v="1"/>
    <s v="CN61608203"/>
    <s v="PÚBLICO"/>
    <s v="SANT2"/>
    <s v="REGIÓN DE METROPOLITANA DE SANTIAGO"/>
  </r>
  <r>
    <n v="616082043"/>
    <x v="468"/>
    <s v="SANTIAGO"/>
    <n v="13"/>
    <x v="3"/>
    <s v="CN61608204"/>
    <s v="PÚBLICO"/>
    <s v="SANT1"/>
    <s v="REGIÓN DE METROPOLITANA DE SANTIAGO"/>
  </r>
  <r>
    <n v="616082051"/>
    <x v="469"/>
    <s v="CERRO NAVIA"/>
    <n v="13"/>
    <x v="3"/>
    <s v="CN61608205"/>
    <s v="PÚBLICO"/>
    <s v="SANT1"/>
    <s v="REGIÓN DE METROPOLITANA DE SANTIAGO"/>
  </r>
  <r>
    <n v="616084003"/>
    <x v="470"/>
    <s v="PROVIDENCIA"/>
    <n v="13"/>
    <x v="0"/>
    <s v="CN61608400"/>
    <s v="PÚBLICO"/>
    <s v="ATEL"/>
    <s v="REGIÓN DE METROPOLITANA DE SANTIAGO"/>
  </r>
  <r>
    <s v="61608402K"/>
    <x v="471"/>
    <s v="PROVIDENCIA"/>
    <n v="13"/>
    <x v="0"/>
    <s v="CN61608402"/>
    <s v="PÚBLICO"/>
    <s v="ATEL"/>
    <s v="REGIÓN DE METROPOLITANA DE SANTIAGO"/>
  </r>
  <r>
    <n v="616084038"/>
    <x v="472"/>
    <s v="PROVIDENCIA"/>
    <n v="13"/>
    <x v="0"/>
    <s v="CN61608403"/>
    <s v="PÚBLICO"/>
    <s v="ATEL"/>
    <s v="REGIÓN DE METROPOLITANA DE SANTIAGO"/>
  </r>
  <r>
    <n v="616084046"/>
    <x v="473"/>
    <s v="INDEPENDENCIA"/>
    <n v="13"/>
    <x v="1"/>
    <s v="CN61608404"/>
    <s v="PÚBLICO"/>
    <s v="SANT2"/>
    <s v="REGIÓN DE METROPOLITANA DE SANTIAGO"/>
  </r>
  <r>
    <n v="616084062"/>
    <x v="474"/>
    <s v="PROVIDENCIA"/>
    <n v="13"/>
    <x v="1"/>
    <s v="CN61608406"/>
    <s v="PÚBLICO"/>
    <s v="SANT2"/>
    <s v="REGIÓN DE METROPOLITANA DE SANTIAGO"/>
  </r>
  <r>
    <n v="616084070"/>
    <x v="475"/>
    <s v="PROVIDENCIA"/>
    <n v="13"/>
    <x v="0"/>
    <s v="CN61608407"/>
    <s v="PÚBLICO"/>
    <s v="ATEL"/>
    <s v="REGIÓN DE METROPOLITANA DE SANTIAGO"/>
  </r>
  <r>
    <n v="616084089"/>
    <x v="476"/>
    <s v="PROVIDENCIA"/>
    <n v="13"/>
    <x v="0"/>
    <s v="CN61608408"/>
    <s v="PÚBLICO"/>
    <s v="ATEL"/>
    <s v="REGIÓN DE METROPOLITANA DE SANTIAGO"/>
  </r>
  <r>
    <s v="61608500K"/>
    <x v="477"/>
    <s v="PUENTE ALTO"/>
    <n v="13"/>
    <x v="0"/>
    <s v="CN61608500"/>
    <s v="PÚBLICO"/>
    <s v="ATEL"/>
    <s v="REGIÓN DE METROPOLITANA DE SANTIAGO"/>
  </r>
  <r>
    <n v="616085026"/>
    <x v="478"/>
    <s v="Puente Alto"/>
    <n v="13"/>
    <x v="3"/>
    <s v="CN61608502"/>
    <s v="PÚBLICO"/>
    <s v="SANT1"/>
    <s v="REGIÓN DE METROPOLITANA DE SANTIAGO"/>
  </r>
  <r>
    <n v="616085034"/>
    <x v="479"/>
    <s v="SAN JOSÉ DE MAIPO"/>
    <n v="13"/>
    <x v="0"/>
    <s v="CN61608503"/>
    <s v="PÚBLICO"/>
    <s v="ATEL"/>
    <s v="REGIÓN DE METROPOLITANA DE SANTIAGO"/>
  </r>
  <r>
    <n v="616086022"/>
    <x v="480"/>
    <s v="SANTIAGO"/>
    <n v="13"/>
    <x v="3"/>
    <s v="CN61608602"/>
    <s v="PÚBLICO"/>
    <s v="SANT1"/>
    <s v="REGIÓN DE METROPOLITANA DE SANTIAGO"/>
  </r>
  <r>
    <n v="616086049"/>
    <x v="481"/>
    <s v="SANTIAGO"/>
    <n v="13"/>
    <x v="1"/>
    <s v="CN61608604"/>
    <s v="PÚBLICO"/>
    <s v="SANT2"/>
    <s v="REGIÓN DE METROPOLITANA DE SANTIAGO"/>
  </r>
  <r>
    <n v="616086057"/>
    <x v="482"/>
    <s v="SANTIAGO"/>
    <n v="13"/>
    <x v="0"/>
    <s v="CN61608605"/>
    <s v="PÚBLICO"/>
    <s v="ATEL"/>
    <s v="REGIÓN DE METROPOLITANA DE SANTIAGO"/>
  </r>
  <r>
    <n v="616087002"/>
    <x v="483"/>
    <s v="ÑUÑOA"/>
    <n v="13"/>
    <x v="0"/>
    <s v="CN61608700"/>
    <s v="PÚBLICO"/>
    <s v="ATEL"/>
    <s v="REGIÓN DE METROPOLITANA DE SANTIAGO"/>
  </r>
  <r>
    <s v="61929100K"/>
    <x v="484"/>
    <s v="FLORIDA"/>
    <n v="8"/>
    <x v="0"/>
    <s v="CN61929100"/>
    <s v="PÚBLICO"/>
    <s v="ATEL"/>
    <s v="REGIÓN DE BIOBÍO"/>
  </r>
  <r>
    <n v="619301005"/>
    <x v="485"/>
    <s v="VIÑA DEL MAR"/>
    <n v="5"/>
    <x v="0"/>
    <s v="CN61930100"/>
    <s v="PÚBLICO"/>
    <s v="ATEL"/>
    <s v="REGIÓN DE VALPARAÍSO"/>
  </r>
  <r>
    <n v="619318005"/>
    <x v="486"/>
    <s v="CHILLÁN"/>
    <n v="16"/>
    <x v="5"/>
    <s v="CN61931800"/>
    <s v="PÚBLICO"/>
    <s v="SUR1"/>
    <s v="REGIÓN DE ÑUBLE"/>
  </r>
  <r>
    <n v="619322002"/>
    <x v="487"/>
    <s v="COCHAMÓ"/>
    <n v="10"/>
    <x v="0"/>
    <s v="CN61932200"/>
    <s v="PÚBLICO"/>
    <s v="ATEL"/>
    <s v="REGIÓN DE LOS LAGOS"/>
  </r>
  <r>
    <n v="619334000"/>
    <x v="488"/>
    <s v="PUDAHUEL"/>
    <n v="13"/>
    <x v="0"/>
    <s v="CN61933400"/>
    <s v="PÚBLICO"/>
    <s v="ATEL"/>
    <s v="REGIÓN DE METROPOLITANA DE SANTIAGO"/>
  </r>
  <r>
    <n v="619385004"/>
    <x v="489"/>
    <s v="ESTACIÓN CENTRAL"/>
    <n v="13"/>
    <x v="0"/>
    <s v="CN61938500"/>
    <s v="PÚBLICO"/>
    <s v="ATEL"/>
    <s v="REGIÓN DE METROPOLITANA DE SANTIAGO"/>
  </r>
  <r>
    <n v="619394003"/>
    <x v="490"/>
    <s v="SANTIAGO"/>
    <n v="13"/>
    <x v="0"/>
    <s v="CN61939400"/>
    <s v="PÚBLICO"/>
    <s v="ATEL"/>
    <s v="REGIÓN DE METROPOLITANA DE SANTIAGO"/>
  </r>
  <r>
    <n v="619523008"/>
    <x v="491"/>
    <s v="IQUIQUE"/>
    <n v="1"/>
    <x v="1"/>
    <s v="CN61952300"/>
    <s v="PÚBLICO"/>
    <s v="SANT2"/>
    <s v="REGIÓN DE TARAPACÁ"/>
  </r>
  <r>
    <n v="619532007"/>
    <x v="492"/>
    <s v="PEÑALOLÉN"/>
    <n v="13"/>
    <x v="0"/>
    <s v="CN61953200"/>
    <s v="PÚBLICO"/>
    <s v="ATEL"/>
    <s v="REGIÓN DE METROPOLITANA DE SANTIAGO"/>
  </r>
  <r>
    <n v="619545001"/>
    <x v="493"/>
    <s v="LEBU"/>
    <n v="8"/>
    <x v="0"/>
    <s v="CN61954500"/>
    <s v="PÚBLICO"/>
    <s v="ATEL"/>
    <s v="REGIÓN DE BIOBÍO"/>
  </r>
  <r>
    <n v="619550005"/>
    <x v="494"/>
    <s v="PADRE LAS CASAS"/>
    <n v="9"/>
    <x v="2"/>
    <s v="CN61955000"/>
    <s v="PÚBLICO"/>
    <s v="SUR2"/>
    <s v="REGIÓN DE LA ARAUCANÍA"/>
  </r>
  <r>
    <n v="619585003"/>
    <x v="495"/>
    <s v="SAN RAMÓN"/>
    <n v="1"/>
    <x v="3"/>
    <s v="CN61958500"/>
    <s v="PÚBLICO"/>
    <s v="SANT1"/>
    <s v="REGIÓN DE TARAPACÁ"/>
  </r>
  <r>
    <n v="619598008"/>
    <x v="496"/>
    <s v="PEÑALOLÉN"/>
    <n v="13"/>
    <x v="3"/>
    <s v="CN61959800"/>
    <s v="PÚBLICO"/>
    <s v="SANT1"/>
    <s v="REGIÓN DE METROPOLITANA DE SANTIAGO"/>
  </r>
  <r>
    <n v="619728009"/>
    <x v="497"/>
    <s v="QUILLÓN"/>
    <n v="16"/>
    <x v="0"/>
    <s v="CN61972800"/>
    <s v="PÚBLICO"/>
    <s v="ATEL"/>
    <s v="REGIÓN DE ÑUBLE"/>
  </r>
  <r>
    <n v="619746007"/>
    <x v="498"/>
    <s v="COYHAIQUE"/>
    <n v="11"/>
    <x v="0"/>
    <s v="CN61974600"/>
    <s v="PÚBLICO"/>
    <s v="ATEL"/>
    <s v="REGIÓN DE AYSÉN DEL GENERAL CARLOS IBÁÑEZ DEL CAMPO"/>
  </r>
  <r>
    <n v="619751000"/>
    <x v="499"/>
    <s v="PUERTO MONTT"/>
    <n v="10"/>
    <x v="2"/>
    <s v="CN61975100"/>
    <s v="PÚBLICO"/>
    <s v="SUR2"/>
    <s v="REGIÓN DE LOS LAGOS"/>
  </r>
  <r>
    <n v="619758005"/>
    <x v="500"/>
    <s v="ANCUD"/>
    <n v="10"/>
    <x v="2"/>
    <s v="CN61975800"/>
    <s v="PÚBLICO"/>
    <s v="SUR2"/>
    <s v="REGIÓN DE LOS LAGOS"/>
  </r>
  <r>
    <s v="61978510K"/>
    <x v="501"/>
    <s v="PUERTO MONTT"/>
    <n v="10"/>
    <x v="0"/>
    <s v="CN61978510"/>
    <s v="PÚBLICO"/>
    <s v="ATEL"/>
    <s v="REGIÓN DE LOS LAGOS"/>
  </r>
  <r>
    <s v="61978670K"/>
    <x v="502"/>
    <s v="PUDAHUEL"/>
    <n v="13"/>
    <x v="0"/>
    <s v="CN61978670"/>
    <s v="PÚBLICO"/>
    <s v="ATEL"/>
    <s v="REGIÓN DE METROPOLITANA DE SANTIAGO"/>
  </r>
  <r>
    <n v="619787307"/>
    <x v="503"/>
    <s v="QUEILÉN"/>
    <n v="10"/>
    <x v="0"/>
    <s v="CN61978730"/>
    <s v="PÚBLICO"/>
    <s v="ATEL"/>
    <s v="REGIÓN DE LOS LAGOS"/>
  </r>
  <r>
    <n v="619790200"/>
    <x v="504"/>
    <s v="ARICA"/>
    <n v="15"/>
    <x v="0"/>
    <s v="CN61979020"/>
    <s v="PÚBLICO"/>
    <s v="ATEL"/>
    <s v="REGIÓN DE ARICA Y PARINACOTA"/>
  </r>
  <r>
    <n v="619792106"/>
    <x v="505"/>
    <s v="CASTRO"/>
    <n v="10"/>
    <x v="0"/>
    <s v="CN61979210"/>
    <s v="PÚBLICO"/>
    <s v="ATEL"/>
    <s v="REGIÓN DE LOS LAGOS"/>
  </r>
  <r>
    <s v="61979270K"/>
    <x v="506"/>
    <s v="ISLA DE PASCUA"/>
    <n v="13"/>
    <x v="0"/>
    <s v="CN61979270"/>
    <s v="PÚBLICO"/>
    <s v="ATEL"/>
    <s v="REGIÓN DE METROPOLITANA DE SANTIAGO"/>
  </r>
  <r>
    <n v="619794508"/>
    <x v="507"/>
    <s v="PROVIDENCIA"/>
    <n v="13"/>
    <x v="0"/>
    <s v="CN61979450"/>
    <s v="PÚBLICO"/>
    <s v="ATEL"/>
    <s v="REGIÓN DE METROPOLITANA DE SANTIAGO"/>
  </r>
  <r>
    <n v="619799100"/>
    <x v="388"/>
    <s v="VALPARAÍSO"/>
    <n v="5"/>
    <x v="0"/>
    <s v="CN61979910"/>
    <s v="PÚBLICO"/>
    <s v="ATEL"/>
    <s v="REGIÓN DE VALPARAÍSO"/>
  </r>
  <r>
    <n v="619800702"/>
    <x v="508"/>
    <s v="SAN JUAN DE LA COSTA"/>
    <n v="10"/>
    <x v="0"/>
    <s v="CN61980070"/>
    <s v="PÚBLICO"/>
    <s v="ATEL"/>
    <s v="REGIÓN DE LOS LAGOS"/>
  </r>
  <r>
    <s v="61980080K"/>
    <x v="509"/>
    <s v="SAN PABLO"/>
    <n v="10"/>
    <x v="0"/>
    <s v="CN61980080"/>
    <s v="PÚBLICO"/>
    <s v="ATEL"/>
    <s v="REGIÓN DE LOS LAGOS"/>
  </r>
  <r>
    <n v="619803205"/>
    <x v="510"/>
    <s v="MAIPÚ"/>
    <n v="13"/>
    <x v="3"/>
    <s v="CN61980320"/>
    <s v="PÚBLICO"/>
    <s v="SANT1"/>
    <s v="REGIÓN DE METROPOLITANA DE SANTIAGO"/>
  </r>
  <r>
    <n v="619803701"/>
    <x v="511"/>
    <s v="PENCO"/>
    <n v="8"/>
    <x v="0"/>
    <s v="CN61980370"/>
    <s v="PÚBLICO"/>
    <s v="ATEL"/>
    <s v="REGIÓN DE BIOBÍO"/>
  </r>
  <r>
    <n v="619804201"/>
    <x v="512"/>
    <s v="VIÑA DEL MAR"/>
    <n v="5"/>
    <x v="0"/>
    <s v="CN61980420"/>
    <s v="PÚBLICO"/>
    <s v="ATEL"/>
    <s v="REGIÓN DE VALPARAÍSO"/>
  </r>
  <r>
    <n v="619805305"/>
    <x v="513"/>
    <s v="RANCAGUA"/>
    <n v="6"/>
    <x v="0"/>
    <s v="CN61980530"/>
    <s v="PÚBLICO"/>
    <s v="ATEL"/>
    <s v="REGIÓN DE LIBERTADOR GENERAL BERNARDO O'HIGGINS"/>
  </r>
  <r>
    <n v="619806204"/>
    <x v="514"/>
    <s v="PUENTE ALTO"/>
    <n v="13"/>
    <x v="3"/>
    <s v="CN61980620"/>
    <s v="PÚBLICO"/>
    <s v="SANT1"/>
    <s v="REGIÓN DE METROPOLITANA DE SANTIAGO"/>
  </r>
  <r>
    <n v="619806700"/>
    <x v="515"/>
    <s v="MARIQUINA"/>
    <n v="14"/>
    <x v="0"/>
    <s v="CN61980670"/>
    <s v="PÚBLICO"/>
    <s v="ATEL"/>
    <s v="REGIÓN DE LOS RÍOS"/>
  </r>
  <r>
    <n v="619807200"/>
    <x v="516"/>
    <s v="CABO DE HORNOS"/>
    <n v="12"/>
    <x v="0"/>
    <s v="CN61980720"/>
    <s v="PÚBLICO"/>
    <s v="ATEL"/>
    <s v="REGIÓN DE MAGALLANES Y DE LA ANTÁRTICA CHILENA"/>
  </r>
  <r>
    <n v="619807405"/>
    <x v="517"/>
    <s v="HUALAIHUÉ"/>
    <n v="10"/>
    <x v="0"/>
    <s v="CN61980740"/>
    <s v="PÚBLICO"/>
    <s v="ATEL"/>
    <s v="REGIÓN DE LOS LAGOS"/>
  </r>
  <r>
    <n v="619990307"/>
    <x v="518"/>
    <s v="SANTIAGO"/>
    <n v="13"/>
    <x v="0"/>
    <s v="CN61999030"/>
    <s v="PÚBLICO"/>
    <s v="ATEL"/>
    <s v="REGIÓN DE METROPOLITANA DE SANTIAGO"/>
  </r>
  <r>
    <n v="619991907"/>
    <x v="519"/>
    <s v="CONCEPCIÓN"/>
    <n v="8"/>
    <x v="0"/>
    <s v="CN61999190"/>
    <s v="PÚBLICO"/>
    <s v="ATEL"/>
    <s v="REGIÓN DE BIOBÍO"/>
  </r>
  <r>
    <n v="619992601"/>
    <x v="520"/>
    <s v="LOS ÁNGELES"/>
    <n v="8"/>
    <x v="0"/>
    <s v="CN61999260"/>
    <s v="PÚBLICO"/>
    <s v="ATEL"/>
    <s v="REGIÓN DE BIOBÍO"/>
  </r>
  <r>
    <n v="620003808"/>
    <x v="521"/>
    <s v="ANTOFAGASTA"/>
    <n v="2"/>
    <x v="0"/>
    <s v="CN62000380"/>
    <s v="PÚBLICO"/>
    <s v="ATEL"/>
    <s v="REGIÓN DE ANTOFAGASTA"/>
  </r>
  <r>
    <n v="620005304"/>
    <x v="522"/>
    <s v="IQUIQUE"/>
    <n v="1"/>
    <x v="1"/>
    <s v="CN62000530"/>
    <s v="PÚBLICO"/>
    <s v="SANT2"/>
    <s v="REGIÓN DE TARAPACÁ"/>
  </r>
  <r>
    <n v="620005703"/>
    <x v="523"/>
    <s v="CHILLÁN"/>
    <n v="16"/>
    <x v="0"/>
    <s v="CN62000570"/>
    <s v="PÚBLICO"/>
    <s v="ATEL"/>
    <s v="REGIÓN DE ÑUBLE"/>
  </r>
  <r>
    <n v="620006203"/>
    <x v="524"/>
    <s v="LLAY-LLAY"/>
    <n v="5"/>
    <x v="0"/>
    <s v="CN62000620"/>
    <s v="PÚBLICO"/>
    <s v="ATEL"/>
    <s v="REGIÓN DE VALPARAÍSO"/>
  </r>
  <r>
    <n v="620007609"/>
    <x v="525"/>
    <s v="PORVENIR"/>
    <n v="12"/>
    <x v="0"/>
    <s v="CN62000760"/>
    <s v="PÚBLICO"/>
    <s v="ATEL"/>
    <s v="REGIÓN DE MAGALLANES Y DE LA ANTÁRTICA CHILENA"/>
  </r>
  <r>
    <n v="620008303"/>
    <x v="526"/>
    <s v="Padre Las Casas"/>
    <n v="9"/>
    <x v="2"/>
    <s v="CN62000830"/>
    <s v="PÚBLICO"/>
    <s v="SUR2"/>
    <s v="REGIÓN DE LA ARAUCANÍA"/>
  </r>
  <r>
    <n v="620009407"/>
    <x v="527"/>
    <s v="AYSÉN"/>
    <n v="11"/>
    <x v="0"/>
    <s v="CN62000940"/>
    <s v="PÚBLICO"/>
    <s v="ATEL"/>
    <s v="REGIÓN DE AYSÉN DEL GENERAL CARLOS IBÁÑEZ DEL CAMPO"/>
  </r>
  <r>
    <s v="65001975K"/>
    <x v="528"/>
    <s v="PROVIDENCIA"/>
    <n v="13"/>
    <x v="0"/>
    <s v="CN65001975"/>
    <s v="PÚBLICO"/>
    <s v="ATEL"/>
    <s v="REGIÓN DE METROPOLITANA DE SANTIAGO"/>
  </r>
  <r>
    <s v="65061030K"/>
    <x v="529"/>
    <s v="MAIPÚ"/>
    <n v="13"/>
    <x v="0"/>
    <s v="CN65061030"/>
    <s v="PÚBLICO"/>
    <s v="ATEL"/>
    <s v="REGIÓN DE METROPOLITANA DE SANTIAGO"/>
  </r>
  <r>
    <n v="650628438"/>
    <x v="530"/>
    <s v="PUERTO MONTT"/>
    <n v="10"/>
    <x v="0"/>
    <s v="CN65062843"/>
    <s v="PÚBLICO"/>
    <s v="ATEL"/>
    <s v="REGIÓN DE LOS LAGOS"/>
  </r>
  <r>
    <n v="650754859"/>
    <x v="531"/>
    <s v="LA FLORIDA"/>
    <n v="13"/>
    <x v="1"/>
    <s v="CN65075485"/>
    <s v="PÚBLICO"/>
    <s v="SANT2"/>
    <s v="REGIÓN DE METROPOLITANA DE SANTIAGO"/>
  </r>
  <r>
    <n v="650842200"/>
    <x v="532"/>
    <s v="PEÑALOLÉN"/>
    <n v="13"/>
    <x v="0"/>
    <s v="CN65084220"/>
    <s v="PÚBLICO"/>
    <s v="ATEL"/>
    <s v="REGIÓN DE METROPOLITANA DE SANTIAGO"/>
  </r>
  <r>
    <n v="651389259"/>
    <x v="533"/>
    <s v="SAN BERNARDO"/>
    <n v="13"/>
    <x v="0"/>
    <s v="CN65138925"/>
    <s v="PRIVADO"/>
    <s v="ATEL"/>
    <s v="REGIÓN DE METROPOLITANA DE SANTIAGO"/>
  </r>
  <r>
    <n v="651911257"/>
    <x v="534"/>
    <s v="VITACURA"/>
    <n v="13"/>
    <x v="0"/>
    <s v="CN65191125"/>
    <s v="PRIVADO"/>
    <s v="ATEL"/>
    <s v="REGIÓN DE METROPOLITANA DE SANTIAGO"/>
  </r>
  <r>
    <n v="652243002"/>
    <x v="535"/>
    <s v="COYHAIQUE"/>
    <n v="11"/>
    <x v="0"/>
    <s v="CN65224300"/>
    <s v="PÚBLICO"/>
    <s v="ATEL"/>
    <s v="REGIÓN DE AYSÉN DEL GENERAL CARLOS IBÁÑEZ DEL CAMPO"/>
  </r>
  <r>
    <n v="652286941"/>
    <x v="536"/>
    <s v="ALTO HOSPICIO"/>
    <n v="1"/>
    <x v="1"/>
    <s v="CN65228694"/>
    <s v="PÚBLICO"/>
    <s v="SANT2"/>
    <s v="REGIÓN DE TARAPACÁ"/>
  </r>
  <r>
    <n v="652730205"/>
    <x v="537"/>
    <s v="VALDIVIA"/>
    <n v="14"/>
    <x v="0"/>
    <s v="CN65273020"/>
    <s v="PÚBLICO"/>
    <s v="ATEL"/>
    <s v="REGIÓN DE LOS RÍOS"/>
  </r>
  <r>
    <s v="65311270K"/>
    <x v="538"/>
    <s v="CONCEPCIÓN"/>
    <n v="8"/>
    <x v="0"/>
    <s v="CN65311270"/>
    <s v="PÚBLICO"/>
    <s v="ATEL"/>
    <s v="REGIÓN DE BIOBÍO"/>
  </r>
  <r>
    <n v="653218907"/>
    <x v="539"/>
    <s v="CALBUCO"/>
    <n v="10"/>
    <x v="2"/>
    <s v="CN65321890"/>
    <s v="PÚBLICO"/>
    <s v="SUR2"/>
    <s v="REGIÓN DE LOS LAGOS"/>
  </r>
  <r>
    <n v="654536201"/>
    <x v="540"/>
    <s v="VALPARAÍSO"/>
    <n v="5"/>
    <x v="4"/>
    <s v="CN65453620"/>
    <s v="PÚBLICO"/>
    <s v="NOR1"/>
    <s v="REGIÓN DE VALPARAÍSO"/>
  </r>
  <r>
    <n v="654787603"/>
    <x v="541"/>
    <s v="ALTO BIOBÍO"/>
    <n v="8"/>
    <x v="0"/>
    <s v="CN65478760"/>
    <s v="PÚBLICO"/>
    <s v="ATEL"/>
    <s v="REGIÓN DE BIOBÍO"/>
  </r>
  <r>
    <n v="65624508"/>
    <x v="542"/>
    <s v="VALDIVIA"/>
    <n v="14"/>
    <x v="0"/>
    <s v="CN6562450"/>
    <s v="PRIVADO"/>
    <s v="ATEL"/>
    <s v="REGIÓN DE LOS RÍOS"/>
  </r>
  <r>
    <n v="656371900"/>
    <x v="543"/>
    <s v="LA PINTANA"/>
    <n v="13"/>
    <x v="0"/>
    <s v="CN65637190"/>
    <s v="PRIVADO"/>
    <s v="ATEL"/>
    <s v="REGIÓN DE METROPOLITANA DE SANTIAGO"/>
  </r>
  <r>
    <n v="676078003"/>
    <x v="450"/>
    <s v="Coyhaique"/>
    <n v="11"/>
    <x v="0"/>
    <s v="CN67607800"/>
    <s v="PÚBLICO"/>
    <s v="ATEL"/>
    <s v="REGIÓN DE AYSÉN DEL GENERAL CARLOS IBÁÑEZ DEL CAMPO"/>
  </r>
  <r>
    <n v="690101009"/>
    <x v="544"/>
    <s v="ARICA"/>
    <n v="15"/>
    <x v="0"/>
    <s v="CN69010100"/>
    <s v="PÚBLICO"/>
    <s v="ATEL"/>
    <s v="REGIÓN DE ARICA Y PARINACOTA"/>
  </r>
  <r>
    <n v="690102005"/>
    <x v="545"/>
    <s v="HUARA"/>
    <n v="1"/>
    <x v="0"/>
    <s v="CN69010200"/>
    <s v="PÚBLICO"/>
    <s v="ATEL"/>
    <s v="REGIÓN DE TARAPACÁ"/>
  </r>
  <r>
    <n v="690103001"/>
    <x v="546"/>
    <s v="IQUIQUE"/>
    <n v="1"/>
    <x v="1"/>
    <s v="CN69010300"/>
    <s v="PÚBLICO"/>
    <s v="SANT2"/>
    <s v="REGIÓN DE TARAPACÁ"/>
  </r>
  <r>
    <n v="690104008"/>
    <x v="547"/>
    <s v="PICA"/>
    <n v="1"/>
    <x v="0"/>
    <s v="CN69010400"/>
    <s v="PÚBLICO"/>
    <s v="ATEL"/>
    <s v="REGIÓN DE TARAPACÁ"/>
  </r>
  <r>
    <s v="69020200K"/>
    <x v="548"/>
    <s v="CALAMA"/>
    <n v="2"/>
    <x v="0"/>
    <s v="CN69020200"/>
    <s v="PÚBLICO"/>
    <s v="ATEL"/>
    <s v="REGIÓN DE ANTOFAGASTA"/>
  </r>
  <r>
    <n v="690301008"/>
    <x v="549"/>
    <s v="ANTOFAGASTA"/>
    <n v="2"/>
    <x v="0"/>
    <s v="CN69030100"/>
    <s v="PÚBLICO"/>
    <s v="ATEL"/>
    <s v="REGIÓN DE ANTOFAGASTA"/>
  </r>
  <r>
    <n v="690302004"/>
    <x v="550"/>
    <s v="COPIAPÓ"/>
    <n v="3"/>
    <x v="0"/>
    <s v="CN69030200"/>
    <s v="PÚBLICO"/>
    <s v="ATEL"/>
    <s v="REGIÓN DE ATACAMA"/>
  </r>
  <r>
    <n v="690303000"/>
    <x v="551"/>
    <s v="CALDERA"/>
    <n v="3"/>
    <x v="0"/>
    <s v="CN69030300"/>
    <s v="PÚBLICO"/>
    <s v="ATEL"/>
    <s v="REGIÓN DE ATACAMA"/>
  </r>
  <r>
    <n v="690304007"/>
    <x v="552"/>
    <s v="TIERRA AMARILLA"/>
    <n v="3"/>
    <x v="0"/>
    <s v="CN69030400"/>
    <s v="PÚBLICO"/>
    <s v="ATEL"/>
    <s v="REGIÓN DE ATACAMA"/>
  </r>
  <r>
    <n v="690305003"/>
    <x v="553"/>
    <s v="VALLENAR"/>
    <n v="3"/>
    <x v="0"/>
    <s v="CN69030500"/>
    <s v="PÚBLICO"/>
    <s v="ATEL"/>
    <s v="REGIÓN DE ATACAMA"/>
  </r>
  <r>
    <s v="69030600K"/>
    <x v="554"/>
    <s v="FREIRINA"/>
    <n v="3"/>
    <x v="0"/>
    <s v="CN69030600"/>
    <s v="PÚBLICO"/>
    <s v="ATEL"/>
    <s v="REGIÓN DE ATACAMA"/>
  </r>
  <r>
    <n v="690401002"/>
    <x v="555"/>
    <s v="LA SERENA"/>
    <n v="4"/>
    <x v="0"/>
    <s v="CN69040100"/>
    <s v="PRIVADO"/>
    <s v="ATEL"/>
    <s v="REGIÓN DE COQUIMBO"/>
  </r>
  <r>
    <n v="690402009"/>
    <x v="556"/>
    <s v="LA HIGUERA"/>
    <n v="4"/>
    <x v="0"/>
    <s v="CN69040200"/>
    <s v="PÚBLICO"/>
    <s v="ATEL"/>
    <s v="REGIÓN DE COQUIMBO"/>
  </r>
  <r>
    <n v="690403005"/>
    <x v="557"/>
    <s v="COQUIMBO"/>
    <n v="4"/>
    <x v="4"/>
    <s v="CN69040300"/>
    <s v="PÚBLICO"/>
    <s v="NOR1"/>
    <s v="REGIÓN DE COQUIMBO"/>
  </r>
  <r>
    <n v="690405008"/>
    <x v="558"/>
    <s v="VICUÑA"/>
    <n v="4"/>
    <x v="0"/>
    <s v="CN69040500"/>
    <s v="PRIVADO"/>
    <s v="ATEL"/>
    <s v="REGIÓN DE COQUIMBO"/>
  </r>
  <r>
    <n v="690406004"/>
    <x v="559"/>
    <s v="PAIHUANO"/>
    <n v="4"/>
    <x v="0"/>
    <s v="CN69040600"/>
    <s v="PÚBLICO"/>
    <s v="ATEL"/>
    <s v="REGIÓN DE COQUIMBO"/>
  </r>
  <r>
    <n v="690407000"/>
    <x v="560"/>
    <s v="OVALLE"/>
    <n v="4"/>
    <x v="4"/>
    <s v="CN69040700"/>
    <s v="PÚBLICO"/>
    <s v="NOR1"/>
    <s v="REGIÓN DE COQUIMBO"/>
  </r>
  <r>
    <n v="690408007"/>
    <x v="561"/>
    <s v="MONTE PATRIA"/>
    <n v="4"/>
    <x v="0"/>
    <s v="CN69040800"/>
    <s v="PÚBLICO"/>
    <s v="ATEL"/>
    <s v="REGIÓN DE COQUIMBO"/>
  </r>
  <r>
    <n v="690409003"/>
    <x v="562"/>
    <s v="PUNITAQUI"/>
    <n v="4"/>
    <x v="0"/>
    <s v="CN69040900"/>
    <s v="PÚBLICO"/>
    <s v="ATEL"/>
    <s v="REGIÓN DE COQUIMBO"/>
  </r>
  <r>
    <n v="690410001"/>
    <x v="563"/>
    <s v="RÍO HURTADO"/>
    <n v="4"/>
    <x v="0"/>
    <s v="CN69041000"/>
    <s v="PÚBLICO"/>
    <s v="ATEL"/>
    <s v="REGIÓN DE COQUIMBO"/>
  </r>
  <r>
    <n v="690411008"/>
    <x v="564"/>
    <s v="COMBARBALÁ"/>
    <n v="4"/>
    <x v="0"/>
    <s v="CN69041100"/>
    <s v="PÚBLICO"/>
    <s v="ATEL"/>
    <s v="REGIÓN DE COQUIMBO"/>
  </r>
  <r>
    <n v="690412004"/>
    <x v="565"/>
    <s v="ILLAPEL"/>
    <n v="4"/>
    <x v="0"/>
    <s v="CN69041200"/>
    <s v="PÚBLICO"/>
    <s v="ATEL"/>
    <s v="REGIÓN DE COQUIMBO"/>
  </r>
  <r>
    <n v="690413000"/>
    <x v="566"/>
    <s v="CANELA"/>
    <n v="4"/>
    <x v="0"/>
    <s v="CN69041300"/>
    <s v="PÚBLICO"/>
    <s v="ATEL"/>
    <s v="REGIÓN DE COQUIMBO"/>
  </r>
  <r>
    <n v="690414007"/>
    <x v="567"/>
    <s v="SALAMANCA"/>
    <n v="4"/>
    <x v="0"/>
    <s v="CN69041400"/>
    <s v="PÚBLICO"/>
    <s v="ATEL"/>
    <s v="REGIÓN DE COQUIMBO"/>
  </r>
  <r>
    <n v="690415003"/>
    <x v="568"/>
    <s v="LOS VILOS"/>
    <n v="4"/>
    <x v="0"/>
    <s v="CN69041500"/>
    <s v="PÚBLICO"/>
    <s v="ATEL"/>
    <s v="REGIÓN DE COQUIMBO"/>
  </r>
  <r>
    <n v="690501007"/>
    <x v="569"/>
    <s v="LA LIGUA"/>
    <n v="5"/>
    <x v="0"/>
    <s v="CN69050100"/>
    <s v="PÚBLICO"/>
    <s v="ATEL"/>
    <s v="REGIÓN DE VALPARAÍSO"/>
  </r>
  <r>
    <n v="690502003"/>
    <x v="570"/>
    <s v="CABILDO"/>
    <n v="5"/>
    <x v="0"/>
    <s v="CN69050200"/>
    <s v="PÚBLICO"/>
    <s v="ATEL"/>
    <s v="REGIÓN DE VALPARAÍSO"/>
  </r>
  <r>
    <s v="69050300K"/>
    <x v="571"/>
    <s v="PAPUDO"/>
    <n v="5"/>
    <x v="0"/>
    <s v="CN69050300"/>
    <s v="PÚBLICO"/>
    <s v="ATEL"/>
    <s v="REGIÓN DE VALPARAÍSO"/>
  </r>
  <r>
    <n v="690504006"/>
    <x v="572"/>
    <s v="ZAPALLAR"/>
    <n v="5"/>
    <x v="0"/>
    <s v="CN69050400"/>
    <s v="PÚBLICO"/>
    <s v="ATEL"/>
    <s v="REGIÓN DE VALPARAÍSO"/>
  </r>
  <r>
    <n v="690505002"/>
    <x v="573"/>
    <s v="PETORCA"/>
    <n v="5"/>
    <x v="0"/>
    <s v="CN69050500"/>
    <s v="PÚBLICO"/>
    <s v="ATEL"/>
    <s v="REGIÓN DE VALPARAÍSO"/>
  </r>
  <r>
    <n v="690506009"/>
    <x v="574"/>
    <s v="SAN FELIPE"/>
    <n v="5"/>
    <x v="0"/>
    <s v="CN69050600"/>
    <s v="PÚBLICO"/>
    <s v="ATEL"/>
    <s v="REGIÓN DE VALPARAÍSO"/>
  </r>
  <r>
    <n v="690507005"/>
    <x v="575"/>
    <s v="PUTAENDO"/>
    <n v="5"/>
    <x v="0"/>
    <s v="CN69050700"/>
    <s v="PÚBLICO"/>
    <s v="ATEL"/>
    <s v="REGIÓN DE VALPARAÍSO"/>
  </r>
  <r>
    <n v="690508001"/>
    <x v="576"/>
    <s v="PANQUEHUE"/>
    <n v="5"/>
    <x v="0"/>
    <s v="CN69050800"/>
    <s v="PÚBLICO"/>
    <s v="ATEL"/>
    <s v="REGIÓN DE VALPARAÍSO"/>
  </r>
  <r>
    <n v="690509008"/>
    <x v="577"/>
    <s v="CATEMU"/>
    <n v="5"/>
    <x v="0"/>
    <s v="CN69050900"/>
    <s v="PÚBLICO"/>
    <s v="ATEL"/>
    <s v="REGIÓN DE VALPARAÍSO"/>
  </r>
  <r>
    <n v="690510006"/>
    <x v="578"/>
    <s v="SANTA MARÍA"/>
    <n v="5"/>
    <x v="0"/>
    <s v="CN69051000"/>
    <s v="PÚBLICO"/>
    <s v="ATEL"/>
    <s v="REGIÓN DE VALPARAÍSO"/>
  </r>
  <r>
    <n v="690511002"/>
    <x v="579"/>
    <s v="LOS ANDES"/>
    <n v="5"/>
    <x v="0"/>
    <s v="CN69051100"/>
    <s v="PÚBLICO"/>
    <s v="ATEL"/>
    <s v="REGIÓN DE VALPARAÍSO"/>
  </r>
  <r>
    <n v="690512009"/>
    <x v="580"/>
    <s v="CALLE LARGA"/>
    <n v="5"/>
    <x v="0"/>
    <s v="CN69051200"/>
    <s v="PÚBLICO"/>
    <s v="ATEL"/>
    <s v="REGIÓN DE VALPARAÍSO"/>
  </r>
  <r>
    <n v="690513005"/>
    <x v="581"/>
    <s v="RINCONADA"/>
    <n v="5"/>
    <x v="0"/>
    <s v="CN69051300"/>
    <s v="PÚBLICO"/>
    <s v="ATEL"/>
    <s v="REGIÓN DE VALPARAÍSO"/>
  </r>
  <r>
    <n v="690514001"/>
    <x v="582"/>
    <s v="SAN ESTEBAN"/>
    <n v="5"/>
    <x v="0"/>
    <s v="CN69051400"/>
    <s v="PÚBLICO"/>
    <s v="ATEL"/>
    <s v="REGIÓN DE VALPARAÍSO"/>
  </r>
  <r>
    <n v="690602008"/>
    <x v="583"/>
    <s v="LA CRUZ"/>
    <n v="5"/>
    <x v="0"/>
    <s v="CN69060200"/>
    <s v="PÚBLICO"/>
    <s v="ATEL"/>
    <s v="REGIÓN DE VALPARAÍSO"/>
  </r>
  <r>
    <n v="690603004"/>
    <x v="584"/>
    <s v="LA CALERA"/>
    <n v="5"/>
    <x v="0"/>
    <s v="CN69060300"/>
    <s v="PÚBLICO"/>
    <s v="ATEL"/>
    <s v="REGIÓN DE VALPARAÍSO"/>
  </r>
  <r>
    <n v="690605007"/>
    <x v="585"/>
    <s v="HIJUELAS"/>
    <n v="5"/>
    <x v="0"/>
    <s v="CN69060500"/>
    <s v="PÚBLICO"/>
    <s v="ATEL"/>
    <s v="REGIÓN DE VALPARAÍSO"/>
  </r>
  <r>
    <n v="690606003"/>
    <x v="586"/>
    <s v="NOGALES"/>
    <n v="5"/>
    <x v="0"/>
    <s v="CN69060600"/>
    <s v="PÚBLICO"/>
    <s v="ATEL"/>
    <s v="REGIÓN DE VALPARAÍSO"/>
  </r>
  <r>
    <s v="69060700K"/>
    <x v="587"/>
    <s v="QUINTERO"/>
    <n v="5"/>
    <x v="0"/>
    <s v="CN69060700"/>
    <s v="PÚBLICO"/>
    <s v="ATEL"/>
    <s v="REGIÓN DE VALPARAÍSO"/>
  </r>
  <r>
    <n v="690608006"/>
    <x v="588"/>
    <s v="PUCHUNCAVÍ"/>
    <n v="5"/>
    <x v="4"/>
    <s v="CN69060800"/>
    <s v="PÚBLICO"/>
    <s v="NOR1"/>
    <s v="REGIÓN DE VALPARAÍSO"/>
  </r>
  <r>
    <n v="690611007"/>
    <x v="589"/>
    <s v="LIMACHE"/>
    <n v="5"/>
    <x v="0"/>
    <s v="CN69061100"/>
    <s v="PÚBLICO"/>
    <s v="ATEL"/>
    <s v="REGIÓN DE VALPARAÍSO"/>
  </r>
  <r>
    <n v="690612003"/>
    <x v="590"/>
    <s v="OLMUÉ"/>
    <n v="5"/>
    <x v="0"/>
    <s v="CN69061200"/>
    <s v="PÚBLICO"/>
    <s v="ATEL"/>
    <s v="REGIÓN DE VALPARAÍSO"/>
  </r>
  <r>
    <n v="690614006"/>
    <x v="591"/>
    <s v="CASABLANCA"/>
    <n v="5"/>
    <x v="0"/>
    <s v="CN69061400"/>
    <s v="PÚBLICO"/>
    <s v="ATEL"/>
    <s v="REGIÓN DE VALPARAÍSO"/>
  </r>
  <r>
    <n v="690616009"/>
    <x v="592"/>
    <s v="ALGARROBO"/>
    <n v="5"/>
    <x v="0"/>
    <s v="CN69061600"/>
    <s v="PÚBLICO"/>
    <s v="ATEL"/>
    <s v="REGIÓN DE VALPARAÍSO"/>
  </r>
  <r>
    <n v="690617005"/>
    <x v="593"/>
    <s v="EL QUISCO"/>
    <n v="5"/>
    <x v="4"/>
    <s v="CN69061700"/>
    <s v="PÚBLICO"/>
    <s v="NOR1"/>
    <s v="REGIÓN DE VALPARAÍSO"/>
  </r>
  <r>
    <n v="690701006"/>
    <x v="594"/>
    <s v="SANTIAGO"/>
    <n v="13"/>
    <x v="0"/>
    <s v="CN69070100"/>
    <s v="PÚBLICO"/>
    <s v="ATEL"/>
    <s v="REGIÓN DE METROPOLITANA DE SANTIAGO"/>
  </r>
  <r>
    <n v="690703017"/>
    <x v="595"/>
    <s v="PROVIDENCIA"/>
    <n v="13"/>
    <x v="0"/>
    <s v="CN69070301"/>
    <s v="PÚBLICO"/>
    <s v="ATEL"/>
    <s v="REGIÓN DE METROPOLITANA DE SANTIAGO"/>
  </r>
  <r>
    <n v="690709007"/>
    <x v="596"/>
    <s v="MAIPÚ"/>
    <n v="13"/>
    <x v="0"/>
    <s v="CN69070900"/>
    <s v="PÚBLICO"/>
    <s v="ATEL"/>
    <s v="REGIÓN DE METROPOLITANA DE SANTIAGO"/>
  </r>
  <r>
    <n v="690713004"/>
    <x v="597"/>
    <s v="QUILICURA"/>
    <n v="13"/>
    <x v="0"/>
    <s v="CN69071300"/>
    <s v="PÚBLICO"/>
    <s v="ATEL"/>
    <s v="REGIÓN DE METROPOLITANA DE SANTIAGO"/>
  </r>
  <r>
    <n v="690713012"/>
    <x v="597"/>
    <s v="Quilicura"/>
    <n v="13"/>
    <x v="0"/>
    <s v="CN69071301"/>
    <s v="PÚBLICO"/>
    <s v="ATEL"/>
    <s v="REGIÓN DE METROPOLITANA DE SANTIAGO"/>
  </r>
  <r>
    <s v="69071700K"/>
    <x v="598"/>
    <s v="PEÑAFLOR"/>
    <n v="13"/>
    <x v="0"/>
    <s v="CN69071700"/>
    <s v="PÚBLICO"/>
    <s v="ATEL"/>
    <s v="REGIÓN DE METROPOLITANA DE SANTIAGO"/>
  </r>
  <r>
    <n v="690718006"/>
    <x v="599"/>
    <s v="TALAGANTE"/>
    <n v="13"/>
    <x v="0"/>
    <s v="CN69071800"/>
    <s v="PÚBLICO"/>
    <s v="ATEL"/>
    <s v="REGIÓN DE METROPOLITANA DE SANTIAGO"/>
  </r>
  <r>
    <n v="690720000"/>
    <x v="600"/>
    <s v="LA CISTERNA"/>
    <n v="13"/>
    <x v="0"/>
    <s v="CN69072000"/>
    <s v="PÚBLICO"/>
    <s v="ATEL"/>
    <s v="REGIÓN DE METROPOLITANA DE SANTIAGO"/>
  </r>
  <r>
    <n v="690724006"/>
    <x v="601"/>
    <s v="LA GRANJA"/>
    <n v="13"/>
    <x v="0"/>
    <s v="CN69072400"/>
    <s v="PÚBLICO"/>
    <s v="ATEL"/>
    <s v="REGIÓN DE METROPOLITANA DE SANTIAGO"/>
  </r>
  <r>
    <n v="690726009"/>
    <x v="602"/>
    <s v="PAINE"/>
    <n v="13"/>
    <x v="0"/>
    <s v="CN69072600"/>
    <s v="PÚBLICO"/>
    <s v="ATEL"/>
    <s v="REGIÓN DE METROPOLITANA DE SANTIAGO"/>
  </r>
  <r>
    <n v="690728001"/>
    <x v="603"/>
    <s v="QUILPUÉ"/>
    <n v="5"/>
    <x v="0"/>
    <s v="CN69072800"/>
    <s v="PÚBLICO"/>
    <s v="ATEL"/>
    <s v="REGIÓN DE VALPARAÍSO"/>
  </r>
  <r>
    <n v="690730006"/>
    <x v="604"/>
    <s v="EL MONTE"/>
    <n v="13"/>
    <x v="0"/>
    <s v="CN69073000"/>
    <s v="PÚBLICO"/>
    <s v="ATEL"/>
    <s v="REGIÓN DE METROPOLITANA DE SANTIAGO"/>
  </r>
  <r>
    <n v="690731002"/>
    <x v="605"/>
    <s v="SAN PEDRO"/>
    <n v="13"/>
    <x v="0"/>
    <s v="CN69073100"/>
    <s v="PÚBLICO"/>
    <s v="ATEL"/>
    <s v="REGIÓN DE METROPOLITANA DE SANTIAGO"/>
  </r>
  <r>
    <n v="690732009"/>
    <x v="606"/>
    <s v="ALHUÉ"/>
    <n v="13"/>
    <x v="0"/>
    <s v="CN69073200"/>
    <s v="PÚBLICO"/>
    <s v="ATEL"/>
    <s v="REGIÓN DE METROPOLITANA DE SANTIAGO"/>
  </r>
  <r>
    <n v="690734001"/>
    <x v="607"/>
    <s v="SAN ANTONIO"/>
    <n v="5"/>
    <x v="4"/>
    <s v="CN69073400"/>
    <s v="PÚBLICO"/>
    <s v="NOR1"/>
    <s v="REGIÓN DE VALPARAÍSO"/>
  </r>
  <r>
    <n v="690735008"/>
    <x v="608"/>
    <s v="SANTO DOMINGO"/>
    <n v="5"/>
    <x v="0"/>
    <s v="CN69073500"/>
    <s v="PÚBLICO"/>
    <s v="ATEL"/>
    <s v="REGIÓN DE VALPARAÍSO"/>
  </r>
  <r>
    <n v="690736004"/>
    <x v="609"/>
    <s v="CARTAGENA"/>
    <n v="5"/>
    <x v="0"/>
    <s v="CN69073600"/>
    <s v="PÚBLICO"/>
    <s v="ATEL"/>
    <s v="REGIÓN DE VALPARAÍSO"/>
  </r>
  <r>
    <n v="690737000"/>
    <x v="610"/>
    <s v="EL TABO"/>
    <n v="5"/>
    <x v="0"/>
    <s v="CN69073700"/>
    <s v="PÚBLICO"/>
    <s v="ATEL"/>
    <s v="REGIÓN DE VALPARAÍSO"/>
  </r>
  <r>
    <n v="690738007"/>
    <x v="611"/>
    <s v="NAVIDAD"/>
    <n v="6"/>
    <x v="0"/>
    <s v="CN69073800"/>
    <s v="PÚBLICO"/>
    <s v="ATEL"/>
    <s v="REGIÓN DE LIBERTADOR GENERAL BERNARDO O'HIGGINS"/>
  </r>
  <r>
    <n v="690802007"/>
    <x v="612"/>
    <s v="MACHALÍ"/>
    <n v="6"/>
    <x v="0"/>
    <s v="CN69080200"/>
    <s v="PÚBLICO"/>
    <s v="ATEL"/>
    <s v="REGIÓN DE LIBERTADOR GENERAL BERNARDO O'HIGGINS"/>
  </r>
  <r>
    <s v="69080400K"/>
    <x v="613"/>
    <s v="CODEGUA"/>
    <n v="6"/>
    <x v="0"/>
    <s v="CN69080400"/>
    <s v="PÚBLICO"/>
    <s v="ATEL"/>
    <s v="REGIÓN DE LIBERTADOR GENERAL BERNARDO O'HIGGINS"/>
  </r>
  <r>
    <n v="690805006"/>
    <x v="614"/>
    <s v="MOSTAZAL"/>
    <n v="6"/>
    <x v="0"/>
    <s v="CN69080500"/>
    <s v="PÚBLICO"/>
    <s v="ATEL"/>
    <s v="REGIÓN DE LIBERTADOR GENERAL BERNARDO O'HIGGINS"/>
  </r>
  <r>
    <n v="690806002"/>
    <x v="615"/>
    <s v="DOÑIHUE"/>
    <n v="6"/>
    <x v="0"/>
    <s v="CN69080600"/>
    <s v="PÚBLICO"/>
    <s v="ATEL"/>
    <s v="REGIÓN DE LIBERTADOR GENERAL BERNARDO O'HIGGINS"/>
  </r>
  <r>
    <n v="690807009"/>
    <x v="616"/>
    <s v="COLTAUCO"/>
    <n v="6"/>
    <x v="0"/>
    <s v="CN69080700"/>
    <s v="PÚBLICO"/>
    <s v="ATEL"/>
    <s v="REGIÓN DE LIBERTADOR GENERAL BERNARDO O'HIGGINS"/>
  </r>
  <r>
    <n v="690808005"/>
    <x v="617"/>
    <s v="LAS CABRAS"/>
    <n v="6"/>
    <x v="0"/>
    <s v="CN69080800"/>
    <s v="PÚBLICO"/>
    <s v="ATEL"/>
    <s v="REGIÓN DE LIBERTADOR GENERAL BERNARDO O'HIGGINS"/>
  </r>
  <r>
    <n v="690809001"/>
    <x v="618"/>
    <s v="PEUMO"/>
    <n v="6"/>
    <x v="0"/>
    <s v="CN69080900"/>
    <s v="PÚBLICO"/>
    <s v="ATEL"/>
    <s v="REGIÓN DE LIBERTADOR GENERAL BERNARDO O'HIGGINS"/>
  </r>
  <r>
    <s v="69081000K"/>
    <x v="619"/>
    <s v="SAN VICENTE"/>
    <n v="6"/>
    <x v="0"/>
    <s v="CN69081000"/>
    <s v="PÚBLICO"/>
    <s v="ATEL"/>
    <s v="REGIÓN DE LIBERTADOR GENERAL BERNARDO O'HIGGINS"/>
  </r>
  <r>
    <n v="690811006"/>
    <x v="620"/>
    <s v="PICHIDEGUA"/>
    <n v="6"/>
    <x v="0"/>
    <s v="CN69081100"/>
    <s v="PÚBLICO"/>
    <s v="ATEL"/>
    <s v="REGIÓN DE LIBERTADOR GENERAL BERNARDO O'HIGGINS"/>
  </r>
  <r>
    <n v="690812002"/>
    <x v="621"/>
    <s v="RENGO"/>
    <n v="6"/>
    <x v="0"/>
    <s v="CN69081200"/>
    <s v="PÚBLICO"/>
    <s v="ATEL"/>
    <s v="REGIÓN DE LIBERTADOR GENERAL BERNARDO O'HIGGINS"/>
  </r>
  <r>
    <n v="690813009"/>
    <x v="622"/>
    <s v="REQUÍNOA"/>
    <n v="6"/>
    <x v="0"/>
    <s v="CN69081300"/>
    <s v="PÚBLICO"/>
    <s v="ATEL"/>
    <s v="REGIÓN DE LIBERTADOR GENERAL BERNARDO O'HIGGINS"/>
  </r>
  <r>
    <n v="690814005"/>
    <x v="623"/>
    <s v="OLIVAR"/>
    <n v="6"/>
    <x v="0"/>
    <s v="CN69081400"/>
    <s v="PÚBLICO"/>
    <s v="ATEL"/>
    <s v="REGIÓN DE LIBERTADOR GENERAL BERNARDO O'HIGGINS"/>
  </r>
  <r>
    <n v="690815001"/>
    <x v="624"/>
    <s v="MALLOA"/>
    <n v="6"/>
    <x v="0"/>
    <s v="CN69081500"/>
    <s v="PÚBLICO"/>
    <s v="ATEL"/>
    <s v="REGIÓN DE LIBERTADOR GENERAL BERNARDO O'HIGGINS"/>
  </r>
  <r>
    <n v="690817004"/>
    <x v="625"/>
    <s v="QUINTA DE TILCOCO"/>
    <n v="6"/>
    <x v="0"/>
    <s v="CN69081700"/>
    <s v="PÚBLICO"/>
    <s v="ATEL"/>
    <s v="REGIÓN DE LIBERTADOR GENERAL BERNARDO O'HIGGINS"/>
  </r>
  <r>
    <n v="690902001"/>
    <x v="626"/>
    <s v="PLACILLA"/>
    <n v="6"/>
    <x v="0"/>
    <s v="CN69090200"/>
    <s v="PÚBLICO"/>
    <s v="ATEL"/>
    <s v="REGIÓN DE LIBERTADOR GENERAL BERNARDO O'HIGGINS"/>
  </r>
  <r>
    <n v="690903008"/>
    <x v="627"/>
    <s v="CHIMBARONGO"/>
    <n v="6"/>
    <x v="0"/>
    <s v="CN69090300"/>
    <s v="PÚBLICO"/>
    <s v="ATEL"/>
    <s v="REGIÓN DE LIBERTADOR GENERAL BERNARDO O'HIGGINS"/>
  </r>
  <r>
    <n v="690904004"/>
    <x v="628"/>
    <s v="NANCAGUA"/>
    <n v="6"/>
    <x v="0"/>
    <s v="CN69090400"/>
    <s v="PÚBLICO"/>
    <s v="ATEL"/>
    <s v="REGIÓN DE LIBERTADOR GENERAL BERNARDO O'HIGGINS"/>
  </r>
  <r>
    <n v="690905000"/>
    <x v="629"/>
    <s v="LOLOL"/>
    <n v="6"/>
    <x v="0"/>
    <s v="CN69090500"/>
    <s v="PÚBLICO"/>
    <s v="ATEL"/>
    <s v="REGIÓN DE LIBERTADOR GENERAL BERNARDO O'HIGGINS"/>
  </r>
  <r>
    <n v="690906007"/>
    <x v="630"/>
    <s v="SANTA CRUZ"/>
    <n v="6"/>
    <x v="0"/>
    <s v="CN69090600"/>
    <s v="PÚBLICO"/>
    <s v="ATEL"/>
    <s v="REGIÓN DE LIBERTADOR GENERAL BERNARDO O'HIGGINS"/>
  </r>
  <r>
    <n v="690907003"/>
    <x v="631"/>
    <s v="CHÉPICA"/>
    <n v="6"/>
    <x v="0"/>
    <s v="CN69090700"/>
    <s v="PÚBLICO"/>
    <s v="ATEL"/>
    <s v="REGIÓN DE LIBERTADOR GENERAL BERNARDO O'HIGGINS"/>
  </r>
  <r>
    <s v="69090800K"/>
    <x v="632"/>
    <s v="PUMANQUE"/>
    <n v="6"/>
    <x v="0"/>
    <s v="CN69090800"/>
    <s v="PÚBLICO"/>
    <s v="ATEL"/>
    <s v="REGIÓN DE LIBERTADOR GENERAL BERNARDO O'HIGGINS"/>
  </r>
  <r>
    <n v="690909006"/>
    <x v="633"/>
    <s v="PAREDONES"/>
    <n v="6"/>
    <x v="0"/>
    <s v="CN69090900"/>
    <s v="PÚBLICO"/>
    <s v="ATEL"/>
    <s v="REGIÓN DE LIBERTADOR GENERAL BERNARDO O'HIGGINS"/>
  </r>
  <r>
    <n v="690910004"/>
    <x v="634"/>
    <s v="Cabildo"/>
    <n v="6"/>
    <x v="0"/>
    <s v="CN69091000"/>
    <s v="PÚBLICO"/>
    <s v="ATEL"/>
    <s v="REGIÓN DE LIBERTADOR GENERAL BERNARDO O'HIGGINS"/>
  </r>
  <r>
    <n v="690911000"/>
    <x v="635"/>
    <s v="LITUECHE"/>
    <n v="6"/>
    <x v="0"/>
    <s v="CN69091100"/>
    <s v="PÚBLICO"/>
    <s v="ATEL"/>
    <s v="REGIÓN DE LIBERTADOR GENERAL BERNARDO O'HIGGINS"/>
  </r>
  <r>
    <n v="690912007"/>
    <x v="91"/>
    <s v="PICHILEMU"/>
    <n v="6"/>
    <x v="0"/>
    <s v="CN69091200"/>
    <s v="PÚBLICO"/>
    <s v="ATEL"/>
    <s v="REGIÓN DE LIBERTADOR GENERAL BERNARDO O'HIGGINS"/>
  </r>
  <r>
    <n v="690913003"/>
    <x v="636"/>
    <s v="MARCHIHUE"/>
    <n v="6"/>
    <x v="0"/>
    <s v="CN69091300"/>
    <s v="PÚBLICO"/>
    <s v="ATEL"/>
    <s v="REGIÓN DE LIBERTADOR GENERAL BERNARDO O'HIGGINS"/>
  </r>
  <r>
    <s v="69091400K"/>
    <x v="637"/>
    <s v="LA ESTRELLA"/>
    <n v="6"/>
    <x v="0"/>
    <s v="CN69091400"/>
    <s v="PÚBLICO"/>
    <s v="ATEL"/>
    <s v="REGIÓN DE LIBERTADOR GENERAL BERNARDO O'HIGGINS"/>
  </r>
  <r>
    <n v="690915006"/>
    <x v="638"/>
    <s v="PERALILLO"/>
    <n v="6"/>
    <x v="0"/>
    <s v="CN69091500"/>
    <s v="PÚBLICO"/>
    <s v="ATEL"/>
    <s v="REGIÓN DE LIBERTADOR GENERAL BERNARDO O'HIGGINS"/>
  </r>
  <r>
    <n v="691001008"/>
    <x v="639"/>
    <s v="CURICÓ"/>
    <n v="7"/>
    <x v="0"/>
    <s v="CN69100100"/>
    <s v="PÚBLICO"/>
    <s v="ATEL"/>
    <s v="REGIÓN DE MAULE"/>
  </r>
  <r>
    <n v="691002004"/>
    <x v="640"/>
    <s v="ROMERAL"/>
    <n v="7"/>
    <x v="0"/>
    <s v="CN69100200"/>
    <s v="PÚBLICO"/>
    <s v="ATEL"/>
    <s v="REGIÓN DE MAULE"/>
  </r>
  <r>
    <n v="691003000"/>
    <x v="641"/>
    <s v="TENO"/>
    <n v="7"/>
    <x v="0"/>
    <s v="CN69100300"/>
    <s v="PÚBLICO"/>
    <s v="ATEL"/>
    <s v="REGIÓN DE MAULE"/>
  </r>
  <r>
    <n v="691004007"/>
    <x v="642"/>
    <s v="RAUCO"/>
    <n v="7"/>
    <x v="0"/>
    <s v="CN69100400"/>
    <s v="PÚBLICO"/>
    <s v="ATEL"/>
    <s v="REGIÓN DE MAULE"/>
  </r>
  <r>
    <n v="691005003"/>
    <x v="643"/>
    <s v="LICANTÉN"/>
    <n v="7"/>
    <x v="0"/>
    <s v="CN69100500"/>
    <s v="PÚBLICO"/>
    <s v="ATEL"/>
    <s v="REGIÓN DE MAULE"/>
  </r>
  <r>
    <n v="691007006"/>
    <x v="644"/>
    <s v="VICHUQUÉN"/>
    <n v="7"/>
    <x v="0"/>
    <s v="CN69100700"/>
    <s v="PÚBLICO"/>
    <s v="ATEL"/>
    <s v="REGIÓN DE MAULE"/>
  </r>
  <r>
    <n v="691101002"/>
    <x v="645"/>
    <s v="MOLINA"/>
    <n v="7"/>
    <x v="0"/>
    <s v="CN69110100"/>
    <s v="PÚBLICO"/>
    <s v="ATEL"/>
    <s v="REGIÓN DE MAULE"/>
  </r>
  <r>
    <n v="691102009"/>
    <x v="646"/>
    <s v="SAGRADA FAMILIA"/>
    <n v="7"/>
    <x v="0"/>
    <s v="CN69110200"/>
    <s v="PÚBLICO"/>
    <s v="ATEL"/>
    <s v="REGIÓN DE MAULE"/>
  </r>
  <r>
    <n v="691103005"/>
    <x v="647"/>
    <s v="CUREPTO"/>
    <n v="7"/>
    <x v="0"/>
    <s v="CN69110300"/>
    <s v="PÚBLICO"/>
    <s v="ATEL"/>
    <s v="REGIÓN DE MAULE"/>
  </r>
  <r>
    <n v="691104001"/>
    <x v="648"/>
    <s v="TALCA"/>
    <n v="7"/>
    <x v="0"/>
    <s v="CN69110400"/>
    <s v="PÚBLICO"/>
    <s v="ATEL"/>
    <s v="REGIÓN DE MAULE"/>
  </r>
  <r>
    <n v="691105008"/>
    <x v="649"/>
    <s v="SAN CLEMENTE"/>
    <n v="7"/>
    <x v="0"/>
    <s v="CN69110500"/>
    <s v="PÚBLICO"/>
    <s v="ATEL"/>
    <s v="REGIÓN DE MAULE"/>
  </r>
  <r>
    <n v="691106004"/>
    <x v="650"/>
    <s v="PELARCO"/>
    <n v="7"/>
    <x v="0"/>
    <s v="CN69110600"/>
    <s v="PÚBLICO"/>
    <s v="ATEL"/>
    <s v="REGIÓN DE MAULE"/>
  </r>
  <r>
    <n v="691107000"/>
    <x v="651"/>
    <s v="RÍO CLARO"/>
    <n v="7"/>
    <x v="0"/>
    <s v="CN69110700"/>
    <s v="PÚBLICO"/>
    <s v="ATEL"/>
    <s v="REGIÓN DE MAULE"/>
  </r>
  <r>
    <n v="691108007"/>
    <x v="652"/>
    <s v="PENCAHUE"/>
    <n v="7"/>
    <x v="0"/>
    <s v="CN69110800"/>
    <s v="PÚBLICO"/>
    <s v="ATEL"/>
    <s v="REGIÓN DE MAULE"/>
  </r>
  <r>
    <n v="691201007"/>
    <x v="653"/>
    <s v="CONSTITUCIÓN"/>
    <n v="7"/>
    <x v="0"/>
    <s v="CN69120100"/>
    <s v="PÚBLICO"/>
    <s v="ATEL"/>
    <s v="REGIÓN DE MAULE"/>
  </r>
  <r>
    <n v="691202003"/>
    <x v="654"/>
    <s v="EMPEDRADO"/>
    <n v="7"/>
    <x v="0"/>
    <s v="CN69120200"/>
    <s v="PÚBLICO"/>
    <s v="ATEL"/>
    <s v="REGIÓN DE MAULE"/>
  </r>
  <r>
    <s v="69120300k"/>
    <x v="655"/>
    <s v="CHANCO"/>
    <n v="7"/>
    <x v="0"/>
    <s v="CN69120300"/>
    <s v="PÚBLICO"/>
    <s v="ATEL"/>
    <s v="REGIÓN DE MAULE"/>
  </r>
  <r>
    <n v="691204006"/>
    <x v="656"/>
    <s v="CAUQUENES"/>
    <n v="7"/>
    <x v="0"/>
    <s v="CN69120400"/>
    <s v="PÚBLICO"/>
    <s v="ATEL"/>
    <s v="REGIÓN DE MAULE"/>
  </r>
  <r>
    <n v="691301001"/>
    <x v="657"/>
    <s v="SAN JAVIER"/>
    <n v="7"/>
    <x v="0"/>
    <s v="CN69130100"/>
    <s v="PÚBLICO"/>
    <s v="ATEL"/>
    <s v="REGIÓN DE MAULE"/>
  </r>
  <r>
    <n v="691302008"/>
    <x v="658"/>
    <s v="VILLA ALEGRE"/>
    <n v="7"/>
    <x v="0"/>
    <s v="CN69130200"/>
    <s v="PÚBLICO"/>
    <s v="ATEL"/>
    <s v="REGIÓN DE MAULE"/>
  </r>
  <r>
    <n v="691303012"/>
    <x v="39"/>
    <s v="LINARES"/>
    <n v="7"/>
    <x v="0"/>
    <s v="CN69130301"/>
    <s v="PÚBLICO"/>
    <s v="ATEL"/>
    <s v="REGIÓN DE MAULE"/>
  </r>
  <r>
    <n v="691304027"/>
    <x v="659"/>
    <s v="YERBAS BUENAS"/>
    <n v="7"/>
    <x v="0"/>
    <s v="CN69130402"/>
    <s v="PÚBLICO"/>
    <s v="ATEL"/>
    <s v="REGIÓN DE MAULE"/>
  </r>
  <r>
    <n v="691305007"/>
    <x v="660"/>
    <s v="COLBÚN"/>
    <n v="7"/>
    <x v="0"/>
    <s v="CN69130500"/>
    <s v="PÚBLICO"/>
    <s v="ATEL"/>
    <s v="REGIÓN DE MAULE"/>
  </r>
  <r>
    <s v="69130700K"/>
    <x v="661"/>
    <s v="PARRAL"/>
    <n v="7"/>
    <x v="0"/>
    <s v="CN69130700"/>
    <s v="PÚBLICO"/>
    <s v="ATEL"/>
    <s v="REGIÓN DE MAULE"/>
  </r>
  <r>
    <n v="691402010"/>
    <x v="662"/>
    <s v="PORTEZUELO"/>
    <n v="16"/>
    <x v="0"/>
    <s v="CN69140201"/>
    <s v="PÚBLICO"/>
    <s v="ATEL"/>
    <s v="REGIÓN DE ÑUBLE"/>
  </r>
  <r>
    <n v="691403025"/>
    <x v="663"/>
    <s v="NINHUE"/>
    <n v="16"/>
    <x v="0"/>
    <s v="CN69140302"/>
    <s v="PÚBLICO"/>
    <s v="ATEL"/>
    <s v="REGIÓN DE ÑUBLE"/>
  </r>
  <r>
    <n v="691404005"/>
    <x v="664"/>
    <s v="La Unión"/>
    <n v="14"/>
    <x v="0"/>
    <s v="CN69140400"/>
    <s v="PÚBLICO"/>
    <s v="ATEL"/>
    <s v="REGIÓN DE LOS RÍOS"/>
  </r>
  <r>
    <n v="691405001"/>
    <x v="665"/>
    <s v="SAN CARLOS"/>
    <n v="16"/>
    <x v="0"/>
    <s v="CN69140500"/>
    <s v="PÚBLICO"/>
    <s v="ATEL"/>
    <s v="REGIÓN DE ÑUBLE"/>
  </r>
  <r>
    <n v="691406008"/>
    <x v="666"/>
    <s v="ÑIQUÉN"/>
    <n v="16"/>
    <x v="0"/>
    <s v="CN69140600"/>
    <s v="PÚBLICO"/>
    <s v="ATEL"/>
    <s v="REGIÓN DE ÑUBLE"/>
  </r>
  <r>
    <n v="691408027"/>
    <x v="667"/>
    <s v="SAN NICOLÁS"/>
    <n v="16"/>
    <x v="0"/>
    <s v="CN69140802"/>
    <s v="PÚBLICO"/>
    <s v="ATEL"/>
    <s v="REGIÓN DE ÑUBLE"/>
  </r>
  <r>
    <n v="691411028"/>
    <x v="668"/>
    <s v="COIHUECO"/>
    <n v="16"/>
    <x v="0"/>
    <s v="CN69141102"/>
    <s v="PÚBLICO"/>
    <s v="ATEL"/>
    <s v="REGIÓN DE ÑUBLE"/>
  </r>
  <r>
    <n v="691412008"/>
    <x v="669"/>
    <s v="BULNES"/>
    <n v="16"/>
    <x v="0"/>
    <s v="CN69141200"/>
    <s v="PÚBLICO"/>
    <s v="ATEL"/>
    <s v="REGIÓN DE ÑUBLE"/>
  </r>
  <r>
    <n v="691413004"/>
    <x v="670"/>
    <s v="SAN IGNACIO"/>
    <n v="16"/>
    <x v="0"/>
    <s v="CN69141300"/>
    <s v="PÚBLICO"/>
    <s v="ATEL"/>
    <s v="REGIÓN DE ÑUBLE"/>
  </r>
  <r>
    <n v="691415007"/>
    <x v="671"/>
    <s v="YUNGAY"/>
    <n v="16"/>
    <x v="0"/>
    <s v="CN69141500"/>
    <s v="PÚBLICO"/>
    <s v="ATEL"/>
    <s v="REGIÓN DE ÑUBLE"/>
  </r>
  <r>
    <n v="691418022"/>
    <x v="672"/>
    <s v="TUCAPEL"/>
    <n v="8"/>
    <x v="0"/>
    <s v="CN69141802"/>
    <s v="PÚBLICO"/>
    <s v="ATEL"/>
    <s v="REGIÓN DE BIOBÍO"/>
  </r>
  <r>
    <n v="691501019"/>
    <x v="673"/>
    <s v="TOMÉ"/>
    <n v="8"/>
    <x v="0"/>
    <s v="CN69150101"/>
    <s v="PÚBLICO"/>
    <s v="ATEL"/>
    <s v="REGIÓN DE BIOBÍO"/>
  </r>
  <r>
    <n v="691501027"/>
    <x v="674"/>
    <s v="TOMÉ"/>
    <n v="8"/>
    <x v="5"/>
    <s v="CN69150102"/>
    <s v="PÚBLICO"/>
    <s v="SUR1"/>
    <s v="REGIÓN DE BIOBÍO"/>
  </r>
  <r>
    <n v="691502007"/>
    <x v="675"/>
    <s v="COELEMU"/>
    <n v="16"/>
    <x v="0"/>
    <s v="CN69150200"/>
    <s v="PÚBLICO"/>
    <s v="ATEL"/>
    <s v="REGIÓN DE ÑUBLE"/>
  </r>
  <r>
    <n v="691503003"/>
    <x v="676"/>
    <s v="RÁNQUIL"/>
    <n v="16"/>
    <x v="0"/>
    <s v="CN69150300"/>
    <s v="PÚBLICO"/>
    <s v="ATEL"/>
    <s v="REGIÓN DE ÑUBLE"/>
  </r>
  <r>
    <n v="691505022"/>
    <x v="677"/>
    <s v="PENCO"/>
    <n v="8"/>
    <x v="0"/>
    <s v="CN69150502"/>
    <s v="PÚBLICO"/>
    <s v="ATEL"/>
    <s v="REGIÓN DE BIOBÍO"/>
  </r>
  <r>
    <n v="691506010"/>
    <x v="678"/>
    <s v="HUALQUI"/>
    <n v="8"/>
    <x v="0"/>
    <s v="CN69150601"/>
    <s v="PÚBLICO"/>
    <s v="ATEL"/>
    <s v="REGIÓN DE BIOBÍO"/>
  </r>
  <r>
    <n v="691508005"/>
    <x v="679"/>
    <s v="TALCAHUANO"/>
    <n v="8"/>
    <x v="5"/>
    <s v="CN69150800"/>
    <s v="PÚBLICO"/>
    <s v="SUR1"/>
    <s v="REGIÓN DE BIOBÍO"/>
  </r>
  <r>
    <s v="69150901K"/>
    <x v="680"/>
    <s v="YUMBEL"/>
    <n v="8"/>
    <x v="0"/>
    <s v="CN69150901"/>
    <s v="PÚBLICO"/>
    <s v="ATEL"/>
    <s v="REGIÓN DE BIOBÍO"/>
  </r>
  <r>
    <s v="69151000K"/>
    <x v="681"/>
    <s v="CABRERO"/>
    <n v="8"/>
    <x v="0"/>
    <s v="CN69151000"/>
    <s v="PÚBLICO"/>
    <s v="ATEL"/>
    <s v="REGIÓN DE BIOBÍO"/>
  </r>
  <r>
    <n v="691510026"/>
    <x v="682"/>
    <s v="CABRERO"/>
    <n v="8"/>
    <x v="5"/>
    <s v="CN69151002"/>
    <s v="PÚBLICO"/>
    <s v="SUR1"/>
    <s v="REGIÓN DE BIOBÍO"/>
  </r>
  <r>
    <n v="691511006"/>
    <x v="683"/>
    <s v="SAN ROSENDO"/>
    <n v="8"/>
    <x v="0"/>
    <s v="CN69151100"/>
    <s v="PÚBLICO"/>
    <s v="ATEL"/>
    <s v="REGIÓN DE BIOBÍO"/>
  </r>
  <r>
    <n v="691512029"/>
    <x v="684"/>
    <s v="CORONEL"/>
    <n v="8"/>
    <x v="5"/>
    <s v="CN69151202"/>
    <s v="PÚBLICO"/>
    <s v="SUR1"/>
    <s v="REGIÓN DE BIOBÍO"/>
  </r>
  <r>
    <n v="691514005"/>
    <x v="685"/>
    <s v="SANTA JUANA"/>
    <n v="8"/>
    <x v="0"/>
    <s v="CN69151400"/>
    <s v="PÚBLICO"/>
    <s v="ATEL"/>
    <s v="REGIÓN DE BIOBÍO"/>
  </r>
  <r>
    <n v="691601005"/>
    <x v="686"/>
    <s v="ARAUCO"/>
    <n v="8"/>
    <x v="0"/>
    <s v="CN69160100"/>
    <s v="PÚBLICO"/>
    <s v="ATEL"/>
    <s v="REGIÓN DE BIOBÍO"/>
  </r>
  <r>
    <n v="691602028"/>
    <x v="687"/>
    <s v="CURANILAHUE"/>
    <n v="8"/>
    <x v="0"/>
    <s v="CN69160202"/>
    <s v="PÚBLICO"/>
    <s v="ATEL"/>
    <s v="REGIÓN DE BIOBÍO"/>
  </r>
  <r>
    <n v="691603008"/>
    <x v="688"/>
    <s v="LEBU"/>
    <n v="8"/>
    <x v="0"/>
    <s v="CN69160300"/>
    <s v="PÚBLICO"/>
    <s v="ATEL"/>
    <s v="REGIÓN DE BIOBÍO"/>
  </r>
  <r>
    <n v="691604020"/>
    <x v="689"/>
    <s v="LOS ÁLAMOS"/>
    <n v="8"/>
    <x v="0"/>
    <s v="CN69160402"/>
    <s v="PÚBLICO"/>
    <s v="ATEL"/>
    <s v="REGIÓN DE BIOBÍO"/>
  </r>
  <r>
    <n v="691605000"/>
    <x v="690"/>
    <s v="CAÑETE"/>
    <n v="8"/>
    <x v="0"/>
    <s v="CN69160500"/>
    <s v="PÚBLICO"/>
    <s v="ATEL"/>
    <s v="REGIÓN DE BIOBÍO"/>
  </r>
  <r>
    <n v="691607003"/>
    <x v="691"/>
    <s v="TIRÚA"/>
    <n v="8"/>
    <x v="0"/>
    <s v="CN69160700"/>
    <s v="PÚBLICO"/>
    <s v="ATEL"/>
    <s v="REGIÓN DE BIOBÍO"/>
  </r>
  <r>
    <n v="691701026"/>
    <x v="692"/>
    <s v="LOS ÁNGELES"/>
    <n v="8"/>
    <x v="5"/>
    <s v="CN69170102"/>
    <s v="PÚBLICO"/>
    <s v="SUR1"/>
    <s v="REGIÓN DE BIOBÍO"/>
  </r>
  <r>
    <n v="691702022"/>
    <x v="693"/>
    <s v="SANTA BÁRBARA"/>
    <n v="8"/>
    <x v="0"/>
    <s v="CN69170202"/>
    <s v="PÚBLICO"/>
    <s v="ATEL"/>
    <s v="REGIÓN DE BIOBÍO"/>
  </r>
  <r>
    <n v="691703002"/>
    <x v="694"/>
    <s v="LAJA"/>
    <n v="8"/>
    <x v="0"/>
    <s v="CN69170300"/>
    <s v="PÚBLICO"/>
    <s v="ATEL"/>
    <s v="REGIÓN DE BIOBÍO"/>
  </r>
  <r>
    <n v="691704025"/>
    <x v="695"/>
    <s v="QUILLECO"/>
    <n v="8"/>
    <x v="0"/>
    <s v="CN69170402"/>
    <s v="PÚBLICO"/>
    <s v="ATEL"/>
    <s v="REGIÓN DE BIOBÍO"/>
  </r>
  <r>
    <n v="691707008"/>
    <x v="696"/>
    <s v="NACIMIENTO"/>
    <n v="8"/>
    <x v="0"/>
    <s v="CN69170700"/>
    <s v="PÚBLICO"/>
    <s v="ATEL"/>
    <s v="REGIÓN DE BIOBÍO"/>
  </r>
  <r>
    <n v="691708004"/>
    <x v="697"/>
    <s v="NEGRETE"/>
    <n v="8"/>
    <x v="0"/>
    <s v="CN69170800"/>
    <s v="PÚBLICO"/>
    <s v="ATEL"/>
    <s v="REGIÓN DE BIOBÍO"/>
  </r>
  <r>
    <n v="691726002"/>
    <x v="698"/>
    <s v="QUILACO"/>
    <n v="8"/>
    <x v="0"/>
    <s v="CN69172600"/>
    <s v="PÚBLICO"/>
    <s v="ATEL"/>
    <s v="REGIÓN DE BIOBÍO"/>
  </r>
  <r>
    <n v="691801004"/>
    <x v="699"/>
    <s v="ANGOL"/>
    <n v="9"/>
    <x v="5"/>
    <s v="CN69180100"/>
    <s v="PÚBLICO"/>
    <s v="SUR1"/>
    <s v="REGIÓN DE LA ARAUCANÍA"/>
  </r>
  <r>
    <n v="691803007"/>
    <x v="700"/>
    <s v="LOS SAUCES"/>
    <n v="9"/>
    <x v="0"/>
    <s v="CN69180300"/>
    <s v="PÚBLICO"/>
    <s v="ATEL"/>
    <s v="REGIÓN DE LA ARAUCANÍA"/>
  </r>
  <r>
    <n v="691804003"/>
    <x v="701"/>
    <s v="RENAICO"/>
    <n v="9"/>
    <x v="0"/>
    <s v="CN69180400"/>
    <s v="PÚBLICO"/>
    <s v="ATEL"/>
    <s v="REGIÓN DE LA ARAUCANÍA"/>
  </r>
  <r>
    <s v="69180500K"/>
    <x v="702"/>
    <s v="COLLIPULLI"/>
    <n v="9"/>
    <x v="0"/>
    <s v="CN69180500"/>
    <s v="PÚBLICO"/>
    <s v="ATEL"/>
    <s v="REGIÓN DE LA ARAUCANÍA"/>
  </r>
  <r>
    <n v="691806006"/>
    <x v="703"/>
    <s v="ERCILLA"/>
    <n v="9"/>
    <x v="0"/>
    <s v="CN69180600"/>
    <s v="PÚBLICO"/>
    <s v="ATEL"/>
    <s v="REGIÓN DE LA ARAUCANÍA"/>
  </r>
  <r>
    <n v="691807002"/>
    <x v="704"/>
    <s v="TRAIGUÉN"/>
    <n v="9"/>
    <x v="0"/>
    <s v="CN69180700"/>
    <s v="PÚBLICO"/>
    <s v="ATEL"/>
    <s v="REGIÓN DE LA ARAUCANÍA"/>
  </r>
  <r>
    <n v="691808009"/>
    <x v="705"/>
    <s v="LUMACO"/>
    <n v="9"/>
    <x v="0"/>
    <s v="CN69180800"/>
    <s v="PÚBLICO"/>
    <s v="ATEL"/>
    <s v="REGIÓN DE LA ARAUCANÍA"/>
  </r>
  <r>
    <n v="691809005"/>
    <x v="706"/>
    <s v="VICTORIA"/>
    <n v="9"/>
    <x v="2"/>
    <s v="CN69180900"/>
    <s v="PÚBLICO"/>
    <s v="SUR2"/>
    <s v="REGIÓN DE LA ARAUCANÍA"/>
  </r>
  <r>
    <n v="691810003"/>
    <x v="707"/>
    <s v="CURACAUTÍN"/>
    <n v="9"/>
    <x v="0"/>
    <s v="CN69181000"/>
    <s v="PÚBLICO"/>
    <s v="ATEL"/>
    <s v="REGIÓN DE LA ARAUCANÍA"/>
  </r>
  <r>
    <s v="69181100K"/>
    <x v="708"/>
    <s v="LONQUIMAY"/>
    <n v="9"/>
    <x v="0"/>
    <s v="CN69181100"/>
    <s v="PÚBLICO"/>
    <s v="ATEL"/>
    <s v="REGIÓN DE LA ARAUCANÍA"/>
  </r>
  <r>
    <n v="691901009"/>
    <x v="709"/>
    <s v="LAUTARO"/>
    <n v="9"/>
    <x v="2"/>
    <s v="CN69190100"/>
    <s v="PÚBLICO"/>
    <s v="SUR2"/>
    <s v="REGIÓN DE LA ARAUCANÍA"/>
  </r>
  <r>
    <n v="691902005"/>
    <x v="710"/>
    <s v="GALVARINO"/>
    <n v="9"/>
    <x v="0"/>
    <s v="CN69190200"/>
    <s v="PÚBLICO"/>
    <s v="ATEL"/>
    <s v="REGIÓN DE LA ARAUCANÍA"/>
  </r>
  <r>
    <n v="691903001"/>
    <x v="711"/>
    <s v="PERQUENCO"/>
    <n v="9"/>
    <x v="0"/>
    <s v="CN69190300"/>
    <s v="PÚBLICO"/>
    <s v="ATEL"/>
    <s v="REGIÓN DE LA ARAUCANÍA"/>
  </r>
  <r>
    <n v="691904008"/>
    <x v="712"/>
    <s v="NUEVA IMPERIAL"/>
    <n v="9"/>
    <x v="2"/>
    <s v="CN69190400"/>
    <s v="PÚBLICO"/>
    <s v="SUR2"/>
    <s v="REGIÓN DE LA ARAUCANÍA"/>
  </r>
  <r>
    <n v="691905004"/>
    <x v="713"/>
    <s v="CARAHUE"/>
    <n v="9"/>
    <x v="0"/>
    <s v="CN69190500"/>
    <s v="PÚBLICO"/>
    <s v="ATEL"/>
    <s v="REGIÓN DE LA ARAUCANÍA"/>
  </r>
  <r>
    <n v="691906000"/>
    <x v="714"/>
    <s v="SAAVEDRA"/>
    <n v="9"/>
    <x v="0"/>
    <s v="CN69190600"/>
    <s v="PÚBLICO"/>
    <s v="ATEL"/>
    <s v="REGIÓN DE LA ARAUCANÍA"/>
  </r>
  <r>
    <n v="691907007"/>
    <x v="715"/>
    <s v="TEMUCO"/>
    <n v="9"/>
    <x v="2"/>
    <s v="CN69190700"/>
    <s v="PÚBLICO"/>
    <s v="SUR2"/>
    <s v="REGIÓN DE LA ARAUCANÍA"/>
  </r>
  <r>
    <n v="691908003"/>
    <x v="716"/>
    <s v="VILCÚN"/>
    <n v="9"/>
    <x v="0"/>
    <s v="CN69190800"/>
    <s v="PÚBLICO"/>
    <s v="ATEL"/>
    <s v="REGIÓN DE LA ARAUCANÍA"/>
  </r>
  <r>
    <s v="69190900K"/>
    <x v="717"/>
    <s v="FREIRE"/>
    <n v="9"/>
    <x v="0"/>
    <s v="CN69190900"/>
    <s v="PÚBLICO"/>
    <s v="ATEL"/>
    <s v="REGIÓN DE LA ARAUCANÍA"/>
  </r>
  <r>
    <n v="691910008"/>
    <x v="718"/>
    <s v="CUNCO"/>
    <n v="9"/>
    <x v="0"/>
    <s v="CN69191000"/>
    <s v="PÚBLICO"/>
    <s v="ATEL"/>
    <s v="REGIÓN DE LA ARAUCANÍA"/>
  </r>
  <r>
    <n v="691911004"/>
    <x v="719"/>
    <s v="LONCOCHE"/>
    <n v="9"/>
    <x v="0"/>
    <s v="CN69191100"/>
    <s v="PÚBLICO"/>
    <s v="ATEL"/>
    <s v="REGIÓN DE LA ARAUCANÍA"/>
  </r>
  <r>
    <n v="691912000"/>
    <x v="720"/>
    <s v="GORBEA"/>
    <n v="9"/>
    <x v="0"/>
    <s v="CN69191200"/>
    <s v="PÚBLICO"/>
    <s v="ATEL"/>
    <s v="REGIÓN DE LA ARAUCANÍA"/>
  </r>
  <r>
    <n v="691913007"/>
    <x v="721"/>
    <s v="PITRUFQUÉN"/>
    <n v="9"/>
    <x v="2"/>
    <s v="CN69191300"/>
    <s v="PÚBLICO"/>
    <s v="SUR2"/>
    <s v="REGIÓN DE LA ARAUCANÍA"/>
  </r>
  <r>
    <n v="691914003"/>
    <x v="722"/>
    <s v="TOLTÉN"/>
    <n v="9"/>
    <x v="0"/>
    <s v="CN69191400"/>
    <s v="PÚBLICO"/>
    <s v="ATEL"/>
    <s v="REGIÓN DE LA ARAUCANÍA"/>
  </r>
  <r>
    <s v="69191500K"/>
    <x v="723"/>
    <s v="VILLARRICA"/>
    <n v="9"/>
    <x v="2"/>
    <s v="CN69191500"/>
    <s v="PÚBLICO"/>
    <s v="SUR2"/>
    <s v="REGIÓN DE LA ARAUCANÍA"/>
  </r>
  <r>
    <n v="691916006"/>
    <x v="724"/>
    <s v="PUCÓN"/>
    <n v="9"/>
    <x v="2"/>
    <s v="CN69191600"/>
    <s v="PÚBLICO"/>
    <s v="SUR2"/>
    <s v="REGIÓN DE LA ARAUCANÍA"/>
  </r>
  <r>
    <n v="692001001"/>
    <x v="725"/>
    <s v="VALDIVIA"/>
    <n v="14"/>
    <x v="2"/>
    <s v="CN69200100"/>
    <s v="PÚBLICO"/>
    <s v="SUR2"/>
    <s v="REGIÓN DE LOS RÍOS"/>
  </r>
  <r>
    <n v="692003004"/>
    <x v="726"/>
    <s v="LANCO"/>
    <n v="14"/>
    <x v="0"/>
    <s v="CN69200300"/>
    <s v="PÚBLICO"/>
    <s v="ATEL"/>
    <s v="REGIÓN DE LOS RÍOS"/>
  </r>
  <r>
    <n v="692005007"/>
    <x v="727"/>
    <s v="MÁFIL"/>
    <n v="14"/>
    <x v="0"/>
    <s v="CN69200500"/>
    <s v="PÚBLICO"/>
    <s v="ATEL"/>
    <s v="REGIÓN DE LOS RÍOS"/>
  </r>
  <r>
    <n v="692006003"/>
    <x v="728"/>
    <s v="LOS LAGOS"/>
    <n v="14"/>
    <x v="0"/>
    <s v="CN69200600"/>
    <s v="PÚBLICO"/>
    <s v="ATEL"/>
    <s v="REGIÓN DE LOS RÍOS"/>
  </r>
  <r>
    <s v="69200700K"/>
    <x v="729"/>
    <s v="FUTRONO"/>
    <n v="14"/>
    <x v="0"/>
    <s v="CN69200700"/>
    <s v="PÚBLICO"/>
    <s v="ATEL"/>
    <s v="REGIÓN DE LOS RÍOS"/>
  </r>
  <r>
    <n v="692008006"/>
    <x v="730"/>
    <s v="LA UNIÓN"/>
    <n v="14"/>
    <x v="2"/>
    <s v="CN69200800"/>
    <s v="PÚBLICO"/>
    <s v="SUR2"/>
    <s v="REGIÓN DE LOS RÍOS"/>
  </r>
  <r>
    <n v="692009002"/>
    <x v="731"/>
    <s v="PAILLACO"/>
    <n v="14"/>
    <x v="0"/>
    <s v="CN69200900"/>
    <s v="PÚBLICO"/>
    <s v="ATEL"/>
    <s v="REGIÓN DE LOS RÍOS"/>
  </r>
  <r>
    <n v="692010000"/>
    <x v="732"/>
    <s v="RÍO BUENO"/>
    <n v="14"/>
    <x v="2"/>
    <s v="CN69201000"/>
    <s v="PÚBLICO"/>
    <s v="SUR2"/>
    <s v="REGIÓN DE LOS RÍOS"/>
  </r>
  <r>
    <n v="692011007"/>
    <x v="733"/>
    <s v="LAGO RANCO"/>
    <n v="14"/>
    <x v="0"/>
    <s v="CN69201100"/>
    <s v="PÚBLICO"/>
    <s v="ATEL"/>
    <s v="REGIÓN DE LOS RÍOS"/>
  </r>
  <r>
    <n v="692101006"/>
    <x v="734"/>
    <s v="OSORNO"/>
    <n v="10"/>
    <x v="2"/>
    <s v="CN69210100"/>
    <s v="PÚBLICO"/>
    <s v="SUR2"/>
    <s v="REGIÓN DE LOS LAGOS"/>
  </r>
  <r>
    <n v="692102029"/>
    <x v="735"/>
    <s v="SAN PABLO"/>
    <n v="10"/>
    <x v="0"/>
    <s v="CN69210202"/>
    <s v="PÚBLICO"/>
    <s v="ATEL"/>
    <s v="REGIÓN DE LOS LAGOS"/>
  </r>
  <r>
    <n v="692103025"/>
    <x v="736"/>
    <s v="RÍO NEGRO"/>
    <n v="10"/>
    <x v="0"/>
    <s v="CN69210302"/>
    <s v="PÚBLICO"/>
    <s v="ATEL"/>
    <s v="REGIÓN DE LOS LAGOS"/>
  </r>
  <r>
    <n v="692105001"/>
    <x v="737"/>
    <s v="PURRANQUE"/>
    <n v="10"/>
    <x v="0"/>
    <s v="CN69210500"/>
    <s v="PÚBLICO"/>
    <s v="ATEL"/>
    <s v="REGIÓN DE LOS LAGOS"/>
  </r>
  <r>
    <n v="692106008"/>
    <x v="738"/>
    <s v="PUYEHUE"/>
    <n v="10"/>
    <x v="0"/>
    <s v="CN69210600"/>
    <s v="PÚBLICO"/>
    <s v="ATEL"/>
    <s v="REGIÓN DE LOS LAGOS"/>
  </r>
  <r>
    <n v="692201000"/>
    <x v="739"/>
    <s v="PUERTO MONTT"/>
    <n v="10"/>
    <x v="2"/>
    <s v="CN69220100"/>
    <s v="PÚBLICO"/>
    <s v="SUR2"/>
    <s v="REGIÓN DE LOS LAGOS"/>
  </r>
  <r>
    <n v="692202007"/>
    <x v="740"/>
    <s v="PUERTO VARAS"/>
    <n v="10"/>
    <x v="0"/>
    <s v="CN69220200"/>
    <s v="PÚBLICO"/>
    <s v="ATEL"/>
    <s v="REGIÓN DE LOS LAGOS"/>
  </r>
  <r>
    <s v="69220302K"/>
    <x v="741"/>
    <s v="LLANQUIHUE"/>
    <n v="10"/>
    <x v="0"/>
    <s v="CN69220302"/>
    <s v="PÚBLICO"/>
    <s v="ATEL"/>
    <s v="REGIÓN DE LOS LAGOS"/>
  </r>
  <r>
    <n v="692204026"/>
    <x v="742"/>
    <s v="FRESIA"/>
    <n v="10"/>
    <x v="0"/>
    <s v="CN69220402"/>
    <s v="PÚBLICO"/>
    <s v="ATEL"/>
    <s v="REGIÓN DE LOS LAGOS"/>
  </r>
  <r>
    <n v="692205006"/>
    <x v="743"/>
    <s v="MAULLÍN"/>
    <n v="10"/>
    <x v="0"/>
    <s v="CN69220500"/>
    <s v="PÚBLICO"/>
    <s v="ATEL"/>
    <s v="REGIÓN DE LOS LAGOS"/>
  </r>
  <r>
    <n v="692207025"/>
    <x v="744"/>
    <s v="FRUTILLAR"/>
    <n v="10"/>
    <x v="0"/>
    <s v="CN69220702"/>
    <s v="PÚBLICO"/>
    <s v="ATEL"/>
    <s v="REGIÓN DE LOS LAGOS"/>
  </r>
  <r>
    <n v="692208005"/>
    <x v="745"/>
    <s v="LOS MUERMOS"/>
    <n v="10"/>
    <x v="0"/>
    <s v="CN69220800"/>
    <s v="PÚBLICO"/>
    <s v="ATEL"/>
    <s v="REGIÓN DE LOS LAGOS"/>
  </r>
  <r>
    <n v="692302001"/>
    <x v="746"/>
    <s v="QUEMCHI"/>
    <n v="10"/>
    <x v="0"/>
    <s v="CN69230200"/>
    <s v="PÚBLICO"/>
    <s v="ATEL"/>
    <s v="REGIÓN DE LOS LAGOS"/>
  </r>
  <r>
    <n v="692311000"/>
    <x v="747"/>
    <s v="CHAITÉN"/>
    <n v="10"/>
    <x v="0"/>
    <s v="CN69231100"/>
    <s v="PÚBLICO"/>
    <s v="ATEL"/>
    <s v="REGIÓN DE LOS LAGOS"/>
  </r>
  <r>
    <n v="692312007"/>
    <x v="748"/>
    <s v="FUTALEUFÚ"/>
    <n v="10"/>
    <x v="0"/>
    <s v="CN69231200"/>
    <s v="PÚBLICO"/>
    <s v="ATEL"/>
    <s v="REGIÓN DE LOS LAGOS"/>
  </r>
  <r>
    <n v="692404009"/>
    <x v="749"/>
    <s v="CHILE CHICO"/>
    <n v="11"/>
    <x v="0"/>
    <s v="CN69240400"/>
    <s v="PRIVADO"/>
    <s v="ATEL"/>
    <s v="REGIÓN DE AYSÉN DEL GENERAL CARLOS IBÁÑEZ DEL CAMPO"/>
  </r>
  <r>
    <n v="692502000"/>
    <x v="750"/>
    <s v="PUNTA ARENAS"/>
    <n v="12"/>
    <x v="0"/>
    <s v="CN69250200"/>
    <s v="PÚBLICO"/>
    <s v="ATEL"/>
    <s v="REGIÓN DE MAGALLANES Y DE LA ANTÁRTICA CHILENA"/>
  </r>
  <r>
    <s v="69250500K"/>
    <x v="751"/>
    <s v="DIEGO DE ALMAGRO"/>
    <n v="3"/>
    <x v="0"/>
    <s v="CN69250500"/>
    <s v="PÚBLICO"/>
    <s v="ATEL"/>
    <s v="REGIÓN DE ATACAMA"/>
  </r>
  <r>
    <n v="692508009"/>
    <x v="752"/>
    <s v="PUTRE"/>
    <n v="15"/>
    <x v="0"/>
    <s v="CN69250800"/>
    <s v="PÚBLICO"/>
    <s v="ATEL"/>
    <s v="REGIÓN DE ARICA Y PARINACOTA"/>
  </r>
  <r>
    <n v="692510003"/>
    <x v="753"/>
    <s v="CAMARONES"/>
    <n v="15"/>
    <x v="0"/>
    <s v="CN69251000"/>
    <s v="PÚBLICO"/>
    <s v="ATEL"/>
    <s v="REGIÓN DE ARICA Y PARINACOTA"/>
  </r>
  <r>
    <n v="692515005"/>
    <x v="754"/>
    <s v="SAN GREGORIO"/>
    <n v="12"/>
    <x v="0"/>
    <s v="CN69251500"/>
    <s v="PÚBLICO"/>
    <s v="ATEL"/>
    <s v="REGIÓN DE MAGALLANES Y DE LA ANTÁRTICA CHILENA"/>
  </r>
  <r>
    <n v="692516001"/>
    <x v="755"/>
    <s v="TIMAUKEL"/>
    <n v="12"/>
    <x v="0"/>
    <s v="CN69251600"/>
    <s v="PÚBLICO"/>
    <s v="ATEL"/>
    <s v="REGIÓN DE MAGALLANES Y DE LA ANTÁRTICA CHILENA"/>
  </r>
  <r>
    <n v="692518004"/>
    <x v="756"/>
    <s v="SAN JUAN DE LA COSTA"/>
    <n v="10"/>
    <x v="0"/>
    <s v="CN69251800"/>
    <s v="PÚBLICO"/>
    <s v="ATEL"/>
    <s v="REGIÓN DE LOS LAGOS"/>
  </r>
  <r>
    <n v="692519000"/>
    <x v="757"/>
    <s v="ALTO DEL CARMEN"/>
    <n v="3"/>
    <x v="0"/>
    <s v="CN69251900"/>
    <s v="PÚBLICO"/>
    <s v="ATEL"/>
    <s v="REGIÓN DE ATACAMA"/>
  </r>
  <r>
    <n v="692521005"/>
    <x v="758"/>
    <s v="TEODORO SCHMIDT"/>
    <n v="9"/>
    <x v="0"/>
    <s v="CN69252100"/>
    <s v="PÚBLICO"/>
    <s v="ATEL"/>
    <s v="REGIÓN DE LA ARAUCANÍA"/>
  </r>
  <r>
    <n v="692523008"/>
    <x v="759"/>
    <s v="JUAN FERNÁNDEZ"/>
    <n v="5"/>
    <x v="0"/>
    <s v="CN69252300"/>
    <s v="PÚBLICO"/>
    <s v="ATEL"/>
    <s v="REGIÓN DE VALPARAÍSO"/>
  </r>
  <r>
    <n v="692525000"/>
    <x v="760"/>
    <s v="SAN PEDRO DE ATACAMA"/>
    <n v="2"/>
    <x v="0"/>
    <s v="CN69252500"/>
    <s v="PÚBLICO"/>
    <s v="ATEL"/>
    <s v="REGIÓN DE ANTOFAGASTA"/>
  </r>
  <r>
    <n v="692527003"/>
    <x v="761"/>
    <s v="PELLUHUE"/>
    <n v="7"/>
    <x v="0"/>
    <s v="CN69252700"/>
    <s v="PÚBLICO"/>
    <s v="ATEL"/>
    <s v="REGIÓN DE MAULE"/>
  </r>
  <r>
    <n v="692536002"/>
    <x v="762"/>
    <s v="MARÍA ELENA"/>
    <n v="2"/>
    <x v="0"/>
    <s v="CN69253600"/>
    <s v="PÚBLICO"/>
    <s v="ATEL"/>
    <s v="REGIÓN DE ANTOFAGASTA"/>
  </r>
  <r>
    <n v="692538005"/>
    <x v="763"/>
    <s v="LA PINTANA"/>
    <n v="13"/>
    <x v="0"/>
    <s v="CN69253800"/>
    <s v="PÚBLICO"/>
    <s v="ATEL"/>
    <s v="REGIÓN DE METROPOLITANA DE SANTIAGO"/>
  </r>
  <r>
    <n v="692539001"/>
    <x v="764"/>
    <s v="SAN RAMÓN"/>
    <n v="13"/>
    <x v="0"/>
    <s v="CN69253900"/>
    <s v="PÚBLICO"/>
    <s v="ATEL"/>
    <s v="REGIÓN DE METROPOLITANA DE SANTIAGO"/>
  </r>
  <r>
    <n v="692542002"/>
    <x v="765"/>
    <s v="CERRO NAVIA"/>
    <n v="13"/>
    <x v="0"/>
    <s v="CN69254200"/>
    <s v="PÚBLICO"/>
    <s v="ATEL"/>
    <s v="REGIÓN DE METROPOLITANA DE SANTIAGO"/>
  </r>
  <r>
    <n v="692543009"/>
    <x v="766"/>
    <s v="ESTACIÓN CENTRAL"/>
    <n v="13"/>
    <x v="0"/>
    <s v="CN69254300"/>
    <s v="PÚBLICO"/>
    <s v="ATEL"/>
    <s v="REGIÓN DE METROPOLITANA DE SANTIAGO"/>
  </r>
  <r>
    <n v="692548000"/>
    <x v="767"/>
    <s v="RECOLETA"/>
    <n v="13"/>
    <x v="0"/>
    <s v="CN69254800"/>
    <s v="PÚBLICO"/>
    <s v="ATEL"/>
    <s v="REGIÓN DE METROPOLITANA DE SANTIAGO"/>
  </r>
  <r>
    <n v="692549007"/>
    <x v="768"/>
    <s v="PEDRO AGUIRRE CERDA"/>
    <n v="13"/>
    <x v="0"/>
    <s v="CN69254900"/>
    <s v="PÚBLICO"/>
    <s v="ATEL"/>
    <s v="REGIÓN DE METROPOLITANA DE SANTIAGO"/>
  </r>
  <r>
    <n v="692551001"/>
    <x v="769"/>
    <s v="LO ESPEJO"/>
    <n v="13"/>
    <x v="0"/>
    <s v="CN69255100"/>
    <s v="PÚBLICO"/>
    <s v="ATEL"/>
    <s v="REGIÓN DE METROPOLITANA DE SANTIAGO"/>
  </r>
  <r>
    <n v="692552008"/>
    <x v="770"/>
    <s v="LO BARNECHEA"/>
    <n v="13"/>
    <x v="0"/>
    <s v="CN69255200"/>
    <s v="PÚBLICO"/>
    <s v="ATEL"/>
    <s v="REGIÓN DE METROPOLITANA DE SANTIAGO"/>
  </r>
  <r>
    <n v="692553004"/>
    <x v="771"/>
    <s v="EL BOSQUE"/>
    <n v="13"/>
    <x v="0"/>
    <s v="CN69255300"/>
    <s v="PÚBLICO"/>
    <s v="ATEL"/>
    <s v="REGIÓN DE METROPOLITANA DE SANTIAGO"/>
  </r>
  <r>
    <n v="692554000"/>
    <x v="772"/>
    <s v="HUECHURABA"/>
    <n v="13"/>
    <x v="0"/>
    <s v="CN69255400"/>
    <s v="PÚBLICO"/>
    <s v="ATEL"/>
    <s v="REGIÓN DE METROPOLITANA DE SANTIAGO"/>
  </r>
  <r>
    <n v="692555007"/>
    <x v="773"/>
    <s v="INDEPENDENCIA"/>
    <n v="13"/>
    <x v="0"/>
    <s v="CN69255500"/>
    <s v="PÚBLICO"/>
    <s v="ATEL"/>
    <s v="REGIÓN DE METROPOLITANA DE SANTIAGO"/>
  </r>
  <r>
    <n v="692556003"/>
    <x v="774"/>
    <s v="VITACURA"/>
    <n v="13"/>
    <x v="0"/>
    <s v="CN69255600"/>
    <s v="PÚBLICO"/>
    <s v="ATEL"/>
    <s v="REGIÓN DE METROPOLITANA DE SANTIAGO"/>
  </r>
  <r>
    <n v="692569008"/>
    <x v="775"/>
    <s v="CONCEPCIÓN"/>
    <n v="8"/>
    <x v="5"/>
    <s v="CN69256900"/>
    <s v="PÚBLICO"/>
    <s v="SUR1"/>
    <s v="REGIÓN DE BIOBÍO"/>
  </r>
  <r>
    <n v="692599004"/>
    <x v="776"/>
    <s v="LOTA"/>
    <n v="8"/>
    <x v="5"/>
    <s v="CN69259900"/>
    <s v="PÚBLICO"/>
    <s v="SUR1"/>
    <s v="REGIÓN DE BIOBÍO"/>
  </r>
  <r>
    <n v="692604008"/>
    <x v="777"/>
    <s v="QUILLOTA"/>
    <n v="5"/>
    <x v="4"/>
    <s v="CN69260400"/>
    <s v="PÚBLICO"/>
    <s v="NOR1"/>
    <s v="REGIÓN DE VALPARAÍSO"/>
  </r>
  <r>
    <n v="692614003"/>
    <x v="778"/>
    <s v="PADRE HURTADO"/>
    <n v="13"/>
    <x v="0"/>
    <s v="CN69261400"/>
    <s v="PÚBLICO"/>
    <s v="ATEL"/>
    <s v="REGIÓN DE METROPOLITANA DE SANTIAGO"/>
  </r>
  <r>
    <n v="692628004"/>
    <x v="779"/>
    <s v="ANTUCO"/>
    <n v="8"/>
    <x v="0"/>
    <s v="CN69262800"/>
    <s v="PÚBLICO"/>
    <s v="ATEL"/>
    <s v="REGIÓN DE BIOBÍO"/>
  </r>
  <r>
    <s v="69264400K"/>
    <x v="780"/>
    <s v="HUALPÉN"/>
    <n v="8"/>
    <x v="5"/>
    <s v="CN69264400"/>
    <s v="PÚBLICO"/>
    <s v="SUR1"/>
    <s v="REGIÓN DE BIOBÍO"/>
  </r>
  <r>
    <n v="692645006"/>
    <x v="781"/>
    <s v="SAN RAFAEL"/>
    <n v="7"/>
    <x v="0"/>
    <s v="CN69264500"/>
    <s v="PÚBLICO"/>
    <s v="ATEL"/>
    <s v="REGIÓN DE MAULE"/>
  </r>
  <r>
    <n v="692646002"/>
    <x v="782"/>
    <s v="ALTO BIOBÍO"/>
    <n v="8"/>
    <x v="0"/>
    <s v="CN69264600"/>
    <s v="PÚBLICO"/>
    <s v="ATEL"/>
    <s v="REGIÓN DE BIOBÍO"/>
  </r>
  <r>
    <n v="692647009"/>
    <x v="783"/>
    <s v="CHIGUAYANTE"/>
    <n v="8"/>
    <x v="5"/>
    <s v="CN69264700"/>
    <s v="PÚBLICO"/>
    <s v="SUR1"/>
    <s v="REGIÓN DE BIOBÍO"/>
  </r>
  <r>
    <n v="692648005"/>
    <x v="784"/>
    <s v="SAN PEDRO DE LA PAZ"/>
    <n v="8"/>
    <x v="0"/>
    <s v="CN69264800"/>
    <s v="PÚBLICO"/>
    <s v="ATEL"/>
    <s v="REGIÓN DE BIOBÍO"/>
  </r>
  <r>
    <s v="69265000K"/>
    <x v="785"/>
    <s v="CHOLCHOL"/>
    <n v="9"/>
    <x v="0"/>
    <s v="CN69265000"/>
    <s v="PÚBLICO"/>
    <s v="ATEL"/>
    <s v="REGIÓN DE LA ARAUCANÍA"/>
  </r>
  <r>
    <n v="692651006"/>
    <x v="786"/>
    <s v="ALTO HOSPICIO"/>
    <n v="1"/>
    <x v="1"/>
    <s v="CN69265100"/>
    <s v="PÚBLICO"/>
    <s v="SANT2"/>
    <s v="REGIÓN DE TARAPACÁ"/>
  </r>
  <r>
    <n v="692664000"/>
    <x v="787"/>
    <s v="TREGUACO"/>
    <n v="16"/>
    <x v="0"/>
    <s v="CN69266400"/>
    <s v="PÚBLICO"/>
    <s v="ATEL"/>
    <s v="REGIÓN DE ÑUBLE"/>
  </r>
  <r>
    <n v="692665007"/>
    <x v="788"/>
    <s v="CHILLÁN VIEJO"/>
    <n v="16"/>
    <x v="5"/>
    <s v="CN69266500"/>
    <s v="PÚBLICO"/>
    <s v="SUR1"/>
    <s v="REGIÓN DE ÑUBLE"/>
  </r>
  <r>
    <s v="69270200K"/>
    <x v="789"/>
    <s v="CHILLÁN"/>
    <n v="16"/>
    <x v="5"/>
    <s v="CN69270200"/>
    <s v="PÚBLICO"/>
    <s v="SUR1"/>
    <s v="REGIÓN DE ÑUBLE"/>
  </r>
  <r>
    <n v="692875605"/>
    <x v="790"/>
    <s v="SAN FELIPE"/>
    <n v="5"/>
    <x v="0"/>
    <s v="CN69287560"/>
    <s v="PÚBLICO"/>
    <s v="ATEL"/>
    <s v="REGIÓN DE VALPARAÍSO"/>
  </r>
  <r>
    <n v="692875702"/>
    <x v="791"/>
    <s v="LOS ANDES"/>
    <n v="5"/>
    <x v="0"/>
    <s v="CN69287570"/>
    <s v="PÚBLICO"/>
    <s v="ATEL"/>
    <s v="REGIÓN DE VALPARAÍSO"/>
  </r>
  <r>
    <n v="700126005"/>
    <x v="792"/>
    <s v="SANTIAGO"/>
    <n v="13"/>
    <x v="0"/>
    <s v="CN70012600"/>
    <s v="PRIVADO"/>
    <s v="ATEL"/>
    <s v="REGIÓN DE METROPOLITANA DE SANTIAGO"/>
  </r>
  <r>
    <n v="700126013"/>
    <x v="793"/>
    <s v="PUENTE ALTO"/>
    <n v="13"/>
    <x v="0"/>
    <s v="CN70012601"/>
    <s v="PÚBLICO"/>
    <s v="ATEL"/>
    <s v="REGIÓN DE METROPOLITANA DE SANTIAGO"/>
  </r>
  <r>
    <n v="700155803"/>
    <x v="794"/>
    <s v="VIÑA DEL MAR"/>
    <n v="5"/>
    <x v="4"/>
    <s v="CN70015580"/>
    <s v="PRIVADO"/>
    <s v="NOR1"/>
    <s v="REGIÓN DE VALPARAÍSO"/>
  </r>
  <r>
    <n v="700726002"/>
    <x v="795"/>
    <s v="RANCAGUA"/>
    <n v="6"/>
    <x v="0"/>
    <s v="CN70072600"/>
    <s v="PÚBLICO"/>
    <s v="ATEL"/>
    <s v="REGIÓN DE LIBERTADOR GENERAL BERNARDO O'HIGGINS"/>
  </r>
  <r>
    <n v="700836002"/>
    <x v="796"/>
    <s v="EL BOSQUE"/>
    <n v="13"/>
    <x v="0"/>
    <s v="CN70083600"/>
    <s v="PRIVADO"/>
    <s v="ATEL"/>
    <s v="REGIÓN DE METROPOLITANA DE SANTIAGO"/>
  </r>
  <r>
    <n v="702851009"/>
    <x v="797"/>
    <s v="ESTACIÓN CENTRAL"/>
    <n v="13"/>
    <x v="1"/>
    <s v="CN70285100"/>
    <s v="PRIVADO"/>
    <s v="SANT2"/>
    <s v="REGIÓN DE METROPOLITANA DE SANTIAGO"/>
  </r>
  <r>
    <n v="703601006"/>
    <x v="798"/>
    <s v="PROVIDENCIA"/>
    <n v="13"/>
    <x v="0"/>
    <s v="CN70360100"/>
    <s v="PÚBLICO"/>
    <s v="ATEL"/>
    <s v="REGIÓN DE METROPOLITANA DE SANTIAGO"/>
  </r>
  <r>
    <n v="703620000"/>
    <x v="799"/>
    <s v="PROVIDENCIA"/>
    <n v="13"/>
    <x v="0"/>
    <s v="CN70362000"/>
    <s v="PRIVADO"/>
    <s v="ATEL"/>
    <s v="REGIÓN DE METROPOLITANA DE SANTIAGO"/>
  </r>
  <r>
    <n v="703774008"/>
    <x v="800"/>
    <s v="PROVIDENCIA"/>
    <n v="13"/>
    <x v="0"/>
    <s v="CN70377400"/>
    <s v="PRIVADO"/>
    <s v="ATEL"/>
    <s v="REGIÓN DE METROPOLITANA DE SANTIAGO"/>
  </r>
  <r>
    <n v="705749000"/>
    <x v="801"/>
    <s v="SANTIAGO"/>
    <n v="13"/>
    <x v="0"/>
    <s v="CN70574900"/>
    <s v="PÚBLICO"/>
    <s v="ATEL"/>
    <s v="REGIÓN DE METROPOLITANA DE SANTIAGO"/>
  </r>
  <r>
    <n v="707447001"/>
    <x v="802"/>
    <s v="TEMUCO"/>
    <n v="9"/>
    <x v="0"/>
    <s v="CN70744700"/>
    <s v="PÚBLICO"/>
    <s v="ATEL"/>
    <s v="REGIÓN DE LA ARAUCANÍA"/>
  </r>
  <r>
    <n v="707547006"/>
    <x v="803"/>
    <s v="VALPARAÍSO"/>
    <n v="5"/>
    <x v="0"/>
    <s v="CN70754700"/>
    <s v="PÚBLICO"/>
    <s v="ATEL"/>
    <s v="REGIÓN DE VALPARAÍSO"/>
  </r>
  <r>
    <n v="707665009"/>
    <x v="804"/>
    <s v="MELIPEUCO"/>
    <n v="9"/>
    <x v="0"/>
    <s v="CN70766500"/>
    <s v="PÚBLICO"/>
    <s v="ATEL"/>
    <s v="REGIÓN DE LA ARAUCANÍA"/>
  </r>
  <r>
    <s v="70770800K"/>
    <x v="805"/>
    <s v="ARICA"/>
    <n v="15"/>
    <x v="0"/>
    <s v="CN70770800"/>
    <s v="PÚBLICO"/>
    <s v="ATEL"/>
    <s v="REGIÓN DE ARICA Y PARINACOTA"/>
  </r>
  <r>
    <n v="707775009"/>
    <x v="806"/>
    <s v="VICTORIA"/>
    <n v="9"/>
    <x v="0"/>
    <s v="CN70777500"/>
    <s v="PRIVADO"/>
    <s v="ATEL"/>
    <s v="REGIÓN DE LA ARAUCANÍA"/>
  </r>
  <r>
    <n v="707831006"/>
    <x v="807"/>
    <s v="LA SERENA"/>
    <n v="4"/>
    <x v="4"/>
    <s v="CN70783100"/>
    <s v="PÚBLICO"/>
    <s v="NOR1"/>
    <s v="REGIÓN DE COQUIMBO"/>
  </r>
  <r>
    <n v="707918004"/>
    <x v="808"/>
    <s v="ANTOFAGASTA"/>
    <n v="2"/>
    <x v="0"/>
    <s v="CN70791800"/>
    <s v="PÚBLICO"/>
    <s v="ATEL"/>
    <s v="REGIÓN DE ANTOFAGASTA"/>
  </r>
  <r>
    <n v="708352004"/>
    <x v="809"/>
    <s v="PUDAHUEL"/>
    <n v="13"/>
    <x v="0"/>
    <s v="CN70835200"/>
    <s v="PÚBLICO"/>
    <s v="ATEL"/>
    <s v="REGIÓN DE METROPOLITANA DE SANTIAGO"/>
  </r>
  <r>
    <n v="708564001"/>
    <x v="810"/>
    <s v="PUENTE ALTO"/>
    <n v="13"/>
    <x v="0"/>
    <s v="CN70856400"/>
    <s v="PÚBLICO"/>
    <s v="ATEL"/>
    <s v="REGIÓN DE METROPOLITANA DE SANTIAGO"/>
  </r>
  <r>
    <n v="708594008"/>
    <x v="811"/>
    <s v="VALPARAÍSO"/>
    <n v="5"/>
    <x v="4"/>
    <s v="CN70859400"/>
    <s v="PÚBLICO"/>
    <s v="NOR1"/>
    <s v="REGIÓN DE VALPARAÍSO"/>
  </r>
  <r>
    <n v="708723002"/>
    <x v="812"/>
    <s v="VIÑA DEL MAR"/>
    <n v="5"/>
    <x v="0"/>
    <s v="CN70872300"/>
    <s v="PÚBLICO"/>
    <s v="ATEL"/>
    <s v="REGIÓN DE VALPARAÍSO"/>
  </r>
  <r>
    <n v="708781002"/>
    <x v="813"/>
    <s v="RECOLETA"/>
    <n v="13"/>
    <x v="0"/>
    <s v="CN70878100"/>
    <s v="PÚBLICO"/>
    <s v="ATEL"/>
    <s v="REGIÓN DE METROPOLITANA DE SANTIAGO"/>
  </r>
  <r>
    <n v="708789003"/>
    <x v="814"/>
    <s v="QUILPUÉ"/>
    <n v="5"/>
    <x v="4"/>
    <s v="CN70878900"/>
    <s v="PÚBLICO"/>
    <s v="NOR1"/>
    <s v="REGIÓN DE VALPARAÍSO"/>
  </r>
  <r>
    <n v="708803006"/>
    <x v="815"/>
    <s v="PIRQUE"/>
    <n v="13"/>
    <x v="0"/>
    <s v="CN70880300"/>
    <s v="PÚBLICO"/>
    <s v="ATEL"/>
    <s v="REGIÓN DE METROPOLITANA DE SANTIAGO"/>
  </r>
  <r>
    <n v="708821004"/>
    <x v="816"/>
    <s v="MARÍA PINTO"/>
    <n v="13"/>
    <x v="0"/>
    <s v="CN70882100"/>
    <s v="PÚBLICO"/>
    <s v="ATEL"/>
    <s v="REGIÓN DE METROPOLITANA DE SANTIAGO"/>
  </r>
  <r>
    <n v="708855006"/>
    <x v="817"/>
    <s v="TALCA"/>
    <n v="7"/>
    <x v="0"/>
    <s v="CN70885500"/>
    <s v="PÚBLICO"/>
    <s v="ATEL"/>
    <s v="REGIÓN DE MAULE"/>
  </r>
  <r>
    <n v="708921009"/>
    <x v="818"/>
    <s v="LA SERENA"/>
    <n v="4"/>
    <x v="0"/>
    <s v="CN70892100"/>
    <s v="PÚBLICO"/>
    <s v="ATEL"/>
    <s v="REGIÓN DE COQUIMBO"/>
  </r>
  <r>
    <n v="709024000"/>
    <x v="819"/>
    <s v="SAN JOSÉ DE MAIPO"/>
    <n v="13"/>
    <x v="0"/>
    <s v="CN70902400"/>
    <s v="PÚBLICO"/>
    <s v="ATEL"/>
    <s v="REGIÓN DE METROPOLITANA DE SANTIAGO"/>
  </r>
  <r>
    <n v="709057006"/>
    <x v="820"/>
    <s v="RANCAGUA"/>
    <n v="6"/>
    <x v="0"/>
    <s v="CN70905700"/>
    <s v="PRIVADO"/>
    <s v="ATEL"/>
    <s v="REGIÓN DE LIBERTADOR GENERAL BERNARDO O'HIGGINS"/>
  </r>
  <r>
    <n v="709131001"/>
    <x v="821"/>
    <s v="QUINTA NORMAL"/>
    <n v="13"/>
    <x v="0"/>
    <s v="CN70913100"/>
    <s v="PÚBLICO"/>
    <s v="ATEL"/>
    <s v="REGIÓN DE METROPOLITANA DE SANTIAGO"/>
  </r>
  <r>
    <n v="709255002"/>
    <x v="822"/>
    <s v="SAN BERNARDO"/>
    <n v="13"/>
    <x v="0"/>
    <s v="CN70925500"/>
    <s v="PÚBLICO"/>
    <s v="ATEL"/>
    <s v="REGIÓN DE METROPOLITANA DE SANTIAGO"/>
  </r>
  <r>
    <s v="70931100K"/>
    <x v="823"/>
    <s v="RENCA"/>
    <n v="13"/>
    <x v="0"/>
    <s v="CN70931100"/>
    <s v="PÚBLICO"/>
    <s v="ATEL"/>
    <s v="REGIÓN DE METROPOLITANA DE SANTIAGO"/>
  </r>
  <r>
    <n v="709319000"/>
    <x v="824"/>
    <s v="PUNTA ARENAS"/>
    <n v="12"/>
    <x v="0"/>
    <s v="CN70931900"/>
    <s v="PÚBLICO"/>
    <s v="ATEL"/>
    <s v="REGIÓN DE MAGALLANES Y DE LA ANTÁRTICA CHILENA"/>
  </r>
  <r>
    <s v="70932800K"/>
    <x v="825"/>
    <s v="ÑUÑOA"/>
    <n v="13"/>
    <x v="0"/>
    <s v="CN70932800"/>
    <s v="PÚBLICO"/>
    <s v="ATEL"/>
    <s v="REGIÓN DE METROPOLITANA DE SANTIAGO"/>
  </r>
  <r>
    <n v="709337009"/>
    <x v="826"/>
    <s v="LA FLORIDA"/>
    <n v="13"/>
    <x v="0"/>
    <s v="CN70933700"/>
    <s v="PÚBLICO"/>
    <s v="ATEL"/>
    <s v="REGIÓN DE METROPOLITANA DE SANTIAGO"/>
  </r>
  <r>
    <n v="709349007"/>
    <x v="827"/>
    <s v="BUIN"/>
    <n v="13"/>
    <x v="0"/>
    <s v="CN70934900"/>
    <s v="PÚBLICO"/>
    <s v="ATEL"/>
    <s v="REGIÓN DE METROPOLITANA DE SANTIAGO"/>
  </r>
  <r>
    <n v="709372009"/>
    <x v="828"/>
    <s v="ISLA DE MAIPO"/>
    <n v="13"/>
    <x v="0"/>
    <s v="CN70937200"/>
    <s v="PÚBLICO"/>
    <s v="ATEL"/>
    <s v="REGIÓN DE METROPOLITANA DE SANTIAGO"/>
  </r>
  <r>
    <n v="709388002"/>
    <x v="829"/>
    <s v="IQUIQUE"/>
    <n v="1"/>
    <x v="0"/>
    <s v="CN70938800"/>
    <s v="PÚBLICO"/>
    <s v="ATEL"/>
    <s v="REGIÓN DE TARAPACÁ"/>
  </r>
  <r>
    <n v="709542001"/>
    <x v="830"/>
    <s v="LAMPA"/>
    <n v="13"/>
    <x v="0"/>
    <s v="CN70954200"/>
    <s v="PÚBLICO"/>
    <s v="ATEL"/>
    <s v="REGIÓN DE METROPOLITANA DE SANTIAGO"/>
  </r>
  <r>
    <n v="709549006"/>
    <x v="831"/>
    <s v="CALAMA"/>
    <n v="2"/>
    <x v="0"/>
    <s v="CN70954900"/>
    <s v="PÚBLICO"/>
    <s v="ATEL"/>
    <s v="REGIÓN DE ANTOFAGASTA"/>
  </r>
  <r>
    <n v="709625004"/>
    <x v="832"/>
    <s v="SAN MIGUEL"/>
    <n v="13"/>
    <x v="0"/>
    <s v="CN70962500"/>
    <s v="PÚBLICO"/>
    <s v="ATEL"/>
    <s v="REGIÓN DE METROPOLITANA DE SANTIAGO"/>
  </r>
  <r>
    <n v="709836005"/>
    <x v="833"/>
    <s v="VILLA ALEMANA"/>
    <n v="5"/>
    <x v="0"/>
    <s v="CN70983600"/>
    <s v="PÚBLICO"/>
    <s v="ATEL"/>
    <s v="REGIÓN DE VALPARAÍSO"/>
  </r>
  <r>
    <s v="70990700K"/>
    <x v="834"/>
    <s v="SANTIAGO"/>
    <n v="13"/>
    <x v="0"/>
    <s v="CN70990700"/>
    <s v="PRIVADO"/>
    <s v="ATEL"/>
    <s v="REGIÓN DE METROPOLITANA DE SANTIAGO"/>
  </r>
  <r>
    <n v="709932004"/>
    <x v="835"/>
    <s v="CALERA DE TANGO"/>
    <n v="13"/>
    <x v="0"/>
    <s v="CN70993200"/>
    <s v="PÚBLICO"/>
    <s v="ATEL"/>
    <s v="REGIÓN DE METROPOLITANA DE SANTIAGO"/>
  </r>
  <r>
    <n v="710142009"/>
    <x v="836"/>
    <s v="RANCAGUA"/>
    <n v="6"/>
    <x v="0"/>
    <s v="CN71014200"/>
    <s v="PÚBLICO"/>
    <s v="ATEL"/>
    <s v="REGIÓN DE LIBERTADOR GENERAL BERNARDO O'HIGGINS"/>
  </r>
  <r>
    <n v="710163006"/>
    <x v="837"/>
    <s v="PANGUIPULLI"/>
    <n v="14"/>
    <x v="0"/>
    <s v="CN71016300"/>
    <s v="PÚBLICO"/>
    <s v="ATEL"/>
    <s v="REGIÓN DE LOS RÍOS"/>
  </r>
  <r>
    <n v="711026002"/>
    <x v="838"/>
    <s v="ANTOFAGASTA"/>
    <n v="2"/>
    <x v="0"/>
    <s v="CN71102600"/>
    <s v="PÚBLICO"/>
    <s v="ATEL"/>
    <s v="REGIÓN DE ANTOFAGASTA"/>
  </r>
  <r>
    <n v="711272003"/>
    <x v="839"/>
    <s v="QUEILÉN"/>
    <n v="10"/>
    <x v="0"/>
    <s v="CN71127200"/>
    <s v="PÚBLICO"/>
    <s v="ATEL"/>
    <s v="REGIÓN DE LOS LAGOS"/>
  </r>
  <r>
    <n v="711460004"/>
    <x v="840"/>
    <s v="DALCAHUE"/>
    <n v="10"/>
    <x v="0"/>
    <s v="CN71146000"/>
    <s v="PÚBLICO"/>
    <s v="ATEL"/>
    <s v="REGIÓN DE LOS LAGOS"/>
  </r>
  <r>
    <n v="711497005"/>
    <x v="841"/>
    <s v="CASTRO"/>
    <n v="10"/>
    <x v="0"/>
    <s v="CN71149700"/>
    <s v="PÚBLICO"/>
    <s v="ATEL"/>
    <s v="REGIÓN DE LOS LAGOS"/>
  </r>
  <r>
    <n v="711609008"/>
    <x v="842"/>
    <s v="PUQUELDÓN"/>
    <n v="10"/>
    <x v="0"/>
    <s v="CN71160900"/>
    <s v="PÚBLICO"/>
    <s v="ATEL"/>
    <s v="REGIÓN DE LOS LAGOS"/>
  </r>
  <r>
    <n v="711643001"/>
    <x v="843"/>
    <s v="QUINCHAO"/>
    <n v="10"/>
    <x v="0"/>
    <s v="CN71164300"/>
    <s v="PÚBLICO"/>
    <s v="ATEL"/>
    <s v="REGIÓN DE LOS LAGOS"/>
  </r>
  <r>
    <n v="711658009"/>
    <x v="844"/>
    <s v="NATALES"/>
    <n v="12"/>
    <x v="0"/>
    <s v="CN71165800"/>
    <s v="PÚBLICO"/>
    <s v="ATEL"/>
    <s v="REGIÓN DE MAGALLANES Y DE LA ANTÁRTICA CHILENA"/>
  </r>
  <r>
    <n v="711731008"/>
    <x v="845"/>
    <s v="QUELLÓN"/>
    <n v="10"/>
    <x v="0"/>
    <s v="CN71173100"/>
    <s v="PÚBLICO"/>
    <s v="ATEL"/>
    <s v="REGIÓN DE LOS LAGOS"/>
  </r>
  <r>
    <n v="712341009"/>
    <x v="846"/>
    <s v="PEÑALOLÉN"/>
    <n v="13"/>
    <x v="0"/>
    <s v="CN71234100"/>
    <s v="PÚBLICO"/>
    <s v="ATEL"/>
    <s v="REGIÓN DE METROPOLITANA DE SANTIAGO"/>
  </r>
  <r>
    <n v="712652004"/>
    <x v="847"/>
    <s v="LO PRADO"/>
    <n v="13"/>
    <x v="0"/>
    <s v="CN71265200"/>
    <s v="PÚBLICO"/>
    <s v="ATEL"/>
    <s v="REGIÓN DE METROPOLITANA DE SANTIAGO"/>
  </r>
  <r>
    <n v="712815000"/>
    <x v="848"/>
    <s v="CURACO DE VÉLEZ"/>
    <n v="10"/>
    <x v="0"/>
    <s v="CN71281500"/>
    <s v="PÚBLICO"/>
    <s v="ATEL"/>
    <s v="REGIÓN DE LOS LAGOS"/>
  </r>
  <r>
    <n v="712939001"/>
    <x v="849"/>
    <s v="MELIPILLA"/>
    <n v="13"/>
    <x v="0"/>
    <s v="CN71293900"/>
    <s v="PÚBLICO"/>
    <s v="ATEL"/>
    <s v="REGIÓN DE METROPOLITANA DE SANTIAGO"/>
  </r>
  <r>
    <n v="712990007"/>
    <x v="850"/>
    <s v="CHONCHI"/>
    <n v="10"/>
    <x v="0"/>
    <s v="CN71299000"/>
    <s v="PÚBLICO"/>
    <s v="ATEL"/>
    <s v="REGIÓN DE LOS LAGOS"/>
  </r>
  <r>
    <n v="713286001"/>
    <x v="851"/>
    <s v="SAN FERNANDO"/>
    <n v="6"/>
    <x v="0"/>
    <s v="CN71328600"/>
    <s v="PÚBLICO"/>
    <s v="ATEL"/>
    <s v="REGIÓN DE LIBERTADOR GENERAL BERNARDO O'HIGGINS"/>
  </r>
  <r>
    <n v="713699004"/>
    <x v="852"/>
    <s v="MACUL"/>
    <n v="13"/>
    <x v="0"/>
    <s v="CN71369900"/>
    <s v="PÚBLICO"/>
    <s v="ATEL"/>
    <s v="REGIÓN DE METROPOLITANA DE SANTIAGO"/>
  </r>
  <r>
    <n v="713780006"/>
    <x v="853"/>
    <s v="LA REINA"/>
    <n v="13"/>
    <x v="0"/>
    <s v="CN71378000"/>
    <s v="PÚBLICO"/>
    <s v="ATEL"/>
    <s v="REGIÓN DE METROPOLITANA DE SANTIAGO"/>
  </r>
  <r>
    <n v="714207008"/>
    <x v="854"/>
    <s v="ANCUD"/>
    <n v="10"/>
    <x v="0"/>
    <s v="CN71420700"/>
    <s v="PÚBLICO"/>
    <s v="ATEL"/>
    <s v="REGIÓN DE LOS LAGOS"/>
  </r>
  <r>
    <n v="714555006"/>
    <x v="855"/>
    <s v="SAN JOAQUÍN"/>
    <n v="13"/>
    <x v="0"/>
    <s v="CN71455500"/>
    <s v="PÚBLICO"/>
    <s v="ATEL"/>
    <s v="REGIÓN DE METROPOLITANA DE SANTIAGO"/>
  </r>
  <r>
    <n v="714974009"/>
    <x v="856"/>
    <s v="POZO ALMONTE"/>
    <n v="1"/>
    <x v="0"/>
    <s v="CN71497400"/>
    <s v="PÚBLICO"/>
    <s v="ATEL"/>
    <s v="REGIÓN DE TARAPACÁ"/>
  </r>
  <r>
    <s v="71500500K"/>
    <x v="857"/>
    <s v="PROVIDENCIA"/>
    <n v="13"/>
    <x v="0"/>
    <s v="CN71500500"/>
    <s v="PRIVADO"/>
    <s v="ATEL"/>
    <s v="REGIÓN DE METROPOLITANA DE SANTIAGO"/>
  </r>
  <r>
    <n v="715401002"/>
    <x v="858"/>
    <s v="SANTIAGO"/>
    <n v="13"/>
    <x v="0"/>
    <s v="CN71540100"/>
    <s v="PRIVADO"/>
    <s v="ATEL"/>
    <s v="REGIÓN DE METROPOLITANA DE SANTIAGO"/>
  </r>
  <r>
    <n v="716140008"/>
    <x v="859"/>
    <s v="LAS CONDES"/>
    <n v="13"/>
    <x v="3"/>
    <s v="CN71614000"/>
    <s v="PRIVADO"/>
    <s v="SANT1"/>
    <s v="REGIÓN DE METROPOLITANA DE SANTIAGO"/>
  </r>
  <r>
    <n v="716186008"/>
    <x v="860"/>
    <s v="PROVIDENCIA"/>
    <n v="13"/>
    <x v="0"/>
    <s v="CN71618600"/>
    <s v="PRIVADO"/>
    <s v="ATEL"/>
    <s v="REGIÓN DE METROPOLITANA DE SANTIAGO"/>
  </r>
  <r>
    <n v="716333000"/>
    <x v="861"/>
    <s v="TEMUCO"/>
    <n v="9"/>
    <x v="0"/>
    <s v="CN71633300"/>
    <s v="PRIVADO"/>
    <s v="ATEL"/>
    <s v="REGIÓN DE LA ARAUCANÍA"/>
  </r>
  <r>
    <n v="716443000"/>
    <x v="862"/>
    <s v="LO BARNECHEA"/>
    <n v="13"/>
    <x v="0"/>
    <s v="CN71644300"/>
    <s v="PRIVADO"/>
    <s v="ATEL"/>
    <s v="REGIÓN DE METROPOLITANA DE SANTIAGO"/>
  </r>
  <r>
    <n v="719158005"/>
    <x v="863"/>
    <s v="CONCEPCIÓN"/>
    <n v="8"/>
    <x v="0"/>
    <s v="CN71915800"/>
    <s v="PRIVADO"/>
    <s v="ATEL"/>
    <s v="REGIÓN DE BIOBÍO"/>
  </r>
  <r>
    <s v="71918300K"/>
    <x v="864"/>
    <s v="TALCA"/>
    <n v="7"/>
    <x v="0"/>
    <s v="CN71918300"/>
    <s v="PRIVADO"/>
    <s v="ATEL"/>
    <s v="REGIÓN DE MAULE"/>
  </r>
  <r>
    <n v="723684005"/>
    <x v="865"/>
    <s v="CONCEPCIÓN"/>
    <n v="8"/>
    <x v="0"/>
    <s v="CN72368400"/>
    <s v="PÚBLICO"/>
    <s v="ATEL"/>
    <s v="REGIÓN DE BIOBÍO"/>
  </r>
  <r>
    <n v="725295006"/>
    <x v="866"/>
    <s v="PINTO"/>
    <n v="16"/>
    <x v="0"/>
    <s v="CN72529500"/>
    <s v="PÚBLICO"/>
    <s v="ATEL"/>
    <s v="REGIÓN DE ÑUBLE"/>
  </r>
  <r>
    <n v="726321000"/>
    <x v="867"/>
    <s v="PEMUCO"/>
    <n v="16"/>
    <x v="0"/>
    <s v="CN72632100"/>
    <s v="PÚBLICO"/>
    <s v="ATEL"/>
    <s v="REGIÓN DE ÑUBLE"/>
  </r>
  <r>
    <n v="727625003"/>
    <x v="868"/>
    <s v="CONTULMO"/>
    <n v="8"/>
    <x v="0"/>
    <s v="CN72762500"/>
    <s v="PÚBLICO"/>
    <s v="ATEL"/>
    <s v="REGIÓN DE BIOBÍO"/>
  </r>
  <r>
    <n v="735686003"/>
    <x v="869"/>
    <s v="CONCÓN"/>
    <n v="5"/>
    <x v="0"/>
    <s v="CN73568600"/>
    <s v="PÚBLICO"/>
    <s v="ATEL"/>
    <s v="REGIÓN DE VALPARAÍSO"/>
  </r>
  <r>
    <n v="740695002"/>
    <x v="870"/>
    <s v="Providencia"/>
    <n v="13"/>
    <x v="0"/>
    <s v="CN74069500"/>
    <s v="PÚBLICO"/>
    <s v="ATEL"/>
    <s v="REGIÓN DE METROPOLITANA DE SANTIAGO"/>
  </r>
  <r>
    <n v="742696006"/>
    <x v="871"/>
    <s v="SAN PEDRO DE LA PAZ"/>
    <n v="8"/>
    <x v="5"/>
    <s v="CN74269600"/>
    <s v="PÚBLICO"/>
    <s v="SUR1"/>
    <s v="REGIÓN DE BIOBÍO"/>
  </r>
  <r>
    <n v="748622004"/>
    <x v="872"/>
    <s v="TEMUCO"/>
    <n v="9"/>
    <x v="0"/>
    <s v="CN74862200"/>
    <s v="PRIVADO"/>
    <s v="ATEL"/>
    <s v="REGIÓN DE LA ARAUCANÍA"/>
  </r>
  <r>
    <n v="760006165"/>
    <x v="873"/>
    <s v="Rancagua"/>
    <n v="6"/>
    <x v="0"/>
    <s v="CN76000616"/>
    <s v="PRIVADO"/>
    <s v="ATEL"/>
    <s v="REGIÓN DE LIBERTADOR GENERAL BERNARDO O'HIGGINS"/>
  </r>
  <r>
    <n v="760125512"/>
    <x v="874"/>
    <s v="SANTIAGO"/>
    <n v="13"/>
    <x v="0"/>
    <s v="CN76012551"/>
    <s v="PRIVADO"/>
    <s v="ATEL"/>
    <s v="REGIÓN DE METROPOLITANA DE SANTIAGO"/>
  </r>
  <r>
    <n v="760181188"/>
    <x v="875"/>
    <s v="RECOLETA"/>
    <n v="13"/>
    <x v="0"/>
    <s v="CN76018118"/>
    <s v="PRIVADO"/>
    <s v="ATEL"/>
    <s v="REGIÓN DE METROPOLITANA DE SANTIAGO"/>
  </r>
  <r>
    <n v="760189928"/>
    <x v="876"/>
    <s v="HUALPÉN"/>
    <n v="8"/>
    <x v="5"/>
    <s v="CN76018992"/>
    <s v="PRIVADO"/>
    <s v="SUR1"/>
    <s v="REGIÓN DE BIOBÍO"/>
  </r>
  <r>
    <n v="760243876"/>
    <x v="877"/>
    <s v="LAS CONDES"/>
    <n v="13"/>
    <x v="0"/>
    <s v="CN76024387"/>
    <s v="PRIVADO"/>
    <s v="ATEL"/>
    <s v="REGIÓN DE METROPOLITANA DE SANTIAGO"/>
  </r>
  <r>
    <n v="760262536"/>
    <x v="878"/>
    <s v="PROVIDENCIA"/>
    <n v="13"/>
    <x v="0"/>
    <s v="CN76026253"/>
    <s v="PRIVADO"/>
    <s v="ATEL"/>
    <s v="REGIÓN DE METROPOLITANA DE SANTIAGO"/>
  </r>
  <r>
    <n v="760329800"/>
    <x v="879"/>
    <s v="SAN MIGUEL"/>
    <n v="13"/>
    <x v="0"/>
    <s v="CN76032980"/>
    <s v="PRIVADO"/>
    <s v="ATEL"/>
    <s v="REGIÓN DE METROPOLITANA DE SANTIAGO"/>
  </r>
  <r>
    <s v="76037010K"/>
    <x v="880"/>
    <s v="ANTOFAGASTA"/>
    <n v="2"/>
    <x v="0"/>
    <s v="CN76037010"/>
    <s v="PRIVADO"/>
    <s v="ATEL"/>
    <s v="REGIÓN DE ANTOFAGASTA"/>
  </r>
  <r>
    <s v="76037430K"/>
    <x v="881"/>
    <s v="PEÑALOLÉN"/>
    <n v="13"/>
    <x v="0"/>
    <s v="CN76037430"/>
    <s v="PRIVADO"/>
    <s v="ATEL"/>
    <s v="REGIÓN DE METROPOLITANA DE SANTIAGO"/>
  </r>
  <r>
    <n v="760465631"/>
    <x v="882"/>
    <s v="PROVIDENCIA"/>
    <n v="13"/>
    <x v="0"/>
    <s v="CN76046563"/>
    <s v="PRIVADO"/>
    <s v="ATEL"/>
    <s v="REGIÓN DE METROPOLITANA DE SANTIAGO"/>
  </r>
  <r>
    <n v="760477001"/>
    <x v="883"/>
    <s v="SAN JOAQUÍN"/>
    <n v="13"/>
    <x v="0"/>
    <s v="CN76047700"/>
    <s v="PRIVADO"/>
    <s v="ATEL"/>
    <s v="REGIÓN DE METROPOLITANA DE SANTIAGO"/>
  </r>
  <r>
    <n v="760534870"/>
    <x v="884"/>
    <s v="PROVIDENCIA"/>
    <n v="13"/>
    <x v="0"/>
    <s v="CN76053487"/>
    <s v="PRIVADO"/>
    <s v="ATEL"/>
    <s v="REGIÓN DE METROPOLITANA DE SANTIAGO"/>
  </r>
  <r>
    <n v="760542377"/>
    <x v="885"/>
    <s v="LAS CONDES"/>
    <n v="13"/>
    <x v="0"/>
    <s v="CN76054237"/>
    <s v="PÚBLICO"/>
    <s v="ATEL"/>
    <s v="REGIÓN DE METROPOLITANA DE SANTIAGO"/>
  </r>
  <r>
    <s v="76057158K"/>
    <x v="886"/>
    <s v="Concepción"/>
    <n v="8"/>
    <x v="0"/>
    <s v="CN76057158"/>
    <s v="PRIVADO"/>
    <s v="ATEL"/>
    <s v="REGIÓN DE BIOBÍO"/>
  </r>
  <r>
    <n v="760579041"/>
    <x v="887"/>
    <s v="CONCEPCIÓN"/>
    <n v="8"/>
    <x v="5"/>
    <s v="CN76057904"/>
    <s v="PRIVADO"/>
    <s v="SUR1"/>
    <s v="REGIÓN DE BIOBÍO"/>
  </r>
  <r>
    <n v="760649511"/>
    <x v="888"/>
    <s v="LA FLORIDA"/>
    <n v="13"/>
    <x v="0"/>
    <s v="CN76064951"/>
    <s v="PRIVADO"/>
    <s v="ATEL"/>
    <s v="REGIÓN DE METROPOLITANA DE SANTIAGO"/>
  </r>
  <r>
    <n v="760709115"/>
    <x v="889"/>
    <s v="PROVIDENCIA"/>
    <n v="13"/>
    <x v="0"/>
    <s v="CN76070911"/>
    <s v="PRIVADO"/>
    <s v="ATEL"/>
    <s v="REGIÓN DE METROPOLITANA DE SANTIAGO"/>
  </r>
  <r>
    <n v="760738980"/>
    <x v="890"/>
    <s v="LINARES"/>
    <n v="7"/>
    <x v="0"/>
    <s v="CN76073898"/>
    <s v="PRIVADO"/>
    <s v="ATEL"/>
    <s v="REGIÓN DE MAULE"/>
  </r>
  <r>
    <n v="760871168"/>
    <x v="891"/>
    <s v="VALDIVIA"/>
    <n v="14"/>
    <x v="2"/>
    <s v="CN76087116"/>
    <s v="PRIVADO"/>
    <s v="SUR2"/>
    <s v="REGIÓN DE LOS RÍOS"/>
  </r>
  <r>
    <s v="76098454K"/>
    <x v="892"/>
    <s v="VIÑA DEL MAR"/>
    <n v="13"/>
    <x v="0"/>
    <s v="CN76098454"/>
    <s v="PRIVADO"/>
    <s v="ATEL"/>
    <s v="REGIÓN DE METROPOLITANA DE SANTIAGO"/>
  </r>
  <r>
    <n v="761037293"/>
    <x v="893"/>
    <s v="SANTIAGO"/>
    <n v="13"/>
    <x v="0"/>
    <s v="CN76103729"/>
    <s v="PRIVADO"/>
    <s v="ATEL"/>
    <s v="REGIÓN DE METROPOLITANA DE SANTIAGO"/>
  </r>
  <r>
    <n v="761066366"/>
    <x v="894"/>
    <s v="QUILICURA"/>
    <n v="13"/>
    <x v="0"/>
    <s v="CN76106636"/>
    <s v="PRIVADO"/>
    <s v="ATEL"/>
    <s v="REGIÓN DE METROPOLITANA DE SANTIAGO"/>
  </r>
  <r>
    <n v="761102370"/>
    <x v="895"/>
    <s v="SANTIAGO"/>
    <n v="13"/>
    <x v="0"/>
    <s v="CN76110237"/>
    <s v="PRIVADO"/>
    <s v="ATEL"/>
    <s v="REGIÓN DE METROPOLITANA DE SANTIAGO"/>
  </r>
  <r>
    <n v="761150065"/>
    <x v="896"/>
    <s v="LOS ÁNGELES"/>
    <n v="8"/>
    <x v="0"/>
    <s v="CN76115006"/>
    <s v="PRIVADO"/>
    <s v="ATEL"/>
    <s v="REGIÓN DE BIOBÍO"/>
  </r>
  <r>
    <n v="761174851"/>
    <x v="897"/>
    <s v="LAS CONDES"/>
    <n v="13"/>
    <x v="0"/>
    <s v="CN76117485"/>
    <s v="PRIVADO"/>
    <s v="ATEL"/>
    <s v="REGIÓN DE METROPOLITANA DE SANTIAGO"/>
  </r>
  <r>
    <n v="761353470"/>
    <x v="898"/>
    <s v="INDEPENDENCIA"/>
    <n v="13"/>
    <x v="0"/>
    <s v="CN76135347"/>
    <s v="PRIVADO"/>
    <s v="ATEL"/>
    <s v="REGIÓN DE METROPOLITANA DE SANTIAGO"/>
  </r>
  <r>
    <n v="761426168"/>
    <x v="899"/>
    <s v="PEÑALOLÉN"/>
    <n v="13"/>
    <x v="0"/>
    <s v="CN76142616"/>
    <s v="PRIVADO"/>
    <s v="ATEL"/>
    <s v="REGIÓN DE METROPOLITANA DE SANTIAGO"/>
  </r>
  <r>
    <n v="761458922"/>
    <x v="900"/>
    <s v="PROVIDENCIA"/>
    <n v="13"/>
    <x v="0"/>
    <s v="CN76145892"/>
    <s v="PRIVADO"/>
    <s v="ATEL"/>
    <s v="REGIÓN DE METROPOLITANA DE SANTIAGO"/>
  </r>
  <r>
    <n v="761495240"/>
    <x v="901"/>
    <s v="MACUL"/>
    <n v="13"/>
    <x v="0"/>
    <s v="CN76149524"/>
    <s v="PRIVADO"/>
    <s v="ATEL"/>
    <s v="REGIÓN DE METROPOLITANA DE SANTIAGO"/>
  </r>
  <r>
    <n v="761732145"/>
    <x v="902"/>
    <s v="SANTIAGO"/>
    <n v="13"/>
    <x v="0"/>
    <s v="CN76173214"/>
    <s v="PRIVADO"/>
    <s v="ATEL"/>
    <s v="REGIÓN DE METROPOLITANA DE SANTIAGO"/>
  </r>
  <r>
    <n v="761825534"/>
    <x v="903"/>
    <s v="PROVIDENCIA"/>
    <n v="13"/>
    <x v="0"/>
    <s v="CN76182553"/>
    <s v="PRIVADO"/>
    <s v="ATEL"/>
    <s v="REGIÓN DE METROPOLITANA DE SANTIAGO"/>
  </r>
  <r>
    <n v="761843133"/>
    <x v="904"/>
    <s v="PROVIDENCIA"/>
    <n v="13"/>
    <x v="0"/>
    <s v="CN76184313"/>
    <s v="PRIVADO"/>
    <s v="ATEL"/>
    <s v="REGIÓN DE METROPOLITANA DE SANTIAGO"/>
  </r>
  <r>
    <n v="761912631"/>
    <x v="905"/>
    <s v="SAN PEDRO DE LA PAZ"/>
    <n v="8"/>
    <x v="0"/>
    <s v="CN76191263"/>
    <s v="PRIVADO"/>
    <s v="ATEL"/>
    <s v="REGIÓN DE BIOBÍO"/>
  </r>
  <r>
    <n v="761988220"/>
    <x v="906"/>
    <s v="San Joaquín"/>
    <n v="13"/>
    <x v="0"/>
    <s v="CN76198822"/>
    <s v="PRIVADO"/>
    <s v="ATEL"/>
    <s v="REGIÓN DE METROPOLITANA DE SANTIAGO"/>
  </r>
  <r>
    <n v="761991272"/>
    <x v="907"/>
    <s v="PUDAHUEL"/>
    <n v="13"/>
    <x v="0"/>
    <s v="CN76199127"/>
    <s v="PRIVADO"/>
    <s v="ATEL"/>
    <s v="REGIÓN DE METROPOLITANA DE SANTIAGO"/>
  </r>
  <r>
    <n v="762051370"/>
    <x v="908"/>
    <s v="CONCEPCIÓN"/>
    <n v="8"/>
    <x v="0"/>
    <s v="CN76205137"/>
    <s v="PRIVADO"/>
    <s v="ATEL"/>
    <s v="REGIÓN DE BIOBÍO"/>
  </r>
  <r>
    <n v="762051486"/>
    <x v="909"/>
    <s v="QUILICURA"/>
    <n v="13"/>
    <x v="0"/>
    <s v="CN76205148"/>
    <s v="PRIVADO"/>
    <s v="ATEL"/>
    <s v="REGIÓN DE METROPOLITANA DE SANTIAGO"/>
  </r>
  <r>
    <n v="762082179"/>
    <x v="910"/>
    <s v="TALAGANTE"/>
    <n v="13"/>
    <x v="0"/>
    <s v="CN76208217"/>
    <s v="PRIVADO"/>
    <s v="ATEL"/>
    <s v="REGIÓN DE METROPOLITANA DE SANTIAGO"/>
  </r>
  <r>
    <n v="762090155"/>
    <x v="911"/>
    <s v="CHILLÁN"/>
    <n v="16"/>
    <x v="0"/>
    <s v="CN76209015"/>
    <s v="PRIVADO"/>
    <s v="ATEL"/>
    <s v="REGIÓN DE ÑUBLE"/>
  </r>
  <r>
    <n v="762098369"/>
    <x v="912"/>
    <s v="LAS CONDES"/>
    <n v="13"/>
    <x v="0"/>
    <s v="CN76209836"/>
    <s v="PRIVADO"/>
    <s v="ATEL"/>
    <s v="REGIÓN DE METROPOLITANA DE SANTIAGO"/>
  </r>
  <r>
    <n v="762152606"/>
    <x v="913"/>
    <s v="RECOLETA"/>
    <n v="13"/>
    <x v="0"/>
    <s v="CN76215260"/>
    <s v="PRIVADO"/>
    <s v="ATEL"/>
    <s v="REGIÓN DE METROPOLITANA DE SANTIAGO"/>
  </r>
  <r>
    <n v="762174413"/>
    <x v="914"/>
    <s v="MAIPÚ"/>
    <n v="13"/>
    <x v="0"/>
    <s v="CN76217441"/>
    <s v="PRIVADO"/>
    <s v="ATEL"/>
    <s v="REGIÓN DE METROPOLITANA DE SANTIAGO"/>
  </r>
  <r>
    <n v="762177811"/>
    <x v="915"/>
    <s v="PROVIDENCIA"/>
    <n v="13"/>
    <x v="0"/>
    <s v="CN76217781"/>
    <s v="PRIVADO"/>
    <s v="ATEL"/>
    <s v="REGIÓN DE METROPOLITANA DE SANTIAGO"/>
  </r>
  <r>
    <n v="762187000"/>
    <x v="916"/>
    <s v="SANTIAGO"/>
    <n v="13"/>
    <x v="0"/>
    <s v="CN76218700"/>
    <s v="PRIVADO"/>
    <s v="ATEL"/>
    <s v="REGIÓN DE METROPOLITANA DE SANTIAGO"/>
  </r>
  <r>
    <n v="762232782"/>
    <x v="917"/>
    <s v="CONCEPCIÓN"/>
    <n v="8"/>
    <x v="0"/>
    <s v="CN76223278"/>
    <s v="PRIVADO"/>
    <s v="ATEL"/>
    <s v="REGIÓN DE BIOBÍO"/>
  </r>
  <r>
    <n v="762255294"/>
    <x v="918"/>
    <s v="CERRILLOS"/>
    <n v="13"/>
    <x v="0"/>
    <s v="CN76225529"/>
    <s v="PRIVADO"/>
    <s v="ATEL"/>
    <s v="REGIÓN DE METROPOLITANA DE SANTIAGO"/>
  </r>
  <r>
    <n v="762421925"/>
    <x v="919"/>
    <s v="LAS CONDES"/>
    <n v="13"/>
    <x v="0"/>
    <s v="CN76242192"/>
    <s v="PRIVADO"/>
    <s v="ATEL"/>
    <s v="REGIÓN DE METROPOLITANA DE SANTIAGO"/>
  </r>
  <r>
    <n v="762427745"/>
    <x v="127"/>
    <s v="LA FLORIDA"/>
    <n v="13"/>
    <x v="1"/>
    <s v="CN76242774"/>
    <s v="PRIVADO"/>
    <s v="SANT2"/>
    <s v="REGIÓN DE METROPOLITANA DE SANTIAGO"/>
  </r>
  <r>
    <n v="762522500"/>
    <x v="920"/>
    <s v="SANTIAGO"/>
    <n v="13"/>
    <x v="0"/>
    <s v="CN76252250"/>
    <s v="PRIVADO"/>
    <s v="ATEL"/>
    <s v="REGIÓN DE METROPOLITANA DE SANTIAGO"/>
  </r>
  <r>
    <n v="762561387"/>
    <x v="921"/>
    <s v="CALERA DE TANGO"/>
    <n v="13"/>
    <x v="0"/>
    <s v="CN76256138"/>
    <s v="PRIVADO"/>
    <s v="ATEL"/>
    <s v="REGIÓN DE METROPOLITANA DE SANTIAGO"/>
  </r>
  <r>
    <n v="762569094"/>
    <x v="922"/>
    <s v="ESTACIÓN CENTRAL"/>
    <n v="13"/>
    <x v="0"/>
    <s v="CN76256909"/>
    <s v="PRIVADO"/>
    <s v="ATEL"/>
    <s v="REGIÓN DE METROPOLITANA DE SANTIAGO"/>
  </r>
  <r>
    <n v="762666510"/>
    <x v="923"/>
    <s v="ANTOFAGASTA"/>
    <n v="2"/>
    <x v="0"/>
    <s v="CN76266651"/>
    <s v="PRIVADO"/>
    <s v="ATEL"/>
    <s v="REGIÓN DE ANTOFAGASTA"/>
  </r>
  <r>
    <n v="762787458"/>
    <x v="924"/>
    <s v="MACUL"/>
    <n v="13"/>
    <x v="0"/>
    <s v="CN76278745"/>
    <s v="PRIVADO"/>
    <s v="ATEL"/>
    <s v="REGIÓN DE METROPOLITANA DE SANTIAGO"/>
  </r>
  <r>
    <n v="762886111"/>
    <x v="925"/>
    <s v="LAS CONDES"/>
    <n v="13"/>
    <x v="0"/>
    <s v="CN76288611"/>
    <s v="PRIVADO"/>
    <s v="ATEL"/>
    <s v="REGIÓN DE METROPOLITANA DE SANTIAGO"/>
  </r>
  <r>
    <n v="762887231"/>
    <x v="926"/>
    <s v="ANGOL"/>
    <n v="9"/>
    <x v="0"/>
    <s v="CN76288723"/>
    <s v="PRIVADO"/>
    <s v="ATEL"/>
    <s v="REGIÓN DE LA ARAUCANÍA"/>
  </r>
  <r>
    <n v="762996316"/>
    <x v="927"/>
    <s v="CASTRO"/>
    <n v="10"/>
    <x v="0"/>
    <s v="CN76299631"/>
    <s v="PRIVADO"/>
    <s v="ATEL"/>
    <s v="REGIÓN DE LOS LAGOS"/>
  </r>
  <r>
    <n v="763023885"/>
    <x v="928"/>
    <s v="CONCHALÍ"/>
    <n v="13"/>
    <x v="0"/>
    <s v="CN76302388"/>
    <s v="PRIVADO"/>
    <s v="ATEL"/>
    <s v="REGIÓN DE METROPOLITANA DE SANTIAGO"/>
  </r>
  <r>
    <n v="763072797"/>
    <x v="929"/>
    <s v="TALCAHUANO"/>
    <n v="8"/>
    <x v="0"/>
    <s v="CN76307279"/>
    <s v="PRIVADO"/>
    <s v="ATEL"/>
    <s v="REGIÓN DE BIOBÍO"/>
  </r>
  <r>
    <n v="763244970"/>
    <x v="930"/>
    <s v="VITACURA"/>
    <n v="13"/>
    <x v="0"/>
    <s v="CN76324497"/>
    <s v="PRIVADO"/>
    <s v="ATEL"/>
    <s v="REGIÓN DE METROPOLITANA DE SANTIAGO"/>
  </r>
  <r>
    <s v="76330700K"/>
    <x v="931"/>
    <s v="PROVIDENCIA"/>
    <n v="13"/>
    <x v="0"/>
    <s v="CN76330700"/>
    <s v="PRIVADO"/>
    <s v="ATEL"/>
    <s v="REGIÓN DE METROPOLITANA DE SANTIAGO"/>
  </r>
  <r>
    <n v="763360393"/>
    <x v="932"/>
    <s v="QUILICURA"/>
    <n v="13"/>
    <x v="3"/>
    <s v="CN76336039"/>
    <s v="PRIVADO"/>
    <s v="SANT1"/>
    <s v="REGIÓN DE METROPOLITANA DE SANTIAGO"/>
  </r>
  <r>
    <n v="763370003"/>
    <x v="933"/>
    <s v="COLINA"/>
    <n v="13"/>
    <x v="0"/>
    <s v="CN76337000"/>
    <s v="PRIVADO"/>
    <s v="ATEL"/>
    <s v="REGIÓN DE METROPOLITANA DE SANTIAGO"/>
  </r>
  <r>
    <n v="763456226"/>
    <x v="934"/>
    <s v="OSORNO"/>
    <n v="10"/>
    <x v="0"/>
    <s v="CN76345622"/>
    <s v="PRIVADO"/>
    <s v="ATEL"/>
    <s v="REGIÓN DE LOS LAGOS"/>
  </r>
  <r>
    <n v="763489477"/>
    <x v="935"/>
    <s v="CONCEPCIÓN"/>
    <n v="8"/>
    <x v="0"/>
    <s v="CN76348947"/>
    <s v="PRIVADO"/>
    <s v="ATEL"/>
    <s v="REGIÓN DE BIOBÍO"/>
  </r>
  <r>
    <n v="763632059"/>
    <x v="936"/>
    <s v="INDEPENDENCIA"/>
    <n v="13"/>
    <x v="0"/>
    <s v="CN76363205"/>
    <s v="PRIVADO"/>
    <s v="ATEL"/>
    <s v="REGIÓN DE METROPOLITANA DE SANTIAGO"/>
  </r>
  <r>
    <s v="76367603K"/>
    <x v="937"/>
    <s v="VITACURA"/>
    <n v="13"/>
    <x v="0"/>
    <s v="CN76367603"/>
    <s v="PRIVADO"/>
    <s v="ATEL"/>
    <s v="REGIÓN DE METROPOLITANA DE SANTIAGO"/>
  </r>
  <r>
    <n v="763686035"/>
    <x v="938"/>
    <s v="PROVIDENCIA"/>
    <n v="13"/>
    <x v="0"/>
    <s v="CN76368603"/>
    <s v="PRIVADO"/>
    <s v="ATEL"/>
    <s v="REGIÓN DE METROPOLITANA DE SANTIAGO"/>
  </r>
  <r>
    <n v="763713024"/>
    <x v="939"/>
    <s v="MAIPÚ"/>
    <n v="13"/>
    <x v="0"/>
    <s v="CN76371302"/>
    <s v="PRIVADO"/>
    <s v="ATEL"/>
    <s v="REGIÓN DE METROPOLITANA DE SANTIAGO"/>
  </r>
  <r>
    <n v="763893839"/>
    <x v="940"/>
    <s v="CERRILLOS"/>
    <n v="13"/>
    <x v="0"/>
    <s v="CN76389383"/>
    <s v="PRIVADO"/>
    <s v="ATEL"/>
    <s v="REGIÓN DE METROPOLITANA DE SANTIAGO"/>
  </r>
  <r>
    <n v="763991776"/>
    <x v="941"/>
    <s v="PUERTO MONTT"/>
    <n v="10"/>
    <x v="0"/>
    <s v="CN76399177"/>
    <s v="PRIVADO"/>
    <s v="ATEL"/>
    <s v="REGIÓN DE LOS LAGOS"/>
  </r>
  <r>
    <n v="764003837"/>
    <x v="942"/>
    <s v="CONCEPCIÓN"/>
    <n v="8"/>
    <x v="0"/>
    <s v="CN76400383"/>
    <s v="PRIVADO"/>
    <s v="ATEL"/>
    <s v="REGIÓN DE BIOBÍO"/>
  </r>
  <r>
    <n v="764074270"/>
    <x v="943"/>
    <s v="PROVIDENCIA"/>
    <n v="13"/>
    <x v="0"/>
    <s v="CN76407427"/>
    <s v="PRIVADO"/>
    <s v="ATEL"/>
    <s v="REGIÓN DE METROPOLITANA DE SANTIAGO"/>
  </r>
  <r>
    <n v="764164660"/>
    <x v="944"/>
    <s v="COLINA"/>
    <n v="13"/>
    <x v="0"/>
    <s v="CN76416466"/>
    <s v="PRIVADO"/>
    <s v="ATEL"/>
    <s v="REGIÓN DE METROPOLITANA DE SANTIAGO"/>
  </r>
  <r>
    <n v="764254597"/>
    <x v="945"/>
    <s v="PEDRO AGUIRRE CERDA"/>
    <n v="13"/>
    <x v="0"/>
    <s v="CN76425459"/>
    <s v="PRIVADO"/>
    <s v="ATEL"/>
    <s v="REGIÓN DE METROPOLITANA DE SANTIAGO"/>
  </r>
  <r>
    <n v="764259122"/>
    <x v="946"/>
    <s v="LOS ÁNGELES"/>
    <n v="8"/>
    <x v="0"/>
    <s v="CN76425912"/>
    <s v="PRIVADO"/>
    <s v="ATEL"/>
    <s v="REGIÓN DE BIOBÍO"/>
  </r>
  <r>
    <n v="764447409"/>
    <x v="947"/>
    <s v="PUERTO MONTT"/>
    <n v="10"/>
    <x v="2"/>
    <s v="CN76444740"/>
    <s v="PRIVADO"/>
    <s v="SUR2"/>
    <s v="REGIÓN DE LOS LAGOS"/>
  </r>
  <r>
    <n v="764497848"/>
    <x v="948"/>
    <s v="LINARES"/>
    <n v="7"/>
    <x v="0"/>
    <s v="CN76449784"/>
    <s v="PRIVADO"/>
    <s v="ATEL"/>
    <s v="REGIÓN DE MAULE"/>
  </r>
  <r>
    <n v="764520084"/>
    <x v="949"/>
    <s v="PUDAHUEL"/>
    <n v="13"/>
    <x v="0"/>
    <s v="CN76452008"/>
    <s v="PRIVADO"/>
    <s v="ATEL"/>
    <s v="REGIÓN DE METROPOLITANA DE SANTIAGO"/>
  </r>
  <r>
    <n v="764523776"/>
    <x v="950"/>
    <s v="CONCEPCIÓN"/>
    <n v="8"/>
    <x v="0"/>
    <s v="CN76452377"/>
    <s v="PRIVADO"/>
    <s v="ATEL"/>
    <s v="REGIÓN DE BIOBÍO"/>
  </r>
  <r>
    <n v="764534581"/>
    <x v="951"/>
    <s v="LAS CONDES"/>
    <n v="13"/>
    <x v="0"/>
    <s v="CN76453458"/>
    <s v="PRIVADO"/>
    <s v="ATEL"/>
    <s v="REGIÓN DE METROPOLITANA DE SANTIAGO"/>
  </r>
  <r>
    <n v="764605608"/>
    <x v="952"/>
    <s v="CERRILLOS"/>
    <n v="13"/>
    <x v="0"/>
    <s v="CN76460560"/>
    <s v="PRIVADO"/>
    <s v="ATEL"/>
    <s v="REGIÓN DE METROPOLITANA DE SANTIAGO"/>
  </r>
  <r>
    <n v="764614062"/>
    <x v="953"/>
    <s v="CALAMA"/>
    <n v="2"/>
    <x v="0"/>
    <s v="CN76461406"/>
    <s v="PRIVADO"/>
    <s v="ATEL"/>
    <s v="REGIÓN DE ANTOFAGASTA"/>
  </r>
  <r>
    <n v="764715128"/>
    <x v="954"/>
    <s v="TEMUCO"/>
    <n v="9"/>
    <x v="0"/>
    <s v="CN76471512"/>
    <s v="PRIVADO"/>
    <s v="ATEL"/>
    <s v="REGIÓN DE LA ARAUCANÍA"/>
  </r>
  <r>
    <n v="764717384"/>
    <x v="955"/>
    <s v="CONCEPCIÓN"/>
    <n v="8"/>
    <x v="0"/>
    <s v="CN76471738"/>
    <s v="PRIVADO"/>
    <s v="ATEL"/>
    <s v="REGIÓN DE BIOBÍO"/>
  </r>
  <r>
    <n v="764755081"/>
    <x v="956"/>
    <s v="LO BARNECHEA"/>
    <n v="13"/>
    <x v="0"/>
    <s v="CN76475508"/>
    <s v="PRIVADO"/>
    <s v="ATEL"/>
    <s v="REGIÓN DE METROPOLITANA DE SANTIAGO"/>
  </r>
  <r>
    <n v="764760271"/>
    <x v="957"/>
    <s v="CAUQUENES"/>
    <n v="7"/>
    <x v="0"/>
    <s v="CN76476027"/>
    <s v="PRIVADO"/>
    <s v="ATEL"/>
    <s v="REGIÓN DE MAULE"/>
  </r>
  <r>
    <n v="764793692"/>
    <x v="958"/>
    <s v="PROVIDENCIA"/>
    <n v="13"/>
    <x v="0"/>
    <s v="CN76479369"/>
    <s v="PRIVADO"/>
    <s v="ATEL"/>
    <s v="REGIÓN DE METROPOLITANA DE SANTIAGO"/>
  </r>
  <r>
    <n v="764797507"/>
    <x v="959"/>
    <s v="ÑUÑOA"/>
    <n v="13"/>
    <x v="0"/>
    <s v="CN76479750"/>
    <s v="PRIVADO"/>
    <s v="ATEL"/>
    <s v="REGIÓN DE METROPOLITANA DE SANTIAGO"/>
  </r>
  <r>
    <s v="76481620K"/>
    <x v="960"/>
    <s v="PROVIDENCIA"/>
    <n v="13"/>
    <x v="0"/>
    <s v="CN76481620"/>
    <s v="PRIVADO"/>
    <s v="ATEL"/>
    <s v="REGIÓN DE METROPOLITANA DE SANTIAGO"/>
  </r>
  <r>
    <n v="764831675"/>
    <x v="961"/>
    <s v="QUILPUÉ"/>
    <n v="5"/>
    <x v="0"/>
    <s v="CN76483167"/>
    <s v="PRIVADO"/>
    <s v="ATEL"/>
    <s v="REGIÓN DE VALPARAÍSO"/>
  </r>
  <r>
    <n v="764919629"/>
    <x v="962"/>
    <s v="MAIPÚ"/>
    <n v="13"/>
    <x v="0"/>
    <s v="CN76491962"/>
    <s v="PRIVADO"/>
    <s v="ATEL"/>
    <s v="REGIÓN DE METROPOLITANA DE SANTIAGO"/>
  </r>
  <r>
    <n v="764954165"/>
    <x v="963"/>
    <s v="PROVIDENCIA"/>
    <n v="13"/>
    <x v="0"/>
    <s v="CN76495416"/>
    <s v="PRIVADO"/>
    <s v="ATEL"/>
    <s v="REGIÓN DE METROPOLITANA DE SANTIAGO"/>
  </r>
  <r>
    <n v="765012791"/>
    <x v="964"/>
    <s v="ISLA DE MAIPO"/>
    <n v="13"/>
    <x v="0"/>
    <s v="CN76501279"/>
    <s v="PRIVADO"/>
    <s v="ATEL"/>
    <s v="REGIÓN DE METROPOLITANA DE SANTIAGO"/>
  </r>
  <r>
    <s v="76512686K"/>
    <x v="965"/>
    <s v="ÑUÑOA"/>
    <n v="13"/>
    <x v="0"/>
    <s v="CN76512686"/>
    <s v="PRIVADO"/>
    <s v="ATEL"/>
    <s v="REGIÓN DE METROPOLITANA DE SANTIAGO"/>
  </r>
  <r>
    <n v="765149134"/>
    <x v="966"/>
    <s v="MACUL"/>
    <n v="13"/>
    <x v="0"/>
    <s v="CN76514913"/>
    <s v="PRIVADO"/>
    <s v="ATEL"/>
    <s v="REGIÓN DE METROPOLITANA DE SANTIAGO"/>
  </r>
  <r>
    <n v="765150701"/>
    <x v="967"/>
    <s v="CHILLÁN"/>
    <n v="16"/>
    <x v="5"/>
    <s v="CN76515070"/>
    <s v="PRIVADO"/>
    <s v="SUR1"/>
    <s v="REGIÓN DE ÑUBLE"/>
  </r>
  <r>
    <n v="765184304"/>
    <x v="968"/>
    <s v="PUENTE ALTO"/>
    <n v="13"/>
    <x v="0"/>
    <s v="CN76518430"/>
    <s v="PRIVADO"/>
    <s v="ATEL"/>
    <s v="REGIÓN DE METROPOLITANA DE SANTIAGO"/>
  </r>
  <r>
    <n v="765208491"/>
    <x v="969"/>
    <s v="PROVIDENCIA"/>
    <n v="13"/>
    <x v="0"/>
    <s v="CN76520849"/>
    <s v="PRIVADO"/>
    <s v="ATEL"/>
    <s v="REGIÓN DE METROPOLITANA DE SANTIAGO"/>
  </r>
  <r>
    <n v="765255600"/>
    <x v="970"/>
    <s v="VITACURA"/>
    <n v="13"/>
    <x v="0"/>
    <s v="CN76525560"/>
    <s v="PRIVADO"/>
    <s v="ATEL"/>
    <s v="REGIÓN DE METROPOLITANA DE SANTIAGO"/>
  </r>
  <r>
    <n v="765327229"/>
    <x v="971"/>
    <s v="PUENTE ALTO"/>
    <n v="13"/>
    <x v="0"/>
    <s v="CN76532722"/>
    <s v="PRIVADO"/>
    <s v="ATEL"/>
    <s v="REGIÓN DE METROPOLITANA DE SANTIAGO"/>
  </r>
  <r>
    <n v="765444527"/>
    <x v="972"/>
    <s v="RENCA"/>
    <n v="13"/>
    <x v="0"/>
    <s v="CN76544452"/>
    <s v="PRIVADO"/>
    <s v="ATEL"/>
    <s v="REGIÓN DE METROPOLITANA DE SANTIAGO"/>
  </r>
  <r>
    <n v="765464307"/>
    <x v="973"/>
    <s v="LAS CONDES"/>
    <n v="13"/>
    <x v="0"/>
    <s v="CN76546430"/>
    <s v="PRIVADO"/>
    <s v="ATEL"/>
    <s v="REGIÓN DE METROPOLITANA DE SANTIAGO"/>
  </r>
  <r>
    <n v="765478049"/>
    <x v="974"/>
    <s v="VILLA ALEMANA"/>
    <n v="5"/>
    <x v="0"/>
    <s v="CN76547804"/>
    <s v="PRIVADO"/>
    <s v="ATEL"/>
    <s v="REGIÓN DE VALPARAÍSO"/>
  </r>
  <r>
    <n v="765501296"/>
    <x v="975"/>
    <s v="ÑUÑOA"/>
    <n v="13"/>
    <x v="0"/>
    <s v="CN76550129"/>
    <s v="PRIVADO"/>
    <s v="ATEL"/>
    <s v="REGIÓN DE METROPOLITANA DE SANTIAGO"/>
  </r>
  <r>
    <s v="76555831K"/>
    <x v="976"/>
    <s v="VIÑA DEL MAR"/>
    <n v="5"/>
    <x v="0"/>
    <s v="CN76555831"/>
    <s v="PRIVADO"/>
    <s v="ATEL"/>
    <s v="REGIÓN DE VALPARAÍSO"/>
  </r>
  <r>
    <n v="765558700"/>
    <x v="977"/>
    <s v="VALDIVIA"/>
    <n v="14"/>
    <x v="2"/>
    <s v="CN76555870"/>
    <s v="PRIVADO"/>
    <s v="SUR2"/>
    <s v="REGIÓN DE LOS RÍOS"/>
  </r>
  <r>
    <n v="765626188"/>
    <x v="978"/>
    <s v="ANTOFAGASTA"/>
    <n v="2"/>
    <x v="0"/>
    <s v="CN76562618"/>
    <s v="PRIVADO"/>
    <s v="ATEL"/>
    <s v="REGIÓN DE ANTOFAGASTA"/>
  </r>
  <r>
    <n v="765902134"/>
    <x v="979"/>
    <s v="LAS CONDES"/>
    <n v="13"/>
    <x v="0"/>
    <s v="CN76590213"/>
    <s v="PRIVADO"/>
    <s v="ATEL"/>
    <s v="REGIÓN DE METROPOLITANA DE SANTIAGO"/>
  </r>
  <r>
    <n v="765944619"/>
    <x v="980"/>
    <s v="VITACURA"/>
    <n v="13"/>
    <x v="0"/>
    <s v="CN76594461"/>
    <s v="PRIVADO"/>
    <s v="ATEL"/>
    <s v="REGIÓN DE METROPOLITANA DE SANTIAGO"/>
  </r>
  <r>
    <n v="765946247"/>
    <x v="981"/>
    <s v="PROVIDENCIA"/>
    <n v="13"/>
    <x v="0"/>
    <s v="CN76594624"/>
    <s v="PRIVADO"/>
    <s v="ATEL"/>
    <s v="REGIÓN DE METROPOLITANA DE SANTIAGO"/>
  </r>
  <r>
    <n v="766025838"/>
    <x v="982"/>
    <s v="VALDIVIA"/>
    <n v="14"/>
    <x v="0"/>
    <s v="CN76602583"/>
    <s v="PRIVADO"/>
    <s v="ATEL"/>
    <s v="REGIÓN DE LOS RÍOS"/>
  </r>
  <r>
    <n v="766208177"/>
    <x v="983"/>
    <s v="VALDIVIA"/>
    <n v="14"/>
    <x v="0"/>
    <s v="CN76620817"/>
    <s v="PRIVADO"/>
    <s v="ATEL"/>
    <s v="REGIÓN DE LOS RÍOS"/>
  </r>
  <r>
    <n v="766402496"/>
    <x v="984"/>
    <s v="RECOLETA"/>
    <n v="13"/>
    <x v="0"/>
    <s v="CN76640249"/>
    <s v="PRIVADO"/>
    <s v="ATEL"/>
    <s v="REGIÓN DE METROPOLITANA DE SANTIAGO"/>
  </r>
  <r>
    <n v="766425852"/>
    <x v="985"/>
    <s v="MAIPÚ"/>
    <n v="13"/>
    <x v="0"/>
    <s v="CN76642585"/>
    <s v="PRIVADO"/>
    <s v="ATEL"/>
    <s v="REGIÓN DE METROPOLITANA DE SANTIAGO"/>
  </r>
  <r>
    <n v="766434436"/>
    <x v="986"/>
    <s v="CONCEPCIÓN"/>
    <n v="8"/>
    <x v="0"/>
    <s v="CN76643443"/>
    <s v="PRIVADO"/>
    <s v="ATEL"/>
    <s v="REGIÓN DE BIOBÍO"/>
  </r>
  <r>
    <n v="766456863"/>
    <x v="987"/>
    <s v="Peñaflor"/>
    <n v="13"/>
    <x v="0"/>
    <s v="CN76645686"/>
    <s v="PRIVADO"/>
    <s v="ATEL"/>
    <s v="REGIÓN DE METROPOLITANA DE SANTIAGO"/>
  </r>
  <r>
    <n v="766499104"/>
    <x v="988"/>
    <s v="CHILLÁN"/>
    <n v="16"/>
    <x v="0"/>
    <s v="CN76649910"/>
    <s v="PRIVADO"/>
    <s v="ATEL"/>
    <s v="REGIÓN DE ÑUBLE"/>
  </r>
  <r>
    <n v="766658113"/>
    <x v="989"/>
    <s v="PROVIDENCIA"/>
    <n v="13"/>
    <x v="0"/>
    <s v="CN76665811"/>
    <s v="PRIVADO"/>
    <s v="ATEL"/>
    <s v="REGIÓN DE METROPOLITANA DE SANTIAGO"/>
  </r>
  <r>
    <n v="766666744"/>
    <x v="990"/>
    <s v="PROVIDENCIA"/>
    <n v="13"/>
    <x v="0"/>
    <s v="CN76666674"/>
    <s v="PRIVADO"/>
    <s v="ATEL"/>
    <s v="REGIÓN DE METROPOLITANA DE SANTIAGO"/>
  </r>
  <r>
    <n v="766844154"/>
    <x v="991"/>
    <s v="PROVIDENCIA"/>
    <n v="13"/>
    <x v="0"/>
    <s v="CN76684415"/>
    <s v="PRIVADO"/>
    <s v="ATEL"/>
    <s v="REGIÓN DE METROPOLITANA DE SANTIAGO"/>
  </r>
  <r>
    <s v="76684927K"/>
    <x v="992"/>
    <s v="TEMUCO"/>
    <n v="9"/>
    <x v="0"/>
    <s v="CN76684927"/>
    <s v="PRIVADO"/>
    <s v="ATEL"/>
    <s v="REGIÓN DE LA ARAUCANÍA"/>
  </r>
  <r>
    <n v="766858872"/>
    <x v="993"/>
    <s v="SANTIAGO"/>
    <n v="13"/>
    <x v="0"/>
    <s v="CN76685887"/>
    <s v="PRIVADO"/>
    <s v="ATEL"/>
    <s v="REGIÓN DE METROPOLITANA DE SANTIAGO"/>
  </r>
  <r>
    <n v="766862357"/>
    <x v="994"/>
    <s v="PROVIDENCIA"/>
    <n v="13"/>
    <x v="0"/>
    <s v="CN76686235"/>
    <s v="PRIVADO"/>
    <s v="ATEL"/>
    <s v="REGIÓN DE METROPOLITANA DE SANTIAGO"/>
  </r>
  <r>
    <n v="766878997"/>
    <x v="995"/>
    <s v="QUILPUÉ"/>
    <n v="5"/>
    <x v="0"/>
    <s v="CN76687899"/>
    <s v="PRIVADO"/>
    <s v="ATEL"/>
    <s v="REGIÓN DE VALPARAÍSO"/>
  </r>
  <r>
    <n v="766951309"/>
    <x v="996"/>
    <s v="RANCAGUA"/>
    <n v="6"/>
    <x v="0"/>
    <s v="CN76695130"/>
    <s v="PRIVADO"/>
    <s v="ATEL"/>
    <s v="REGIÓN DE LIBERTADOR GENERAL BERNARDO O'HIGGINS"/>
  </r>
  <r>
    <n v="767012691"/>
    <x v="997"/>
    <s v="PUDAHUEL"/>
    <n v="13"/>
    <x v="0"/>
    <s v="CN76701269"/>
    <s v="PRIVADO"/>
    <s v="ATEL"/>
    <s v="REGIÓN DE METROPOLITANA DE SANTIAGO"/>
  </r>
  <r>
    <n v="767059825"/>
    <x v="998"/>
    <s v="QUINTA NORMAL"/>
    <n v="13"/>
    <x v="0"/>
    <s v="CN76705982"/>
    <s v="PRIVADO"/>
    <s v="ATEL"/>
    <s v="REGIÓN DE METROPOLITANA DE SANTIAGO"/>
  </r>
  <r>
    <n v="767166966"/>
    <x v="999"/>
    <s v="CHILLÁN"/>
    <n v="16"/>
    <x v="0"/>
    <s v="CN76716696"/>
    <s v="PRIVADO"/>
    <s v="ATEL"/>
    <s v="REGIÓN DE ÑUBLE"/>
  </r>
  <r>
    <s v="76718218K"/>
    <x v="1000"/>
    <s v="LA FLORIDA"/>
    <n v="13"/>
    <x v="0"/>
    <s v="CN76718218"/>
    <s v="PRIVADO"/>
    <s v="ATEL"/>
    <s v="REGIÓN DE METROPOLITANA DE SANTIAGO"/>
  </r>
  <r>
    <n v="767253591"/>
    <x v="1001"/>
    <s v="TALCA"/>
    <n v="7"/>
    <x v="0"/>
    <s v="CN76725359"/>
    <s v="PRIVADO"/>
    <s v="ATEL"/>
    <s v="REGIÓN DE MAULE"/>
  </r>
  <r>
    <n v="767343795"/>
    <x v="1002"/>
    <s v="CONCEPCIÓN"/>
    <n v="8"/>
    <x v="0"/>
    <s v="CN76734379"/>
    <s v="PRIVADO"/>
    <s v="ATEL"/>
    <s v="REGIÓN DE BIOBÍO"/>
  </r>
  <r>
    <n v="767344848"/>
    <x v="1003"/>
    <s v="SANTIAGO"/>
    <n v="13"/>
    <x v="0"/>
    <s v="CN76734484"/>
    <s v="PRIVADO"/>
    <s v="ATEL"/>
    <s v="REGIÓN DE METROPOLITANA DE SANTIAGO"/>
  </r>
  <r>
    <n v="767382995"/>
    <x v="1004"/>
    <s v="CONCEPCIÓN"/>
    <n v="8"/>
    <x v="0"/>
    <s v="CN76738299"/>
    <s v="PRIVADO"/>
    <s v="ATEL"/>
    <s v="REGIÓN DE BIOBÍO"/>
  </r>
  <r>
    <s v="76739523K"/>
    <x v="1005"/>
    <s v="PROVIDENCIA"/>
    <n v="13"/>
    <x v="0"/>
    <s v="CN76739523"/>
    <s v="PRIVADO"/>
    <s v="ATEL"/>
    <s v="REGIÓN DE METROPOLITANA DE SANTIAGO"/>
  </r>
  <r>
    <n v="767407939"/>
    <x v="1006"/>
    <s v="CONCEPCIÓN"/>
    <n v="8"/>
    <x v="0"/>
    <s v="CN76740793"/>
    <s v="PRIVADO"/>
    <s v="ATEL"/>
    <s v="REGIÓN DE BIOBÍO"/>
  </r>
  <r>
    <n v="767409354"/>
    <x v="1007"/>
    <s v="CHILLÁN"/>
    <n v="16"/>
    <x v="0"/>
    <s v="CN76740935"/>
    <s v="PRIVADO"/>
    <s v="ATEL"/>
    <s v="REGIÓN DE ÑUBLE"/>
  </r>
  <r>
    <n v="767409842"/>
    <x v="1008"/>
    <s v="SANTIAGO"/>
    <n v="13"/>
    <x v="0"/>
    <s v="CN76740984"/>
    <s v="PRIVADO"/>
    <s v="ATEL"/>
    <s v="REGIÓN DE METROPOLITANA DE SANTIAGO"/>
  </r>
  <r>
    <n v="767461364"/>
    <x v="1009"/>
    <s v="LAS CONDES"/>
    <n v="13"/>
    <x v="0"/>
    <s v="CN76746136"/>
    <s v="PRIVADO"/>
    <s v="ATEL"/>
    <s v="REGIÓN DE METROPOLITANA DE SANTIAGO"/>
  </r>
  <r>
    <n v="767486421"/>
    <x v="1010"/>
    <s v="LAS CONDES"/>
    <n v="13"/>
    <x v="0"/>
    <s v="CN76748642"/>
    <s v="PRIVADO"/>
    <s v="ATEL"/>
    <s v="REGIÓN DE METROPOLITANA DE SANTIAGO"/>
  </r>
  <r>
    <n v="767495641"/>
    <x v="1011"/>
    <s v="NUEVA IMPERIAL"/>
    <n v="9"/>
    <x v="0"/>
    <s v="CN76749564"/>
    <s v="PRIVADO"/>
    <s v="ATEL"/>
    <s v="REGIÓN DE LA ARAUCANÍA"/>
  </r>
  <r>
    <n v="767529732"/>
    <x v="1012"/>
    <s v="LA LIGUA"/>
    <n v="5"/>
    <x v="0"/>
    <s v="CN76752973"/>
    <s v="PRIVADO"/>
    <s v="ATEL"/>
    <s v="REGIÓN DE VALPARAÍSO"/>
  </r>
  <r>
    <n v="767542968"/>
    <x v="1013"/>
    <s v="San Bernardo"/>
    <n v="13"/>
    <x v="0"/>
    <s v="CN76754296"/>
    <s v="PRIVADO"/>
    <s v="ATEL"/>
    <s v="REGIÓN DE METROPOLITANA DE SANTIAGO"/>
  </r>
  <r>
    <n v="767568088"/>
    <x v="1014"/>
    <s v="ÑUÑOA"/>
    <n v="13"/>
    <x v="0"/>
    <s v="CN76756808"/>
    <s v="PRIVADO"/>
    <s v="ATEL"/>
    <s v="REGIÓN DE METROPOLITANA DE SANTIAGO"/>
  </r>
  <r>
    <s v="76758248K"/>
    <x v="1015"/>
    <s v="PROVIDENCIA"/>
    <n v="13"/>
    <x v="0"/>
    <s v="CN76758248"/>
    <s v="PRIVADO"/>
    <s v="ATEL"/>
    <s v="REGIÓN DE METROPOLITANA DE SANTIAGO"/>
  </r>
  <r>
    <n v="767586930"/>
    <x v="1016"/>
    <s v="LAS CONDES"/>
    <n v="13"/>
    <x v="0"/>
    <s v="CN76758693"/>
    <s v="PRIVADO"/>
    <s v="ATEL"/>
    <s v="REGIÓN DE METROPOLITANA DE SANTIAGO"/>
  </r>
  <r>
    <s v="76768780K"/>
    <x v="1017"/>
    <s v="RENCA"/>
    <n v="13"/>
    <x v="0"/>
    <s v="CN76768780"/>
    <s v="PRIVADO"/>
    <s v="ATEL"/>
    <s v="REGIÓN DE METROPOLITANA DE SANTIAGO"/>
  </r>
  <r>
    <n v="767754396"/>
    <x v="1018"/>
    <s v="PROVIDENCIA"/>
    <n v="13"/>
    <x v="0"/>
    <s v="CN76775439"/>
    <s v="PRIVADO"/>
    <s v="ATEL"/>
    <s v="REGIÓN DE METROPOLITANA DE SANTIAGO"/>
  </r>
  <r>
    <n v="767813252"/>
    <x v="1019"/>
    <s v="SAN RAMÓN"/>
    <n v="13"/>
    <x v="0"/>
    <s v="CN76781325"/>
    <s v="PRIVADO"/>
    <s v="ATEL"/>
    <s v="REGIÓN DE METROPOLITANA DE SANTIAGO"/>
  </r>
  <r>
    <n v="767839332"/>
    <x v="1020"/>
    <s v="QUILPUÉ"/>
    <n v="5"/>
    <x v="0"/>
    <s v="CN76783933"/>
    <s v="PRIVADO"/>
    <s v="ATEL"/>
    <s v="REGIÓN DE VALPARAÍSO"/>
  </r>
  <r>
    <n v="767884176"/>
    <x v="1021"/>
    <s v="LO BARNECHEA"/>
    <n v="13"/>
    <x v="0"/>
    <s v="CN76788417"/>
    <s v="PRIVADO"/>
    <s v="ATEL"/>
    <s v="REGIÓN DE METROPOLITANA DE SANTIAGO"/>
  </r>
  <r>
    <n v="767892799"/>
    <x v="1022"/>
    <s v="LAS CONDES"/>
    <n v="13"/>
    <x v="0"/>
    <s v="CN76789279"/>
    <s v="PRIVADO"/>
    <s v="ATEL"/>
    <s v="REGIÓN DE METROPOLITANA DE SANTIAGO"/>
  </r>
  <r>
    <n v="767904088"/>
    <x v="1023"/>
    <s v="LAS CONDES"/>
    <n v="13"/>
    <x v="0"/>
    <s v="CN76790408"/>
    <s v="PRIVADO"/>
    <s v="ATEL"/>
    <s v="REGIÓN DE METROPOLITANA DE SANTIAGO"/>
  </r>
  <r>
    <n v="767952236"/>
    <x v="1024"/>
    <s v="LA CISTERNA"/>
    <n v="13"/>
    <x v="0"/>
    <s v="CN76795223"/>
    <s v="PRIVADO"/>
    <s v="ATEL"/>
    <s v="REGIÓN DE METROPOLITANA DE SANTIAGO"/>
  </r>
  <r>
    <n v="768078661"/>
    <x v="1025"/>
    <s v="LAS CONDES"/>
    <n v="13"/>
    <x v="0"/>
    <s v="CN76807866"/>
    <s v="PRIVADO"/>
    <s v="ATEL"/>
    <s v="REGIÓN DE METROPOLITANA DE SANTIAGO"/>
  </r>
  <r>
    <n v="768101337"/>
    <x v="1026"/>
    <s v="CONCÓN"/>
    <n v="5"/>
    <x v="0"/>
    <s v="CN76810133"/>
    <s v="PRIVADO"/>
    <s v="ATEL"/>
    <s v="REGIÓN DE VALPARAÍSO"/>
  </r>
  <r>
    <s v="76813247k"/>
    <x v="1027"/>
    <s v="PROVIDENCIA"/>
    <n v="13"/>
    <x v="0"/>
    <s v="CN76813247"/>
    <s v="PRIVADO"/>
    <s v="ATEL"/>
    <s v="REGIÓN DE METROPOLITANA DE SANTIAGO"/>
  </r>
  <r>
    <n v="768142173"/>
    <x v="1028"/>
    <s v="TALAGANTE"/>
    <n v="13"/>
    <x v="0"/>
    <s v="CN76814217"/>
    <s v="PRIVADO"/>
    <s v="ATEL"/>
    <s v="REGIÓN DE METROPOLITANA DE SANTIAGO"/>
  </r>
  <r>
    <n v="768144222"/>
    <x v="1029"/>
    <s v="TALCAHUANO"/>
    <n v="8"/>
    <x v="0"/>
    <s v="CN76814422"/>
    <s v="PRIVADO"/>
    <s v="ATEL"/>
    <s v="REGIÓN DE BIOBÍO"/>
  </r>
  <r>
    <n v="768224552"/>
    <x v="1030"/>
    <s v="MELIPILLA"/>
    <n v="13"/>
    <x v="0"/>
    <s v="CN76822455"/>
    <s v="PRIVADO"/>
    <s v="ATEL"/>
    <s v="REGIÓN DE METROPOLITANA DE SANTIAGO"/>
  </r>
  <r>
    <n v="768357935"/>
    <x v="1031"/>
    <s v="PROVIDENCIA"/>
    <n v="13"/>
    <x v="0"/>
    <s v="CN76835793"/>
    <s v="PRIVADO"/>
    <s v="ATEL"/>
    <s v="REGIÓN DE METROPOLITANA DE SANTIAGO"/>
  </r>
  <r>
    <n v="768426007"/>
    <x v="1032"/>
    <s v="TALCA"/>
    <n v="7"/>
    <x v="0"/>
    <s v="CN76842600"/>
    <s v="PRIVADO"/>
    <s v="ATEL"/>
    <s v="REGIÓN DE MAULE"/>
  </r>
  <r>
    <n v="768449252"/>
    <x v="1033"/>
    <s v="PROVIDENCIA"/>
    <n v="13"/>
    <x v="0"/>
    <s v="CN76844925"/>
    <s v="PRIVADO"/>
    <s v="ATEL"/>
    <s v="REGIÓN DE METROPOLITANA DE SANTIAGO"/>
  </r>
  <r>
    <n v="768473536"/>
    <x v="1034"/>
    <s v="SAN MIGUEL"/>
    <n v="13"/>
    <x v="0"/>
    <s v="CN76847353"/>
    <s v="PRIVADO"/>
    <s v="ATEL"/>
    <s v="REGIÓN DE METROPOLITANA DE SANTIAGO"/>
  </r>
  <r>
    <n v="768489920"/>
    <x v="1035"/>
    <s v="LOS ÁNGELES"/>
    <n v="8"/>
    <x v="0"/>
    <s v="CN76848992"/>
    <s v="PRIVADO"/>
    <s v="ATEL"/>
    <s v="REGIÓN DE BIOBÍO"/>
  </r>
  <r>
    <s v="76850721K"/>
    <x v="1036"/>
    <s v="LOS ÁNGELES"/>
    <n v="8"/>
    <x v="0"/>
    <s v="CN76850721"/>
    <s v="PRIVADO"/>
    <s v="ATEL"/>
    <s v="REGIÓN DE BIOBÍO"/>
  </r>
  <r>
    <n v="768526907"/>
    <x v="1037"/>
    <s v="LAS CONDES"/>
    <n v="13"/>
    <x v="0"/>
    <s v="CN76852690"/>
    <s v="PRIVADO"/>
    <s v="ATEL"/>
    <s v="REGIÓN DE METROPOLITANA DE SANTIAGO"/>
  </r>
  <r>
    <n v="768557993"/>
    <x v="1038"/>
    <s v="SANTIAGO"/>
    <n v="13"/>
    <x v="0"/>
    <s v="CN76855799"/>
    <s v="PRIVADO"/>
    <s v="ATEL"/>
    <s v="REGIÓN DE METROPOLITANA DE SANTIAGO"/>
  </r>
  <r>
    <s v="76865249K"/>
    <x v="1039"/>
    <s v="MAIPÚ"/>
    <n v="13"/>
    <x v="0"/>
    <s v="CN76865249"/>
    <s v="PRIVADO"/>
    <s v="ATEL"/>
    <s v="REGIÓN DE METROPOLITANA DE SANTIAGO"/>
  </r>
  <r>
    <n v="768658846"/>
    <x v="1040"/>
    <s v="PROVIDENCIA"/>
    <n v="13"/>
    <x v="0"/>
    <s v="CN76865884"/>
    <s v="PRIVADO"/>
    <s v="ATEL"/>
    <s v="REGIÓN DE METROPOLITANA DE SANTIAGO"/>
  </r>
  <r>
    <s v="76871990K"/>
    <x v="1041"/>
    <s v="LAS CONDES"/>
    <n v="13"/>
    <x v="0"/>
    <s v="CN76871990"/>
    <s v="PRIVADO"/>
    <s v="ATEL"/>
    <s v="REGIÓN DE METROPOLITANA DE SANTIAGO"/>
  </r>
  <r>
    <s v="76875179K"/>
    <x v="1042"/>
    <s v="VIÑA DEL MAR"/>
    <n v="5"/>
    <x v="0"/>
    <s v="CN76875179"/>
    <s v="PRIVADO"/>
    <s v="ATEL"/>
    <s v="REGIÓN DE VALPARAÍSO"/>
  </r>
  <r>
    <n v="768805636"/>
    <x v="1043"/>
    <s v="ÑUÑOA"/>
    <n v="13"/>
    <x v="0"/>
    <s v="CN76880563"/>
    <s v="PRIVADO"/>
    <s v="ATEL"/>
    <s v="REGIÓN DE METROPOLITANA DE SANTIAGO"/>
  </r>
  <r>
    <s v="76882794k"/>
    <x v="1044"/>
    <s v="PUENTE ALTO"/>
    <n v="13"/>
    <x v="0"/>
    <s v="CN76882794"/>
    <s v="PRIVADO"/>
    <s v="ATEL"/>
    <s v="REGIÓN DE METROPOLITANA DE SANTIAGO"/>
  </r>
  <r>
    <n v="768893845"/>
    <x v="1045"/>
    <s v="LAJA"/>
    <n v="8"/>
    <x v="0"/>
    <s v="CN76889384"/>
    <s v="PRIVADO"/>
    <s v="ATEL"/>
    <s v="REGIÓN DE BIOBÍO"/>
  </r>
  <r>
    <n v="768905975"/>
    <x v="1046"/>
    <s v="LA FLORIDA"/>
    <n v="13"/>
    <x v="0"/>
    <s v="CN76890597"/>
    <s v="PRIVADO"/>
    <s v="ATEL"/>
    <s v="REGIÓN DE METROPOLITANA DE SANTIAGO"/>
  </r>
  <r>
    <n v="768913161"/>
    <x v="1047"/>
    <s v="CONCEPCIÓN"/>
    <n v="8"/>
    <x v="0"/>
    <s v="CN76891316"/>
    <s v="PRIVADO"/>
    <s v="ATEL"/>
    <s v="REGIÓN DE BIOBÍO"/>
  </r>
  <r>
    <n v="769142584"/>
    <x v="1048"/>
    <s v="LAS CONDES"/>
    <n v="13"/>
    <x v="0"/>
    <s v="CN76914258"/>
    <s v="PRIVADO"/>
    <s v="ATEL"/>
    <s v="REGIÓN DE METROPOLITANA DE SANTIAGO"/>
  </r>
  <r>
    <n v="769148574"/>
    <x v="1049"/>
    <s v="YUMBEL"/>
    <n v="8"/>
    <x v="0"/>
    <s v="CN76914857"/>
    <s v="PRIVADO"/>
    <s v="ATEL"/>
    <s v="REGIÓN DE BIOBÍO"/>
  </r>
  <r>
    <n v="769304231"/>
    <x v="1050"/>
    <s v="PUDAHUEL"/>
    <n v="13"/>
    <x v="0"/>
    <s v="CN76930423"/>
    <s v="PRIVADO"/>
    <s v="ATEL"/>
    <s v="REGIÓN DE METROPOLITANA DE SANTIAGO"/>
  </r>
  <r>
    <s v="76938510K"/>
    <x v="1051"/>
    <s v="COPIAPÓ"/>
    <n v="3"/>
    <x v="0"/>
    <s v="CN76938510"/>
    <s v="PRIVADO"/>
    <s v="ATEL"/>
    <s v="REGIÓN DE ATACAMA"/>
  </r>
  <r>
    <n v="769396942"/>
    <x v="1052"/>
    <s v="PUCÓN"/>
    <n v="9"/>
    <x v="0"/>
    <s v="CN76939694"/>
    <s v="PRIVADO"/>
    <s v="ATEL"/>
    <s v="REGIÓN DE LA ARAUCANÍA"/>
  </r>
  <r>
    <n v="769501495"/>
    <x v="1053"/>
    <s v="LINARES"/>
    <n v="7"/>
    <x v="0"/>
    <s v="CN76950149"/>
    <s v="PRIVADO"/>
    <s v="ATEL"/>
    <s v="REGIÓN DE MAULE"/>
  </r>
  <r>
    <n v="769610235"/>
    <x v="1054"/>
    <s v="COQUIMBO"/>
    <n v="4"/>
    <x v="0"/>
    <s v="CN76961023"/>
    <s v="PRIVADO"/>
    <s v="ATEL"/>
    <s v="REGIÓN DE COQUIMBO"/>
  </r>
  <r>
    <n v="769729186"/>
    <x v="1055"/>
    <s v="CONCEPCIÓN"/>
    <n v="8"/>
    <x v="0"/>
    <s v="CN76972918"/>
    <s v="PÚBLICO"/>
    <s v="ATEL"/>
    <s v="REGIÓN DE BIOBÍO"/>
  </r>
  <r>
    <n v="769770453"/>
    <x v="1056"/>
    <s v="LA FLORIDA"/>
    <n v="13"/>
    <x v="0"/>
    <s v="CN76977045"/>
    <s v="PRIVADO"/>
    <s v="ATEL"/>
    <s v="REGIÓN DE METROPOLITANA DE SANTIAGO"/>
  </r>
  <r>
    <n v="769798501"/>
    <x v="1057"/>
    <s v="SAN JOAQUÍN"/>
    <n v="13"/>
    <x v="0"/>
    <s v="CN76979850"/>
    <s v="PRIVADO"/>
    <s v="ATEL"/>
    <s v="REGIÓN DE METROPOLITANA DE SANTIAGO"/>
  </r>
  <r>
    <n v="769834427"/>
    <x v="1058"/>
    <s v="PUNTA ARENAS"/>
    <n v="12"/>
    <x v="0"/>
    <s v="CN76983442"/>
    <s v="PRIVADO"/>
    <s v="ATEL"/>
    <s v="REGIÓN DE MAGALLANES Y DE LA ANTÁRTICA CHILENA"/>
  </r>
  <r>
    <n v="769902112"/>
    <x v="1059"/>
    <s v="LAS CONDES"/>
    <n v="13"/>
    <x v="0"/>
    <s v="CN76990211"/>
    <s v="PRIVADO"/>
    <s v="ATEL"/>
    <s v="REGIÓN DE METROPOLITANA DE SANTIAGO"/>
  </r>
  <r>
    <n v="769915311"/>
    <x v="1060"/>
    <s v="TEMUCO"/>
    <n v="9"/>
    <x v="0"/>
    <s v="CN76991531"/>
    <s v="PRIVADO"/>
    <s v="ATEL"/>
    <s v="REGIÓN DE LA ARAUCANÍA"/>
  </r>
  <r>
    <n v="769919759"/>
    <x v="1061"/>
    <s v="COLINA"/>
    <n v="13"/>
    <x v="0"/>
    <s v="CN76991975"/>
    <s v="PRIVADO"/>
    <s v="ATEL"/>
    <s v="REGIÓN DE METROPOLITANA DE SANTIAGO"/>
  </r>
  <r>
    <n v="769957855"/>
    <x v="1062"/>
    <s v="LOS ÁNGELES"/>
    <n v="8"/>
    <x v="0"/>
    <s v="CN76995785"/>
    <s v="PRIVADO"/>
    <s v="ATEL"/>
    <s v="REGIÓN DE BIOBÍO"/>
  </r>
  <r>
    <n v="769958789"/>
    <x v="1063"/>
    <s v="HUECHURABA"/>
    <n v="13"/>
    <x v="0"/>
    <s v="CN76995878"/>
    <s v="PRIVADO"/>
    <s v="ATEL"/>
    <s v="REGIÓN DE METROPOLITANA DE SANTIAGO"/>
  </r>
  <r>
    <n v="769987304"/>
    <x v="1064"/>
    <s v="TALCAHUANO"/>
    <n v="8"/>
    <x v="0"/>
    <s v="CN76998730"/>
    <s v="PRIVADO"/>
    <s v="ATEL"/>
    <s v="REGIÓN DE BIOBÍO"/>
  </r>
  <r>
    <n v="770084466"/>
    <x v="1065"/>
    <s v="TALCA"/>
    <n v="7"/>
    <x v="0"/>
    <s v="CN77008446"/>
    <s v="PRIVADO"/>
    <s v="ATEL"/>
    <s v="REGIÓN DE MAULE"/>
  </r>
  <r>
    <n v="770085454"/>
    <x v="1066"/>
    <s v="ANTOFAGASTA"/>
    <n v="2"/>
    <x v="0"/>
    <s v="CN77008545"/>
    <s v="PRIVADO"/>
    <s v="ATEL"/>
    <s v="REGIÓN DE ANTOFAGASTA"/>
  </r>
  <r>
    <n v="770120012"/>
    <x v="1067"/>
    <s v="ÑUÑOA"/>
    <n v="13"/>
    <x v="0"/>
    <s v="CN77012001"/>
    <s v="PRIVADO"/>
    <s v="ATEL"/>
    <s v="REGIÓN DE METROPOLITANA DE SANTIAGO"/>
  </r>
  <r>
    <n v="770252970"/>
    <x v="1068"/>
    <s v="SANTIAGO"/>
    <n v="13"/>
    <x v="0"/>
    <s v="CN77025297"/>
    <s v="PRIVADO"/>
    <s v="ATEL"/>
    <s v="REGIÓN DE METROPOLITANA DE SANTIAGO"/>
  </r>
  <r>
    <n v="770253160"/>
    <x v="1069"/>
    <s v="LAS CONDES"/>
    <n v="13"/>
    <x v="0"/>
    <s v="CN77025316"/>
    <s v="PRIVADO"/>
    <s v="ATEL"/>
    <s v="REGIÓN DE METROPOLITANA DE SANTIAGO"/>
  </r>
  <r>
    <n v="770264847"/>
    <x v="1070"/>
    <s v="LOS ÁNGELES"/>
    <n v="8"/>
    <x v="0"/>
    <s v="CN77026484"/>
    <s v="PRIVADO"/>
    <s v="ATEL"/>
    <s v="REGIÓN DE BIOBÍO"/>
  </r>
  <r>
    <n v="770270642"/>
    <x v="1071"/>
    <s v="PROVIDENCIA"/>
    <n v="13"/>
    <x v="0"/>
    <s v="CN77027064"/>
    <s v="PRIVADO"/>
    <s v="ATEL"/>
    <s v="REGIÓN DE METROPOLITANA DE SANTIAGO"/>
  </r>
  <r>
    <n v="770342554"/>
    <x v="1072"/>
    <s v="QUILPUÉ"/>
    <n v="5"/>
    <x v="0"/>
    <s v="CN77034255"/>
    <s v="PRIVADO"/>
    <s v="ATEL"/>
    <s v="REGIÓN DE VALPARAÍSO"/>
  </r>
  <r>
    <s v="77035627K"/>
    <x v="1073"/>
    <s v="RANCAGUA"/>
    <n v="6"/>
    <x v="0"/>
    <s v="CN77035627"/>
    <s v="PRIVADO"/>
    <s v="ATEL"/>
    <s v="REGIÓN DE LIBERTADOR GENERAL BERNARDO O'HIGGINS"/>
  </r>
  <r>
    <n v="770377528"/>
    <x v="1074"/>
    <s v="SANTIAGO"/>
    <n v="13"/>
    <x v="0"/>
    <s v="CN77037752"/>
    <s v="PRIVADO"/>
    <s v="ATEL"/>
    <s v="REGIÓN DE METROPOLITANA DE SANTIAGO"/>
  </r>
  <r>
    <n v="770422620"/>
    <x v="1075"/>
    <s v="CONCEPCIÓN"/>
    <n v="8"/>
    <x v="0"/>
    <s v="CN77042262"/>
    <s v="PRIVADO"/>
    <s v="ATEL"/>
    <s v="REGIÓN DE BIOBÍO"/>
  </r>
  <r>
    <n v="770443032"/>
    <x v="1076"/>
    <s v="LAS CONDES"/>
    <n v="13"/>
    <x v="0"/>
    <s v="CN77044303"/>
    <s v="PRIVADO"/>
    <s v="ATEL"/>
    <s v="REGIÓN DE METROPOLITANA DE SANTIAGO"/>
  </r>
  <r>
    <n v="770510473"/>
    <x v="1077"/>
    <s v="ÑUÑOA"/>
    <n v="13"/>
    <x v="0"/>
    <s v="CN77051047"/>
    <s v="PRIVADO"/>
    <s v="ATEL"/>
    <s v="REGIÓN DE METROPOLITANA DE SANTIAGO"/>
  </r>
  <r>
    <n v="770540283"/>
    <x v="1078"/>
    <s v="LAS CONDES"/>
    <n v="13"/>
    <x v="0"/>
    <s v="CN77054028"/>
    <s v="PRIVADO"/>
    <s v="ATEL"/>
    <s v="REGIÓN DE METROPOLITANA DE SANTIAGO"/>
  </r>
  <r>
    <n v="770634911"/>
    <x v="1079"/>
    <s v="VITACURA"/>
    <n v="13"/>
    <x v="0"/>
    <s v="CN77063491"/>
    <s v="PRIVADO"/>
    <s v="ATEL"/>
    <s v="REGIÓN DE METROPOLITANA DE SANTIAGO"/>
  </r>
  <r>
    <n v="770697182"/>
    <x v="1080"/>
    <s v="ÑUÑOA"/>
    <n v="13"/>
    <x v="0"/>
    <s v="CN77069718"/>
    <s v="PRIVADO"/>
    <s v="ATEL"/>
    <s v="REGIÓN DE METROPOLITANA DE SANTIAGO"/>
  </r>
  <r>
    <n v="770724309"/>
    <x v="1081"/>
    <s v="LINARES"/>
    <n v="7"/>
    <x v="0"/>
    <s v="CN77072430"/>
    <s v="PRIVADO"/>
    <s v="ATEL"/>
    <s v="REGIÓN DE MAULE"/>
  </r>
  <r>
    <n v="770834589"/>
    <x v="1082"/>
    <s v="SANTIAGO"/>
    <n v="13"/>
    <x v="0"/>
    <s v="CN77083458"/>
    <s v="PRIVADO"/>
    <s v="ATEL"/>
    <s v="REGIÓN DE METROPOLITANA DE SANTIAGO"/>
  </r>
  <r>
    <n v="770867053"/>
    <x v="1083"/>
    <s v="PUENTE ALTO"/>
    <n v="13"/>
    <x v="0"/>
    <s v="CN77086705"/>
    <s v="PRIVADO"/>
    <s v="ATEL"/>
    <s v="REGIÓN DE METROPOLITANA DE SANTIAGO"/>
  </r>
  <r>
    <n v="770874432"/>
    <x v="1084"/>
    <s v="LAS CONDES"/>
    <n v="13"/>
    <x v="0"/>
    <s v="CN77087443"/>
    <s v="PRIVADO"/>
    <s v="ATEL"/>
    <s v="REGIÓN DE METROPOLITANA DE SANTIAGO"/>
  </r>
  <r>
    <n v="770930960"/>
    <x v="1085"/>
    <s v="QUILPUÉ"/>
    <n v="5"/>
    <x v="0"/>
    <s v="CN77093096"/>
    <s v="PRIVADO"/>
    <s v="ATEL"/>
    <s v="REGIÓN DE VALPARAÍSO"/>
  </r>
  <r>
    <n v="770940354"/>
    <x v="1086"/>
    <s v="SANTIAGO"/>
    <n v="13"/>
    <x v="0"/>
    <s v="CN77094035"/>
    <s v="PRIVADO"/>
    <s v="ATEL"/>
    <s v="REGIÓN DE METROPOLITANA DE SANTIAGO"/>
  </r>
  <r>
    <n v="771015123"/>
    <x v="1087"/>
    <s v="SANTIAGO"/>
    <n v="13"/>
    <x v="0"/>
    <s v="CN77101512"/>
    <s v="PRIVADO"/>
    <s v="ATEL"/>
    <s v="REGIÓN DE METROPOLITANA DE SANTIAGO"/>
  </r>
  <r>
    <n v="771077935"/>
    <x v="1088"/>
    <s v="CONCHALÍ"/>
    <n v="13"/>
    <x v="0"/>
    <s v="CN77107793"/>
    <s v="PRIVADO"/>
    <s v="ATEL"/>
    <s v="REGIÓN DE METROPOLITANA DE SANTIAGO"/>
  </r>
  <r>
    <n v="771139620"/>
    <x v="1089"/>
    <s v="PEÑALOLÉN"/>
    <n v="13"/>
    <x v="0"/>
    <s v="CN77113962"/>
    <s v="PRIVADO"/>
    <s v="ATEL"/>
    <s v="REGIÓN DE METROPOLITANA DE SANTIAGO"/>
  </r>
  <r>
    <n v="771164862"/>
    <x v="1090"/>
    <s v="PROVIDENCIA"/>
    <n v="13"/>
    <x v="0"/>
    <s v="CN77116486"/>
    <s v="PRIVADO"/>
    <s v="ATEL"/>
    <s v="REGIÓN DE METROPOLITANA DE SANTIAGO"/>
  </r>
  <r>
    <n v="771264034"/>
    <x v="1091"/>
    <s v="VIÑA DEL MAR"/>
    <n v="5"/>
    <x v="0"/>
    <s v="CN77126403"/>
    <s v="PRIVADO"/>
    <s v="ATEL"/>
    <s v="REGIÓN DE VALPARAÍSO"/>
  </r>
  <r>
    <n v="771314945"/>
    <x v="1092"/>
    <s v="CONCEPCIÓN"/>
    <n v="8"/>
    <x v="0"/>
    <s v="CN77131494"/>
    <s v="PRIVADO"/>
    <s v="ATEL"/>
    <s v="REGIÓN DE BIOBÍO"/>
  </r>
  <r>
    <n v="771455840"/>
    <x v="1093"/>
    <s v="TALCA"/>
    <n v="7"/>
    <x v="0"/>
    <s v="CN77145584"/>
    <s v="PRIVADO"/>
    <s v="ATEL"/>
    <s v="REGIÓN DE MAULE"/>
  </r>
  <r>
    <n v="771477356"/>
    <x v="1094"/>
    <s v="CHILLÁN"/>
    <n v="16"/>
    <x v="0"/>
    <s v="CN77147735"/>
    <s v="PRIVADO"/>
    <s v="ATEL"/>
    <s v="REGIÓN DE ÑUBLE"/>
  </r>
  <r>
    <s v="77147778K"/>
    <x v="1095"/>
    <s v="SAN BERNARDO"/>
    <n v="13"/>
    <x v="0"/>
    <s v="CN77147778"/>
    <s v="PRIVADO"/>
    <s v="ATEL"/>
    <s v="REGIÓN DE METROPOLITANA DE SANTIAGO"/>
  </r>
  <r>
    <n v="771478026"/>
    <x v="1096"/>
    <s v="SANTIAGO"/>
    <n v="13"/>
    <x v="0"/>
    <s v="CN77147802"/>
    <s v="PRIVADO"/>
    <s v="ATEL"/>
    <s v="REGIÓN DE METROPOLITANA DE SANTIAGO"/>
  </r>
  <r>
    <n v="771480330"/>
    <x v="1097"/>
    <s v="QUILICURA"/>
    <n v="13"/>
    <x v="0"/>
    <s v="CN77148033"/>
    <s v="PRIVADO"/>
    <s v="ATEL"/>
    <s v="REGIÓN DE METROPOLITANA DE SANTIAGO"/>
  </r>
  <r>
    <n v="771497691"/>
    <x v="1098"/>
    <s v="LAS CONDES"/>
    <n v="13"/>
    <x v="0"/>
    <s v="CN77149769"/>
    <s v="PRIVADO"/>
    <s v="ATEL"/>
    <s v="REGIÓN DE METROPOLITANA DE SANTIAGO"/>
  </r>
  <r>
    <n v="771513638"/>
    <x v="1099"/>
    <s v="LA PINTANA"/>
    <n v="13"/>
    <x v="0"/>
    <s v="CN77151363"/>
    <s v="PRIVADO"/>
    <s v="ATEL"/>
    <s v="REGIÓN DE METROPOLITANA DE SANTIAGO"/>
  </r>
  <r>
    <n v="771532128"/>
    <x v="1100"/>
    <s v="PROVIDENCIA"/>
    <n v="13"/>
    <x v="0"/>
    <s v="CN77153212"/>
    <s v="PRIVADO"/>
    <s v="ATEL"/>
    <s v="REGIÓN DE METROPOLITANA DE SANTIAGO"/>
  </r>
  <r>
    <n v="771563767"/>
    <x v="1101"/>
    <s v="ÑUÑOA"/>
    <n v="13"/>
    <x v="0"/>
    <s v="CN77156376"/>
    <s v="PRIVADO"/>
    <s v="ATEL"/>
    <s v="REGIÓN DE METROPOLITANA DE SANTIAGO"/>
  </r>
  <r>
    <n v="771564356"/>
    <x v="1102"/>
    <s v="LAS CONDES"/>
    <n v="13"/>
    <x v="0"/>
    <s v="CN77156435"/>
    <s v="PRIVADO"/>
    <s v="ATEL"/>
    <s v="REGIÓN DE METROPOLITANA DE SANTIAGO"/>
  </r>
  <r>
    <n v="771601715"/>
    <x v="1103"/>
    <s v="QUILICURA"/>
    <n v="13"/>
    <x v="0"/>
    <s v="CN77160171"/>
    <s v="PRIVADO"/>
    <s v="ATEL"/>
    <s v="REGIÓN DE METROPOLITANA DE SANTIAGO"/>
  </r>
  <r>
    <n v="771711480"/>
    <x v="1104"/>
    <s v="COQUIMBO"/>
    <n v="4"/>
    <x v="0"/>
    <s v="CN77171148"/>
    <s v="PRIVADO"/>
    <s v="ATEL"/>
    <s v="REGIÓN DE COQUIMBO"/>
  </r>
  <r>
    <n v="771736238"/>
    <x v="1105"/>
    <s v="LAS CONDES"/>
    <n v="13"/>
    <x v="0"/>
    <s v="CN77173623"/>
    <s v="PRIVADO"/>
    <s v="ATEL"/>
    <s v="REGIÓN DE METROPOLITANA DE SANTIAGO"/>
  </r>
  <r>
    <n v="771784062"/>
    <x v="1106"/>
    <s v="ANTOFAGASTA"/>
    <n v="2"/>
    <x v="0"/>
    <s v="CN77178406"/>
    <s v="PRIVADO"/>
    <s v="ATEL"/>
    <s v="REGIÓN DE ANTOFAGASTA"/>
  </r>
  <r>
    <n v="771834574"/>
    <x v="1107"/>
    <s v="LINARES"/>
    <n v="7"/>
    <x v="0"/>
    <s v="CN77183457"/>
    <s v="PRIVADO"/>
    <s v="ATEL"/>
    <s v="REGIÓN DE MAULE"/>
  </r>
  <r>
    <n v="771855199"/>
    <x v="1108"/>
    <s v="PROVIDENCIA"/>
    <n v="13"/>
    <x v="0"/>
    <s v="CN77185519"/>
    <s v="PRIVADO"/>
    <s v="ATEL"/>
    <s v="REGIÓN DE METROPOLITANA DE SANTIAGO"/>
  </r>
  <r>
    <n v="771867634"/>
    <x v="1109"/>
    <s v="VIÑA DEL MAR"/>
    <n v="5"/>
    <x v="0"/>
    <s v="CN77186763"/>
    <s v="PRIVADO"/>
    <s v="ATEL"/>
    <s v="REGIÓN DE VALPARAÍSO"/>
  </r>
  <r>
    <n v="771868592"/>
    <x v="1110"/>
    <s v="TEMUCO"/>
    <n v="9"/>
    <x v="0"/>
    <s v="CN77186859"/>
    <s v="PRIVADO"/>
    <s v="ATEL"/>
    <s v="REGIÓN DE LA ARAUCANÍA"/>
  </r>
  <r>
    <n v="771873316"/>
    <x v="1111"/>
    <s v="LINARES"/>
    <n v="7"/>
    <x v="0"/>
    <s v="CN77187331"/>
    <s v="PÚBLICO"/>
    <s v="ATEL"/>
    <s v="REGIÓN DE MAULE"/>
  </r>
  <r>
    <n v="771875475"/>
    <x v="1112"/>
    <s v="VIÑA DEL MAR"/>
    <n v="5"/>
    <x v="0"/>
    <s v="CN77187547"/>
    <s v="PRIVADO"/>
    <s v="ATEL"/>
    <s v="REGIÓN DE VALPARAÍSO"/>
  </r>
  <r>
    <n v="771893740"/>
    <x v="1113"/>
    <s v="SANTIAGO"/>
    <n v="13"/>
    <x v="0"/>
    <s v="CN77189374"/>
    <s v="PRIVADO"/>
    <s v="ATEL"/>
    <s v="REGIÓN DE METROPOLITANA DE SANTIAGO"/>
  </r>
  <r>
    <n v="771907199"/>
    <x v="1114"/>
    <s v="LAS CONDES"/>
    <n v="13"/>
    <x v="0"/>
    <s v="CN77190719"/>
    <s v="PÚBLICO"/>
    <s v="ATEL"/>
    <s v="REGIÓN DE METROPOLITANA DE SANTIAGO"/>
  </r>
  <r>
    <n v="771908802"/>
    <x v="1115"/>
    <s v="QUILPUÉ"/>
    <n v="5"/>
    <x v="0"/>
    <s v="CN77190880"/>
    <s v="PRIVADO"/>
    <s v="ATEL"/>
    <s v="REGIÓN DE VALPARAÍSO"/>
  </r>
  <r>
    <n v="771911862"/>
    <x v="1116"/>
    <s v="COQUIMBO"/>
    <n v="4"/>
    <x v="0"/>
    <s v="CN77191186"/>
    <s v="PRIVADO"/>
    <s v="ATEL"/>
    <s v="REGIÓN DE COQUIMBO"/>
  </r>
  <r>
    <n v="771935117"/>
    <x v="1117"/>
    <s v="TEMUCO"/>
    <n v="9"/>
    <x v="0"/>
    <s v="CN77193511"/>
    <s v="PÚBLICO"/>
    <s v="ATEL"/>
    <s v="REGIÓN DE LA ARAUCANÍA"/>
  </r>
  <r>
    <s v="77198052K"/>
    <x v="1118"/>
    <s v="LAS CONDES"/>
    <n v="13"/>
    <x v="0"/>
    <s v="CN77198052"/>
    <s v="PRIVADO"/>
    <s v="ATEL"/>
    <s v="REGIÓN DE METROPOLITANA DE SANTIAGO"/>
  </r>
  <r>
    <n v="772043074"/>
    <x v="1119"/>
    <s v="ANCUD"/>
    <n v="10"/>
    <x v="0"/>
    <s v="CN77204307"/>
    <s v="PRIVADO"/>
    <s v="ATEL"/>
    <s v="REGIÓN DE LOS LAGOS"/>
  </r>
  <r>
    <n v="772087233"/>
    <x v="1120"/>
    <s v="SANTIAGO"/>
    <n v="13"/>
    <x v="0"/>
    <s v="CN77208723"/>
    <s v="PRIVADO"/>
    <s v="ATEL"/>
    <s v="REGIÓN DE METROPOLITANA DE SANTIAGO"/>
  </r>
  <r>
    <n v="772221533"/>
    <x v="1121"/>
    <s v="LAS CONDES"/>
    <n v="13"/>
    <x v="0"/>
    <s v="CN77222153"/>
    <s v="PRIVADO"/>
    <s v="ATEL"/>
    <s v="REGIÓN DE METROPOLITANA DE SANTIAGO"/>
  </r>
  <r>
    <n v="772235445"/>
    <x v="1122"/>
    <s v="TALCAHUANO"/>
    <n v="8"/>
    <x v="0"/>
    <s v="CN77223544"/>
    <s v="PRIVADO"/>
    <s v="ATEL"/>
    <s v="REGIÓN DE BIOBÍO"/>
  </r>
  <r>
    <n v="772263198"/>
    <x v="1123"/>
    <s v="RENCA"/>
    <n v="13"/>
    <x v="0"/>
    <s v="CN77226319"/>
    <s v="PRIVADO"/>
    <s v="ATEL"/>
    <s v="REGIÓN DE METROPOLITANA DE SANTIAGO"/>
  </r>
  <r>
    <n v="772336489"/>
    <x v="1124"/>
    <s v="RENGO"/>
    <n v="6"/>
    <x v="0"/>
    <s v="CN77233648"/>
    <s v="PRIVADO"/>
    <s v="ATEL"/>
    <s v="REGIÓN DE LIBERTADOR GENERAL BERNARDO O'HIGGINS"/>
  </r>
  <r>
    <s v="77242437K"/>
    <x v="1125"/>
    <s v="QUILICURA"/>
    <n v="13"/>
    <x v="0"/>
    <s v="CN77242437"/>
    <s v="PRIVADO"/>
    <s v="ATEL"/>
    <s v="REGIÓN DE METROPOLITANA DE SANTIAGO"/>
  </r>
  <r>
    <n v="772442858"/>
    <x v="1126"/>
    <s v="QUILPUÉ"/>
    <n v="5"/>
    <x v="0"/>
    <s v="CN77244285"/>
    <s v="PRIVADO"/>
    <s v="ATEL"/>
    <s v="REGIÓN DE VALPARAÍSO"/>
  </r>
  <r>
    <s v="77249212K"/>
    <x v="1127"/>
    <s v="PROVIDENCIA"/>
    <n v="13"/>
    <x v="0"/>
    <s v="CN77249212"/>
    <s v="PRIVADO"/>
    <s v="ATEL"/>
    <s v="REGIÓN DE METROPOLITANA DE SANTIAGO"/>
  </r>
  <r>
    <n v="772638388"/>
    <x v="1128"/>
    <s v="VIÑA DEL MAR"/>
    <n v="5"/>
    <x v="0"/>
    <s v="CN77263838"/>
    <s v="PRIVADO"/>
    <s v="ATEL"/>
    <s v="REGIÓN DE VALPARAÍSO"/>
  </r>
  <r>
    <n v="772762143"/>
    <x v="1129"/>
    <s v="SANTIAGO"/>
    <n v="13"/>
    <x v="0"/>
    <s v="CN77276214"/>
    <s v="PRIVADO"/>
    <s v="ATEL"/>
    <s v="REGIÓN DE METROPOLITANA DE SANTIAGO"/>
  </r>
  <r>
    <n v="772777159"/>
    <x v="1130"/>
    <s v="ÑUÑOA"/>
    <n v="13"/>
    <x v="0"/>
    <s v="CN77277715"/>
    <s v="PRIVADO"/>
    <s v="ATEL"/>
    <s v="REGIÓN DE METROPOLITANA DE SANTIAGO"/>
  </r>
  <r>
    <n v="772966326"/>
    <x v="1131"/>
    <s v="PROVIDENCIA"/>
    <n v="13"/>
    <x v="0"/>
    <s v="CN77296632"/>
    <s v="PRIVADO"/>
    <s v="ATEL"/>
    <s v="REGIÓN DE METROPOLITANA DE SANTIAGO"/>
  </r>
  <r>
    <n v="772971834"/>
    <x v="1132"/>
    <s v="ÑUÑOA"/>
    <n v="13"/>
    <x v="0"/>
    <s v="CN77297183"/>
    <s v="PRIVADO"/>
    <s v="ATEL"/>
    <s v="REGIÓN DE METROPOLITANA DE SANTIAGO"/>
  </r>
  <r>
    <s v="77305553K"/>
    <x v="1133"/>
    <s v="PROVIDENCIA"/>
    <n v="13"/>
    <x v="0"/>
    <s v="CN77305553"/>
    <s v="PRIVADO"/>
    <s v="ATEL"/>
    <s v="REGIÓN DE METROPOLITANA DE SANTIAGO"/>
  </r>
  <r>
    <n v="773121702"/>
    <x v="1134"/>
    <s v="VITACURA"/>
    <n v="13"/>
    <x v="0"/>
    <s v="CN77312170"/>
    <s v="PÚBLICO"/>
    <s v="ATEL"/>
    <s v="REGIÓN DE METROPOLITANA DE SANTIAGO"/>
  </r>
  <r>
    <n v="773250065"/>
    <x v="1135"/>
    <s v="LAS CONDES"/>
    <n v="13"/>
    <x v="0"/>
    <s v="CN77325006"/>
    <s v="PRIVADO"/>
    <s v="ATEL"/>
    <s v="REGIÓN DE METROPOLITANA DE SANTIAGO"/>
  </r>
  <r>
    <n v="773262896"/>
    <x v="1136"/>
    <s v="PROVIDENCIA"/>
    <n v="13"/>
    <x v="0"/>
    <s v="CN77326289"/>
    <s v="PRIVADO"/>
    <s v="ATEL"/>
    <s v="REGIÓN DE METROPOLITANA DE SANTIAGO"/>
  </r>
  <r>
    <s v="77339458K"/>
    <x v="1137"/>
    <s v="MACUL"/>
    <n v="13"/>
    <x v="0"/>
    <s v="CN77339458"/>
    <s v="PRIVADO"/>
    <s v="ATEL"/>
    <s v="REGIÓN DE METROPOLITANA DE SANTIAGO"/>
  </r>
  <r>
    <n v="773540845"/>
    <x v="1138"/>
    <s v="LAS CONDES"/>
    <n v="13"/>
    <x v="0"/>
    <s v="CN77354084"/>
    <s v="PRIVADO"/>
    <s v="ATEL"/>
    <s v="REGIÓN DE METROPOLITANA DE SANTIAGO"/>
  </r>
  <r>
    <n v="773553866"/>
    <x v="1139"/>
    <s v="PUNTA ARENAS"/>
    <n v="12"/>
    <x v="0"/>
    <s v="CN77355386"/>
    <s v="PRIVADO"/>
    <s v="ATEL"/>
    <s v="REGIÓN DE MAGALLANES Y DE LA ANTÁRTICA CHILENA"/>
  </r>
  <r>
    <n v="773608377"/>
    <x v="1140"/>
    <s v="COQUIMBO"/>
    <n v="4"/>
    <x v="0"/>
    <s v="CN77360837"/>
    <s v="PRIVADO"/>
    <s v="ATEL"/>
    <s v="REGIÓN DE COQUIMBO"/>
  </r>
  <r>
    <n v="773625522"/>
    <x v="1141"/>
    <s v="SANTIAGO"/>
    <n v="13"/>
    <x v="0"/>
    <s v="CN77362552"/>
    <s v="PRIVADO"/>
    <s v="ATEL"/>
    <s v="REGIÓN DE METROPOLITANA DE SANTIAGO"/>
  </r>
  <r>
    <s v="77368507k"/>
    <x v="1142"/>
    <s v="PROVIDENCIA"/>
    <n v="13"/>
    <x v="0"/>
    <s v="CN77368507"/>
    <s v="PRIVADO"/>
    <s v="ATEL"/>
    <s v="REGIÓN DE METROPOLITANA DE SANTIAGO"/>
  </r>
  <r>
    <n v="773717435"/>
    <x v="1143"/>
    <s v="PROVIDENCIA"/>
    <n v="13"/>
    <x v="0"/>
    <s v="CN77371743"/>
    <s v="PRIVADO"/>
    <s v="ATEL"/>
    <s v="REGIÓN DE METROPOLITANA DE SANTIAGO"/>
  </r>
  <r>
    <n v="773729751"/>
    <x v="1144"/>
    <s v="CHIGUAYANTE"/>
    <n v="8"/>
    <x v="0"/>
    <s v="CN77372975"/>
    <s v="PRIVADO"/>
    <s v="ATEL"/>
    <s v="REGIÓN DE BIOBÍO"/>
  </r>
  <r>
    <n v="773828466"/>
    <x v="1145"/>
    <s v="PROVIDENCIA"/>
    <n v="13"/>
    <x v="0"/>
    <s v="CN77382846"/>
    <s v="PRIVADO"/>
    <s v="ATEL"/>
    <s v="REGIÓN DE METROPOLITANA DE SANTIAGO"/>
  </r>
  <r>
    <n v="773845166"/>
    <x v="1146"/>
    <s v="LAS CONDES"/>
    <n v="13"/>
    <x v="0"/>
    <s v="CN77384516"/>
    <s v="PRIVADO"/>
    <s v="ATEL"/>
    <s v="REGIÓN DE METROPOLITANA DE SANTIAGO"/>
  </r>
  <r>
    <n v="773851808"/>
    <x v="1147"/>
    <s v="PROVIDENCIA"/>
    <n v="13"/>
    <x v="0"/>
    <s v="CN77385180"/>
    <s v="PRIVADO"/>
    <s v="ATEL"/>
    <s v="REGIÓN DE METROPOLITANA DE SANTIAGO"/>
  </r>
  <r>
    <n v="773890455"/>
    <x v="1148"/>
    <s v="CONCEPCIÓN"/>
    <n v="8"/>
    <x v="0"/>
    <s v="CN77389045"/>
    <s v="PRIVADO"/>
    <s v="ATEL"/>
    <s v="REGIÓN DE BIOBÍO"/>
  </r>
  <r>
    <n v="774020101"/>
    <x v="1149"/>
    <s v="TALCA"/>
    <n v="7"/>
    <x v="0"/>
    <s v="CN77402010"/>
    <s v="PRIVADO"/>
    <s v="ATEL"/>
    <s v="REGIÓN DE MAULE"/>
  </r>
  <r>
    <s v="77405832K"/>
    <x v="1150"/>
    <s v="HUALAÑÉ"/>
    <n v="13"/>
    <x v="0"/>
    <s v="CN77405832"/>
    <s v="PRIVADO"/>
    <s v="ATEL"/>
    <s v="REGIÓN DE METROPOLITANA DE SANTIAGO"/>
  </r>
  <r>
    <s v="77407029K"/>
    <x v="1151"/>
    <s v="OSORNO"/>
    <n v="10"/>
    <x v="0"/>
    <s v="CN77407029"/>
    <s v="PRIVADO"/>
    <s v="ATEL"/>
    <s v="REGIÓN DE LOS LAGOS"/>
  </r>
  <r>
    <n v="774104089"/>
    <x v="1152"/>
    <s v="LO BARNECHEA"/>
    <n v="13"/>
    <x v="0"/>
    <s v="CN77410408"/>
    <s v="PRIVADO"/>
    <s v="ATEL"/>
    <s v="REGIÓN DE METROPOLITANA DE SANTIAGO"/>
  </r>
  <r>
    <n v="774104216"/>
    <x v="1153"/>
    <s v="MACUL"/>
    <n v="13"/>
    <x v="0"/>
    <s v="CN77410421"/>
    <s v="PRIVADO"/>
    <s v="ATEL"/>
    <s v="REGIÓN DE METROPOLITANA DE SANTIAGO"/>
  </r>
  <r>
    <n v="774175083"/>
    <x v="1154"/>
    <s v="LA SERENA"/>
    <n v="4"/>
    <x v="0"/>
    <s v="CN77417508"/>
    <s v="PRIVADO"/>
    <s v="ATEL"/>
    <s v="REGIÓN DE COQUIMBO"/>
  </r>
  <r>
    <n v="774193332"/>
    <x v="1155"/>
    <s v="PUNTA ARENAS"/>
    <n v="12"/>
    <x v="0"/>
    <s v="CN77419333"/>
    <s v="PRIVADO"/>
    <s v="ATEL"/>
    <s v="REGIÓN DE MAGALLANES Y DE LA ANTÁRTICA CHILENA"/>
  </r>
  <r>
    <n v="774277315"/>
    <x v="1156"/>
    <s v="CONCÓN"/>
    <n v="5"/>
    <x v="0"/>
    <s v="CN77427731"/>
    <s v="PRIVADO"/>
    <s v="ATEL"/>
    <s v="REGIÓN DE VALPARAÍSO"/>
  </r>
  <r>
    <n v="774284893"/>
    <x v="1157"/>
    <s v="CONCEPCIÓN"/>
    <n v="8"/>
    <x v="0"/>
    <s v="CN77428489"/>
    <s v="PRIVADO"/>
    <s v="ATEL"/>
    <s v="REGIÓN DE BIOBÍO"/>
  </r>
  <r>
    <n v="774317910"/>
    <x v="1158"/>
    <s v="TALCAHUANO"/>
    <n v="8"/>
    <x v="0"/>
    <s v="CN77431791"/>
    <s v="PRIVADO"/>
    <s v="ATEL"/>
    <s v="REGIÓN DE BIOBÍO"/>
  </r>
  <r>
    <n v="774328483"/>
    <x v="1159"/>
    <s v="QUINTERO"/>
    <n v="5"/>
    <x v="0"/>
    <s v="CN77432848"/>
    <s v="PRIVADO"/>
    <s v="ATEL"/>
    <s v="REGIÓN DE VALPARAÍSO"/>
  </r>
  <r>
    <s v="77436921K"/>
    <x v="1160"/>
    <s v="SAN BERNARDO"/>
    <n v="13"/>
    <x v="0"/>
    <s v="CN77436921"/>
    <s v="PRIVADO"/>
    <s v="ATEL"/>
    <s v="REGIÓN DE METROPOLITANA DE SANTIAGO"/>
  </r>
  <r>
    <n v="774393307"/>
    <x v="1161"/>
    <s v="CONCEPCIÓN"/>
    <n v="8"/>
    <x v="0"/>
    <s v="CN77439330"/>
    <s v="PRIVADO"/>
    <s v="ATEL"/>
    <s v="REGIÓN DE BIOBÍO"/>
  </r>
  <r>
    <n v="774396861"/>
    <x v="1162"/>
    <s v="SANTIAGO"/>
    <n v="13"/>
    <x v="0"/>
    <s v="CN77439686"/>
    <s v="PRIVADO"/>
    <s v="ATEL"/>
    <s v="REGIÓN DE METROPOLITANA DE SANTIAGO"/>
  </r>
  <r>
    <n v="774432280"/>
    <x v="1163"/>
    <s v="Río Bueno"/>
    <n v="14"/>
    <x v="0"/>
    <s v="CN77443228"/>
    <s v="PRIVADO"/>
    <s v="ATEL"/>
    <s v="REGIÓN DE LOS RÍOS"/>
  </r>
  <r>
    <n v="774448799"/>
    <x v="1164"/>
    <s v="INDEPENDENCIA"/>
    <n v="13"/>
    <x v="0"/>
    <s v="CN77444879"/>
    <s v="PRIVADO"/>
    <s v="ATEL"/>
    <s v="REGIÓN DE METROPOLITANA DE SANTIAGO"/>
  </r>
  <r>
    <s v="77478120K"/>
    <x v="1165"/>
    <s v="SAN JOAQUÍN"/>
    <n v="13"/>
    <x v="0"/>
    <s v="CN77478120"/>
    <s v="PRIVADO"/>
    <s v="ATEL"/>
    <s v="REGIÓN DE METROPOLITANA DE SANTIAGO"/>
  </r>
  <r>
    <n v="774831975"/>
    <x v="1166"/>
    <s v="LAS CONDES"/>
    <n v="13"/>
    <x v="0"/>
    <s v="CN77483197"/>
    <s v="PRIVADO"/>
    <s v="ATEL"/>
    <s v="REGIÓN DE METROPOLITANA DE SANTIAGO"/>
  </r>
  <r>
    <n v="774889191"/>
    <x v="1167"/>
    <s v="SANTIAGO"/>
    <n v="13"/>
    <x v="0"/>
    <s v="CN77488919"/>
    <s v="PRIVADO"/>
    <s v="ATEL"/>
    <s v="REGIÓN DE METROPOLITANA DE SANTIAGO"/>
  </r>
  <r>
    <s v="77490090K"/>
    <x v="1168"/>
    <s v="SANTIAGO"/>
    <n v="13"/>
    <x v="0"/>
    <s v="CN77490090"/>
    <s v="PRIVADO"/>
    <s v="ATEL"/>
    <s v="REGIÓN DE METROPOLITANA DE SANTIAGO"/>
  </r>
  <r>
    <n v="774904492"/>
    <x v="1169"/>
    <s v="PROVIDENCIA"/>
    <n v="13"/>
    <x v="0"/>
    <s v="CN77490449"/>
    <s v="PRIVADO"/>
    <s v="ATEL"/>
    <s v="REGIÓN DE METROPOLITANA DE SANTIAGO"/>
  </r>
  <r>
    <n v="775013796"/>
    <x v="1170"/>
    <s v="VILLA ALEMANA"/>
    <n v="5"/>
    <x v="0"/>
    <s v="CN77501379"/>
    <s v="PRIVADO"/>
    <s v="ATEL"/>
    <s v="REGIÓN DE VALPARAÍSO"/>
  </r>
  <r>
    <n v="775046813"/>
    <x v="1171"/>
    <s v="SANTIAGO"/>
    <n v="13"/>
    <x v="0"/>
    <s v="CN77504681"/>
    <s v="PRIVADO"/>
    <s v="ATEL"/>
    <s v="REGIÓN DE METROPOLITANA DE SANTIAGO"/>
  </r>
  <r>
    <n v="775139897"/>
    <x v="1172"/>
    <s v="VIÑA DEL MAR"/>
    <n v="5"/>
    <x v="0"/>
    <s v="CN77513989"/>
    <s v="PRIVADO"/>
    <s v="ATEL"/>
    <s v="REGIÓN DE VALPARAÍSO"/>
  </r>
  <r>
    <s v="77518471K"/>
    <x v="1173"/>
    <s v="SANTIAGO"/>
    <n v="13"/>
    <x v="0"/>
    <s v="CN77518471"/>
    <s v="PRIVADO"/>
    <s v="ATEL"/>
    <s v="REGIÓN DE METROPOLITANA DE SANTIAGO"/>
  </r>
  <r>
    <n v="775190604"/>
    <x v="1174"/>
    <s v="LAS CONDES"/>
    <n v="13"/>
    <x v="0"/>
    <s v="CN77519060"/>
    <s v="PRIVADO"/>
    <s v="ATEL"/>
    <s v="REGIÓN DE METROPOLITANA DE SANTIAGO"/>
  </r>
  <r>
    <n v="775202769"/>
    <x v="1175"/>
    <s v="PROVIDENCIA"/>
    <n v="13"/>
    <x v="0"/>
    <s v="CN77520276"/>
    <s v="PRIVADO"/>
    <s v="ATEL"/>
    <s v="REGIÓN DE METROPOLITANA DE SANTIAGO"/>
  </r>
  <r>
    <n v="775208740"/>
    <x v="1176"/>
    <s v="QUILPUÉ"/>
    <n v="5"/>
    <x v="0"/>
    <s v="CN77520874"/>
    <s v="PRIVADO"/>
    <s v="ATEL"/>
    <s v="REGIÓN DE VALPARAÍSO"/>
  </r>
  <r>
    <n v="775284692"/>
    <x v="1177"/>
    <s v="VALDIVIA"/>
    <n v="14"/>
    <x v="0"/>
    <s v="CN77528469"/>
    <s v="PRIVADO"/>
    <s v="ATEL"/>
    <s v="REGIÓN DE LOS RÍOS"/>
  </r>
  <r>
    <n v="775408936"/>
    <x v="1178"/>
    <s v="ANTOFAGASTA"/>
    <n v="2"/>
    <x v="0"/>
    <s v="CN77540893"/>
    <s v="PRIVADO"/>
    <s v="ATEL"/>
    <s v="REGIÓN DE ANTOFAGASTA"/>
  </r>
  <r>
    <n v="775462167"/>
    <x v="1179"/>
    <s v="PROVIDENCIA"/>
    <n v="13"/>
    <x v="0"/>
    <s v="CN77546216"/>
    <s v="PRIVADO"/>
    <s v="ATEL"/>
    <s v="REGIÓN DE METROPOLITANA DE SANTIAGO"/>
  </r>
  <r>
    <n v="775462177"/>
    <x v="1180"/>
    <s v="Santiago"/>
    <n v="13"/>
    <x v="0"/>
    <s v="CN77546217"/>
    <s v="PRIVADO"/>
    <s v="ATEL"/>
    <s v="REGIÓN DE METROPOLITANA DE SANTIAGO"/>
  </r>
  <r>
    <n v="775571128"/>
    <x v="1181"/>
    <s v="EL BOSQUE"/>
    <n v="13"/>
    <x v="0"/>
    <s v="CN77557112"/>
    <s v="PRIVADO"/>
    <s v="ATEL"/>
    <s v="REGIÓN DE METROPOLITANA DE SANTIAGO"/>
  </r>
  <r>
    <n v="775583533"/>
    <x v="1182"/>
    <s v="PROVIDENCIA"/>
    <n v="13"/>
    <x v="0"/>
    <s v="CN77558353"/>
    <s v="PRIVADO"/>
    <s v="ATEL"/>
    <s v="REGIÓN DE METROPOLITANA DE SANTIAGO"/>
  </r>
  <r>
    <n v="775614315"/>
    <x v="1183"/>
    <s v="LA REINA"/>
    <n v="2"/>
    <x v="0"/>
    <s v="CN77561431"/>
    <s v="PRIVADO"/>
    <s v="ATEL"/>
    <s v="REGIÓN DE ANTOFAGASTA"/>
  </r>
  <r>
    <n v="775822279"/>
    <x v="1184"/>
    <s v="SANTIAGO"/>
    <n v="13"/>
    <x v="0"/>
    <s v="CN77582227"/>
    <s v="PRIVADO"/>
    <s v="ATEL"/>
    <s v="REGIÓN DE METROPOLITANA DE SANTIAGO"/>
  </r>
  <r>
    <n v="775874295"/>
    <x v="1185"/>
    <s v="VIÑA DEL MAR"/>
    <n v="5"/>
    <x v="0"/>
    <s v="CN77587429"/>
    <s v="PRIVADO"/>
    <s v="ATEL"/>
    <s v="REGIÓN DE VALPARAÍSO"/>
  </r>
  <r>
    <n v="775875119"/>
    <x v="1186"/>
    <s v="PUDAHUEL"/>
    <n v="13"/>
    <x v="0"/>
    <s v="CN77587511"/>
    <s v="PRIVADO"/>
    <s v="ATEL"/>
    <s v="REGIÓN DE METROPOLITANA DE SANTIAGO"/>
  </r>
  <r>
    <n v="776062200"/>
    <x v="1187"/>
    <s v="PUDAHUEL"/>
    <n v="13"/>
    <x v="0"/>
    <s v="CN77606220"/>
    <s v="PRIVADO"/>
    <s v="ATEL"/>
    <s v="REGIÓN DE METROPOLITANA DE SANTIAGO"/>
  </r>
  <r>
    <n v="776081809"/>
    <x v="1188"/>
    <s v="VITACURA"/>
    <n v="13"/>
    <x v="0"/>
    <s v="CN77608180"/>
    <s v="PRIVADO"/>
    <s v="ATEL"/>
    <s v="REGIÓN DE METROPOLITANA DE SANTIAGO"/>
  </r>
  <r>
    <n v="776108448"/>
    <x v="1189"/>
    <s v="RANCAGUA"/>
    <n v="6"/>
    <x v="0"/>
    <s v="CN77610844"/>
    <s v="PRIVADO"/>
    <s v="ATEL"/>
    <s v="REGIÓN DE LIBERTADOR GENERAL BERNARDO O'HIGGINS"/>
  </r>
  <r>
    <n v="776190853"/>
    <x v="1190"/>
    <s v="LA REINA"/>
    <n v="13"/>
    <x v="0"/>
    <s v="CN77619085"/>
    <s v="PÚBLICO"/>
    <s v="ATEL"/>
    <s v="REGIÓN DE METROPOLITANA DE SANTIAGO"/>
  </r>
  <r>
    <n v="776195642"/>
    <x v="1191"/>
    <s v="HUECHURABA"/>
    <n v="13"/>
    <x v="0"/>
    <s v="CN77619564"/>
    <s v="PRIVADO"/>
    <s v="ATEL"/>
    <s v="REGIÓN DE METROPOLITANA DE SANTIAGO"/>
  </r>
  <r>
    <n v="776267783"/>
    <x v="1192"/>
    <s v="QUILPUÉ"/>
    <n v="5"/>
    <x v="0"/>
    <s v="CN77626778"/>
    <s v="PRIVADO"/>
    <s v="ATEL"/>
    <s v="REGIÓN DE VALPARAÍSO"/>
  </r>
  <r>
    <n v="776286303"/>
    <x v="1193"/>
    <s v="SAN ANTONIO"/>
    <n v="5"/>
    <x v="0"/>
    <s v="CN77628630"/>
    <s v="PRIVADO"/>
    <s v="ATEL"/>
    <s v="REGIÓN DE VALPARAÍSO"/>
  </r>
  <r>
    <n v="776326887"/>
    <x v="1194"/>
    <s v="CHILLÁN"/>
    <n v="16"/>
    <x v="0"/>
    <s v="CN77632688"/>
    <s v="PRIVADO"/>
    <s v="ATEL"/>
    <s v="REGIÓN DE ÑUBLE"/>
  </r>
  <r>
    <n v="776381233"/>
    <x v="1195"/>
    <s v="LAS CONDES"/>
    <n v="13"/>
    <x v="0"/>
    <s v="CN77638123"/>
    <s v="PRIVADO"/>
    <s v="ATEL"/>
    <s v="REGIÓN DE METROPOLITANA DE SANTIAGO"/>
  </r>
  <r>
    <n v="776441406"/>
    <x v="1196"/>
    <s v="VITACURA"/>
    <n v="13"/>
    <x v="0"/>
    <s v="CN77644140"/>
    <s v="PRIVADO"/>
    <s v="ATEL"/>
    <s v="REGIÓN DE METROPOLITANA DE SANTIAGO"/>
  </r>
  <r>
    <n v="776495999"/>
    <x v="1197"/>
    <s v="RECOLETA"/>
    <n v="13"/>
    <x v="0"/>
    <s v="CN77649599"/>
    <s v="PRIVADO"/>
    <s v="ATEL"/>
    <s v="REGIÓN DE METROPOLITANA DE SANTIAGO"/>
  </r>
  <r>
    <n v="776531693"/>
    <x v="1198"/>
    <s v="PROVIDENCIA"/>
    <n v="13"/>
    <x v="0"/>
    <s v="CN77653169"/>
    <s v="PRIVADO"/>
    <s v="ATEL"/>
    <s v="REGIÓN DE METROPOLITANA DE SANTIAGO"/>
  </r>
  <r>
    <n v="776670855"/>
    <x v="1199"/>
    <s v="HUECHURABA"/>
    <n v="13"/>
    <x v="0"/>
    <s v="CN77667085"/>
    <s v="PRIVADO"/>
    <s v="ATEL"/>
    <s v="REGIÓN DE METROPOLITANA DE SANTIAGO"/>
  </r>
  <r>
    <n v="776717754"/>
    <x v="1200"/>
    <s v="VALPARAÍSO"/>
    <n v="5"/>
    <x v="0"/>
    <s v="CN77671775"/>
    <s v="PRIVADO"/>
    <s v="ATEL"/>
    <s v="REGIÓN DE VALPARAÍSO"/>
  </r>
  <r>
    <n v="776722316"/>
    <x v="1201"/>
    <s v="CONCÓN"/>
    <n v="5"/>
    <x v="0"/>
    <s v="CN77672231"/>
    <s v="PRIVADO"/>
    <s v="ATEL"/>
    <s v="REGIÓN DE VALPARAÍSO"/>
  </r>
  <r>
    <s v="77687535K"/>
    <x v="1202"/>
    <s v="CONCEPCIÓN"/>
    <n v="8"/>
    <x v="0"/>
    <s v="CN77687535"/>
    <s v="PRIVADO"/>
    <s v="ATEL"/>
    <s v="REGIÓN DE BIOBÍO"/>
  </r>
  <r>
    <n v="776891320"/>
    <x v="1203"/>
    <s v="LAS CONDES"/>
    <n v="13"/>
    <x v="0"/>
    <s v="CN77689132"/>
    <s v="PRIVADO"/>
    <s v="ATEL"/>
    <s v="REGIÓN DE METROPOLITANA DE SANTIAGO"/>
  </r>
  <r>
    <n v="776893218"/>
    <x v="1204"/>
    <s v="TALCA"/>
    <n v="7"/>
    <x v="0"/>
    <s v="CN77689321"/>
    <s v="PRIVADO"/>
    <s v="ATEL"/>
    <s v="REGIÓN DE MAULE"/>
  </r>
  <r>
    <s v="77689477K"/>
    <x v="1205"/>
    <s v="VITACURA"/>
    <n v="13"/>
    <x v="0"/>
    <s v="CN77689477"/>
    <s v="PRIVADO"/>
    <s v="ATEL"/>
    <s v="REGIÓN DE METROPOLITANA DE SANTIAGO"/>
  </r>
  <r>
    <n v="776910341"/>
    <x v="1206"/>
    <s v="PROVIDENCIA"/>
    <n v="13"/>
    <x v="0"/>
    <s v="CN77691034"/>
    <s v="PRIVADO"/>
    <s v="ATEL"/>
    <s v="REGIÓN DE METROPOLITANA DE SANTIAGO"/>
  </r>
  <r>
    <n v="776953997"/>
    <x v="1207"/>
    <s v="PUERTO MONTT"/>
    <n v="10"/>
    <x v="0"/>
    <s v="CN77695399"/>
    <s v="PRIVADO"/>
    <s v="ATEL"/>
    <s v="REGIÓN DE LOS LAGOS"/>
  </r>
  <r>
    <n v="776982598"/>
    <x v="1208"/>
    <s v="PROVIDENCIA"/>
    <n v="6"/>
    <x v="0"/>
    <s v="CN77698259"/>
    <s v="PRIVADO"/>
    <s v="ATEL"/>
    <s v="REGIÓN DE LIBERTADOR GENERAL BERNARDO O'HIGGINS"/>
  </r>
  <r>
    <n v="777129597"/>
    <x v="1209"/>
    <s v="PROVIDENCIA"/>
    <n v="13"/>
    <x v="0"/>
    <s v="CN77712959"/>
    <s v="PRIVADO"/>
    <s v="ATEL"/>
    <s v="REGIÓN DE METROPOLITANA DE SANTIAGO"/>
  </r>
  <r>
    <n v="777141570"/>
    <x v="1210"/>
    <s v="CONCEPCIÓN"/>
    <n v="8"/>
    <x v="0"/>
    <s v="CN77714157"/>
    <s v="PRIVADO"/>
    <s v="ATEL"/>
    <s v="REGIÓN DE BIOBÍO"/>
  </r>
  <r>
    <n v="777228234"/>
    <x v="1211"/>
    <s v="HUECHURABA"/>
    <n v="13"/>
    <x v="0"/>
    <s v="CN77722823"/>
    <s v="PRIVADO"/>
    <s v="ATEL"/>
    <s v="REGIÓN DE METROPOLITANA DE SANTIAGO"/>
  </r>
  <r>
    <n v="777412035"/>
    <x v="1212"/>
    <s v="CHILLÁN"/>
    <n v="13"/>
    <x v="0"/>
    <s v="CN77741203"/>
    <s v="PRIVADO"/>
    <s v="ATEL"/>
    <s v="REGIÓN DE METROPOLITANA DE SANTIAGO"/>
  </r>
  <r>
    <n v="777443828"/>
    <x v="1213"/>
    <s v="PROVIDENCIA"/>
    <n v="13"/>
    <x v="0"/>
    <s v="CN77744382"/>
    <s v="PRIVADO"/>
    <s v="ATEL"/>
    <s v="REGIÓN DE METROPOLITANA DE SANTIAGO"/>
  </r>
  <r>
    <n v="777474596"/>
    <x v="1214"/>
    <s v="LAS CONDES"/>
    <n v="13"/>
    <x v="0"/>
    <s v="CN77747459"/>
    <s v="PRIVADO"/>
    <s v="ATEL"/>
    <s v="REGIÓN DE METROPOLITANA DE SANTIAGO"/>
  </r>
  <r>
    <n v="777492101"/>
    <x v="238"/>
    <s v="SANTIAGO"/>
    <n v="13"/>
    <x v="0"/>
    <s v="CN77749210"/>
    <s v="PRIVADO"/>
    <s v="ATEL"/>
    <s v="REGIÓN DE METROPOLITANA DE SANTIAGO"/>
  </r>
  <r>
    <n v="777514059"/>
    <x v="1215"/>
    <s v="TALCAHUANO"/>
    <n v="8"/>
    <x v="0"/>
    <s v="CN77751405"/>
    <s v="PRIVADO"/>
    <s v="ATEL"/>
    <s v="REGIÓN DE BIOBÍO"/>
  </r>
  <r>
    <n v="777653768"/>
    <x v="1216"/>
    <s v="CHILLÁN"/>
    <n v="16"/>
    <x v="0"/>
    <s v="CN77765376"/>
    <s v="PRIVADO"/>
    <s v="ATEL"/>
    <s v="REGIÓN DE ÑUBLE"/>
  </r>
  <r>
    <n v="777691309"/>
    <x v="1217"/>
    <s v="QUILPUÉ"/>
    <n v="5"/>
    <x v="0"/>
    <s v="CN77769130"/>
    <s v="PRIVADO"/>
    <s v="ATEL"/>
    <s v="REGIÓN DE VALPARAÍSO"/>
  </r>
  <r>
    <n v="777723081"/>
    <x v="1218"/>
    <s v="LAS CONDES"/>
    <n v="13"/>
    <x v="0"/>
    <s v="CN77772308"/>
    <s v="PRIVADO"/>
    <s v="ATEL"/>
    <s v="REGIÓN DE METROPOLITANA DE SANTIAGO"/>
  </r>
  <r>
    <n v="777746138"/>
    <x v="1219"/>
    <s v="YUNGAY"/>
    <n v="16"/>
    <x v="0"/>
    <s v="CN77774613"/>
    <s v="PÚBLICO"/>
    <s v="ATEL"/>
    <s v="REGIÓN DE ÑUBLE"/>
  </r>
  <r>
    <n v="777767453"/>
    <x v="1220"/>
    <s v="LA REINA"/>
    <n v="13"/>
    <x v="0"/>
    <s v="CN77776745"/>
    <s v="PRIVADO"/>
    <s v="ATEL"/>
    <s v="REGIÓN DE METROPOLITANA DE SANTIAGO"/>
  </r>
  <r>
    <n v="777792954"/>
    <x v="1221"/>
    <s v="CURACAVÍ"/>
    <n v="13"/>
    <x v="0"/>
    <s v="CN77779295"/>
    <s v="PRIVADO"/>
    <s v="ATEL"/>
    <s v="REGIÓN DE METROPOLITANA DE SANTIAGO"/>
  </r>
  <r>
    <n v="777941046"/>
    <x v="1222"/>
    <s v="ANTOFAGASTA"/>
    <n v="2"/>
    <x v="0"/>
    <s v="CN77794104"/>
    <s v="PRIVADO"/>
    <s v="ATEL"/>
    <s v="REGIÓN DE ANTOFAGASTA"/>
  </r>
  <r>
    <n v="778058294"/>
    <x v="1223"/>
    <s v="ANTOFAGASTA"/>
    <n v="2"/>
    <x v="0"/>
    <s v="CN77805829"/>
    <s v="PRIVADO"/>
    <s v="ATEL"/>
    <s v="REGIÓN DE ANTOFAGASTA"/>
  </r>
  <r>
    <n v="778068524"/>
    <x v="1224"/>
    <s v="PEDRO AGUIRRE CERDA"/>
    <n v="13"/>
    <x v="0"/>
    <s v="CN77806852"/>
    <s v="PRIVADO"/>
    <s v="ATEL"/>
    <s v="REGIÓN DE METROPOLITANA DE SANTIAGO"/>
  </r>
  <r>
    <n v="778078406"/>
    <x v="1225"/>
    <s v="SAN JOAQUÍN"/>
    <n v="13"/>
    <x v="0"/>
    <s v="CN77807840"/>
    <s v="PRIVADO"/>
    <s v="ATEL"/>
    <s v="REGIÓN DE METROPOLITANA DE SANTIAGO"/>
  </r>
  <r>
    <n v="778127342"/>
    <x v="1226"/>
    <s v="LA FLORIDA"/>
    <n v="13"/>
    <x v="0"/>
    <s v="CN77812734"/>
    <s v="PRIVADO"/>
    <s v="ATEL"/>
    <s v="REGIÓN DE METROPOLITANA DE SANTIAGO"/>
  </r>
  <r>
    <s v="77815689K"/>
    <x v="1227"/>
    <s v="LAS CONDES"/>
    <n v="13"/>
    <x v="0"/>
    <s v="CN77815689"/>
    <s v="PRIVADO"/>
    <s v="ATEL"/>
    <s v="REGIÓN DE METROPOLITANA DE SANTIAGO"/>
  </r>
  <r>
    <n v="778187922"/>
    <x v="1228"/>
    <s v="ARICA"/>
    <n v="15"/>
    <x v="0"/>
    <s v="CN77818792"/>
    <s v="PRIVADO"/>
    <s v="ATEL"/>
    <s v="REGIÓN DE ARICA Y PARINACOTA"/>
  </r>
  <r>
    <n v="778422891"/>
    <x v="1229"/>
    <s v="CONCEPCIÓN"/>
    <n v="8"/>
    <x v="0"/>
    <s v="CN77842289"/>
    <s v="PRIVADO"/>
    <s v="ATEL"/>
    <s v="REGIÓN DE BIOBÍO"/>
  </r>
  <r>
    <n v="778551837"/>
    <x v="1230"/>
    <s v="PROVIDENCIA"/>
    <n v="13"/>
    <x v="0"/>
    <s v="CN77855183"/>
    <s v="PRIVADO"/>
    <s v="ATEL"/>
    <s v="REGIÓN DE METROPOLITANA DE SANTIAGO"/>
  </r>
  <r>
    <n v="778653494"/>
    <x v="1231"/>
    <s v="VIÑA DEL MAR"/>
    <n v="5"/>
    <x v="0"/>
    <s v="CN77865349"/>
    <s v="PRIVADO"/>
    <s v="ATEL"/>
    <s v="REGIÓN DE VALPARAÍSO"/>
  </r>
  <r>
    <n v="778744848"/>
    <x v="1232"/>
    <s v="SAN PEDRO DE LA PAZ"/>
    <n v="8"/>
    <x v="0"/>
    <s v="CN77874484"/>
    <s v="PRIVADO"/>
    <s v="ATEL"/>
    <s v="REGIÓN DE BIOBÍO"/>
  </r>
  <r>
    <n v="778781700"/>
    <x v="1233"/>
    <s v="MELIPILLA"/>
    <n v="13"/>
    <x v="0"/>
    <s v="CN77878170"/>
    <s v="PRIVADO"/>
    <s v="ATEL"/>
    <s v="REGIÓN DE METROPOLITANA DE SANTIAGO"/>
  </r>
  <r>
    <n v="778830833"/>
    <x v="1234"/>
    <s v="RENCA"/>
    <n v="13"/>
    <x v="0"/>
    <s v="CN77883083"/>
    <s v="PRIVADO"/>
    <s v="ATEL"/>
    <s v="REGIÓN DE METROPOLITANA DE SANTIAGO"/>
  </r>
  <r>
    <n v="778997223"/>
    <x v="1235"/>
    <s v="VITACURA"/>
    <n v="13"/>
    <x v="0"/>
    <s v="CN77899722"/>
    <s v="PRIVADO"/>
    <s v="ATEL"/>
    <s v="REGIÓN DE METROPOLITANA DE SANTIAGO"/>
  </r>
  <r>
    <n v="779008525"/>
    <x v="1236"/>
    <s v="RENCA"/>
    <n v="13"/>
    <x v="0"/>
    <s v="CN77900852"/>
    <s v="PRIVADO"/>
    <s v="ATEL"/>
    <s v="REGIÓN DE METROPOLITANA DE SANTIAGO"/>
  </r>
  <r>
    <n v="779033414"/>
    <x v="1237"/>
    <s v="LAS CONDES"/>
    <n v="13"/>
    <x v="0"/>
    <s v="CN77903341"/>
    <s v="PRIVADO"/>
    <s v="ATEL"/>
    <s v="REGIÓN DE METROPOLITANA DE SANTIAGO"/>
  </r>
  <r>
    <n v="779041808"/>
    <x v="1238"/>
    <s v="SAN FERNANDO"/>
    <n v="6"/>
    <x v="0"/>
    <s v="CN77904180"/>
    <s v="PRIVADO"/>
    <s v="ATEL"/>
    <s v="REGIÓN DE LIBERTADOR GENERAL BERNARDO O'HIGGINS"/>
  </r>
  <r>
    <n v="779049493"/>
    <x v="1239"/>
    <s v="MAIPÚ"/>
    <n v="13"/>
    <x v="0"/>
    <s v="CN77904949"/>
    <s v="PRIVADO"/>
    <s v="ATEL"/>
    <s v="REGIÓN DE METROPOLITANA DE SANTIAGO"/>
  </r>
  <r>
    <n v="779311201"/>
    <x v="1240"/>
    <s v="RECOLETA"/>
    <n v="13"/>
    <x v="0"/>
    <s v="CN77931120"/>
    <s v="PRIVADO"/>
    <s v="ATEL"/>
    <s v="REGIÓN DE METROPOLITANA DE SANTIAGO"/>
  </r>
  <r>
    <n v="779315088"/>
    <x v="1241"/>
    <s v="MAIPÚ"/>
    <n v="13"/>
    <x v="0"/>
    <s v="CN77931508"/>
    <s v="PRIVADO"/>
    <s v="ATEL"/>
    <s v="REGIÓN DE METROPOLITANA DE SANTIAGO"/>
  </r>
  <r>
    <n v="779453456"/>
    <x v="1242"/>
    <s v="LA PINTANA"/>
    <n v="13"/>
    <x v="0"/>
    <s v="CN77945345"/>
    <s v="PRIVADO"/>
    <s v="ATEL"/>
    <s v="REGIÓN DE METROPOLITANA DE SANTIAGO"/>
  </r>
  <r>
    <n v="779499839"/>
    <x v="1243"/>
    <s v="LAS CONDES"/>
    <n v="13"/>
    <x v="0"/>
    <s v="CN77949983"/>
    <s v="PRIVADO"/>
    <s v="ATEL"/>
    <s v="REGIÓN DE METROPOLITANA DE SANTIAGO"/>
  </r>
  <r>
    <n v="779544508"/>
    <x v="1244"/>
    <s v="LAS CONDES"/>
    <n v="13"/>
    <x v="0"/>
    <s v="CN77954450"/>
    <s v="PRIVADO"/>
    <s v="ATEL"/>
    <s v="REGIÓN DE METROPOLITANA DE SANTIAGO"/>
  </r>
  <r>
    <n v="779583074"/>
    <x v="1245"/>
    <s v="ÑUÑOA"/>
    <n v="13"/>
    <x v="0"/>
    <s v="CN77958307"/>
    <s v="PRIVADO"/>
    <s v="ATEL"/>
    <s v="REGIÓN DE METROPOLITANA DE SANTIAGO"/>
  </r>
  <r>
    <n v="779682609"/>
    <x v="1246"/>
    <s v="PROVIDENCIA"/>
    <n v="13"/>
    <x v="0"/>
    <s v="CN77968260"/>
    <s v="PRIVADO"/>
    <s v="ATEL"/>
    <s v="REGIÓN DE METROPOLITANA DE SANTIAGO"/>
  </r>
  <r>
    <n v="779771067"/>
    <x v="1247"/>
    <s v="SAN MIGUEL"/>
    <n v="13"/>
    <x v="0"/>
    <s v="CN77977106"/>
    <s v="PRIVADO"/>
    <s v="ATEL"/>
    <s v="REGIÓN DE METROPOLITANA DE SANTIAGO"/>
  </r>
  <r>
    <n v="780009640"/>
    <x v="1248"/>
    <s v="ÑUÑOA"/>
    <n v="13"/>
    <x v="0"/>
    <s v="CN78000964"/>
    <s v="PRIVADO"/>
    <s v="ATEL"/>
    <s v="REGIÓN DE METROPOLITANA DE SANTIAGO"/>
  </r>
  <r>
    <n v="780025484"/>
    <x v="1249"/>
    <s v="PROVIDENCIA"/>
    <n v="13"/>
    <x v="0"/>
    <s v="CN78002548"/>
    <s v="PRIVADO"/>
    <s v="ATEL"/>
    <s v="REGIÓN DE METROPOLITANA DE SANTIAGO"/>
  </r>
  <r>
    <n v="780101679"/>
    <x v="1250"/>
    <s v="LAMPA"/>
    <n v="13"/>
    <x v="0"/>
    <s v="CN78010167"/>
    <s v="PRIVADO"/>
    <s v="ATEL"/>
    <s v="REGIÓN DE METROPOLITANA DE SANTIAGO"/>
  </r>
  <r>
    <n v="780101806"/>
    <x v="1251"/>
    <s v="CALERA DE TANGO"/>
    <n v="13"/>
    <x v="0"/>
    <s v="CN78010180"/>
    <s v="PRIVADO"/>
    <s v="ATEL"/>
    <s v="REGIÓN DE METROPOLITANA DE SANTIAGO"/>
  </r>
  <r>
    <n v="780188448"/>
    <x v="1252"/>
    <s v="SAN BERNARDO"/>
    <n v="13"/>
    <x v="0"/>
    <s v="CN78018844"/>
    <s v="PRIVADO"/>
    <s v="ATEL"/>
    <s v="REGIÓN DE METROPOLITANA DE SANTIAGO"/>
  </r>
  <r>
    <n v="780271205"/>
    <x v="1253"/>
    <s v="CONCEPCIÓN"/>
    <n v="8"/>
    <x v="0"/>
    <s v="CN78027120"/>
    <s v="PRIVADO"/>
    <s v="ATEL"/>
    <s v="REGIÓN DE BIOBÍO"/>
  </r>
  <r>
    <n v="780325666"/>
    <x v="1254"/>
    <s v="QUILICURA"/>
    <n v="13"/>
    <x v="0"/>
    <s v="CN78032566"/>
    <s v="PRIVADO"/>
    <s v="ATEL"/>
    <s v="REGIÓN DE METROPOLITANA DE SANTIAGO"/>
  </r>
  <r>
    <n v="780353902"/>
    <x v="1255"/>
    <s v="SAN ANTONIO"/>
    <n v="5"/>
    <x v="4"/>
    <s v="CN78035390"/>
    <s v="PRIVADO"/>
    <s v="NOR1"/>
    <s v="REGIÓN DE VALPARAÍSO"/>
  </r>
  <r>
    <n v="780356405"/>
    <x v="1256"/>
    <s v="PROVIDENCIA"/>
    <n v="13"/>
    <x v="0"/>
    <s v="CN78035640"/>
    <s v="PRIVADO"/>
    <s v="ATEL"/>
    <s v="REGIÓN DE METROPOLITANA DE SANTIAGO"/>
  </r>
  <r>
    <s v="78039272K"/>
    <x v="1257"/>
    <s v="CHILLÁN"/>
    <n v="16"/>
    <x v="0"/>
    <s v="CN78039272"/>
    <s v="PRIVADO"/>
    <s v="ATEL"/>
    <s v="REGIÓN DE ÑUBLE"/>
  </r>
  <r>
    <n v="780405201"/>
    <x v="1258"/>
    <s v="PROVIDENCIA"/>
    <n v="13"/>
    <x v="0"/>
    <s v="CN78040520"/>
    <s v="PRIVADO"/>
    <s v="ATEL"/>
    <s v="REGIÓN DE METROPOLITANA DE SANTIAGO"/>
  </r>
  <r>
    <n v="780428155"/>
    <x v="1259"/>
    <s v="RANCAGUA"/>
    <n v="6"/>
    <x v="0"/>
    <s v="CN78042815"/>
    <s v="PRIVADO"/>
    <s v="ATEL"/>
    <s v="REGIÓN DE LIBERTADOR GENERAL BERNARDO O'HIGGINS"/>
  </r>
  <r>
    <n v="780535601"/>
    <x v="1260"/>
    <s v="VITACURA"/>
    <n v="13"/>
    <x v="3"/>
    <s v="CN78053560"/>
    <s v="PRIVADO"/>
    <s v="SANT1"/>
    <s v="REGIÓN DE METROPOLITANA DE SANTIAGO"/>
  </r>
  <r>
    <n v="780542020"/>
    <x v="1261"/>
    <s v="LLANQUIHUE"/>
    <n v="10"/>
    <x v="0"/>
    <s v="CN78054202"/>
    <s v="PRIVADO"/>
    <s v="ATEL"/>
    <s v="REGIÓN DE LOS LAGOS"/>
  </r>
  <r>
    <s v="78060400K"/>
    <x v="1262"/>
    <s v="PROVIDENCIA"/>
    <n v="13"/>
    <x v="0"/>
    <s v="CN78060400"/>
    <s v="PRIVADO"/>
    <s v="ATEL"/>
    <s v="REGIÓN DE METROPOLITANA DE SANTIAGO"/>
  </r>
  <r>
    <n v="780722045"/>
    <x v="1263"/>
    <s v="TEMUCO"/>
    <n v="9"/>
    <x v="0"/>
    <s v="CN78072204"/>
    <s v="PRIVADO"/>
    <s v="ATEL"/>
    <s v="REGIÓN DE LA ARAUCANÍA"/>
  </r>
  <r>
    <n v="780839406"/>
    <x v="1264"/>
    <s v="ÑUÑOA"/>
    <n v="13"/>
    <x v="0"/>
    <s v="CN78083940"/>
    <s v="PRIVADO"/>
    <s v="ATEL"/>
    <s v="REGIÓN DE METROPOLITANA DE SANTIAGO"/>
  </r>
  <r>
    <n v="781247707"/>
    <x v="1265"/>
    <s v="CONCEPCIÓN"/>
    <n v="8"/>
    <x v="0"/>
    <s v="CN78124770"/>
    <s v="PRIVADO"/>
    <s v="ATEL"/>
    <s v="REGIÓN DE BIOBÍO"/>
  </r>
  <r>
    <n v="781851302"/>
    <x v="1266"/>
    <s v="PUERTO MONTT"/>
    <n v="10"/>
    <x v="0"/>
    <s v="CN78185130"/>
    <s v="PRIVADO"/>
    <s v="ATEL"/>
    <s v="REGIÓN DE LOS LAGOS"/>
  </r>
  <r>
    <n v="782302302"/>
    <x v="1267"/>
    <s v="RANCAGUA"/>
    <n v="6"/>
    <x v="0"/>
    <s v="CN78230230"/>
    <s v="PRIVADO"/>
    <s v="ATEL"/>
    <s v="REGIÓN DE LIBERTADOR GENERAL BERNARDO O'HIGGINS"/>
  </r>
  <r>
    <n v="782334204"/>
    <x v="1268"/>
    <s v="PROVIDENCIA"/>
    <n v="13"/>
    <x v="0"/>
    <s v="CN78233420"/>
    <s v="PRIVADO"/>
    <s v="ATEL"/>
    <s v="REGIÓN DE METROPOLITANA DE SANTIAGO"/>
  </r>
  <r>
    <n v="783504405"/>
    <x v="1269"/>
    <s v="PROVIDENCIA"/>
    <n v="13"/>
    <x v="0"/>
    <s v="CN78350440"/>
    <s v="PRIVADO"/>
    <s v="ATEL"/>
    <s v="REGIÓN DE METROPOLITANA DE SANTIAGO"/>
  </r>
  <r>
    <n v="785378709"/>
    <x v="1270"/>
    <s v="SAN VICENTE"/>
    <n v="13"/>
    <x v="0"/>
    <s v="CN78537870"/>
    <s v="PRIVADO"/>
    <s v="ATEL"/>
    <s v="REGIÓN DE METROPOLITANA DE SANTIAGO"/>
  </r>
  <r>
    <n v="785563700"/>
    <x v="1271"/>
    <s v="PROVIDENCIA"/>
    <n v="13"/>
    <x v="0"/>
    <s v="CN78556370"/>
    <s v="PRIVADO"/>
    <s v="ATEL"/>
    <s v="REGIÓN DE METROPOLITANA DE SANTIAGO"/>
  </r>
  <r>
    <n v="785837509"/>
    <x v="1272"/>
    <s v="LAS CONDES"/>
    <n v="13"/>
    <x v="0"/>
    <s v="CN78583750"/>
    <s v="PRIVADO"/>
    <s v="ATEL"/>
    <s v="REGIÓN DE METROPOLITANA DE SANTIAGO"/>
  </r>
  <r>
    <n v="785977408"/>
    <x v="1273"/>
    <s v="PROVIDENCIA"/>
    <n v="13"/>
    <x v="0"/>
    <s v="CN78597740"/>
    <s v="PRIVADO"/>
    <s v="ATEL"/>
    <s v="REGIÓN DE METROPOLITANA DE SANTIAGO"/>
  </r>
  <r>
    <n v="786602009"/>
    <x v="1274"/>
    <s v="VIÑA DEL MAR"/>
    <n v="5"/>
    <x v="4"/>
    <s v="CN78660200"/>
    <s v="PRIVADO"/>
    <s v="NOR1"/>
    <s v="REGIÓN DE VALPARAÍSO"/>
  </r>
  <r>
    <n v="786632609"/>
    <x v="1275"/>
    <s v="VIÑA DEL MAR"/>
    <n v="5"/>
    <x v="0"/>
    <s v="CN78663260"/>
    <s v="PRIVADO"/>
    <s v="ATEL"/>
    <s v="REGIÓN DE VALPARAÍSO"/>
  </r>
  <r>
    <n v="787395805"/>
    <x v="1276"/>
    <s v="LAS CONDES"/>
    <n v="13"/>
    <x v="0"/>
    <s v="CN78739580"/>
    <s v="PRIVADO"/>
    <s v="ATEL"/>
    <s v="REGIÓN DE METROPOLITANA DE SANTIAGO"/>
  </r>
  <r>
    <n v="789182906"/>
    <x v="1277"/>
    <s v="RANCAGUA"/>
    <n v="6"/>
    <x v="0"/>
    <s v="CN78918290"/>
    <s v="PRIVADO"/>
    <s v="ATEL"/>
    <s v="REGIÓN DE LIBERTADOR GENERAL BERNARDO O'HIGGINS"/>
  </r>
  <r>
    <n v="789374503"/>
    <x v="1278"/>
    <s v="SANTIAGO"/>
    <n v="13"/>
    <x v="0"/>
    <s v="CN78937450"/>
    <s v="PRIVADO"/>
    <s v="ATEL"/>
    <s v="REGIÓN DE METROPOLITANA DE SANTIAGO"/>
  </r>
  <r>
    <n v="795768106"/>
    <x v="1279"/>
    <s v="VIÑA DEL MAR"/>
    <n v="5"/>
    <x v="4"/>
    <s v="CN79576810"/>
    <s v="PRIVADO"/>
    <s v="NOR1"/>
    <s v="REGIÓN DE VALPARAÍSO"/>
  </r>
  <r>
    <n v="796079002"/>
    <x v="1280"/>
    <s v="CHILLÁN"/>
    <n v="16"/>
    <x v="5"/>
    <s v="CN79607900"/>
    <s v="PRIVADO"/>
    <s v="SUR1"/>
    <s v="REGIÓN DE ÑUBLE"/>
  </r>
  <r>
    <n v="797228605"/>
    <x v="1281"/>
    <s v="LAMPA"/>
    <n v="13"/>
    <x v="0"/>
    <s v="CN79722860"/>
    <s v="PRIVADO"/>
    <s v="ATEL"/>
    <s v="REGIÓN DE METROPOLITANA DE SANTIAGO"/>
  </r>
  <r>
    <n v="798440802"/>
    <x v="1282"/>
    <s v="LA FLORIDA"/>
    <n v="13"/>
    <x v="0"/>
    <s v="CN79844080"/>
    <s v="PRIVADO"/>
    <s v="ATEL"/>
    <s v="REGIÓN DE METROPOLITANA DE SANTIAGO"/>
  </r>
  <r>
    <n v="798598902"/>
    <x v="1283"/>
    <s v="LAS CONDES"/>
    <n v="13"/>
    <x v="0"/>
    <s v="CN79859890"/>
    <s v="PRIVADO"/>
    <s v="ATEL"/>
    <s v="REGIÓN DE METROPOLITANA DE SANTIAGO"/>
  </r>
  <r>
    <n v="798956701"/>
    <x v="1284"/>
    <s v="HUECHURABA"/>
    <n v="13"/>
    <x v="0"/>
    <s v="CN79895670"/>
    <s v="PRIVADO"/>
    <s v="ATEL"/>
    <s v="REGIÓN DE METROPOLITANA DE SANTIAGO"/>
  </r>
  <r>
    <n v="79898783"/>
    <x v="1285"/>
    <s v="RECOLETA"/>
    <n v="13"/>
    <x v="0"/>
    <s v="CN7989878"/>
    <s v="PRIVADO"/>
    <s v="ATEL"/>
    <s v="REGIÓN DE METROPOLITANA DE SANTIAGO"/>
  </r>
  <r>
    <n v="801239005"/>
    <x v="1286"/>
    <s v="PROVIDENCIA"/>
    <n v="13"/>
    <x v="0"/>
    <s v="CN80123900"/>
    <s v="PRIVADO"/>
    <s v="ATEL"/>
    <s v="REGIÓN DE METROPOLITANA DE SANTIAGO"/>
  </r>
  <r>
    <n v="809329003"/>
    <x v="1287"/>
    <s v="CONCEPCIÓN"/>
    <n v="8"/>
    <x v="0"/>
    <s v="CN80932900"/>
    <s v="PRIVADO"/>
    <s v="ATEL"/>
    <s v="REGIÓN DE BIOBÍO"/>
  </r>
  <r>
    <n v="813380005"/>
    <x v="1288"/>
    <s v="PUDAHUEL"/>
    <n v="13"/>
    <x v="0"/>
    <s v="CN81338000"/>
    <s v="PRIVADO"/>
    <s v="ATEL"/>
    <s v="REGIÓN DE METROPOLITANA DE SANTIAGO"/>
  </r>
  <r>
    <s v="81494400K"/>
    <x v="1289"/>
    <s v="CHILLÁN"/>
    <n v="8"/>
    <x v="0"/>
    <s v="CN81494400"/>
    <s v="PÚBLICO"/>
    <s v="ATEL"/>
    <s v="REGIÓN DE BIOBÍO"/>
  </r>
  <r>
    <n v="816989000"/>
    <x v="1290"/>
    <s v="SANTIAGO"/>
    <n v="13"/>
    <x v="0"/>
    <s v="CN81698900"/>
    <s v="PRIVADO"/>
    <s v="ATEL"/>
    <s v="REGIÓN DE METROPOLITANA DE SANTIAGO"/>
  </r>
  <r>
    <n v="818975007"/>
    <x v="1291"/>
    <s v="SANTIAGO"/>
    <n v="13"/>
    <x v="0"/>
    <s v="CN81897500"/>
    <s v="PRIVADO"/>
    <s v="ATEL"/>
    <s v="REGIÓN DE METROPOLITANA DE SANTIAGO"/>
  </r>
  <r>
    <n v="819491003"/>
    <x v="1292"/>
    <s v="OSORNO"/>
    <n v="10"/>
    <x v="2"/>
    <s v="CN81949100"/>
    <s v="PRIVADO"/>
    <s v="SUR2"/>
    <s v="REGIÓN DE LOS LAGOS"/>
  </r>
  <r>
    <n v="820318005"/>
    <x v="1293"/>
    <s v="SAN BERNARDO"/>
    <n v="13"/>
    <x v="3"/>
    <s v="CN82031800"/>
    <s v="PRIVADO"/>
    <s v="SANT1"/>
    <s v="REGIÓN DE METROPOLITANA DE SANTIAGO"/>
  </r>
  <r>
    <n v="821567009"/>
    <x v="1294"/>
    <s v="CERRILLOS"/>
    <n v="13"/>
    <x v="0"/>
    <s v="CN82156700"/>
    <s v="PRIVADO"/>
    <s v="ATEL"/>
    <s v="REGIÓN DE METROPOLITANA DE SANTIAGO"/>
  </r>
  <r>
    <n v="823695004"/>
    <x v="1295"/>
    <s v="VIÑA DEL MAR"/>
    <n v="5"/>
    <x v="0"/>
    <s v="CN82369500"/>
    <s v="PRIVADO"/>
    <s v="ATEL"/>
    <s v="REGIÓN DE VALPARAÍSO"/>
  </r>
  <r>
    <n v="827453005"/>
    <x v="1296"/>
    <s v="LOS ÁNGELES"/>
    <n v="8"/>
    <x v="5"/>
    <s v="CN82745300"/>
    <s v="PRIVADO"/>
    <s v="SUR1"/>
    <s v="REGIÓN DE BIOBÍO"/>
  </r>
  <r>
    <s v="83733800K"/>
    <x v="1297"/>
    <s v="SAN FELIPE"/>
    <n v="5"/>
    <x v="0"/>
    <s v="CN83733800"/>
    <s v="PRIVADO"/>
    <s v="ATEL"/>
    <s v="REGIÓN DE VALPARAÍSO"/>
  </r>
  <r>
    <n v="856109003"/>
    <x v="1298"/>
    <s v="VIÑA DEL MAR"/>
    <n v="5"/>
    <x v="0"/>
    <s v="CN85610900"/>
    <s v="PRIVADO"/>
    <s v="ATEL"/>
    <s v="REGIÓN DE VALPARAÍSO"/>
  </r>
  <r>
    <n v="859621007"/>
    <x v="1299"/>
    <s v="MELIPILLA"/>
    <n v="13"/>
    <x v="0"/>
    <s v="CN85962100"/>
    <s v="PRIVADO"/>
    <s v="ATEL"/>
    <s v="REGIÓN DE METROPOLITANA DE SANTIAGO"/>
  </r>
  <r>
    <n v="863833000"/>
    <x v="1300"/>
    <s v="PROVIDENCIA"/>
    <n v="13"/>
    <x v="0"/>
    <s v="CN86383300"/>
    <s v="PRIVADO"/>
    <s v="ATEL"/>
    <s v="REGIÓN DE METROPOLITANA DE SANTIAGO"/>
  </r>
  <r>
    <n v="867975004"/>
    <x v="1301"/>
    <s v="LA SERENA"/>
    <n v="4"/>
    <x v="0"/>
    <s v="CN86797500"/>
    <s v="PRIVADO"/>
    <s v="ATEL"/>
    <s v="REGIÓN DE COQUIMBO"/>
  </r>
  <r>
    <n v="868210001"/>
    <x v="1302"/>
    <s v="HUECHURABA"/>
    <n v="13"/>
    <x v="0"/>
    <s v="CN86821000"/>
    <s v="PRIVADO"/>
    <s v="ATEL"/>
    <s v="REGIÓN DE METROPOLITANA DE SANTIAGO"/>
  </r>
  <r>
    <n v="879129001"/>
    <x v="1303"/>
    <s v="TEMUCO"/>
    <n v="9"/>
    <x v="0"/>
    <s v="CN87912900"/>
    <s v="PRIVADO"/>
    <s v="ATEL"/>
    <s v="REGIÓN DE LA ARAUCANÍA"/>
  </r>
  <r>
    <n v="880562002"/>
    <x v="1304"/>
    <s v="TALCA"/>
    <n v="7"/>
    <x v="0"/>
    <s v="CN88056200"/>
    <s v="PRIVADO"/>
    <s v="ATEL"/>
    <s v="REGIÓN DE MAULE"/>
  </r>
  <r>
    <n v="880566008"/>
    <x v="1305"/>
    <s v="TEMUCO"/>
    <n v="9"/>
    <x v="0"/>
    <s v="CN88056600"/>
    <s v="PRIVADO"/>
    <s v="ATEL"/>
    <s v="REGIÓN DE LA ARAUCANÍA"/>
  </r>
  <r>
    <n v="886116004"/>
    <x v="1306"/>
    <s v="CONCEPCIÓN"/>
    <n v="8"/>
    <x v="5"/>
    <s v="CN88611600"/>
    <s v="PRIVADO"/>
    <s v="SUR1"/>
    <s v="REGIÓN DE BIOBÍO"/>
  </r>
  <r>
    <n v="89055407"/>
    <x v="1307"/>
    <s v="HUALPÉN"/>
    <n v="8"/>
    <x v="0"/>
    <s v="CN8905540"/>
    <s v="PRIVADO"/>
    <s v="ATEL"/>
    <s v="REGIÓN DE BIOBÍO"/>
  </r>
  <r>
    <n v="895932000"/>
    <x v="1308"/>
    <s v="SANTIAGO"/>
    <n v="13"/>
    <x v="0"/>
    <s v="CN89593200"/>
    <s v="PRIVADO"/>
    <s v="ATEL"/>
    <s v="REGIÓN DE METROPOLITANA DE SANTIAGO"/>
  </r>
  <r>
    <n v="896304003"/>
    <x v="1309"/>
    <s v="PROVIDENCIA"/>
    <n v="13"/>
    <x v="0"/>
    <s v="CN89630400"/>
    <s v="PRIVADO"/>
    <s v="ATEL"/>
    <s v="REGIÓN DE METROPOLITANA DE SANTIAGO"/>
  </r>
  <r>
    <n v="902120009"/>
    <x v="1310"/>
    <s v="SANTIAGO"/>
    <n v="13"/>
    <x v="0"/>
    <s v="CN90212000"/>
    <s v="PRIVADO"/>
    <s v="ATEL"/>
    <s v="REGIÓN DE METROPOLITANA DE SANTIAGO"/>
  </r>
  <r>
    <n v="902560009"/>
    <x v="1311"/>
    <s v="INDEPENDENCIA"/>
    <n v="13"/>
    <x v="0"/>
    <s v="CN90256000"/>
    <s v="PRIVADO"/>
    <s v="ATEL"/>
    <s v="REGIÓN DE METROPOLITANA DE SANTIAGO"/>
  </r>
  <r>
    <n v="907530000"/>
    <x v="1312"/>
    <s v="PROVIDENCIA"/>
    <n v="13"/>
    <x v="0"/>
    <s v="CN90753000"/>
    <s v="PRIVADO"/>
    <s v="ATEL"/>
    <s v="REGIÓN DE METROPOLITANA DE SANTIAGO"/>
  </r>
  <r>
    <n v="915750001"/>
    <x v="1313"/>
    <s v="HUECHURABA"/>
    <n v="13"/>
    <x v="0"/>
    <s v="CN91575000"/>
    <s v="PRIVADO"/>
    <s v="ATEL"/>
    <s v="REGIÓN DE METROPOLITANA DE SANTIAGO"/>
  </r>
  <r>
    <n v="920510000"/>
    <x v="1314"/>
    <s v="PROVIDENCIA"/>
    <n v="13"/>
    <x v="1"/>
    <s v="CN92051000"/>
    <s v="PRIVADO"/>
    <s v="SANT2"/>
    <s v="REGIÓN DE METROPOLITANA DE SANTIAGO"/>
  </r>
  <r>
    <n v="92752313"/>
    <x v="1315"/>
    <s v="PROVIDENCIA"/>
    <n v="13"/>
    <x v="0"/>
    <s v="CN9275231"/>
    <s v="PRIVADO"/>
    <s v="ATEL"/>
    <s v="REGIÓN DE METROPOLITANA DE SANTIAGO"/>
  </r>
  <r>
    <n v="929990005"/>
    <x v="1316"/>
    <s v="CALERA DE TANGO"/>
    <n v="13"/>
    <x v="0"/>
    <s v="CN92999000"/>
    <s v="PRIVADO"/>
    <s v="ATEL"/>
    <s v="REGIÓN DE METROPOLITANA DE SANTIAGO"/>
  </r>
  <r>
    <n v="939300007"/>
    <x v="1317"/>
    <s v="LAS CONDES"/>
    <n v="13"/>
    <x v="3"/>
    <s v="CN93930000"/>
    <s v="PRIVADO"/>
    <s v="SANT1"/>
    <s v="REGIÓN DE METROPOLITANA DE SANTIAGO"/>
  </r>
  <r>
    <n v="954310000"/>
    <x v="1318"/>
    <s v="ANTOFAGASTA"/>
    <n v="2"/>
    <x v="0"/>
    <s v="CN95431000"/>
    <s v="PRIVADO"/>
    <s v="ATEL"/>
    <s v="REGIÓN DE ANTOFAGASTA"/>
  </r>
  <r>
    <n v="965304703"/>
    <x v="1319"/>
    <s v="RECOLETA"/>
    <n v="13"/>
    <x v="3"/>
    <s v="CN96530470"/>
    <s v="PRIVADO"/>
    <s v="SANT1"/>
    <s v="REGIÓN DE METROPOLITANA DE SANTIAGO"/>
  </r>
  <r>
    <n v="965333304"/>
    <x v="1320"/>
    <s v="PROVIDENCIA"/>
    <n v="13"/>
    <x v="0"/>
    <s v="CN96533330"/>
    <s v="PRIVADO"/>
    <s v="ATEL"/>
    <s v="REGIÓN DE METROPOLITANA DE SANTIAGO"/>
  </r>
  <r>
    <n v="965569405"/>
    <x v="1321"/>
    <s v="CERRILLOS"/>
    <n v="13"/>
    <x v="0"/>
    <s v="CN96556940"/>
    <s v="PRIVADO"/>
    <s v="ATEL"/>
    <s v="REGIÓN DE METROPOLITANA DE SANTIAGO"/>
  </r>
  <r>
    <n v="965596305"/>
    <x v="1322"/>
    <s v="VIÑA DEL MAR"/>
    <n v="5"/>
    <x v="0"/>
    <s v="CN96559630"/>
    <s v="PRIVADO"/>
    <s v="ATEL"/>
    <s v="REGIÓN DE VALPARAÍSO"/>
  </r>
  <r>
    <n v="965671706"/>
    <x v="1323"/>
    <s v="VIÑA DEL MAR"/>
    <n v="5"/>
    <x v="0"/>
    <s v="CN96567170"/>
    <s v="PRIVADO"/>
    <s v="ATEL"/>
    <s v="REGIÓN DE VALPARAÍSO"/>
  </r>
  <r>
    <n v="965679200"/>
    <x v="1324"/>
    <s v="PUNTA ARENAS"/>
    <n v="12"/>
    <x v="0"/>
    <s v="CN96567920"/>
    <s v="PRIVADO"/>
    <s v="ATEL"/>
    <s v="REGIÓN DE MAGALLANES Y DE LA ANTÁRTICA CHILENA"/>
  </r>
  <r>
    <n v="965884009"/>
    <x v="1325"/>
    <s v="HUECHURABA"/>
    <n v="13"/>
    <x v="0"/>
    <s v="CN96588400"/>
    <s v="PRIVADO"/>
    <s v="ATEL"/>
    <s v="REGIÓN DE METROPOLITANA DE SANTIAGO"/>
  </r>
  <r>
    <n v="965988505"/>
    <x v="1326"/>
    <s v="IQUIQUE"/>
    <n v="1"/>
    <x v="1"/>
    <s v="CN96598850"/>
    <s v="PRIVADO"/>
    <s v="SANT2"/>
    <s v="REGIÓN DE TARAPACÁ"/>
  </r>
  <r>
    <n v="966008504"/>
    <x v="1327"/>
    <s v="QUILPUÉ"/>
    <n v="5"/>
    <x v="4"/>
    <s v="CN96600850"/>
    <s v="PRIVADO"/>
    <s v="NOR1"/>
    <s v="REGIÓN DE VALPARAÍSO"/>
  </r>
  <r>
    <n v="966067500"/>
    <x v="1328"/>
    <s v="TEMUCO"/>
    <n v="9"/>
    <x v="2"/>
    <s v="CN96606750"/>
    <s v="PRIVADO"/>
    <s v="SUR2"/>
    <s v="REGIÓN DE LA ARAUCANÍA"/>
  </r>
  <r>
    <n v="966126205"/>
    <x v="1329"/>
    <s v="ÑUÑOA"/>
    <n v="13"/>
    <x v="0"/>
    <s v="CN96612620"/>
    <s v="PRIVADO"/>
    <s v="ATEL"/>
    <s v="REGIÓN DE METROPOLITANA DE SANTIAGO"/>
  </r>
  <r>
    <n v="966132205"/>
    <x v="1330"/>
    <s v="ARICA"/>
    <n v="15"/>
    <x v="0"/>
    <s v="CN96613220"/>
    <s v="PRIVADO"/>
    <s v="ATEL"/>
    <s v="REGIÓN DE ARICA Y PARINACOTA"/>
  </r>
  <r>
    <n v="966248807"/>
    <x v="1331"/>
    <s v="PROVIDENCIA"/>
    <n v="13"/>
    <x v="0"/>
    <s v="CN96624880"/>
    <s v="PRIVADO"/>
    <s v="ATEL"/>
    <s v="REGIÓN DE METROPOLITANA DE SANTIAGO"/>
  </r>
  <r>
    <n v="966259507"/>
    <x v="1332"/>
    <s v="PUDAHUEL"/>
    <n v="13"/>
    <x v="0"/>
    <s v="CN96625950"/>
    <s v="PRIVADO"/>
    <s v="ATEL"/>
    <s v="REGIÓN DE METROPOLITANA DE SANTIAGO"/>
  </r>
  <r>
    <s v="96636310K"/>
    <x v="1333"/>
    <s v="ÑUÑOA"/>
    <n v="13"/>
    <x v="0"/>
    <s v="CN96636310"/>
    <s v="PRIVADO"/>
    <s v="ATEL"/>
    <s v="REGIÓN DE METROPOLITANA DE SANTIAGO"/>
  </r>
  <r>
    <n v="966613505"/>
    <x v="1334"/>
    <s v="CONCEPCIÓN"/>
    <n v="8"/>
    <x v="0"/>
    <s v="CN96661350"/>
    <s v="PRIVADO"/>
    <s v="ATEL"/>
    <s v="REGIÓN DE BIOBÍO"/>
  </r>
  <r>
    <s v="96662020K"/>
    <x v="1335"/>
    <s v="LOS ÁNGELES"/>
    <n v="8"/>
    <x v="5"/>
    <s v="CN96662020"/>
    <s v="PRIVADO"/>
    <s v="SUR1"/>
    <s v="REGIÓN DE BIOBÍO"/>
  </r>
  <r>
    <n v="966624507"/>
    <x v="1336"/>
    <s v="RANCAGUA"/>
    <n v="6"/>
    <x v="0"/>
    <s v="CN96662450"/>
    <s v="PRIVADO"/>
    <s v="ATEL"/>
    <s v="REGIÓN DE LIBERTADOR GENERAL BERNARDO O'HIGGINS"/>
  </r>
  <r>
    <n v="966741708"/>
    <x v="1337"/>
    <s v="LA CALERA"/>
    <n v="5"/>
    <x v="4"/>
    <s v="CN96674170"/>
    <s v="PRIVADO"/>
    <s v="NOR1"/>
    <s v="REGIÓN DE VALPARAÍSO"/>
  </r>
  <r>
    <n v="967051500"/>
    <x v="1338"/>
    <s v="ÑUÑOA"/>
    <n v="13"/>
    <x v="0"/>
    <s v="CN96705150"/>
    <s v="PRIVADO"/>
    <s v="ATEL"/>
    <s v="REGIÓN DE METROPOLITANA DE SANTIAGO"/>
  </r>
  <r>
    <s v="96757080K"/>
    <x v="1339"/>
    <s v="PEÑALOLÉN"/>
    <n v="13"/>
    <x v="0"/>
    <s v="CN96757080"/>
    <s v="PRIVADO"/>
    <s v="ATEL"/>
    <s v="REGIÓN DE METROPOLITANA DE SANTIAGO"/>
  </r>
  <r>
    <n v="967599107"/>
    <x v="1340"/>
    <s v="LAS CONDES"/>
    <n v="13"/>
    <x v="0"/>
    <s v="CN96759910"/>
    <s v="PRIVADO"/>
    <s v="ATEL"/>
    <s v="REGIÓN DE METROPOLITANA DE SANTIAGO"/>
  </r>
  <r>
    <n v="967666408"/>
    <x v="1341"/>
    <s v="PUERTO MONTT"/>
    <n v="10"/>
    <x v="2"/>
    <s v="CN96766640"/>
    <s v="PRIVADO"/>
    <s v="SUR2"/>
    <s v="REGIÓN DE LOS LAGOS"/>
  </r>
  <r>
    <n v="967667803"/>
    <x v="1342"/>
    <s v="CONCEPCIÓN"/>
    <n v="8"/>
    <x v="0"/>
    <s v="CN96766780"/>
    <s v="PRIVADO"/>
    <s v="ATEL"/>
    <s v="REGIÓN DE BIOBÍO"/>
  </r>
  <r>
    <n v="967701009"/>
    <x v="1343"/>
    <s v="VITACURA"/>
    <n v="13"/>
    <x v="3"/>
    <s v="CN96770100"/>
    <s v="PRIVADO"/>
    <s v="SANT1"/>
    <s v="REGIÓN DE METROPOLITANA DE SANTIAGO"/>
  </r>
  <r>
    <n v="967745804"/>
    <x v="1344"/>
    <s v="TEMUCO"/>
    <n v="9"/>
    <x v="2"/>
    <s v="CN96774580"/>
    <s v="PRIVADO"/>
    <s v="SUR2"/>
    <s v="REGIÓN DE LA ARAUCANÍA"/>
  </r>
  <r>
    <n v="967843806"/>
    <x v="1345"/>
    <s v="IQUIQUE"/>
    <n v="1"/>
    <x v="0"/>
    <s v="CN96784380"/>
    <s v="PRIVADO"/>
    <s v="ATEL"/>
    <s v="REGIÓN DE TARAPACÁ"/>
  </r>
  <r>
    <n v="967900400"/>
    <x v="1346"/>
    <s v="HUECHURABA"/>
    <n v="13"/>
    <x v="0"/>
    <s v="CN96790040"/>
    <s v="PRIVADO"/>
    <s v="ATEL"/>
    <s v="REGIÓN DE METROPOLITANA DE SANTIAGO"/>
  </r>
  <r>
    <n v="968028006"/>
    <x v="1347"/>
    <s v="CALAMA"/>
    <n v="2"/>
    <x v="0"/>
    <s v="CN96802800"/>
    <s v="PRIVADO"/>
    <s v="ATEL"/>
    <s v="REGIÓN DE ANTOFAGASTA"/>
  </r>
  <r>
    <n v="968406108"/>
    <x v="1348"/>
    <s v="IQUIQUE"/>
    <n v="1"/>
    <x v="1"/>
    <s v="CN96840610"/>
    <s v="PRIVADO"/>
    <s v="SANT2"/>
    <s v="REGIÓN DE TARAPACÁ"/>
  </r>
  <r>
    <s v="96879440K"/>
    <x v="1349"/>
    <s v="La Florida"/>
    <n v="13"/>
    <x v="0"/>
    <s v="CN96879440"/>
    <s v="PRIVADO"/>
    <s v="ATEL"/>
    <s v="REGIÓN DE METROPOLITANA DE SANTIAGO"/>
  </r>
  <r>
    <n v="968859307"/>
    <x v="1350"/>
    <s v="ESTACIÓN CENTRAL"/>
    <n v="13"/>
    <x v="1"/>
    <s v="CN96885930"/>
    <s v="PRIVADO"/>
    <s v="SANT2"/>
    <s v="REGIÓN DE METROPOLITANA DE SANTIAGO"/>
  </r>
  <r>
    <n v="968859404"/>
    <x v="1351"/>
    <s v="TALCAHUANO"/>
    <n v="8"/>
    <x v="5"/>
    <s v="CN96885940"/>
    <s v="PRIVADO"/>
    <s v="SUR1"/>
    <s v="REGIÓN DE BIOBÍO"/>
  </r>
  <r>
    <n v="968859501"/>
    <x v="1352"/>
    <s v="VIÑA DEL MAR"/>
    <n v="5"/>
    <x v="4"/>
    <s v="CN96885950"/>
    <s v="PRIVADO"/>
    <s v="NOR1"/>
    <s v="REGIÓN DE VALPARAÍSO"/>
  </r>
  <r>
    <n v="968989804"/>
    <x v="1353"/>
    <s v="LA FLORIDA"/>
    <n v="13"/>
    <x v="1"/>
    <s v="CN96898980"/>
    <s v="PRIVADO"/>
    <s v="SANT2"/>
    <s v="REGIÓN DE METROPOLITANA DE SANTIAGO"/>
  </r>
  <r>
    <n v="969102803"/>
    <x v="1354"/>
    <s v="VALPARAÍSO"/>
    <n v="5"/>
    <x v="0"/>
    <s v="CN96910280"/>
    <s v="PRIVADO"/>
    <s v="ATEL"/>
    <s v="REGIÓN DE VALPARAÍSO"/>
  </r>
  <r>
    <n v="969216604"/>
    <x v="1355"/>
    <s v="ESTACIÓN CENTRAL"/>
    <n v="13"/>
    <x v="0"/>
    <s v="CN96921660"/>
    <s v="PRIVADO"/>
    <s v="ATEL"/>
    <s v="REGIÓN DE METROPOLITANA DE SANTIAGO"/>
  </r>
  <r>
    <n v="969424002"/>
    <x v="1356"/>
    <s v="PROVIDENCIA"/>
    <n v="13"/>
    <x v="0"/>
    <s v="CN96942400"/>
    <s v="PRIVADO"/>
    <s v="ATEL"/>
    <s v="REGIÓN DE METROPOLITANA DE SANTIAGO"/>
  </r>
  <r>
    <n v="969636603"/>
    <x v="1357"/>
    <s v="VIÑA DEL MAR"/>
    <n v="5"/>
    <x v="4"/>
    <s v="CN96963660"/>
    <s v="PRIVADO"/>
    <s v="NOR1"/>
    <s v="REGIÓN DE VALPARAÍSO"/>
  </r>
  <r>
    <n v="969825201"/>
    <x v="1358"/>
    <s v="PROVIDENCIA"/>
    <n v="13"/>
    <x v="0"/>
    <s v="CN96982520"/>
    <s v="PRIVADO"/>
    <s v="ATEL"/>
    <s v="REGIÓN DE METROPOLITANA DE SANTIAGO"/>
  </r>
  <r>
    <n v="969860503"/>
    <x v="1359"/>
    <s v="LA FLORIDA"/>
    <n v="13"/>
    <x v="1"/>
    <s v="CN96986050"/>
    <s v="PÚBLICO"/>
    <s v="SANT2"/>
    <s v="REGIÓN DE METROPOLITANA DE SANTIAGO"/>
  </r>
  <r>
    <n v="969860708"/>
    <x v="1360"/>
    <s v="INDEPENDENCIA"/>
    <n v="13"/>
    <x v="0"/>
    <s v="CN96986070"/>
    <s v="PRIVADO"/>
    <s v="ATEL"/>
    <s v="REGIÓN DE METROPOLITANA DE SANTIAGO"/>
  </r>
  <r>
    <n v="969865505"/>
    <x v="1361"/>
    <s v="SANTIAGO"/>
    <n v="13"/>
    <x v="0"/>
    <s v="CN96986550"/>
    <s v="PRIVADO"/>
    <s v="ATEL"/>
    <s v="REGIÓN DE METROPOLITANA DE SANTIAGO"/>
  </r>
  <r>
    <n v="995071304"/>
    <x v="1362"/>
    <s v="PROVIDENCIA"/>
    <n v="8"/>
    <x v="0"/>
    <s v="CN99507130"/>
    <s v="PRIVADO"/>
    <s v="ATEL"/>
    <s v="REGIÓN DE BIOBÍO"/>
  </r>
  <r>
    <n v="995129507"/>
    <x v="1363"/>
    <s v="QUILICURA"/>
    <n v="13"/>
    <x v="0"/>
    <s v="CN99512950"/>
    <s v="PRIVADO"/>
    <s v="ATEL"/>
    <s v="REGIÓN DE METROPOLITANA DE SANTIAGO"/>
  </r>
  <r>
    <n v="995337908"/>
    <x v="1364"/>
    <s v="LA SERENA"/>
    <n v="4"/>
    <x v="4"/>
    <s v="CN99533790"/>
    <s v="PRIVADO"/>
    <s v="NOR1"/>
    <s v="REGIÓN DE COQUIMBO"/>
  </r>
  <r>
    <n v="995356201"/>
    <x v="1365"/>
    <s v="CONCEPCIÓN"/>
    <n v="8"/>
    <x v="0"/>
    <s v="CN99535620"/>
    <s v="PRIVADO"/>
    <s v="ATEL"/>
    <s v="REGIÓN DE BIOBÍO"/>
  </r>
  <r>
    <n v="995378000"/>
    <x v="1366"/>
    <s v="ANTOFAGASTA"/>
    <n v="2"/>
    <x v="0"/>
    <s v="CN99537800"/>
    <s v="PRIVADO"/>
    <s v="ATEL"/>
    <s v="REGIÓN DE ANTOFAGASTA"/>
  </r>
  <r>
    <n v="995417502"/>
    <x v="1367"/>
    <s v="SAN ANTONIO"/>
    <n v="5"/>
    <x v="4"/>
    <s v="CN99541750"/>
    <s v="PRIVADO"/>
    <s v="NOR1"/>
    <s v="REGIÓN DE VALPARAÍSO"/>
  </r>
  <r>
    <n v="995458705"/>
    <x v="1368"/>
    <s v="IQUIQUE"/>
    <n v="1"/>
    <x v="0"/>
    <s v="CN99545870"/>
    <s v="PRIVADO"/>
    <s v="ATEL"/>
    <s v="REGIÓN DE TARAPACÁ"/>
  </r>
  <r>
    <n v="995491303"/>
    <x v="1369"/>
    <s v="ANTOFAGASTA"/>
    <n v="2"/>
    <x v="0"/>
    <s v="CN99549130"/>
    <s v="PRIVADO"/>
    <s v="ATEL"/>
    <s v="REGIÓN DE ANTOFAGASTA"/>
  </r>
  <r>
    <s v="99554220K"/>
    <x v="1370"/>
    <s v="PROVIDENCIA"/>
    <n v="13"/>
    <x v="0"/>
    <s v="CN99554220"/>
    <s v="PÚBLICO"/>
    <s v="ATEL"/>
    <s v="REGIÓN DE METROPOLITANA DE SANTIAGO"/>
  </r>
  <r>
    <n v="995687208"/>
    <x v="1371"/>
    <s v="VALPARAÍSO"/>
    <n v="5"/>
    <x v="4"/>
    <s v="CN99568720"/>
    <s v="PRIVADO"/>
    <s v="NOR1"/>
    <s v="REGIÓN DE VALPARAÍSO"/>
  </r>
  <r>
    <n v="995696703"/>
    <x v="1372"/>
    <s v="ISLA DE MAIPO"/>
    <n v="13"/>
    <x v="0"/>
    <s v="CN99569670"/>
    <s v="PRIVADO"/>
    <s v="ATEL"/>
    <s v="REGIÓN DE METROPOLITANA DE SANTIAGO"/>
  </r>
  <r>
    <n v="995734907"/>
    <x v="1373"/>
    <s v="LAS CONDES"/>
    <n v="13"/>
    <x v="3"/>
    <s v="CN99573490"/>
    <s v="PRIVADO"/>
    <s v="SANT1"/>
    <s v="REGIÓN DE METROPOLITANA DE SANTIAGO"/>
  </r>
  <r>
    <n v="995736004"/>
    <x v="1374"/>
    <s v="LOS ANDES"/>
    <n v="5"/>
    <x v="4"/>
    <s v="CN99573600"/>
    <s v="PRIVADO"/>
    <s v="NOR1"/>
    <s v="REGIÓN DE VALPARAÍSO"/>
  </r>
  <r>
    <n v="995792605"/>
    <x v="1375"/>
    <s v="SAN JOAQUÍN"/>
    <n v="13"/>
    <x v="0"/>
    <s v="CN99579260"/>
    <s v="PRIVADO"/>
    <s v="ATEL"/>
    <s v="REGIÓN DE METROPOLITANA DE SANTIAGO"/>
  </r>
  <r>
    <n v="995808307"/>
    <x v="1376"/>
    <s v="PROVIDENCIA"/>
    <n v="13"/>
    <x v="0"/>
    <s v="CN99580830"/>
    <s v="PRIVADO"/>
    <s v="ATEL"/>
    <s v="REGIÓN DE METROPOLITANA DE SANTIAGO"/>
  </r>
  <r>
    <n v="995931702"/>
    <x v="1377"/>
    <s v="RECOLETA"/>
    <n v="13"/>
    <x v="0"/>
    <s v="CN99593170"/>
    <s v="PRIVADO"/>
    <s v="ATEL"/>
    <s v="REGIÓN DE METROPOLITANA DE SANTIAGO"/>
  </r>
  <r>
    <n v="615130001"/>
    <x v="1378"/>
    <s v="SANTIAGO"/>
    <n v="13"/>
    <x v="0"/>
    <s v="cn61513000"/>
    <s v="PÚBLICO"/>
    <s v="ATEL"/>
    <s v="REGIÓN DE METROPOLITANA DE SANTIAGO"/>
  </r>
  <r>
    <n v="769264604"/>
    <x v="1379"/>
    <s v="TALCA"/>
    <n v="7"/>
    <x v="0"/>
    <s v="cn76926460"/>
    <s v="PRIVADO"/>
    <s v="ATEL"/>
    <s v="REGIÓN DE MAULE"/>
  </r>
  <r>
    <n v="774097899"/>
    <x v="1380"/>
    <s v="SANTIAGO"/>
    <n v="13"/>
    <x v="0"/>
    <s v="cn77409789"/>
    <s v="PÚBLICO"/>
    <s v="DIST"/>
    <s v="REGIÓN DE METROPOLITANA DE SANTIAGO"/>
  </r>
  <r>
    <n v="846096000"/>
    <x v="1381"/>
    <s v="QUILICURA"/>
    <n v="13"/>
    <x v="0"/>
    <s v="cn84609600"/>
    <s v="PRIVADO"/>
    <s v="ATEL"/>
    <s v="REGIÓN DE METROPOLITANA DE SANTIAGO"/>
  </r>
  <r>
    <n v="615020001"/>
    <x v="1382"/>
    <s v="SANTIAGO"/>
    <n v="13"/>
    <x v="0"/>
    <m/>
    <s v="PÚBLICO"/>
    <s v="ATEL"/>
    <s v="REGIÓN DE METROPOLITANA DE SANTIAGO"/>
  </r>
  <r>
    <n v="533337104"/>
    <x v="1383"/>
    <s v="ARICA"/>
    <n v="15"/>
    <x v="0"/>
    <m/>
    <s v="PÚBLICO"/>
    <s v="ATEL"/>
    <s v="REGIÓN DE ARICA Y PARINACO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00D519-3DD3-43A2-8835-7F537E88285D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43" firstHeaderRow="1" firstDataRow="1" firstDataCol="1" rowPageCount="1" colPageCount="1"/>
  <pivotFields count="9">
    <pivotField showAll="0"/>
    <pivotField axis="axisRow" showAll="0">
      <items count="1385">
        <item x="52"/>
        <item x="1045"/>
        <item x="485"/>
        <item x="1256"/>
        <item x="280"/>
        <item x="1090"/>
        <item x="1333"/>
        <item x="145"/>
        <item x="1094"/>
        <item x="200"/>
        <item x="119"/>
        <item x="1088"/>
        <item x="151"/>
        <item x="236"/>
        <item x="1136"/>
        <item x="1244"/>
        <item x="1"/>
        <item x="31"/>
        <item x="251"/>
        <item x="958"/>
        <item x="1143"/>
        <item x="230"/>
        <item x="26"/>
        <item x="32"/>
        <item x="23"/>
        <item x="1146"/>
        <item x="1228"/>
        <item x="195"/>
        <item x="1012"/>
        <item x="110"/>
        <item x="113"/>
        <item x="109"/>
        <item x="1055"/>
        <item x="912"/>
        <item x="1154"/>
        <item x="12"/>
        <item x="1076"/>
        <item x="872"/>
        <item x="798"/>
        <item x="76"/>
        <item x="1215"/>
        <item x="1338"/>
        <item x="1216"/>
        <item x="234"/>
        <item x="909"/>
        <item x="1120"/>
        <item x="1019"/>
        <item x="116"/>
        <item x="1031"/>
        <item x="4"/>
        <item x="123"/>
        <item x="918"/>
        <item x="1160"/>
        <item x="1354"/>
        <item x="971"/>
        <item x="1061"/>
        <item x="1236"/>
        <item x="199"/>
        <item x="1114"/>
        <item x="1230"/>
        <item x="154"/>
        <item x="127"/>
        <item x="877"/>
        <item x="1339"/>
        <item x="283"/>
        <item x="1380"/>
        <item x="35"/>
        <item x="132"/>
        <item x="18"/>
        <item x="796"/>
        <item x="1022"/>
        <item x="1004"/>
        <item x="903"/>
        <item x="693"/>
        <item x="1377"/>
        <item x="1118"/>
        <item x="137"/>
        <item x="483"/>
        <item x="512"/>
        <item x="271"/>
        <item x="277"/>
        <item x="540"/>
        <item x="1358"/>
        <item x="272"/>
        <item x="538"/>
        <item x="535"/>
        <item x="491"/>
        <item x="537"/>
        <item x="128"/>
        <item x="1298"/>
        <item x="1305"/>
        <item x="133"/>
        <item x="490"/>
        <item x="1196"/>
        <item x="925"/>
        <item x="520"/>
        <item x="1269"/>
        <item x="1194"/>
        <item x="525"/>
        <item x="72"/>
        <item x="80"/>
        <item x="82"/>
        <item x="1383"/>
        <item x="48"/>
        <item x="951"/>
        <item x="904"/>
        <item x="991"/>
        <item x="529"/>
        <item x="488"/>
        <item x="427"/>
        <item x="527"/>
        <item x="1058"/>
        <item x="970"/>
        <item x="1206"/>
        <item x="1081"/>
        <item x="1212"/>
        <item x="960"/>
        <item x="146"/>
        <item x="1224"/>
        <item x="165"/>
        <item x="920"/>
        <item x="518"/>
        <item x="521"/>
        <item x="210"/>
        <item x="193"/>
        <item x="219"/>
        <item x="905"/>
        <item x="1361"/>
        <item x="1273"/>
        <item x="733"/>
        <item x="511"/>
        <item x="524"/>
        <item x="517"/>
        <item x="1149"/>
        <item x="1180"/>
        <item x="2"/>
        <item x="1043"/>
        <item x="1277"/>
        <item x="1343"/>
        <item x="1328"/>
        <item x="977"/>
        <item x="1179"/>
        <item x="1166"/>
        <item x="967"/>
        <item x="876"/>
        <item x="1347"/>
        <item x="1341"/>
        <item x="1051"/>
        <item x="1258"/>
        <item x="1350"/>
        <item x="1351"/>
        <item x="1025"/>
        <item x="1352"/>
        <item x="1267"/>
        <item x="1346"/>
        <item x="1369"/>
        <item x="1319"/>
        <item x="1188"/>
        <item x="1134"/>
        <item x="237"/>
        <item x="981"/>
        <item x="936"/>
        <item x="1331"/>
        <item x="901"/>
        <item x="1152"/>
        <item x="1326"/>
        <item x="1280"/>
        <item x="1317"/>
        <item x="1335"/>
        <item x="1355"/>
        <item x="1324"/>
        <item x="1233"/>
        <item x="875"/>
        <item x="932"/>
        <item x="1370"/>
        <item x="1176"/>
        <item x="1010"/>
        <item x="884"/>
        <item x="175"/>
        <item x="1274"/>
        <item x="1084"/>
        <item x="1163"/>
        <item x="1366"/>
        <item x="947"/>
        <item x="150"/>
        <item x="1364"/>
        <item x="1032"/>
        <item x="1279"/>
        <item x="1374"/>
        <item x="1299"/>
        <item x="1255"/>
        <item x="1367"/>
        <item x="207"/>
        <item x="1287"/>
        <item x="1306"/>
        <item x="1312"/>
        <item x="943"/>
        <item x="859"/>
        <item x="1371"/>
        <item x="1353"/>
        <item x="1139"/>
        <item x="995"/>
        <item x="1130"/>
        <item x="1202"/>
        <item x="239"/>
        <item x="115"/>
        <item x="1082"/>
        <item x="1310"/>
        <item x="891"/>
        <item x="1265"/>
        <item x="1379"/>
        <item x="78"/>
        <item x="188"/>
        <item x="1171"/>
        <item x="1109"/>
        <item x="1105"/>
        <item x="1062"/>
        <item x="1272"/>
        <item x="1128"/>
        <item x="908"/>
        <item x="972"/>
        <item x="907"/>
        <item x="1003"/>
        <item x="1047"/>
        <item x="914"/>
        <item x="240"/>
        <item x="1054"/>
        <item x="1104"/>
        <item x="1220"/>
        <item x="205"/>
        <item x="1235"/>
        <item x="1210"/>
        <item x="883"/>
        <item x="1112"/>
        <item x="1259"/>
        <item x="1000"/>
        <item x="1251"/>
        <item x="238"/>
        <item x="966"/>
        <item x="1085"/>
        <item x="919"/>
        <item x="1247"/>
        <item x="1232"/>
        <item x="141"/>
        <item x="985"/>
        <item x="983"/>
        <item x="1203"/>
        <item x="1229"/>
        <item x="986"/>
        <item x="1122"/>
        <item x="1044"/>
        <item x="213"/>
        <item x="955"/>
        <item x="478"/>
        <item x="254"/>
        <item x="1145"/>
        <item x="1294"/>
        <item x="799"/>
        <item x="498"/>
        <item x="255"/>
        <item x="124"/>
        <item x="66"/>
        <item x="791"/>
        <item x="790"/>
        <item x="486"/>
        <item x="802"/>
        <item x="67"/>
        <item x="534"/>
        <item x="888"/>
        <item x="836"/>
        <item x="827"/>
        <item x="844"/>
        <item x="595"/>
        <item x="854"/>
        <item x="838"/>
        <item x="835"/>
        <item x="841"/>
        <item x="813"/>
        <item x="848"/>
        <item x="852"/>
        <item x="849"/>
        <item x="809"/>
        <item x="823"/>
        <item x="850"/>
        <item x="810"/>
        <item x="829"/>
        <item x="828"/>
        <item x="847"/>
        <item x="815"/>
        <item x="856"/>
        <item x="824"/>
        <item x="842"/>
        <item x="845"/>
        <item x="814"/>
        <item x="840"/>
        <item x="855"/>
        <item x="819"/>
        <item x="826"/>
        <item x="837"/>
        <item x="851"/>
        <item x="104"/>
        <item x="285"/>
        <item x="865"/>
        <item x="830"/>
        <item x="833"/>
        <item x="1292"/>
        <item x="853"/>
        <item x="77"/>
        <item x="1296"/>
        <item x="1330"/>
        <item x="87"/>
        <item x="831"/>
        <item x="825"/>
        <item x="103"/>
        <item x="846"/>
        <item x="818"/>
        <item x="816"/>
        <item x="843"/>
        <item x="821"/>
        <item x="822"/>
        <item x="832"/>
        <item x="811"/>
        <item x="812"/>
        <item x="1308"/>
        <item x="1227"/>
        <item x="492"/>
        <item x="514"/>
        <item x="212"/>
        <item x="183"/>
        <item x="1001"/>
        <item x="1117"/>
        <item x="249"/>
        <item x="910"/>
        <item x="54"/>
        <item x="965"/>
        <item x="1033"/>
        <item x="735"/>
        <item x="1086"/>
        <item x="209"/>
        <item x="984"/>
        <item x="1071"/>
        <item x="1253"/>
        <item x="484"/>
        <item x="482"/>
        <item x="222"/>
        <item x="68"/>
        <item x="489"/>
        <item x="1378"/>
        <item x="870"/>
        <item x="674"/>
        <item x="871"/>
        <item x="1382"/>
        <item x="504"/>
        <item x="43"/>
        <item x="44"/>
        <item x="46"/>
        <item x="266"/>
        <item x="45"/>
        <item x="366"/>
        <item x="1107"/>
        <item x="198"/>
        <item x="1091"/>
        <item x="950"/>
        <item x="915"/>
        <item x="999"/>
        <item x="1083"/>
        <item x="1060"/>
        <item x="140"/>
        <item x="278"/>
        <item x="6"/>
        <item x="131"/>
        <item x="217"/>
        <item x="1053"/>
        <item x="159"/>
        <item x="1126"/>
        <item x="229"/>
        <item x="1034"/>
        <item x="241"/>
        <item x="1100"/>
        <item x="1309"/>
        <item x="1252"/>
        <item x="996"/>
        <item x="1038"/>
        <item x="998"/>
        <item x="65"/>
        <item x="1282"/>
        <item x="5"/>
        <item x="176"/>
        <item x="1011"/>
        <item x="122"/>
        <item x="231"/>
        <item x="1375"/>
        <item x="906"/>
        <item x="1138"/>
        <item x="13"/>
        <item x="243"/>
        <item x="37"/>
        <item x="47"/>
        <item x="1217"/>
        <item x="929"/>
        <item x="1278"/>
        <item x="245"/>
        <item x="1070"/>
        <item x="1359"/>
        <item x="1164"/>
        <item x="976"/>
        <item x="1262"/>
        <item x="1057"/>
        <item x="1372"/>
        <item x="167"/>
        <item x="233"/>
        <item x="1297"/>
        <item x="1161"/>
        <item x="1080"/>
        <item x="1261"/>
        <item x="1005"/>
        <item x="1073"/>
        <item x="1243"/>
        <item x="1013"/>
        <item x="180"/>
        <item x="882"/>
        <item x="163"/>
        <item x="260"/>
        <item x="0"/>
        <item x="14"/>
        <item x="1039"/>
        <item x="1165"/>
        <item x="49"/>
        <item x="53"/>
        <item x="281"/>
        <item x="106"/>
        <item x="820"/>
        <item x="543"/>
        <item x="800"/>
        <item x="81"/>
        <item x="528"/>
        <item x="79"/>
        <item x="801"/>
        <item x="1293"/>
        <item x="792"/>
        <item x="530"/>
        <item x="264"/>
        <item x="268"/>
        <item x="265"/>
        <item x="523"/>
        <item x="267"/>
        <item x="1285"/>
        <item x="256"/>
        <item x="1095"/>
        <item x="257"/>
        <item x="940"/>
        <item x="1148"/>
        <item x="942"/>
        <item x="62"/>
        <item x="1234"/>
        <item x="1078"/>
        <item x="157"/>
        <item x="964"/>
        <item x="1040"/>
        <item x="954"/>
        <item x="1245"/>
        <item x="1065"/>
        <item x="20"/>
        <item x="1249"/>
        <item x="1320"/>
        <item x="203"/>
        <item x="894"/>
        <item x="509"/>
        <item x="356"/>
        <item x="354"/>
        <item x="391"/>
        <item x="363"/>
        <item x="500"/>
        <item x="383"/>
        <item x="326"/>
        <item x="321"/>
        <item x="459"/>
        <item x="431"/>
        <item x="343"/>
        <item x="398"/>
        <item x="350"/>
        <item x="324"/>
        <item x="340"/>
        <item x="368"/>
        <item x="291"/>
        <item x="362"/>
        <item x="415"/>
        <item x="374"/>
        <item x="357"/>
        <item x="299"/>
        <item x="887"/>
        <item x="279"/>
        <item x="419"/>
        <item x="531"/>
        <item x="510"/>
        <item x="481"/>
        <item x="1290"/>
        <item x="1357"/>
        <item x="358"/>
        <item x="301"/>
        <item x="327"/>
        <item x="384"/>
        <item x="526"/>
        <item x="516"/>
        <item x="426"/>
        <item x="381"/>
        <item x="443"/>
        <item x="335"/>
        <item x="536"/>
        <item x="421"/>
        <item x="259"/>
        <item x="352"/>
        <item x="308"/>
        <item x="315"/>
        <item x="412"/>
        <item x="376"/>
        <item x="338"/>
        <item x="298"/>
        <item x="322"/>
        <item x="411"/>
        <item x="406"/>
        <item x="348"/>
        <item x="347"/>
        <item x="377"/>
        <item x="434"/>
        <item x="385"/>
        <item x="441"/>
        <item x="442"/>
        <item x="341"/>
        <item x="312"/>
        <item x="349"/>
        <item x="371"/>
        <item x="297"/>
        <item x="432"/>
        <item x="309"/>
        <item x="457"/>
        <item x="444"/>
        <item x="316"/>
        <item x="295"/>
        <item x="305"/>
        <item x="306"/>
        <item x="499"/>
        <item x="344"/>
        <item x="448"/>
        <item x="503"/>
        <item x="353"/>
        <item x="392"/>
        <item x="423"/>
        <item x="303"/>
        <item x="420"/>
        <item x="307"/>
        <item x="304"/>
        <item x="310"/>
        <item x="296"/>
        <item x="370"/>
        <item x="369"/>
        <item x="429"/>
        <item x="329"/>
        <item x="480"/>
        <item x="379"/>
        <item x="436"/>
        <item x="422"/>
        <item x="474"/>
        <item x="375"/>
        <item x="898"/>
        <item x="331"/>
        <item x="332"/>
        <item x="454"/>
        <item x="522"/>
        <item x="460"/>
        <item x="469"/>
        <item x="390"/>
        <item x="452"/>
        <item x="476"/>
        <item x="292"/>
        <item x="464"/>
        <item x="317"/>
        <item x="351"/>
        <item x="334"/>
        <item x="395"/>
        <item x="223"/>
        <item x="506"/>
        <item x="408"/>
        <item x="793"/>
        <item x="58"/>
        <item x="397"/>
        <item x="399"/>
        <item x="380"/>
        <item x="435"/>
        <item x="430"/>
        <item x="323"/>
        <item x="407"/>
        <item x="416"/>
        <item x="313"/>
        <item x="346"/>
        <item x="311"/>
        <item x="438"/>
        <item x="446"/>
        <item x="387"/>
        <item x="319"/>
        <item x="507"/>
        <item x="270"/>
        <item x="273"/>
        <item x="402"/>
        <item x="410"/>
        <item x="325"/>
        <item x="274"/>
        <item x="276"/>
        <item x="275"/>
        <item x="437"/>
        <item x="382"/>
        <item x="495"/>
        <item x="417"/>
        <item x="393"/>
        <item x="400"/>
        <item x="314"/>
        <item x="333"/>
        <item x="453"/>
        <item x="373"/>
        <item x="289"/>
        <item x="355"/>
        <item x="359"/>
        <item x="361"/>
        <item x="328"/>
        <item x="367"/>
        <item x="302"/>
        <item x="445"/>
        <item x="345"/>
        <item x="386"/>
        <item x="288"/>
        <item x="290"/>
        <item x="1052"/>
        <item x="413"/>
        <item x="455"/>
        <item x="293"/>
        <item x="318"/>
        <item x="468"/>
        <item x="414"/>
        <item x="287"/>
        <item x="508"/>
        <item x="462"/>
        <item x="396"/>
        <item x="479"/>
        <item x="433"/>
        <item x="515"/>
        <item x="300"/>
        <item x="320"/>
        <item x="496"/>
        <item x="394"/>
        <item x="405"/>
        <item x="409"/>
        <item x="458"/>
        <item x="337"/>
        <item x="360"/>
        <item x="440"/>
        <item x="330"/>
        <item x="336"/>
        <item x="342"/>
        <item x="1268"/>
        <item x="28"/>
        <item x="616"/>
        <item x="606"/>
        <item x="699"/>
        <item x="686"/>
        <item x="669"/>
        <item x="570"/>
        <item x="681"/>
        <item x="682"/>
        <item x="548"/>
        <item x="551"/>
        <item x="580"/>
        <item x="753"/>
        <item x="566"/>
        <item x="591"/>
        <item x="549"/>
        <item x="631"/>
        <item x="749"/>
        <item x="627"/>
        <item x="664"/>
        <item x="668"/>
        <item x="702"/>
        <item x="84"/>
        <item x="653"/>
        <item x="684"/>
        <item x="98"/>
        <item x="707"/>
        <item x="639"/>
        <item x="751"/>
        <item x="604"/>
        <item x="703"/>
        <item x="748"/>
        <item x="90"/>
        <item x="585"/>
        <item x="565"/>
        <item x="773"/>
        <item x="546"/>
        <item x="583"/>
        <item x="569"/>
        <item x="555"/>
        <item x="709"/>
        <item x="643"/>
        <item x="635"/>
        <item x="728"/>
        <item x="700"/>
        <item x="776"/>
        <item x="705"/>
        <item x="636"/>
        <item x="762"/>
        <item x="97"/>
        <item x="561"/>
        <item x="614"/>
        <item x="696"/>
        <item x="628"/>
        <item x="586"/>
        <item x="778"/>
        <item x="602"/>
        <item x="576"/>
        <item x="661"/>
        <item x="761"/>
        <item x="867"/>
        <item x="598"/>
        <item x="227"/>
        <item x="652"/>
        <item x="711"/>
        <item x="721"/>
        <item x="85"/>
        <item x="740"/>
        <item x="632"/>
        <item x="750"/>
        <item x="96"/>
        <item x="737"/>
        <item x="597"/>
        <item x="224"/>
        <item x="587"/>
        <item x="701"/>
        <item x="621"/>
        <item x="622"/>
        <item x="732"/>
        <item x="714"/>
        <item x="607"/>
        <item x="657"/>
        <item x="784"/>
        <item x="781"/>
        <item x="630"/>
        <item x="578"/>
        <item x="594"/>
        <item x="99"/>
        <item x="648"/>
        <item x="679"/>
        <item x="641"/>
        <item x="552"/>
        <item x="673"/>
        <item x="553"/>
        <item x="558"/>
        <item x="723"/>
        <item x="671"/>
        <item x="725"/>
        <item x="677"/>
        <item x="656"/>
        <item x="771"/>
        <item x="64"/>
        <item x="663"/>
        <item x="712"/>
        <item x="560"/>
        <item x="638"/>
        <item x="92"/>
        <item x="774"/>
        <item x="596"/>
        <item x="768"/>
        <item x="695"/>
        <item x="590"/>
        <item x="900"/>
        <item x="1030"/>
        <item x="502"/>
        <item x="541"/>
        <item x="757"/>
        <item x="544"/>
        <item x="539"/>
        <item x="603"/>
        <item x="690"/>
        <item x="577"/>
        <item x="765"/>
        <item x="783"/>
        <item x="789"/>
        <item x="788"/>
        <item x="613"/>
        <item x="660"/>
        <item x="557"/>
        <item x="89"/>
        <item x="687"/>
        <item x="647"/>
        <item x="742"/>
        <item x="720"/>
        <item x="225"/>
        <item x="678"/>
        <item x="601"/>
        <item x="730"/>
        <item x="39"/>
        <item x="719"/>
        <item x="226"/>
        <item x="745"/>
        <item x="612"/>
        <item x="624"/>
        <item x="88"/>
        <item x="731"/>
        <item x="571"/>
        <item x="633"/>
        <item x="618"/>
        <item x="620"/>
        <item x="91"/>
        <item x="626"/>
        <item x="86"/>
        <item x="739"/>
        <item x="676"/>
        <item x="767"/>
        <item x="651"/>
        <item x="665"/>
        <item x="582"/>
        <item x="574"/>
        <item x="93"/>
        <item x="764"/>
        <item x="94"/>
        <item x="95"/>
        <item x="608"/>
        <item x="599"/>
        <item x="755"/>
        <item x="691"/>
        <item x="787"/>
        <item x="706"/>
        <item x="658"/>
        <item x="572"/>
        <item x="610"/>
        <item x="1334"/>
        <item x="1132"/>
        <item x="1264"/>
        <item x="182"/>
        <item x="1123"/>
        <item x="874"/>
        <item x="980"/>
        <item x="924"/>
        <item x="1111"/>
        <item x="885"/>
        <item x="1175"/>
        <item x="187"/>
        <item x="933"/>
        <item x="979"/>
        <item x="1133"/>
        <item x="1316"/>
        <item x="770"/>
        <item x="563"/>
        <item x="931"/>
        <item x="191"/>
        <item x="1026"/>
        <item x="152"/>
        <item x="1069"/>
        <item x="1302"/>
        <item x="1288"/>
        <item x="1241"/>
        <item x="1344"/>
        <item x="988"/>
        <item x="1150"/>
        <item x="987"/>
        <item x="1314"/>
        <item x="475"/>
        <item x="57"/>
        <item x="794"/>
        <item x="56"/>
        <item x="294"/>
        <item x="282"/>
        <item x="472"/>
        <item x="473"/>
        <item x="471"/>
        <item x="214"/>
        <item x="1340"/>
        <item x="456"/>
        <item x="1237"/>
        <item x="1189"/>
        <item x="1142"/>
        <item x="1170"/>
        <item x="1214"/>
        <item x="1178"/>
        <item x="1223"/>
        <item x="927"/>
        <item x="1208"/>
        <item x="1137"/>
        <item x="990"/>
        <item x="1099"/>
        <item x="892"/>
        <item x="202"/>
        <item x="38"/>
        <item x="1329"/>
        <item x="1186"/>
        <item x="969"/>
        <item x="170"/>
        <item x="921"/>
        <item x="962"/>
        <item x="1103"/>
        <item x="206"/>
        <item x="190"/>
        <item x="178"/>
        <item x="244"/>
        <item x="11"/>
        <item x="50"/>
        <item x="24"/>
        <item x="1226"/>
        <item x="30"/>
        <item x="250"/>
        <item x="1183"/>
        <item x="1246"/>
        <item x="114"/>
        <item x="1286"/>
        <item x="8"/>
        <item x="27"/>
        <item x="252"/>
        <item x="795"/>
        <item x="83"/>
        <item x="1182"/>
        <item x="961"/>
        <item x="1135"/>
        <item x="1074"/>
        <item x="1276"/>
        <item x="1124"/>
        <item x="164"/>
        <item x="1301"/>
        <item x="208"/>
        <item x="1304"/>
        <item x="1238"/>
        <item x="1342"/>
        <item x="1023"/>
        <item x="136"/>
        <item x="1365"/>
        <item x="1014"/>
        <item x="1121"/>
        <item x="10"/>
        <item x="29"/>
        <item x="108"/>
        <item x="228"/>
        <item x="1307"/>
        <item x="1254"/>
        <item x="1108"/>
        <item x="1063"/>
        <item x="71"/>
        <item x="519"/>
        <item x="533"/>
        <item x="1079"/>
        <item x="1381"/>
        <item x="9"/>
        <item x="1093"/>
        <item x="25"/>
        <item x="22"/>
        <item x="21"/>
        <item x="247"/>
        <item x="246"/>
        <item x="162"/>
        <item x="1213"/>
        <item x="1221"/>
        <item x="1098"/>
        <item x="1059"/>
        <item x="216"/>
        <item x="1300"/>
        <item x="895"/>
        <item x="1027"/>
        <item x="215"/>
        <item x="879"/>
        <item x="1356"/>
        <item x="1068"/>
        <item x="1315"/>
        <item x="248"/>
        <item x="55"/>
        <item x="1049"/>
        <item x="989"/>
        <item x="235"/>
        <item x="177"/>
        <item x="1239"/>
        <item x="1191"/>
        <item x="1096"/>
        <item x="713"/>
        <item x="747"/>
        <item x="487"/>
        <item x="575"/>
        <item x="584"/>
        <item x="726"/>
        <item x="617"/>
        <item x="741"/>
        <item x="743"/>
        <item x="634"/>
        <item x="650"/>
        <item x="866"/>
        <item x="662"/>
        <item x="746"/>
        <item x="777"/>
        <item x="625"/>
        <item x="581"/>
        <item x="736"/>
        <item x="754"/>
        <item x="670"/>
        <item x="667"/>
        <item x="760"/>
        <item x="710"/>
        <item x="708"/>
        <item x="727"/>
        <item x="698"/>
        <item x="756"/>
        <item x="704"/>
        <item x="782"/>
        <item x="785"/>
        <item x="564"/>
        <item x="869"/>
        <item x="868"/>
        <item x="718"/>
        <item x="592"/>
        <item x="786"/>
        <item x="779"/>
        <item x="609"/>
        <item x="655"/>
        <item x="675"/>
        <item x="775"/>
        <item x="550"/>
        <item x="615"/>
        <item x="593"/>
        <item x="554"/>
        <item x="744"/>
        <item x="780"/>
        <item x="545"/>
        <item x="772"/>
        <item x="759"/>
        <item x="600"/>
        <item x="556"/>
        <item x="589"/>
        <item x="689"/>
        <item x="692"/>
        <item x="645"/>
        <item x="666"/>
        <item x="623"/>
        <item x="734"/>
        <item x="494"/>
        <item x="497"/>
        <item x="642"/>
        <item x="619"/>
        <item x="715"/>
        <item x="722"/>
        <item x="644"/>
        <item x="716"/>
        <item x="659"/>
        <item x="654"/>
        <item x="766"/>
        <item x="717"/>
        <item x="729"/>
        <item x="637"/>
        <item x="763"/>
        <item x="694"/>
        <item x="688"/>
        <item x="769"/>
        <item x="629"/>
        <item x="579"/>
        <item x="568"/>
        <item x="804"/>
        <item x="611"/>
        <item x="697"/>
        <item x="559"/>
        <item x="573"/>
        <item x="547"/>
        <item x="588"/>
        <item x="724"/>
        <item x="562"/>
        <item x="752"/>
        <item x="738"/>
        <item x="640"/>
        <item x="646"/>
        <item x="567"/>
        <item x="649"/>
        <item x="605"/>
        <item x="683"/>
        <item x="685"/>
        <item x="758"/>
        <item x="672"/>
        <item x="680"/>
        <item x="1006"/>
        <item x="797"/>
        <item x="1101"/>
        <item x="913"/>
        <item x="1362"/>
        <item x="1376"/>
        <item x="1197"/>
        <item x="1097"/>
        <item x="33"/>
        <item x="944"/>
        <item x="1017"/>
        <item x="945"/>
        <item x="1041"/>
        <item x="963"/>
        <item x="1064"/>
        <item x="166"/>
        <item x="185"/>
        <item x="221"/>
        <item x="161"/>
        <item x="1204"/>
        <item x="16"/>
        <item x="982"/>
        <item x="143"/>
        <item x="1192"/>
        <item x="1056"/>
        <item x="880"/>
        <item x="1257"/>
        <item x="204"/>
        <item x="1102"/>
        <item x="1250"/>
        <item x="138"/>
        <item x="125"/>
        <item x="1159"/>
        <item x="1360"/>
        <item x="1162"/>
        <item x="19"/>
        <item x="542"/>
        <item x="253"/>
        <item x="1240"/>
        <item x="156"/>
        <item x="36"/>
        <item x="501"/>
        <item x="112"/>
        <item x="839"/>
        <item x="889"/>
        <item x="897"/>
        <item x="192"/>
        <item x="952"/>
        <item x="1263"/>
        <item x="1046"/>
        <item x="1147"/>
        <item x="899"/>
        <item x="1321"/>
        <item x="1231"/>
        <item x="1021"/>
        <item x="1284"/>
        <item x="1075"/>
        <item x="1151"/>
        <item x="1185"/>
        <item x="1072"/>
        <item x="992"/>
        <item x="1116"/>
        <item x="242"/>
        <item x="1225"/>
        <item x="1325"/>
        <item x="69"/>
        <item x="218"/>
        <item x="968"/>
        <item x="51"/>
        <item x="532"/>
        <item x="120"/>
        <item x="111"/>
        <item x="211"/>
        <item x="142"/>
        <item x="1218"/>
        <item x="1127"/>
        <item x="17"/>
        <item x="934"/>
        <item x="461"/>
        <item x="1141"/>
        <item x="174"/>
        <item x="916"/>
        <item x="1077"/>
        <item x="994"/>
        <item x="1295"/>
        <item x="15"/>
        <item x="158"/>
        <item x="1050"/>
        <item x="928"/>
        <item x="941"/>
        <item x="1024"/>
        <item x="922"/>
        <item x="1327"/>
        <item x="284"/>
        <item x="63"/>
        <item x="59"/>
        <item x="339"/>
        <item x="493"/>
        <item x="364"/>
        <item x="372"/>
        <item x="450"/>
        <item x="378"/>
        <item x="425"/>
        <item x="404"/>
        <item x="365"/>
        <item x="403"/>
        <item x="439"/>
        <item x="60"/>
        <item x="470"/>
        <item x="477"/>
        <item x="424"/>
        <item x="418"/>
        <item x="467"/>
        <item x="447"/>
        <item x="449"/>
        <item x="463"/>
        <item x="465"/>
        <item x="428"/>
        <item x="388"/>
        <item x="73"/>
        <item x="74"/>
        <item x="269"/>
        <item x="75"/>
        <item x="40"/>
        <item x="466"/>
        <item x="389"/>
        <item x="1187"/>
        <item x="1173"/>
        <item x="886"/>
        <item x="1129"/>
        <item x="1172"/>
        <item x="939"/>
        <item x="938"/>
        <item x="956"/>
        <item x="126"/>
        <item x="1167"/>
        <item x="1222"/>
        <item x="1066"/>
        <item x="172"/>
        <item x="1190"/>
        <item x="1181"/>
        <item x="1029"/>
        <item x="1275"/>
        <item x="144"/>
        <item x="1368"/>
        <item x="926"/>
        <item x="1283"/>
        <item x="946"/>
        <item x="117"/>
        <item x="179"/>
        <item x="1168"/>
        <item x="1260"/>
        <item x="917"/>
        <item x="1106"/>
        <item x="118"/>
        <item x="129"/>
        <item x="1323"/>
        <item x="973"/>
        <item x="148"/>
        <item x="134"/>
        <item x="1205"/>
        <item x="1158"/>
        <item x="1219"/>
        <item x="1318"/>
        <item x="959"/>
        <item x="1348"/>
        <item x="1337"/>
        <item x="1131"/>
        <item x="61"/>
        <item x="1113"/>
        <item x="155"/>
        <item x="878"/>
        <item x="1018"/>
        <item x="1270"/>
        <item x="1115"/>
        <item x="1336"/>
        <item x="1291"/>
        <item x="949"/>
        <item x="953"/>
        <item x="1002"/>
        <item x="1193"/>
        <item x="1089"/>
        <item x="1199"/>
        <item x="196"/>
        <item x="957"/>
        <item x="923"/>
        <item x="1155"/>
        <item x="1035"/>
        <item x="902"/>
        <item x="935"/>
        <item x="149"/>
        <item x="160"/>
        <item x="978"/>
        <item x="1037"/>
        <item x="890"/>
        <item x="1110"/>
        <item x="1322"/>
        <item x="1177"/>
        <item x="1015"/>
        <item x="169"/>
        <item x="930"/>
        <item x="189"/>
        <item x="1200"/>
        <item x="1201"/>
        <item x="1195"/>
        <item x="1009"/>
        <item x="873"/>
        <item x="1271"/>
        <item x="194"/>
        <item x="948"/>
        <item x="1007"/>
        <item x="1156"/>
        <item x="1140"/>
        <item x="1311"/>
        <item x="1169"/>
        <item x="911"/>
        <item x="974"/>
        <item x="1198"/>
        <item x="186"/>
        <item x="173"/>
        <item x="181"/>
        <item x="232"/>
        <item x="1345"/>
        <item x="171"/>
        <item x="881"/>
        <item x="1036"/>
        <item x="135"/>
        <item x="993"/>
        <item x="1174"/>
        <item x="1207"/>
        <item x="937"/>
        <item x="153"/>
        <item x="130"/>
        <item x="121"/>
        <item x="1087"/>
        <item x="107"/>
        <item x="893"/>
        <item x="896"/>
        <item x="1020"/>
        <item x="1211"/>
        <item x="1313"/>
        <item x="1048"/>
        <item x="1242"/>
        <item x="1248"/>
        <item x="1042"/>
        <item x="1184"/>
        <item x="1349"/>
        <item x="1016"/>
        <item x="401"/>
        <item x="505"/>
        <item x="451"/>
        <item x="1008"/>
        <item x="70"/>
        <item x="286"/>
        <item x="34"/>
        <item x="975"/>
        <item x="1144"/>
        <item x="139"/>
        <item x="1332"/>
        <item x="197"/>
        <item x="1092"/>
        <item x="3"/>
        <item x="1153"/>
        <item x="1125"/>
        <item x="1373"/>
        <item x="1363"/>
        <item x="1266"/>
        <item x="806"/>
        <item x="861"/>
        <item x="863"/>
        <item x="864"/>
        <item x="808"/>
        <item x="102"/>
        <item x="261"/>
        <item x="1289"/>
        <item x="1303"/>
        <item x="807"/>
        <item x="101"/>
        <item x="513"/>
        <item x="803"/>
        <item x="262"/>
        <item x="817"/>
        <item x="805"/>
        <item x="263"/>
        <item x="42"/>
        <item x="862"/>
        <item x="834"/>
        <item x="857"/>
        <item x="41"/>
        <item x="858"/>
        <item x="860"/>
        <item x="100"/>
        <item x="1028"/>
        <item x="201"/>
        <item x="1067"/>
        <item x="147"/>
        <item x="997"/>
        <item x="7"/>
        <item x="220"/>
        <item x="1209"/>
        <item x="1119"/>
        <item x="184"/>
        <item x="168"/>
        <item x="1157"/>
        <item x="1281"/>
        <item x="258"/>
        <item x="105"/>
        <item t="default"/>
      </items>
    </pivotField>
    <pivotField showAll="0"/>
    <pivotField showAll="0"/>
    <pivotField axis="axisPage" showAll="0">
      <items count="7">
        <item x="0"/>
        <item x="4"/>
        <item x="3"/>
        <item x="2"/>
        <item x="1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40">
    <i>
      <x v="109"/>
    </i>
    <i>
      <x v="143"/>
    </i>
    <i>
      <x v="144"/>
    </i>
    <i>
      <x v="150"/>
    </i>
    <i>
      <x v="166"/>
    </i>
    <i>
      <x v="168"/>
    </i>
    <i>
      <x v="194"/>
    </i>
    <i>
      <x v="264"/>
    </i>
    <i>
      <x v="308"/>
    </i>
    <i>
      <x v="349"/>
    </i>
    <i>
      <x v="350"/>
    </i>
    <i>
      <x v="474"/>
    </i>
    <i>
      <x v="475"/>
    </i>
    <i>
      <x v="477"/>
    </i>
    <i>
      <x v="481"/>
    </i>
    <i>
      <x v="490"/>
    </i>
    <i>
      <x v="492"/>
    </i>
    <i>
      <x v="518"/>
    </i>
    <i>
      <x v="537"/>
    </i>
    <i>
      <x v="549"/>
    </i>
    <i>
      <x v="556"/>
    </i>
    <i>
      <x v="580"/>
    </i>
    <i>
      <x v="589"/>
    </i>
    <i>
      <x v="590"/>
    </i>
    <i>
      <x v="599"/>
    </i>
    <i>
      <x v="608"/>
    </i>
    <i>
      <x v="635"/>
    </i>
    <i>
      <x v="653"/>
    </i>
    <i>
      <x v="662"/>
    </i>
    <i>
      <x v="667"/>
    </i>
    <i>
      <x v="683"/>
    </i>
    <i>
      <x v="704"/>
    </i>
    <i>
      <x v="748"/>
    </i>
    <i>
      <x v="782"/>
    </i>
    <i>
      <x v="783"/>
    </i>
    <i>
      <x v="784"/>
    </i>
    <i>
      <x v="1016"/>
    </i>
    <i>
      <x v="1022"/>
    </i>
    <i>
      <x v="1030"/>
    </i>
    <i t="grand">
      <x/>
    </i>
  </rowItems>
  <colItems count="1">
    <i/>
  </colItems>
  <pageFields count="1">
    <pageField fld="4" item="5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8DDD5D-45B7-4803-A0E5-435633914383}" name="Tabla1" displayName="Tabla1" ref="A1:C1046" totalsRowShown="0" headerRowDxfId="244" dataDxfId="243">
  <autoFilter ref="A1:C1046" xr:uid="{A98DDD5D-45B7-4803-A0E5-435633914383}"/>
  <tableColumns count="3">
    <tableColumn id="1" xr3:uid="{8606E7E1-AE9F-4EE9-9DAD-491D98509E44}" name="RUT" dataDxfId="242"/>
    <tableColumn id="2" xr3:uid="{262FDE0C-D100-4345-AA3E-CEE1EB431C45}" name="RAZON" dataDxfId="241"/>
    <tableColumn id="3" xr3:uid="{56C76329-449F-4D91-B51C-23B1FDB4B6A5}" name="VENDEDOR" dataDxfId="240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D48680-84B4-4A4F-931E-D4B92A9FA9FE}" name="Tabla13" displayName="Tabla13" ref="A1:J1501" totalsRowShown="0" headerRowDxfId="239" dataDxfId="238">
  <autoFilter ref="A1:J1501" xr:uid="{98D48680-84B4-4A4F-931E-D4B92A9FA9FE}"/>
  <tableColumns count="10">
    <tableColumn id="1" xr3:uid="{1EB593CB-19B7-4408-A821-40AF5397EC7C}" name="RUT" dataDxfId="237"/>
    <tableColumn id="2" xr3:uid="{F267FFB6-25CD-41D9-8435-5CCC8C0ABA6B}" name="RAZON" dataDxfId="236"/>
    <tableColumn id="8" xr3:uid="{89A08216-9436-4D71-AA73-EBDE92AA5536}" name="COMUNA" dataDxfId="235"/>
    <tableColumn id="9" xr3:uid="{F8084C2D-184A-4CA0-A350-F59FC1F8DC6C}" name="REGION" dataDxfId="234"/>
    <tableColumn id="3" xr3:uid="{CFE143BE-59DD-4DB8-8774-A31DFAE8AF9E}" name="VENDEDOR" dataDxfId="233"/>
    <tableColumn id="10" xr3:uid="{65E92AA2-F39B-4629-A2C9-8B528E4D044D}" name="COD CLIENTE" dataDxfId="232"/>
    <tableColumn id="6" xr3:uid="{BFF07DCA-F74D-4696-B62B-EA886367A232}" name="INDUSTRIA"/>
    <tableColumn id="12" xr3:uid="{1968A895-6B13-4602-8B88-787A02196959}" name="SECTOR" dataDxfId="231"/>
    <tableColumn id="7" xr3:uid="{50350535-D4EC-4ADF-ADC1-31D3580FC3EA}" name="CARTERA" dataDxfId="230">
      <calculatedColumnFormula>IF(Tabla13[[#This Row],[RUT]]=774097899,"DIST",_xlfn.XLOOKUP(Tabla13[[#This Row],[VENDEDOR]],dimensiones!$C$21:$C$28,dimensiones!$D$21:$D$28,""))</calculatedColumnFormula>
    </tableColumn>
    <tableColumn id="4" xr3:uid="{D5F17A28-D24E-4B59-83C4-AB7C1136E6F1}" name="REGION NOMBRE" dataDxfId="229">
      <calculatedColumnFormula>_xlfn.XLOOKUP(Tabla13[[#This Row],[REGION]],dimensiones!C:C,dimensiones!D:D,"")</calculatedColumnFormula>
    </tableColumn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E61F55-F40E-409E-A6CC-C38121A89C9B}" name="Tabla134" displayName="Tabla134" ref="A1:J1149" totalsRowShown="0" headerRowDxfId="228" dataDxfId="227">
  <autoFilter ref="A1:J1149" xr:uid="{98D48680-84B4-4A4F-931E-D4B92A9FA9FE}">
    <filterColumn colId="5">
      <filters>
        <filter val="REGIÓN DE  ARICA Y PARINACOTA"/>
      </filters>
    </filterColumn>
  </autoFilter>
  <tableColumns count="10">
    <tableColumn id="1" xr3:uid="{24B7E089-4798-4E3A-8B5D-54132DF7BD0F}" name="RUT" dataDxfId="226"/>
    <tableColumn id="2" xr3:uid="{2956FA63-4AED-474C-A722-C0B4DEA8A9D2}" name="RAZON" dataDxfId="225"/>
    <tableColumn id="3" xr3:uid="{0315AF32-BF48-4BE0-8DE6-BF13084457C1}" name="VENDEDOR" dataDxfId="224"/>
    <tableColumn id="7" xr3:uid="{810198A6-16D7-4908-AF82-0B3963090418}" name="CARTERA" dataDxfId="223"/>
    <tableColumn id="8" xr3:uid="{7C09F638-7CCD-4FFE-9683-C6D9118195F5}" name="COMUNA" dataDxfId="222"/>
    <tableColumn id="9" xr3:uid="{8BE45D5B-486C-4F40-8EA2-29F927128809}" name="REGION" dataDxfId="221"/>
    <tableColumn id="10" xr3:uid="{110001C6-7502-4F44-BFBA-97378BAC8825}" name="COD CLIENTE" dataDxfId="220"/>
    <tableColumn id="11" xr3:uid="{4ABE5477-6DCC-4BB9-9FC3-1B2C48A5C31F}" name="RUT SD" dataDxfId="219"/>
    <tableColumn id="12" xr3:uid="{AF64E4BB-C5B2-422D-8C1E-6B2499B191FF}" name="SECTOR" dataDxfId="218"/>
    <tableColumn id="4" xr3:uid="{EC7A9CC5-85DF-4F81-97DF-9DC393A19461}" name="prueba" dataDxfId="217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FD1B46-DEE5-4AE2-B58C-6362CC8B921B}" name="CARTERA_2026" displayName="CARTERA_2026" ref="A1:J1541" totalsRowShown="0" headerRowDxfId="254">
  <autoFilter ref="A1:J1541" xr:uid="{0DFD1B46-DEE5-4AE2-B58C-6362CC8B921B}"/>
  <tableColumns count="10">
    <tableColumn id="1" xr3:uid="{F8CB179B-84E9-47D7-85E3-B5C9EEB79747}" name="RUT" dataDxfId="253"/>
    <tableColumn id="2" xr3:uid="{5D892EF8-5A06-4A0B-92DA-35C98AC6493A}" name="RAZON" dataDxfId="252"/>
    <tableColumn id="8" xr3:uid="{155296AC-6B62-4CF5-B39D-7D9825E0A674}" name="COMUNA" dataDxfId="251"/>
    <tableColumn id="9" xr3:uid="{0C38F00D-560B-4BA1-8D4B-04C10D95E20A}" name="REGION" dataDxfId="250"/>
    <tableColumn id="3" xr3:uid="{FABCA8B6-5045-4498-8AAF-A95033F2AE2B}" name="VENDEDOR" dataDxfId="249"/>
    <tableColumn id="10" xr3:uid="{80B1D1E3-85E2-4D48-9F00-4562E411569A}" name="COD CLIENTE" dataDxfId="248"/>
    <tableColumn id="6" xr3:uid="{E5953EA7-9E0E-4553-8B80-CDCB8CD0D785}" name="INDUSTRIA"/>
    <tableColumn id="12" xr3:uid="{7B6C3231-4DD3-4487-ABFD-9B1147923DFC}" name="SECTOR" dataDxfId="247"/>
    <tableColumn id="7" xr3:uid="{E9CB9C92-0066-43BF-A19E-957612A9F0D1}" name="CARTERA" dataDxfId="246">
      <calculatedColumnFormula>IF(CARTERA_2026[[#This Row],[RUT]]=774097899,"DIST",_xlfn.XLOOKUP(CARTERA_2026[[#This Row],[VENDEDOR]],dimensiones!$C$21:$C$28,dimensiones!$D$21:$D$28,""))</calculatedColumnFormula>
    </tableColumn>
    <tableColumn id="4" xr3:uid="{B0572E8E-F22B-492A-92F3-085FCE0C8B27}" name="REGION NOMBRE" dataDxfId="245">
      <calculatedColumnFormula>_xlfn.XLOOKUP(CARTERA_2026[[#This Row],[REGION]],dimensiones!C:C,dimensiones!D:D,"")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77"/>
  <sheetViews>
    <sheetView workbookViewId="0">
      <selection activeCell="C2" sqref="C2"/>
    </sheetView>
  </sheetViews>
  <sheetFormatPr baseColWidth="10" defaultColWidth="9.140625" defaultRowHeight="15" x14ac:dyDescent="0.25"/>
  <cols>
    <col min="1" max="1" width="14.140625" style="3" customWidth="1"/>
    <col min="2" max="2" width="79" style="1" customWidth="1"/>
    <col min="3" max="3" width="15.42578125" style="1" bestFit="1" customWidth="1"/>
    <col min="4" max="4" width="15.42578125" style="1" customWidth="1"/>
    <col min="5" max="5" width="10.7109375" bestFit="1" customWidth="1"/>
    <col min="6" max="6" width="12.5703125" bestFit="1" customWidth="1"/>
    <col min="7" max="8" width="10.5703125" bestFit="1" customWidth="1"/>
    <col min="9" max="9" width="42.5703125" customWidth="1"/>
    <col min="11" max="11" width="10" bestFit="1" customWidth="1"/>
    <col min="12" max="12" width="16.140625" bestFit="1" customWidth="1"/>
    <col min="13" max="13" width="16.140625" customWidth="1"/>
  </cols>
  <sheetData>
    <row r="1" spans="1:9" ht="43.5" customHeight="1" x14ac:dyDescent="0.25">
      <c r="A1" s="43" t="s">
        <v>0</v>
      </c>
      <c r="B1" s="44" t="s">
        <v>1</v>
      </c>
      <c r="C1" s="44" t="s">
        <v>2</v>
      </c>
      <c r="D1" s="44"/>
      <c r="E1" t="str">
        <f>MID(A1, 1, 2) &amp; "." &amp; MID(A1, 3, 3) &amp; "." &amp; MID(A1, 6, 3) &amp; "-" &amp; RIGHT(A1, 1)</f>
        <v>RU.T.-T</v>
      </c>
      <c r="F1" t="s">
        <v>4419</v>
      </c>
      <c r="I1" s="75" t="s">
        <v>4750</v>
      </c>
    </row>
    <row r="2" spans="1:9" x14ac:dyDescent="0.25">
      <c r="A2" s="3">
        <v>611020171</v>
      </c>
      <c r="B2" s="1" t="s">
        <v>10</v>
      </c>
      <c r="C2" t="s">
        <v>4757</v>
      </c>
      <c r="D2"/>
      <c r="E2" s="42">
        <f>VALUE(MID(Tabla1[[#This Row],[RUT]],1,LEN(Tabla1[[#This Row],[RUT]])-1))</f>
        <v>61102017</v>
      </c>
      <c r="F2" t="str">
        <f>"CN"&amp;E2</f>
        <v>CN61102017</v>
      </c>
    </row>
    <row r="3" spans="1:9" x14ac:dyDescent="0.25">
      <c r="A3" s="3">
        <v>616020366</v>
      </c>
      <c r="B3" s="1" t="s">
        <v>13</v>
      </c>
      <c r="C3" t="s">
        <v>4757</v>
      </c>
      <c r="D3"/>
      <c r="E3" s="42">
        <f>VALUE(MID(Tabla1[[#This Row],[RUT]],1,LEN(Tabla1[[#This Row],[RUT]])-1))</f>
        <v>61602036</v>
      </c>
      <c r="F3" t="str">
        <f t="shared" ref="F3:F66" si="0">"CN"&amp;E3</f>
        <v>CN61602036</v>
      </c>
    </row>
    <row r="4" spans="1:9" x14ac:dyDescent="0.25">
      <c r="A4" s="3">
        <v>616020382</v>
      </c>
      <c r="B4" s="1" t="s">
        <v>742</v>
      </c>
      <c r="C4" t="s">
        <v>4757</v>
      </c>
      <c r="D4"/>
      <c r="E4" s="42">
        <f>VALUE(MID(Tabla1[[#This Row],[RUT]],1,LEN(Tabla1[[#This Row],[RUT]])-1))</f>
        <v>61602038</v>
      </c>
      <c r="F4" t="str">
        <f t="shared" si="0"/>
        <v>CN61602038</v>
      </c>
    </row>
    <row r="5" spans="1:9" x14ac:dyDescent="0.25">
      <c r="A5" s="3">
        <v>616020544</v>
      </c>
      <c r="B5" s="1" t="s">
        <v>14</v>
      </c>
      <c r="C5" t="s">
        <v>4757</v>
      </c>
      <c r="D5"/>
      <c r="E5" s="42">
        <f>VALUE(MID(Tabla1[[#This Row],[RUT]],1,LEN(Tabla1[[#This Row],[RUT]])-1))</f>
        <v>61602054</v>
      </c>
      <c r="F5" t="str">
        <f t="shared" si="0"/>
        <v>CN61602054</v>
      </c>
    </row>
    <row r="6" spans="1:9" x14ac:dyDescent="0.25">
      <c r="A6" s="3">
        <v>616020579</v>
      </c>
      <c r="B6" s="1" t="s">
        <v>15</v>
      </c>
      <c r="C6" t="s">
        <v>4757</v>
      </c>
      <c r="D6"/>
      <c r="E6" s="42">
        <f>VALUE(MID(Tabla1[[#This Row],[RUT]],1,LEN(Tabla1[[#This Row],[RUT]])-1))</f>
        <v>61602057</v>
      </c>
      <c r="F6" t="str">
        <f t="shared" si="0"/>
        <v>CN61602057</v>
      </c>
    </row>
    <row r="7" spans="1:9" x14ac:dyDescent="0.25">
      <c r="A7" s="3">
        <v>616021265</v>
      </c>
      <c r="B7" s="1" t="s">
        <v>18</v>
      </c>
      <c r="C7" t="s">
        <v>4757</v>
      </c>
      <c r="D7"/>
      <c r="E7" s="42">
        <f>VALUE(MID(Tabla1[[#This Row],[RUT]],1,LEN(Tabla1[[#This Row],[RUT]])-1))</f>
        <v>61602126</v>
      </c>
      <c r="F7" t="str">
        <f t="shared" si="0"/>
        <v>CN61602126</v>
      </c>
    </row>
    <row r="8" spans="1:9" x14ac:dyDescent="0.25">
      <c r="A8" s="3">
        <v>616064029</v>
      </c>
      <c r="B8" s="1" t="s">
        <v>32</v>
      </c>
      <c r="C8" t="s">
        <v>4757</v>
      </c>
      <c r="D8"/>
      <c r="E8" s="42">
        <f>VALUE(MID(Tabla1[[#This Row],[RUT]],1,LEN(Tabla1[[#This Row],[RUT]])-1))</f>
        <v>61606402</v>
      </c>
      <c r="F8" t="str">
        <f t="shared" si="0"/>
        <v>CN61606402</v>
      </c>
    </row>
    <row r="9" spans="1:9" x14ac:dyDescent="0.25">
      <c r="A9" s="3">
        <v>616064037</v>
      </c>
      <c r="B9" s="1" t="s">
        <v>33</v>
      </c>
      <c r="C9" t="s">
        <v>4757</v>
      </c>
      <c r="D9"/>
      <c r="E9" s="42">
        <f>VALUE(MID(Tabla1[[#This Row],[RUT]],1,LEN(Tabla1[[#This Row],[RUT]])-1))</f>
        <v>61606403</v>
      </c>
      <c r="F9" t="str">
        <f t="shared" si="0"/>
        <v>CN61606403</v>
      </c>
    </row>
    <row r="10" spans="1:9" x14ac:dyDescent="0.25">
      <c r="A10" s="3">
        <v>616064045</v>
      </c>
      <c r="B10" s="1" t="s">
        <v>34</v>
      </c>
      <c r="C10" t="s">
        <v>4757</v>
      </c>
      <c r="D10"/>
      <c r="E10" s="42">
        <f>VALUE(MID(Tabla1[[#This Row],[RUT]],1,LEN(Tabla1[[#This Row],[RUT]])-1))</f>
        <v>61606404</v>
      </c>
      <c r="F10" t="str">
        <f t="shared" si="0"/>
        <v>CN61606404</v>
      </c>
    </row>
    <row r="11" spans="1:9" x14ac:dyDescent="0.25">
      <c r="A11" s="3">
        <v>616065009</v>
      </c>
      <c r="B11" s="1" t="s">
        <v>35</v>
      </c>
      <c r="C11" t="s">
        <v>4757</v>
      </c>
      <c r="D11"/>
      <c r="E11" s="42">
        <f>VALUE(MID(Tabla1[[#This Row],[RUT]],1,LEN(Tabla1[[#This Row],[RUT]])-1))</f>
        <v>61606500</v>
      </c>
      <c r="F11" t="str">
        <f t="shared" si="0"/>
        <v>CN61606500</v>
      </c>
    </row>
    <row r="12" spans="1:9" x14ac:dyDescent="0.25">
      <c r="A12" s="3">
        <v>616066021</v>
      </c>
      <c r="B12" s="1" t="s">
        <v>36</v>
      </c>
      <c r="C12" t="s">
        <v>4757</v>
      </c>
      <c r="D12"/>
      <c r="E12" s="42">
        <f>VALUE(MID(Tabla1[[#This Row],[RUT]],1,LEN(Tabla1[[#This Row],[RUT]])-1))</f>
        <v>61606602</v>
      </c>
      <c r="F12" t="str">
        <f t="shared" si="0"/>
        <v>CN61606602</v>
      </c>
    </row>
    <row r="13" spans="1:9" x14ac:dyDescent="0.25">
      <c r="A13" s="3">
        <v>616066048</v>
      </c>
      <c r="B13" s="1" t="s">
        <v>37</v>
      </c>
      <c r="C13" t="s">
        <v>4757</v>
      </c>
      <c r="D13"/>
      <c r="E13" s="42">
        <f>VALUE(MID(Tabla1[[#This Row],[RUT]],1,LEN(Tabla1[[#This Row],[RUT]])-1))</f>
        <v>61606604</v>
      </c>
      <c r="F13" t="str">
        <f t="shared" si="0"/>
        <v>CN61606604</v>
      </c>
    </row>
    <row r="14" spans="1:9" x14ac:dyDescent="0.25">
      <c r="A14" s="6">
        <v>616066056</v>
      </c>
      <c r="B14" s="5" t="s">
        <v>38</v>
      </c>
      <c r="C14" t="s">
        <v>159</v>
      </c>
      <c r="D14"/>
      <c r="E14" s="42">
        <f>VALUE(MID(Tabla1[[#This Row],[RUT]],1,LEN(Tabla1[[#This Row],[RUT]])-1))</f>
        <v>61606605</v>
      </c>
      <c r="F14" t="str">
        <f t="shared" si="0"/>
        <v>CN61606605</v>
      </c>
    </row>
    <row r="15" spans="1:9" x14ac:dyDescent="0.25">
      <c r="A15" s="3">
        <v>616066064</v>
      </c>
      <c r="B15" s="1" t="s">
        <v>39</v>
      </c>
      <c r="C15" t="s">
        <v>159</v>
      </c>
      <c r="D15"/>
      <c r="E15" s="42">
        <f>VALUE(MID(Tabla1[[#This Row],[RUT]],1,LEN(Tabla1[[#This Row],[RUT]])-1))</f>
        <v>61606606</v>
      </c>
      <c r="F15" t="str">
        <f t="shared" si="0"/>
        <v>CN61606606</v>
      </c>
    </row>
    <row r="16" spans="1:9" x14ac:dyDescent="0.25">
      <c r="A16" s="3">
        <v>616066080</v>
      </c>
      <c r="B16" s="1" t="s">
        <v>40</v>
      </c>
      <c r="C16" t="s">
        <v>4757</v>
      </c>
      <c r="D16"/>
      <c r="E16" s="42">
        <f>VALUE(MID(Tabla1[[#This Row],[RUT]],1,LEN(Tabla1[[#This Row],[RUT]])-1))</f>
        <v>61606608</v>
      </c>
      <c r="F16" t="str">
        <f t="shared" si="0"/>
        <v>CN61606608</v>
      </c>
    </row>
    <row r="17" spans="1:6" x14ac:dyDescent="0.25">
      <c r="A17" s="6">
        <v>616066099</v>
      </c>
      <c r="B17" s="5" t="s">
        <v>41</v>
      </c>
      <c r="C17" t="s">
        <v>159</v>
      </c>
      <c r="D17"/>
      <c r="E17" s="42">
        <f>VALUE(MID(Tabla1[[#This Row],[RUT]],1,LEN(Tabla1[[#This Row],[RUT]])-1))</f>
        <v>61606609</v>
      </c>
      <c r="F17" t="str">
        <f t="shared" si="0"/>
        <v>CN61606609</v>
      </c>
    </row>
    <row r="18" spans="1:6" x14ac:dyDescent="0.25">
      <c r="A18" s="3">
        <v>616066110</v>
      </c>
      <c r="B18" s="1" t="s">
        <v>42</v>
      </c>
      <c r="C18" t="s">
        <v>159</v>
      </c>
      <c r="D18"/>
      <c r="E18" s="42">
        <f>VALUE(MID(Tabla1[[#This Row],[RUT]],1,LEN(Tabla1[[#This Row],[RUT]])-1))</f>
        <v>61606611</v>
      </c>
      <c r="F18" t="str">
        <f t="shared" si="0"/>
        <v>CN61606611</v>
      </c>
    </row>
    <row r="19" spans="1:6" x14ac:dyDescent="0.25">
      <c r="A19" s="6">
        <v>654536201</v>
      </c>
      <c r="B19" s="5" t="s">
        <v>74</v>
      </c>
      <c r="C19" t="s">
        <v>4757</v>
      </c>
      <c r="D19"/>
      <c r="E19" s="42">
        <f>VALUE(MID(Tabla1[[#This Row],[RUT]],1,LEN(Tabla1[[#This Row],[RUT]])-1))</f>
        <v>65453620</v>
      </c>
      <c r="F19" t="str">
        <f t="shared" si="0"/>
        <v>CN65453620</v>
      </c>
    </row>
    <row r="20" spans="1:6" x14ac:dyDescent="0.25">
      <c r="A20" s="3">
        <v>690403005</v>
      </c>
      <c r="B20" s="1" t="s">
        <v>75</v>
      </c>
      <c r="C20" t="s">
        <v>4757</v>
      </c>
      <c r="D20"/>
      <c r="E20" s="42">
        <f>VALUE(MID(Tabla1[[#This Row],[RUT]],1,LEN(Tabla1[[#This Row],[RUT]])-1))</f>
        <v>69040300</v>
      </c>
      <c r="F20" t="str">
        <f t="shared" si="0"/>
        <v>CN69040300</v>
      </c>
    </row>
    <row r="21" spans="1:6" x14ac:dyDescent="0.25">
      <c r="A21" s="3">
        <v>690407000</v>
      </c>
      <c r="B21" s="1" t="s">
        <v>76</v>
      </c>
      <c r="C21" t="s">
        <v>4757</v>
      </c>
      <c r="D21"/>
      <c r="E21" s="42">
        <f>VALUE(MID(Tabla1[[#This Row],[RUT]],1,LEN(Tabla1[[#This Row],[RUT]])-1))</f>
        <v>69040700</v>
      </c>
      <c r="F21" t="str">
        <f t="shared" si="0"/>
        <v>CN69040700</v>
      </c>
    </row>
    <row r="22" spans="1:6" x14ac:dyDescent="0.25">
      <c r="A22" s="3">
        <v>690501007</v>
      </c>
      <c r="B22" s="1" t="s">
        <v>77</v>
      </c>
      <c r="C22" t="s">
        <v>159</v>
      </c>
      <c r="D22"/>
      <c r="E22" s="42">
        <f>VALUE(MID(Tabla1[[#This Row],[RUT]],1,LEN(Tabla1[[#This Row],[RUT]])-1))</f>
        <v>69050100</v>
      </c>
      <c r="F22" t="str">
        <f t="shared" si="0"/>
        <v>CN69050100</v>
      </c>
    </row>
    <row r="23" spans="1:6" x14ac:dyDescent="0.25">
      <c r="A23" s="3">
        <v>690514001</v>
      </c>
      <c r="B23" s="1" t="s">
        <v>78</v>
      </c>
      <c r="C23" t="s">
        <v>159</v>
      </c>
      <c r="D23"/>
      <c r="E23" s="42">
        <f>VALUE(MID(Tabla1[[#This Row],[RUT]],1,LEN(Tabla1[[#This Row],[RUT]])-1))</f>
        <v>69051400</v>
      </c>
      <c r="F23" t="str">
        <f t="shared" si="0"/>
        <v>CN69051400</v>
      </c>
    </row>
    <row r="24" spans="1:6" x14ac:dyDescent="0.25">
      <c r="A24" s="6">
        <v>690605007</v>
      </c>
      <c r="B24" s="5" t="s">
        <v>79</v>
      </c>
      <c r="C24" t="s">
        <v>159</v>
      </c>
      <c r="D24"/>
      <c r="E24" s="42">
        <f>VALUE(MID(Tabla1[[#This Row],[RUT]],1,LEN(Tabla1[[#This Row],[RUT]])-1))</f>
        <v>69060500</v>
      </c>
      <c r="F24" t="str">
        <f t="shared" si="0"/>
        <v>CN69060500</v>
      </c>
    </row>
    <row r="25" spans="1:6" x14ac:dyDescent="0.25">
      <c r="A25" s="3">
        <v>690608006</v>
      </c>
      <c r="B25" s="1" t="s">
        <v>80</v>
      </c>
      <c r="C25" t="s">
        <v>4757</v>
      </c>
      <c r="D25"/>
      <c r="E25" s="42">
        <f>VALUE(MID(Tabla1[[#This Row],[RUT]],1,LEN(Tabla1[[#This Row],[RUT]])-1))</f>
        <v>69060800</v>
      </c>
      <c r="F25" t="str">
        <f t="shared" si="0"/>
        <v>CN69060800</v>
      </c>
    </row>
    <row r="26" spans="1:6" x14ac:dyDescent="0.25">
      <c r="A26" s="3">
        <v>690616009</v>
      </c>
      <c r="B26" s="1" t="s">
        <v>81</v>
      </c>
      <c r="C26" t="s">
        <v>159</v>
      </c>
      <c r="D26"/>
      <c r="E26" s="42">
        <f>VALUE(MID(Tabla1[[#This Row],[RUT]],1,LEN(Tabla1[[#This Row],[RUT]])-1))</f>
        <v>69061600</v>
      </c>
      <c r="F26" t="str">
        <f t="shared" si="0"/>
        <v>CN69061600</v>
      </c>
    </row>
    <row r="27" spans="1:6" x14ac:dyDescent="0.25">
      <c r="A27" s="3">
        <v>690617005</v>
      </c>
      <c r="B27" s="1" t="s">
        <v>749</v>
      </c>
      <c r="C27" t="s">
        <v>4757</v>
      </c>
      <c r="D27"/>
      <c r="E27" s="42">
        <f>VALUE(MID(Tabla1[[#This Row],[RUT]],1,LEN(Tabla1[[#This Row],[RUT]])-1))</f>
        <v>69061700</v>
      </c>
      <c r="F27" t="str">
        <f t="shared" si="0"/>
        <v>CN69061700</v>
      </c>
    </row>
    <row r="28" spans="1:6" x14ac:dyDescent="0.25">
      <c r="A28" s="3">
        <v>690734001</v>
      </c>
      <c r="B28" s="1" t="s">
        <v>82</v>
      </c>
      <c r="C28" t="s">
        <v>4757</v>
      </c>
      <c r="D28"/>
      <c r="E28" s="42">
        <f>VALUE(MID(Tabla1[[#This Row],[RUT]],1,LEN(Tabla1[[#This Row],[RUT]])-1))</f>
        <v>69073400</v>
      </c>
      <c r="F28" t="str">
        <f t="shared" si="0"/>
        <v>CN69073400</v>
      </c>
    </row>
    <row r="29" spans="1:6" x14ac:dyDescent="0.25">
      <c r="A29" s="6">
        <v>700155803</v>
      </c>
      <c r="B29" s="5" t="s">
        <v>100</v>
      </c>
      <c r="C29" t="s">
        <v>4757</v>
      </c>
      <c r="D29"/>
      <c r="E29" s="42">
        <f>VALUE(MID(Tabla1[[#This Row],[RUT]],1,LEN(Tabla1[[#This Row],[RUT]])-1))</f>
        <v>70015580</v>
      </c>
      <c r="F29" t="str">
        <f t="shared" si="0"/>
        <v>CN70015580</v>
      </c>
    </row>
    <row r="30" spans="1:6" x14ac:dyDescent="0.25">
      <c r="A30" s="3">
        <v>708594008</v>
      </c>
      <c r="B30" s="1" t="s">
        <v>103</v>
      </c>
      <c r="C30" t="s">
        <v>4757</v>
      </c>
      <c r="D30"/>
      <c r="E30" s="42">
        <f>VALUE(MID(Tabla1[[#This Row],[RUT]],1,LEN(Tabla1[[#This Row],[RUT]])-1))</f>
        <v>70859400</v>
      </c>
      <c r="F30" t="str">
        <f t="shared" si="0"/>
        <v>CN70859400</v>
      </c>
    </row>
    <row r="31" spans="1:6" x14ac:dyDescent="0.25">
      <c r="A31" s="3">
        <v>708723002</v>
      </c>
      <c r="B31" s="1" t="s">
        <v>104</v>
      </c>
      <c r="C31" t="s">
        <v>159</v>
      </c>
      <c r="D31"/>
      <c r="E31" s="42">
        <f>VALUE(MID(Tabla1[[#This Row],[RUT]],1,LEN(Tabla1[[#This Row],[RUT]])-1))</f>
        <v>70872300</v>
      </c>
      <c r="F31" t="str">
        <f t="shared" si="0"/>
        <v>CN70872300</v>
      </c>
    </row>
    <row r="32" spans="1:6" x14ac:dyDescent="0.25">
      <c r="A32" s="3">
        <v>780353902</v>
      </c>
      <c r="B32" s="1" t="s">
        <v>117</v>
      </c>
      <c r="C32" t="s">
        <v>4757</v>
      </c>
      <c r="D32"/>
      <c r="E32" s="42">
        <f>VALUE(MID(Tabla1[[#This Row],[RUT]],1,LEN(Tabla1[[#This Row],[RUT]])-1))</f>
        <v>78035390</v>
      </c>
      <c r="F32" t="str">
        <f t="shared" si="0"/>
        <v>CN78035390</v>
      </c>
    </row>
    <row r="33" spans="1:6" x14ac:dyDescent="0.25">
      <c r="A33" s="3">
        <v>786602009</v>
      </c>
      <c r="B33" s="1" t="s">
        <v>118</v>
      </c>
      <c r="C33" t="s">
        <v>4757</v>
      </c>
      <c r="D33"/>
      <c r="E33" s="42">
        <f>VALUE(MID(Tabla1[[#This Row],[RUT]],1,LEN(Tabla1[[#This Row],[RUT]])-1))</f>
        <v>78660200</v>
      </c>
      <c r="F33" t="str">
        <f t="shared" si="0"/>
        <v>CN78660200</v>
      </c>
    </row>
    <row r="34" spans="1:6" x14ac:dyDescent="0.25">
      <c r="A34" s="3">
        <v>795768106</v>
      </c>
      <c r="B34" s="1" t="s">
        <v>119</v>
      </c>
      <c r="C34" t="s">
        <v>4757</v>
      </c>
      <c r="D34"/>
      <c r="E34" s="42">
        <f>VALUE(MID(Tabla1[[#This Row],[RUT]],1,LEN(Tabla1[[#This Row],[RUT]])-1))</f>
        <v>79576810</v>
      </c>
      <c r="F34" t="str">
        <f t="shared" si="0"/>
        <v>CN79576810</v>
      </c>
    </row>
    <row r="35" spans="1:6" x14ac:dyDescent="0.25">
      <c r="A35" s="3">
        <v>966008504</v>
      </c>
      <c r="B35" s="1" t="s">
        <v>128</v>
      </c>
      <c r="C35" t="s">
        <v>4757</v>
      </c>
      <c r="D35"/>
      <c r="E35" s="42">
        <f>VALUE(MID(Tabla1[[#This Row],[RUT]],1,LEN(Tabla1[[#This Row],[RUT]])-1))</f>
        <v>96600850</v>
      </c>
      <c r="F35" t="str">
        <f t="shared" si="0"/>
        <v>CN96600850</v>
      </c>
    </row>
    <row r="36" spans="1:6" x14ac:dyDescent="0.25">
      <c r="A36" s="3">
        <v>966741708</v>
      </c>
      <c r="B36" s="1" t="s">
        <v>130</v>
      </c>
      <c r="C36" t="s">
        <v>4757</v>
      </c>
      <c r="D36"/>
      <c r="E36" s="42">
        <f>VALUE(MID(Tabla1[[#This Row],[RUT]],1,LEN(Tabla1[[#This Row],[RUT]])-1))</f>
        <v>96674170</v>
      </c>
      <c r="F36" t="str">
        <f t="shared" si="0"/>
        <v>CN96674170</v>
      </c>
    </row>
    <row r="37" spans="1:6" x14ac:dyDescent="0.25">
      <c r="A37" s="3">
        <v>968859501</v>
      </c>
      <c r="B37" s="1" t="s">
        <v>135</v>
      </c>
      <c r="C37" t="s">
        <v>4757</v>
      </c>
      <c r="D37"/>
      <c r="E37" s="42">
        <f>VALUE(MID(Tabla1[[#This Row],[RUT]],1,LEN(Tabla1[[#This Row],[RUT]])-1))</f>
        <v>96885950</v>
      </c>
      <c r="F37" t="str">
        <f t="shared" si="0"/>
        <v>CN96885950</v>
      </c>
    </row>
    <row r="38" spans="1:6" x14ac:dyDescent="0.25">
      <c r="A38" s="3">
        <v>969636603</v>
      </c>
      <c r="B38" s="1" t="s">
        <v>136</v>
      </c>
      <c r="C38" t="s">
        <v>4757</v>
      </c>
      <c r="D38"/>
      <c r="E38" s="42">
        <f>VALUE(MID(Tabla1[[#This Row],[RUT]],1,LEN(Tabla1[[#This Row],[RUT]])-1))</f>
        <v>96963660</v>
      </c>
      <c r="F38" t="str">
        <f t="shared" si="0"/>
        <v>CN96963660</v>
      </c>
    </row>
    <row r="39" spans="1:6" x14ac:dyDescent="0.25">
      <c r="A39" s="3">
        <v>995337908</v>
      </c>
      <c r="B39" s="1" t="s">
        <v>137</v>
      </c>
      <c r="C39" t="s">
        <v>4757</v>
      </c>
      <c r="D39"/>
      <c r="E39" s="42">
        <f>VALUE(MID(Tabla1[[#This Row],[RUT]],1,LEN(Tabla1[[#This Row],[RUT]])-1))</f>
        <v>99533790</v>
      </c>
      <c r="F39" t="str">
        <f t="shared" si="0"/>
        <v>CN99533790</v>
      </c>
    </row>
    <row r="40" spans="1:6" x14ac:dyDescent="0.25">
      <c r="A40" s="3">
        <v>995417502</v>
      </c>
      <c r="B40" s="1" t="s">
        <v>138</v>
      </c>
      <c r="C40" t="s">
        <v>4757</v>
      </c>
      <c r="D40"/>
      <c r="E40" s="42">
        <f>VALUE(MID(Tabla1[[#This Row],[RUT]],1,LEN(Tabla1[[#This Row],[RUT]])-1))</f>
        <v>99541750</v>
      </c>
      <c r="F40" t="str">
        <f t="shared" si="0"/>
        <v>CN99541750</v>
      </c>
    </row>
    <row r="41" spans="1:6" x14ac:dyDescent="0.25">
      <c r="A41" s="3">
        <v>995687208</v>
      </c>
      <c r="B41" s="1" t="s">
        <v>139</v>
      </c>
      <c r="C41" t="s">
        <v>4757</v>
      </c>
      <c r="D41"/>
      <c r="E41" s="42">
        <f>VALUE(MID(Tabla1[[#This Row],[RUT]],1,LEN(Tabla1[[#This Row],[RUT]])-1))</f>
        <v>99568720</v>
      </c>
      <c r="F41" t="str">
        <f t="shared" si="0"/>
        <v>CN99568720</v>
      </c>
    </row>
    <row r="42" spans="1:6" x14ac:dyDescent="0.25">
      <c r="A42" s="3">
        <v>995736004</v>
      </c>
      <c r="B42" s="1" t="s">
        <v>140</v>
      </c>
      <c r="C42" t="s">
        <v>4757</v>
      </c>
      <c r="D42"/>
      <c r="E42" s="42">
        <f>VALUE(MID(Tabla1[[#This Row],[RUT]],1,LEN(Tabla1[[#This Row],[RUT]])-1))</f>
        <v>99573600</v>
      </c>
      <c r="F42" t="str">
        <f t="shared" si="0"/>
        <v>CN99573600</v>
      </c>
    </row>
    <row r="43" spans="1:6" x14ac:dyDescent="0.25">
      <c r="A43" s="3" t="s">
        <v>147</v>
      </c>
      <c r="B43" s="1" t="s">
        <v>760</v>
      </c>
      <c r="C43" t="s">
        <v>159</v>
      </c>
      <c r="D43"/>
      <c r="E43" s="42">
        <f>VALUE(MID(Tabla1[[#This Row],[RUT]],1,LEN(Tabla1[[#This Row],[RUT]])-1))</f>
        <v>61606603</v>
      </c>
      <c r="F43" t="str">
        <f t="shared" si="0"/>
        <v>CN61606603</v>
      </c>
    </row>
    <row r="44" spans="1:6" x14ac:dyDescent="0.25">
      <c r="A44" s="18">
        <v>137714132</v>
      </c>
      <c r="B44" s="7" t="s">
        <v>762</v>
      </c>
      <c r="C44" t="s">
        <v>159</v>
      </c>
      <c r="E44" s="42">
        <f>VALUE(MID(Tabla1[[#This Row],[RUT]],1,LEN(Tabla1[[#This Row],[RUT]])-1))</f>
        <v>13771413</v>
      </c>
      <c r="F44" t="str">
        <f t="shared" si="0"/>
        <v>CN13771413</v>
      </c>
    </row>
    <row r="45" spans="1:6" x14ac:dyDescent="0.25">
      <c r="A45" s="18">
        <v>159017230</v>
      </c>
      <c r="B45" s="7" t="s">
        <v>160</v>
      </c>
      <c r="C45" t="s">
        <v>159</v>
      </c>
      <c r="E45" s="42">
        <f>VALUE(MID(Tabla1[[#This Row],[RUT]],1,LEN(Tabla1[[#This Row],[RUT]])-1))</f>
        <v>15901723</v>
      </c>
      <c r="F45" t="str">
        <f t="shared" si="0"/>
        <v>CN15901723</v>
      </c>
    </row>
    <row r="46" spans="1:6" x14ac:dyDescent="0.25">
      <c r="A46" s="19">
        <v>164793079</v>
      </c>
      <c r="B46" s="8" t="s">
        <v>161</v>
      </c>
      <c r="C46" t="s">
        <v>159</v>
      </c>
      <c r="E46" s="42">
        <f>VALUE(MID(Tabla1[[#This Row],[RUT]],1,LEN(Tabla1[[#This Row],[RUT]])-1))</f>
        <v>16479307</v>
      </c>
      <c r="F46" t="str">
        <f t="shared" si="0"/>
        <v>CN16479307</v>
      </c>
    </row>
    <row r="47" spans="1:6" x14ac:dyDescent="0.25">
      <c r="A47" s="19">
        <v>609110007</v>
      </c>
      <c r="B47" s="8" t="s">
        <v>162</v>
      </c>
      <c r="C47" t="s">
        <v>159</v>
      </c>
      <c r="E47" s="42">
        <f>VALUE(MID(Tabla1[[#This Row],[RUT]],1,LEN(Tabla1[[#This Row],[RUT]])-1))</f>
        <v>60911000</v>
      </c>
      <c r="F47" t="str">
        <f t="shared" si="0"/>
        <v>CN60911000</v>
      </c>
    </row>
    <row r="48" spans="1:6" x14ac:dyDescent="0.25">
      <c r="A48" s="20">
        <v>609210001</v>
      </c>
      <c r="B48" s="9" t="s">
        <v>163</v>
      </c>
      <c r="C48" t="s">
        <v>159</v>
      </c>
      <c r="E48" s="42">
        <f>VALUE(MID(Tabla1[[#This Row],[RUT]],1,LEN(Tabla1[[#This Row],[RUT]])-1))</f>
        <v>60921000</v>
      </c>
      <c r="F48" t="str">
        <f t="shared" si="0"/>
        <v>CN60921000</v>
      </c>
    </row>
    <row r="49" spans="1:6" x14ac:dyDescent="0.25">
      <c r="A49" s="6">
        <v>610040241</v>
      </c>
      <c r="B49" s="5" t="s">
        <v>164</v>
      </c>
      <c r="C49" t="s">
        <v>159</v>
      </c>
      <c r="E49" s="42">
        <f>VALUE(MID(Tabla1[[#This Row],[RUT]],1,LEN(Tabla1[[#This Row],[RUT]])-1))</f>
        <v>61004024</v>
      </c>
      <c r="F49" t="str">
        <f t="shared" si="0"/>
        <v>CN61004024</v>
      </c>
    </row>
    <row r="50" spans="1:6" x14ac:dyDescent="0.25">
      <c r="A50" s="21">
        <v>611010311</v>
      </c>
      <c r="B50" s="10" t="s">
        <v>763</v>
      </c>
      <c r="C50" t="s">
        <v>159</v>
      </c>
      <c r="E50" s="42">
        <f>VALUE(MID(Tabla1[[#This Row],[RUT]],1,LEN(Tabla1[[#This Row],[RUT]])-1))</f>
        <v>61101031</v>
      </c>
      <c r="F50" t="str">
        <f t="shared" si="0"/>
        <v>CN61101031</v>
      </c>
    </row>
    <row r="51" spans="1:6" x14ac:dyDescent="0.25">
      <c r="A51" s="22">
        <v>611010826</v>
      </c>
      <c r="B51" s="11" t="s">
        <v>165</v>
      </c>
      <c r="C51" t="s">
        <v>159</v>
      </c>
      <c r="E51" s="42">
        <f>VALUE(MID(Tabla1[[#This Row],[RUT]],1,LEN(Tabla1[[#This Row],[RUT]])-1))</f>
        <v>61101082</v>
      </c>
      <c r="F51" t="str">
        <f t="shared" si="0"/>
        <v>CN61101082</v>
      </c>
    </row>
    <row r="52" spans="1:6" x14ac:dyDescent="0.25">
      <c r="A52" s="6">
        <v>611010869</v>
      </c>
      <c r="B52" s="5" t="s">
        <v>166</v>
      </c>
      <c r="C52" t="s">
        <v>159</v>
      </c>
      <c r="E52" s="42">
        <f>VALUE(MID(Tabla1[[#This Row],[RUT]],1,LEN(Tabla1[[#This Row],[RUT]])-1))</f>
        <v>61101086</v>
      </c>
      <c r="F52" t="str">
        <f t="shared" si="0"/>
        <v>CN61101086</v>
      </c>
    </row>
    <row r="53" spans="1:6" x14ac:dyDescent="0.25">
      <c r="A53" s="6">
        <v>611020295</v>
      </c>
      <c r="B53" s="5" t="s">
        <v>167</v>
      </c>
      <c r="C53" t="s">
        <v>159</v>
      </c>
      <c r="E53" s="42">
        <f>VALUE(MID(Tabla1[[#This Row],[RUT]],1,LEN(Tabla1[[#This Row],[RUT]])-1))</f>
        <v>61102029</v>
      </c>
      <c r="F53" t="str">
        <f t="shared" si="0"/>
        <v>CN61102029</v>
      </c>
    </row>
    <row r="54" spans="1:6" x14ac:dyDescent="0.25">
      <c r="A54" s="21">
        <v>611020678</v>
      </c>
      <c r="B54" s="10" t="s">
        <v>168</v>
      </c>
      <c r="C54" t="s">
        <v>159</v>
      </c>
      <c r="E54" s="42">
        <f>VALUE(MID(Tabla1[[#This Row],[RUT]],1,LEN(Tabla1[[#This Row],[RUT]])-1))</f>
        <v>61102067</v>
      </c>
      <c r="F54" t="str">
        <f t="shared" si="0"/>
        <v>CN61102067</v>
      </c>
    </row>
    <row r="55" spans="1:6" x14ac:dyDescent="0.25">
      <c r="A55" s="21">
        <v>611030193</v>
      </c>
      <c r="B55" s="10" t="s">
        <v>169</v>
      </c>
      <c r="C55" t="s">
        <v>159</v>
      </c>
      <c r="E55" s="42">
        <f>VALUE(MID(Tabla1[[#This Row],[RUT]],1,LEN(Tabla1[[#This Row],[RUT]])-1))</f>
        <v>61103019</v>
      </c>
      <c r="F55" t="str">
        <f t="shared" si="0"/>
        <v>CN61103019</v>
      </c>
    </row>
    <row r="56" spans="1:6" x14ac:dyDescent="0.25">
      <c r="A56" s="6">
        <v>613080007</v>
      </c>
      <c r="B56" s="5" t="s">
        <v>170</v>
      </c>
      <c r="C56" t="s">
        <v>159</v>
      </c>
      <c r="E56" s="42">
        <f>VALUE(MID(Tabla1[[#This Row],[RUT]],1,LEN(Tabla1[[#This Row],[RUT]])-1))</f>
        <v>61308000</v>
      </c>
      <c r="F56" t="str">
        <f t="shared" si="0"/>
        <v>CN61308000</v>
      </c>
    </row>
    <row r="57" spans="1:6" x14ac:dyDescent="0.25">
      <c r="A57" s="18">
        <v>616020420</v>
      </c>
      <c r="B57" s="7" t="s">
        <v>764</v>
      </c>
      <c r="C57" t="s">
        <v>159</v>
      </c>
      <c r="E57" s="42">
        <f>VALUE(MID(Tabla1[[#This Row],[RUT]],1,LEN(Tabla1[[#This Row],[RUT]])-1))</f>
        <v>61602042</v>
      </c>
      <c r="F57" t="str">
        <f t="shared" si="0"/>
        <v>CN61602042</v>
      </c>
    </row>
    <row r="58" spans="1:6" x14ac:dyDescent="0.25">
      <c r="A58" s="6">
        <v>616020676</v>
      </c>
      <c r="B58" s="5" t="s">
        <v>171</v>
      </c>
      <c r="C58" t="s">
        <v>159</v>
      </c>
      <c r="E58" s="42">
        <f>VALUE(MID(Tabla1[[#This Row],[RUT]],1,LEN(Tabla1[[#This Row],[RUT]])-1))</f>
        <v>61602067</v>
      </c>
      <c r="F58" t="str">
        <f t="shared" si="0"/>
        <v>CN61602067</v>
      </c>
    </row>
    <row r="59" spans="1:6" x14ac:dyDescent="0.25">
      <c r="A59" s="6">
        <v>616021214</v>
      </c>
      <c r="B59" s="5" t="s">
        <v>172</v>
      </c>
      <c r="C59" t="s">
        <v>159</v>
      </c>
      <c r="E59" s="42">
        <f>VALUE(MID(Tabla1[[#This Row],[RUT]],1,LEN(Tabla1[[#This Row],[RUT]])-1))</f>
        <v>61602121</v>
      </c>
      <c r="F59" t="str">
        <f t="shared" si="0"/>
        <v>CN61602121</v>
      </c>
    </row>
    <row r="60" spans="1:6" x14ac:dyDescent="0.25">
      <c r="A60" s="6">
        <v>616021222</v>
      </c>
      <c r="B60" s="5" t="s">
        <v>173</v>
      </c>
      <c r="C60" t="s">
        <v>159</v>
      </c>
      <c r="E60" s="42">
        <f>VALUE(MID(Tabla1[[#This Row],[RUT]],1,LEN(Tabla1[[#This Row],[RUT]])-1))</f>
        <v>61602122</v>
      </c>
      <c r="F60" t="str">
        <f t="shared" si="0"/>
        <v>CN61602122</v>
      </c>
    </row>
    <row r="61" spans="1:6" x14ac:dyDescent="0.25">
      <c r="A61" s="6">
        <v>616021257</v>
      </c>
      <c r="B61" s="5" t="s">
        <v>174</v>
      </c>
      <c r="C61" t="s">
        <v>159</v>
      </c>
      <c r="E61" s="42">
        <f>VALUE(MID(Tabla1[[#This Row],[RUT]],1,LEN(Tabla1[[#This Row],[RUT]])-1))</f>
        <v>61602125</v>
      </c>
      <c r="F61" t="str">
        <f t="shared" si="0"/>
        <v>CN61602125</v>
      </c>
    </row>
    <row r="62" spans="1:6" x14ac:dyDescent="0.25">
      <c r="A62" s="6">
        <v>616021346</v>
      </c>
      <c r="B62" s="5" t="s">
        <v>765</v>
      </c>
      <c r="C62" t="s">
        <v>159</v>
      </c>
      <c r="E62" s="42">
        <f>VALUE(MID(Tabla1[[#This Row],[RUT]],1,LEN(Tabla1[[#This Row],[RUT]])-1))</f>
        <v>61602134</v>
      </c>
      <c r="F62" t="str">
        <f t="shared" si="0"/>
        <v>CN61602134</v>
      </c>
    </row>
    <row r="63" spans="1:6" x14ac:dyDescent="0.25">
      <c r="A63" s="6">
        <v>616021389</v>
      </c>
      <c r="B63" s="5" t="s">
        <v>175</v>
      </c>
      <c r="C63" t="s">
        <v>159</v>
      </c>
      <c r="E63" s="42">
        <f>VALUE(MID(Tabla1[[#This Row],[RUT]],1,LEN(Tabla1[[#This Row],[RUT]])-1))</f>
        <v>61602138</v>
      </c>
      <c r="F63" t="str">
        <f t="shared" si="0"/>
        <v>CN61602138</v>
      </c>
    </row>
    <row r="64" spans="1:6" x14ac:dyDescent="0.25">
      <c r="A64" s="6">
        <v>616021400</v>
      </c>
      <c r="B64" s="5" t="s">
        <v>176</v>
      </c>
      <c r="C64" t="s">
        <v>159</v>
      </c>
      <c r="E64" s="42">
        <f>VALUE(MID(Tabla1[[#This Row],[RUT]],1,LEN(Tabla1[[#This Row],[RUT]])-1))</f>
        <v>61602140</v>
      </c>
      <c r="F64" t="str">
        <f t="shared" si="0"/>
        <v>CN61602140</v>
      </c>
    </row>
    <row r="65" spans="1:6" x14ac:dyDescent="0.25">
      <c r="A65" s="6">
        <v>616021419</v>
      </c>
      <c r="B65" s="5" t="s">
        <v>177</v>
      </c>
      <c r="C65" t="s">
        <v>159</v>
      </c>
      <c r="E65" s="42">
        <f>VALUE(MID(Tabla1[[#This Row],[RUT]],1,LEN(Tabla1[[#This Row],[RUT]])-1))</f>
        <v>61602141</v>
      </c>
      <c r="F65" t="str">
        <f t="shared" si="0"/>
        <v>CN61602141</v>
      </c>
    </row>
    <row r="66" spans="1:6" x14ac:dyDescent="0.25">
      <c r="A66" s="6">
        <v>616021427</v>
      </c>
      <c r="B66" s="5" t="s">
        <v>178</v>
      </c>
      <c r="C66" t="s">
        <v>159</v>
      </c>
      <c r="E66" s="42">
        <f>VALUE(MID(Tabla1[[#This Row],[RUT]],1,LEN(Tabla1[[#This Row],[RUT]])-1))</f>
        <v>61602142</v>
      </c>
      <c r="F66" t="str">
        <f t="shared" si="0"/>
        <v>CN61602142</v>
      </c>
    </row>
    <row r="67" spans="1:6" x14ac:dyDescent="0.25">
      <c r="A67" s="6">
        <v>616021435</v>
      </c>
      <c r="B67" s="5" t="s">
        <v>179</v>
      </c>
      <c r="C67" t="s">
        <v>159</v>
      </c>
      <c r="E67" s="42">
        <f>VALUE(MID(Tabla1[[#This Row],[RUT]],1,LEN(Tabla1[[#This Row],[RUT]])-1))</f>
        <v>61602143</v>
      </c>
      <c r="F67" t="str">
        <f t="shared" ref="F67:F130" si="1">"CN"&amp;E67</f>
        <v>CN61602143</v>
      </c>
    </row>
    <row r="68" spans="1:6" x14ac:dyDescent="0.25">
      <c r="A68" s="6">
        <v>616021451</v>
      </c>
      <c r="B68" s="5" t="s">
        <v>180</v>
      </c>
      <c r="C68" t="s">
        <v>159</v>
      </c>
      <c r="E68" s="42">
        <f>VALUE(MID(Tabla1[[#This Row],[RUT]],1,LEN(Tabla1[[#This Row],[RUT]])-1))</f>
        <v>61602145</v>
      </c>
      <c r="F68" t="str">
        <f t="shared" si="1"/>
        <v>CN61602145</v>
      </c>
    </row>
    <row r="69" spans="1:6" x14ac:dyDescent="0.25">
      <c r="A69" s="20">
        <v>616021478</v>
      </c>
      <c r="B69" s="9" t="s">
        <v>766</v>
      </c>
      <c r="C69" t="s">
        <v>159</v>
      </c>
      <c r="E69" s="42">
        <f>VALUE(MID(Tabla1[[#This Row],[RUT]],1,LEN(Tabla1[[#This Row],[RUT]])-1))</f>
        <v>61602147</v>
      </c>
      <c r="F69" t="str">
        <f t="shared" si="1"/>
        <v>CN61602147</v>
      </c>
    </row>
    <row r="70" spans="1:6" x14ac:dyDescent="0.25">
      <c r="A70" s="18">
        <v>616021486</v>
      </c>
      <c r="B70" s="7" t="s">
        <v>181</v>
      </c>
      <c r="C70" t="s">
        <v>159</v>
      </c>
      <c r="E70" s="42">
        <f>VALUE(MID(Tabla1[[#This Row],[RUT]],1,LEN(Tabla1[[#This Row],[RUT]])-1))</f>
        <v>61602148</v>
      </c>
      <c r="F70" t="str">
        <f t="shared" si="1"/>
        <v>CN61602148</v>
      </c>
    </row>
    <row r="71" spans="1:6" x14ac:dyDescent="0.25">
      <c r="A71" s="6">
        <v>616021508</v>
      </c>
      <c r="B71" s="5" t="s">
        <v>182</v>
      </c>
      <c r="C71" t="s">
        <v>159</v>
      </c>
      <c r="E71" s="42">
        <f>VALUE(MID(Tabla1[[#This Row],[RUT]],1,LEN(Tabla1[[#This Row],[RUT]])-1))</f>
        <v>61602150</v>
      </c>
      <c r="F71" t="str">
        <f t="shared" si="1"/>
        <v>CN61602150</v>
      </c>
    </row>
    <row r="72" spans="1:6" x14ac:dyDescent="0.25">
      <c r="A72" s="6">
        <v>616021516</v>
      </c>
      <c r="B72" s="5" t="s">
        <v>183</v>
      </c>
      <c r="C72" t="s">
        <v>159</v>
      </c>
      <c r="E72" s="42">
        <f>VALUE(MID(Tabla1[[#This Row],[RUT]],1,LEN(Tabla1[[#This Row],[RUT]])-1))</f>
        <v>61602151</v>
      </c>
      <c r="F72" t="str">
        <f t="shared" si="1"/>
        <v>CN61602151</v>
      </c>
    </row>
    <row r="73" spans="1:6" x14ac:dyDescent="0.25">
      <c r="A73" s="6">
        <v>616021524</v>
      </c>
      <c r="B73" s="5" t="s">
        <v>184</v>
      </c>
      <c r="C73" t="s">
        <v>159</v>
      </c>
      <c r="E73" s="42">
        <f>VALUE(MID(Tabla1[[#This Row],[RUT]],1,LEN(Tabla1[[#This Row],[RUT]])-1))</f>
        <v>61602152</v>
      </c>
      <c r="F73" t="str">
        <f t="shared" si="1"/>
        <v>CN61602152</v>
      </c>
    </row>
    <row r="74" spans="1:6" x14ac:dyDescent="0.25">
      <c r="A74" s="6">
        <v>616021532</v>
      </c>
      <c r="B74" s="5" t="s">
        <v>185</v>
      </c>
      <c r="C74" t="s">
        <v>159</v>
      </c>
      <c r="E74" s="42">
        <f>VALUE(MID(Tabla1[[#This Row],[RUT]],1,LEN(Tabla1[[#This Row],[RUT]])-1))</f>
        <v>61602153</v>
      </c>
      <c r="F74" t="str">
        <f t="shared" si="1"/>
        <v>CN61602153</v>
      </c>
    </row>
    <row r="75" spans="1:6" x14ac:dyDescent="0.25">
      <c r="A75" s="6">
        <v>616021990</v>
      </c>
      <c r="B75" s="5" t="s">
        <v>186</v>
      </c>
      <c r="C75" t="s">
        <v>159</v>
      </c>
      <c r="E75" s="42">
        <f>VALUE(MID(Tabla1[[#This Row],[RUT]],1,LEN(Tabla1[[#This Row],[RUT]])-1))</f>
        <v>61602199</v>
      </c>
      <c r="F75" t="str">
        <f t="shared" si="1"/>
        <v>CN61602199</v>
      </c>
    </row>
    <row r="76" spans="1:6" x14ac:dyDescent="0.25">
      <c r="A76" s="6">
        <v>616022040</v>
      </c>
      <c r="B76" s="5" t="s">
        <v>187</v>
      </c>
      <c r="C76" t="s">
        <v>159</v>
      </c>
      <c r="E76" s="42">
        <f>VALUE(MID(Tabla1[[#This Row],[RUT]],1,LEN(Tabla1[[#This Row],[RUT]])-1))</f>
        <v>61602204</v>
      </c>
      <c r="F76" t="str">
        <f t="shared" si="1"/>
        <v>CN61602204</v>
      </c>
    </row>
    <row r="77" spans="1:6" x14ac:dyDescent="0.25">
      <c r="A77" s="20">
        <v>616022121</v>
      </c>
      <c r="B77" s="9" t="s">
        <v>188</v>
      </c>
      <c r="C77" t="s">
        <v>12</v>
      </c>
      <c r="E77" s="42">
        <f>VALUE(MID(Tabla1[[#This Row],[RUT]],1,LEN(Tabla1[[#This Row],[RUT]])-1))</f>
        <v>61602212</v>
      </c>
      <c r="F77" t="str">
        <f t="shared" si="1"/>
        <v>CN61602212</v>
      </c>
    </row>
    <row r="78" spans="1:6" x14ac:dyDescent="0.25">
      <c r="A78" s="6">
        <v>616022202</v>
      </c>
      <c r="B78" s="5" t="s">
        <v>189</v>
      </c>
      <c r="C78" t="s">
        <v>159</v>
      </c>
      <c r="E78" s="42">
        <f>VALUE(MID(Tabla1[[#This Row],[RUT]],1,LEN(Tabla1[[#This Row],[RUT]])-1))</f>
        <v>61602220</v>
      </c>
      <c r="F78" t="str">
        <f t="shared" si="1"/>
        <v>CN61602220</v>
      </c>
    </row>
    <row r="79" spans="1:6" x14ac:dyDescent="0.25">
      <c r="A79" s="6">
        <v>616022237</v>
      </c>
      <c r="B79" s="5" t="s">
        <v>190</v>
      </c>
      <c r="C79" t="s">
        <v>159</v>
      </c>
      <c r="E79" s="42">
        <f>VALUE(MID(Tabla1[[#This Row],[RUT]],1,LEN(Tabla1[[#This Row],[RUT]])-1))</f>
        <v>61602223</v>
      </c>
      <c r="F79" t="str">
        <f t="shared" si="1"/>
        <v>CN61602223</v>
      </c>
    </row>
    <row r="80" spans="1:6" x14ac:dyDescent="0.25">
      <c r="A80" s="6">
        <v>616022261</v>
      </c>
      <c r="B80" s="5" t="s">
        <v>767</v>
      </c>
      <c r="C80" t="s">
        <v>159</v>
      </c>
      <c r="E80" s="42">
        <f>VALUE(MID(Tabla1[[#This Row],[RUT]],1,LEN(Tabla1[[#This Row],[RUT]])-1))</f>
        <v>61602226</v>
      </c>
      <c r="F80" t="str">
        <f t="shared" si="1"/>
        <v>CN61602226</v>
      </c>
    </row>
    <row r="81" spans="1:6" x14ac:dyDescent="0.25">
      <c r="A81" s="6">
        <v>616022407</v>
      </c>
      <c r="B81" s="5" t="s">
        <v>191</v>
      </c>
      <c r="C81" t="s">
        <v>159</v>
      </c>
      <c r="E81" s="42">
        <f>VALUE(MID(Tabla1[[#This Row],[RUT]],1,LEN(Tabla1[[#This Row],[RUT]])-1))</f>
        <v>61602240</v>
      </c>
      <c r="F81" t="str">
        <f t="shared" si="1"/>
        <v>CN61602240</v>
      </c>
    </row>
    <row r="82" spans="1:6" x14ac:dyDescent="0.25">
      <c r="A82" s="6">
        <v>616022415</v>
      </c>
      <c r="B82" s="5" t="s">
        <v>192</v>
      </c>
      <c r="C82" t="s">
        <v>159</v>
      </c>
      <c r="E82" s="42">
        <f>VALUE(MID(Tabla1[[#This Row],[RUT]],1,LEN(Tabla1[[#This Row],[RUT]])-1))</f>
        <v>61602241</v>
      </c>
      <c r="F82" t="str">
        <f t="shared" si="1"/>
        <v>CN61602241</v>
      </c>
    </row>
    <row r="83" spans="1:6" x14ac:dyDescent="0.25">
      <c r="A83" s="6">
        <v>616022423</v>
      </c>
      <c r="B83" s="5" t="s">
        <v>193</v>
      </c>
      <c r="C83" t="s">
        <v>159</v>
      </c>
      <c r="E83" s="42">
        <f>VALUE(MID(Tabla1[[#This Row],[RUT]],1,LEN(Tabla1[[#This Row],[RUT]])-1))</f>
        <v>61602242</v>
      </c>
      <c r="F83" t="str">
        <f t="shared" si="1"/>
        <v>CN61602242</v>
      </c>
    </row>
    <row r="84" spans="1:6" x14ac:dyDescent="0.25">
      <c r="A84" s="6">
        <v>616022431</v>
      </c>
      <c r="B84" s="5" t="s">
        <v>768</v>
      </c>
      <c r="C84" t="s">
        <v>159</v>
      </c>
      <c r="E84" s="42">
        <f>VALUE(MID(Tabla1[[#This Row],[RUT]],1,LEN(Tabla1[[#This Row],[RUT]])-1))</f>
        <v>61602243</v>
      </c>
      <c r="F84" t="str">
        <f t="shared" si="1"/>
        <v>CN61602243</v>
      </c>
    </row>
    <row r="85" spans="1:6" x14ac:dyDescent="0.25">
      <c r="A85" s="6">
        <v>616022458</v>
      </c>
      <c r="B85" s="5" t="s">
        <v>194</v>
      </c>
      <c r="C85" t="s">
        <v>159</v>
      </c>
      <c r="E85" s="42">
        <f>VALUE(MID(Tabla1[[#This Row],[RUT]],1,LEN(Tabla1[[#This Row],[RUT]])-1))</f>
        <v>61602245</v>
      </c>
      <c r="F85" t="str">
        <f t="shared" si="1"/>
        <v>CN61602245</v>
      </c>
    </row>
    <row r="86" spans="1:6" x14ac:dyDescent="0.25">
      <c r="A86" s="6">
        <v>616022466</v>
      </c>
      <c r="B86" s="5" t="s">
        <v>195</v>
      </c>
      <c r="C86" t="s">
        <v>159</v>
      </c>
      <c r="E86" s="42">
        <f>VALUE(MID(Tabla1[[#This Row],[RUT]],1,LEN(Tabla1[[#This Row],[RUT]])-1))</f>
        <v>61602246</v>
      </c>
      <c r="F86" t="str">
        <f t="shared" si="1"/>
        <v>CN61602246</v>
      </c>
    </row>
    <row r="87" spans="1:6" x14ac:dyDescent="0.25">
      <c r="A87" s="6">
        <v>616022474</v>
      </c>
      <c r="B87" s="5" t="s">
        <v>196</v>
      </c>
      <c r="C87" t="s">
        <v>159</v>
      </c>
      <c r="E87" s="42">
        <f>VALUE(MID(Tabla1[[#This Row],[RUT]],1,LEN(Tabla1[[#This Row],[RUT]])-1))</f>
        <v>61602247</v>
      </c>
      <c r="F87" t="str">
        <f t="shared" si="1"/>
        <v>CN61602247</v>
      </c>
    </row>
    <row r="88" spans="1:6" x14ac:dyDescent="0.25">
      <c r="A88" s="6">
        <v>616022628</v>
      </c>
      <c r="B88" s="5" t="s">
        <v>197</v>
      </c>
      <c r="C88" t="s">
        <v>159</v>
      </c>
      <c r="E88" s="42">
        <f>VALUE(MID(Tabla1[[#This Row],[RUT]],1,LEN(Tabla1[[#This Row],[RUT]])-1))</f>
        <v>61602262</v>
      </c>
      <c r="F88" t="str">
        <f t="shared" si="1"/>
        <v>CN61602262</v>
      </c>
    </row>
    <row r="89" spans="1:6" x14ac:dyDescent="0.25">
      <c r="A89" s="6">
        <v>616022687</v>
      </c>
      <c r="B89" s="5" t="s">
        <v>198</v>
      </c>
      <c r="C89" t="s">
        <v>159</v>
      </c>
      <c r="E89" s="42">
        <f>VALUE(MID(Tabla1[[#This Row],[RUT]],1,LEN(Tabla1[[#This Row],[RUT]])-1))</f>
        <v>61602268</v>
      </c>
      <c r="F89" t="str">
        <f t="shared" si="1"/>
        <v>CN61602268</v>
      </c>
    </row>
    <row r="90" spans="1:6" x14ac:dyDescent="0.25">
      <c r="A90" s="6">
        <v>616022709</v>
      </c>
      <c r="B90" s="5" t="s">
        <v>199</v>
      </c>
      <c r="C90" t="s">
        <v>159</v>
      </c>
      <c r="E90" s="42">
        <f>VALUE(MID(Tabla1[[#This Row],[RUT]],1,LEN(Tabla1[[#This Row],[RUT]])-1))</f>
        <v>61602270</v>
      </c>
      <c r="F90" t="str">
        <f t="shared" si="1"/>
        <v>CN61602270</v>
      </c>
    </row>
    <row r="91" spans="1:6" x14ac:dyDescent="0.25">
      <c r="A91" s="6">
        <v>616022717</v>
      </c>
      <c r="B91" s="5" t="s">
        <v>200</v>
      </c>
      <c r="C91" t="s">
        <v>159</v>
      </c>
      <c r="E91" s="42">
        <f>VALUE(MID(Tabla1[[#This Row],[RUT]],1,LEN(Tabla1[[#This Row],[RUT]])-1))</f>
        <v>61602271</v>
      </c>
      <c r="F91" t="str">
        <f t="shared" si="1"/>
        <v>CN61602271</v>
      </c>
    </row>
    <row r="92" spans="1:6" x14ac:dyDescent="0.25">
      <c r="A92" s="6">
        <v>616022725</v>
      </c>
      <c r="B92" s="5" t="s">
        <v>201</v>
      </c>
      <c r="C92" t="s">
        <v>159</v>
      </c>
      <c r="E92" s="42">
        <f>VALUE(MID(Tabla1[[#This Row],[RUT]],1,LEN(Tabla1[[#This Row],[RUT]])-1))</f>
        <v>61602272</v>
      </c>
      <c r="F92" t="str">
        <f t="shared" si="1"/>
        <v>CN61602272</v>
      </c>
    </row>
    <row r="93" spans="1:6" x14ac:dyDescent="0.25">
      <c r="A93" s="6">
        <v>616022768</v>
      </c>
      <c r="B93" s="5" t="s">
        <v>202</v>
      </c>
      <c r="C93" t="s">
        <v>159</v>
      </c>
      <c r="E93" s="42">
        <f>VALUE(MID(Tabla1[[#This Row],[RUT]],1,LEN(Tabla1[[#This Row],[RUT]])-1))</f>
        <v>61602276</v>
      </c>
      <c r="F93" t="str">
        <f t="shared" si="1"/>
        <v>CN61602276</v>
      </c>
    </row>
    <row r="94" spans="1:6" x14ac:dyDescent="0.25">
      <c r="A94" s="6">
        <v>616022784</v>
      </c>
      <c r="B94" s="5" t="s">
        <v>203</v>
      </c>
      <c r="C94" t="s">
        <v>159</v>
      </c>
      <c r="E94" s="42">
        <f>VALUE(MID(Tabla1[[#This Row],[RUT]],1,LEN(Tabla1[[#This Row],[RUT]])-1))</f>
        <v>61602278</v>
      </c>
      <c r="F94" t="str">
        <f t="shared" si="1"/>
        <v>CN61602278</v>
      </c>
    </row>
    <row r="95" spans="1:6" x14ac:dyDescent="0.25">
      <c r="A95" s="18">
        <v>616022792</v>
      </c>
      <c r="B95" s="7" t="s">
        <v>204</v>
      </c>
      <c r="C95" t="s">
        <v>159</v>
      </c>
      <c r="E95" s="42">
        <f>VALUE(MID(Tabla1[[#This Row],[RUT]],1,LEN(Tabla1[[#This Row],[RUT]])-1))</f>
        <v>61602279</v>
      </c>
      <c r="F95" t="str">
        <f t="shared" si="1"/>
        <v>CN61602279</v>
      </c>
    </row>
    <row r="96" spans="1:6" x14ac:dyDescent="0.25">
      <c r="A96" s="6">
        <v>616022806</v>
      </c>
      <c r="B96" s="5" t="s">
        <v>205</v>
      </c>
      <c r="C96" t="s">
        <v>159</v>
      </c>
      <c r="E96" s="42">
        <f>VALUE(MID(Tabla1[[#This Row],[RUT]],1,LEN(Tabla1[[#This Row],[RUT]])-1))</f>
        <v>61602280</v>
      </c>
      <c r="F96" t="str">
        <f t="shared" si="1"/>
        <v>CN61602280</v>
      </c>
    </row>
    <row r="97" spans="1:6" x14ac:dyDescent="0.25">
      <c r="A97" s="6">
        <v>616022938</v>
      </c>
      <c r="B97" s="5" t="s">
        <v>769</v>
      </c>
      <c r="C97" t="s">
        <v>159</v>
      </c>
      <c r="E97" s="42">
        <f>VALUE(MID(Tabla1[[#This Row],[RUT]],1,LEN(Tabla1[[#This Row],[RUT]])-1))</f>
        <v>61602293</v>
      </c>
      <c r="F97" t="str">
        <f t="shared" si="1"/>
        <v>CN61602293</v>
      </c>
    </row>
    <row r="98" spans="1:6" x14ac:dyDescent="0.25">
      <c r="A98" s="6">
        <v>616022997</v>
      </c>
      <c r="B98" s="5" t="s">
        <v>206</v>
      </c>
      <c r="C98" t="s">
        <v>159</v>
      </c>
      <c r="E98" s="42">
        <f>VALUE(MID(Tabla1[[#This Row],[RUT]],1,LEN(Tabla1[[#This Row],[RUT]])-1))</f>
        <v>61602299</v>
      </c>
      <c r="F98" t="str">
        <f t="shared" si="1"/>
        <v>CN61602299</v>
      </c>
    </row>
    <row r="99" spans="1:6" x14ac:dyDescent="0.25">
      <c r="A99" s="6">
        <v>616060015</v>
      </c>
      <c r="B99" s="5" t="s">
        <v>770</v>
      </c>
      <c r="C99" t="s">
        <v>159</v>
      </c>
      <c r="E99" s="42">
        <f>VALUE(MID(Tabla1[[#This Row],[RUT]],1,LEN(Tabla1[[#This Row],[RUT]])-1))</f>
        <v>61606001</v>
      </c>
      <c r="F99" t="str">
        <f t="shared" si="1"/>
        <v>CN61606001</v>
      </c>
    </row>
    <row r="100" spans="1:6" x14ac:dyDescent="0.25">
      <c r="A100" s="6">
        <v>616061003</v>
      </c>
      <c r="B100" s="5" t="s">
        <v>771</v>
      </c>
      <c r="C100" t="s">
        <v>4</v>
      </c>
      <c r="E100" s="42">
        <f>VALUE(MID(Tabla1[[#This Row],[RUT]],1,LEN(Tabla1[[#This Row],[RUT]])-1))</f>
        <v>61606100</v>
      </c>
      <c r="F100" t="str">
        <f t="shared" si="1"/>
        <v>CN61606100</v>
      </c>
    </row>
    <row r="101" spans="1:6" x14ac:dyDescent="0.25">
      <c r="A101" s="6">
        <v>616062018</v>
      </c>
      <c r="B101" s="5" t="s">
        <v>207</v>
      </c>
      <c r="C101" t="s">
        <v>159</v>
      </c>
      <c r="E101" s="42">
        <f>VALUE(MID(Tabla1[[#This Row],[RUT]],1,LEN(Tabla1[[#This Row],[RUT]])-1))</f>
        <v>61606201</v>
      </c>
      <c r="F101" t="str">
        <f t="shared" si="1"/>
        <v>CN61606201</v>
      </c>
    </row>
    <row r="102" spans="1:6" x14ac:dyDescent="0.25">
      <c r="A102" s="6">
        <v>616062026</v>
      </c>
      <c r="B102" s="5" t="s">
        <v>208</v>
      </c>
      <c r="C102" t="s">
        <v>159</v>
      </c>
      <c r="E102" s="42">
        <f>VALUE(MID(Tabla1[[#This Row],[RUT]],1,LEN(Tabla1[[#This Row],[RUT]])-1))</f>
        <v>61606202</v>
      </c>
      <c r="F102" t="str">
        <f t="shared" si="1"/>
        <v>CN61606202</v>
      </c>
    </row>
    <row r="103" spans="1:6" x14ac:dyDescent="0.25">
      <c r="A103" s="6">
        <v>616062034</v>
      </c>
      <c r="B103" s="5" t="s">
        <v>209</v>
      </c>
      <c r="C103" t="s">
        <v>159</v>
      </c>
      <c r="E103" s="42">
        <f>VALUE(MID(Tabla1[[#This Row],[RUT]],1,LEN(Tabla1[[#This Row],[RUT]])-1))</f>
        <v>61606203</v>
      </c>
      <c r="F103" t="str">
        <f t="shared" si="1"/>
        <v>CN61606203</v>
      </c>
    </row>
    <row r="104" spans="1:6" x14ac:dyDescent="0.25">
      <c r="A104" s="21">
        <v>616062042</v>
      </c>
      <c r="B104" s="10" t="s">
        <v>210</v>
      </c>
      <c r="C104" t="s">
        <v>159</v>
      </c>
      <c r="E104" s="42">
        <f>VALUE(MID(Tabla1[[#This Row],[RUT]],1,LEN(Tabla1[[#This Row],[RUT]])-1))</f>
        <v>61606204</v>
      </c>
      <c r="F104" t="str">
        <f t="shared" si="1"/>
        <v>CN61606204</v>
      </c>
    </row>
    <row r="105" spans="1:6" x14ac:dyDescent="0.25">
      <c r="A105" s="21">
        <v>616062050</v>
      </c>
      <c r="B105" s="10" t="s">
        <v>211</v>
      </c>
      <c r="C105" t="s">
        <v>159</v>
      </c>
      <c r="E105" s="42">
        <f>VALUE(MID(Tabla1[[#This Row],[RUT]],1,LEN(Tabla1[[#This Row],[RUT]])-1))</f>
        <v>61606205</v>
      </c>
      <c r="F105" t="str">
        <f t="shared" si="1"/>
        <v>CN61606205</v>
      </c>
    </row>
    <row r="106" spans="1:6" x14ac:dyDescent="0.25">
      <c r="A106" s="21">
        <v>616063006</v>
      </c>
      <c r="B106" s="10" t="s">
        <v>772</v>
      </c>
      <c r="C106" t="s">
        <v>159</v>
      </c>
      <c r="E106" s="42">
        <f>VALUE(MID(Tabla1[[#This Row],[RUT]],1,LEN(Tabla1[[#This Row],[RUT]])-1))</f>
        <v>61606300</v>
      </c>
      <c r="F106" t="str">
        <f t="shared" si="1"/>
        <v>CN61606300</v>
      </c>
    </row>
    <row r="107" spans="1:6" x14ac:dyDescent="0.25">
      <c r="A107" s="6">
        <v>616063030</v>
      </c>
      <c r="B107" s="5" t="s">
        <v>212</v>
      </c>
      <c r="C107" t="s">
        <v>159</v>
      </c>
      <c r="E107" s="42">
        <f>VALUE(MID(Tabla1[[#This Row],[RUT]],1,LEN(Tabla1[[#This Row],[RUT]])-1))</f>
        <v>61606303</v>
      </c>
      <c r="F107" t="str">
        <f t="shared" si="1"/>
        <v>CN61606303</v>
      </c>
    </row>
    <row r="108" spans="1:6" x14ac:dyDescent="0.25">
      <c r="A108" s="6">
        <v>616063057</v>
      </c>
      <c r="B108" s="5" t="s">
        <v>213</v>
      </c>
      <c r="C108" t="s">
        <v>159</v>
      </c>
      <c r="E108" s="42">
        <f>VALUE(MID(Tabla1[[#This Row],[RUT]],1,LEN(Tabla1[[#This Row],[RUT]])-1))</f>
        <v>61606305</v>
      </c>
      <c r="F108" t="str">
        <f t="shared" si="1"/>
        <v>CN61606305</v>
      </c>
    </row>
    <row r="109" spans="1:6" x14ac:dyDescent="0.25">
      <c r="A109" s="6">
        <v>616063065</v>
      </c>
      <c r="B109" s="5" t="s">
        <v>214</v>
      </c>
      <c r="C109" t="s">
        <v>159</v>
      </c>
      <c r="E109" s="42">
        <f>VALUE(MID(Tabla1[[#This Row],[RUT]],1,LEN(Tabla1[[#This Row],[RUT]])-1))</f>
        <v>61606306</v>
      </c>
      <c r="F109" t="str">
        <f t="shared" si="1"/>
        <v>CN61606306</v>
      </c>
    </row>
    <row r="110" spans="1:6" x14ac:dyDescent="0.25">
      <c r="A110" s="6">
        <v>616063073</v>
      </c>
      <c r="B110" s="5" t="s">
        <v>215</v>
      </c>
      <c r="C110" t="s">
        <v>159</v>
      </c>
      <c r="E110" s="42">
        <f>VALUE(MID(Tabla1[[#This Row],[RUT]],1,LEN(Tabla1[[#This Row],[RUT]])-1))</f>
        <v>61606307</v>
      </c>
      <c r="F110" t="str">
        <f t="shared" si="1"/>
        <v>CN61606307</v>
      </c>
    </row>
    <row r="111" spans="1:6" x14ac:dyDescent="0.25">
      <c r="A111" s="6">
        <v>616064002</v>
      </c>
      <c r="B111" s="5" t="s">
        <v>216</v>
      </c>
      <c r="C111" t="s">
        <v>159</v>
      </c>
      <c r="E111" s="42">
        <f>VALUE(MID(Tabla1[[#This Row],[RUT]],1,LEN(Tabla1[[#This Row],[RUT]])-1))</f>
        <v>61606400</v>
      </c>
      <c r="F111" t="str">
        <f t="shared" si="1"/>
        <v>CN61606400</v>
      </c>
    </row>
    <row r="112" spans="1:6" x14ac:dyDescent="0.25">
      <c r="A112" s="6">
        <v>616064010</v>
      </c>
      <c r="B112" s="5" t="s">
        <v>217</v>
      </c>
      <c r="C112" t="s">
        <v>159</v>
      </c>
      <c r="E112" s="42">
        <f>VALUE(MID(Tabla1[[#This Row],[RUT]],1,LEN(Tabla1[[#This Row],[RUT]])-1))</f>
        <v>61606401</v>
      </c>
      <c r="F112" t="str">
        <f t="shared" si="1"/>
        <v>CN61606401</v>
      </c>
    </row>
    <row r="113" spans="1:6" x14ac:dyDescent="0.25">
      <c r="A113" s="6">
        <v>616064053</v>
      </c>
      <c r="B113" s="5" t="s">
        <v>218</v>
      </c>
      <c r="C113" t="s">
        <v>159</v>
      </c>
      <c r="E113" s="42">
        <f>VALUE(MID(Tabla1[[#This Row],[RUT]],1,LEN(Tabla1[[#This Row],[RUT]])-1))</f>
        <v>61606405</v>
      </c>
      <c r="F113" t="str">
        <f t="shared" si="1"/>
        <v>CN61606405</v>
      </c>
    </row>
    <row r="114" spans="1:6" x14ac:dyDescent="0.25">
      <c r="A114" s="19">
        <v>616064061</v>
      </c>
      <c r="B114" s="8" t="s">
        <v>219</v>
      </c>
      <c r="C114" t="s">
        <v>159</v>
      </c>
      <c r="E114" s="42">
        <f>VALUE(MID(Tabla1[[#This Row],[RUT]],1,LEN(Tabla1[[#This Row],[RUT]])-1))</f>
        <v>61606406</v>
      </c>
      <c r="F114" t="str">
        <f t="shared" si="1"/>
        <v>CN61606406</v>
      </c>
    </row>
    <row r="115" spans="1:6" x14ac:dyDescent="0.25">
      <c r="A115" s="6">
        <v>616064088</v>
      </c>
      <c r="B115" s="5" t="s">
        <v>220</v>
      </c>
      <c r="C115" t="s">
        <v>159</v>
      </c>
      <c r="E115" s="42">
        <f>VALUE(MID(Tabla1[[#This Row],[RUT]],1,LEN(Tabla1[[#This Row],[RUT]])-1))</f>
        <v>61606408</v>
      </c>
      <c r="F115" t="str">
        <f t="shared" si="1"/>
        <v>CN61606408</v>
      </c>
    </row>
    <row r="116" spans="1:6" x14ac:dyDescent="0.25">
      <c r="A116" s="18">
        <v>616064096</v>
      </c>
      <c r="B116" s="7" t="s">
        <v>221</v>
      </c>
      <c r="C116" t="s">
        <v>159</v>
      </c>
      <c r="E116" s="42">
        <f>VALUE(MID(Tabla1[[#This Row],[RUT]],1,LEN(Tabla1[[#This Row],[RUT]])-1))</f>
        <v>61606409</v>
      </c>
      <c r="F116" t="str">
        <f t="shared" si="1"/>
        <v>CN61606409</v>
      </c>
    </row>
    <row r="117" spans="1:6" x14ac:dyDescent="0.25">
      <c r="A117" s="18">
        <v>616066005</v>
      </c>
      <c r="B117" s="7" t="s">
        <v>222</v>
      </c>
      <c r="C117" t="s">
        <v>159</v>
      </c>
      <c r="E117" s="42">
        <f>VALUE(MID(Tabla1[[#This Row],[RUT]],1,LEN(Tabla1[[#This Row],[RUT]])-1))</f>
        <v>61606600</v>
      </c>
      <c r="F117" t="str">
        <f t="shared" si="1"/>
        <v>CN61606600</v>
      </c>
    </row>
    <row r="118" spans="1:6" x14ac:dyDescent="0.25">
      <c r="A118" s="6">
        <v>616066102</v>
      </c>
      <c r="B118" s="5" t="s">
        <v>223</v>
      </c>
      <c r="C118" t="s">
        <v>159</v>
      </c>
      <c r="E118" s="42">
        <f>VALUE(MID(Tabla1[[#This Row],[RUT]],1,LEN(Tabla1[[#This Row],[RUT]])-1))</f>
        <v>61606610</v>
      </c>
      <c r="F118" t="str">
        <f t="shared" si="1"/>
        <v>CN61606610</v>
      </c>
    </row>
    <row r="119" spans="1:6" x14ac:dyDescent="0.25">
      <c r="A119" s="6">
        <v>616066129</v>
      </c>
      <c r="B119" s="5" t="s">
        <v>773</v>
      </c>
      <c r="C119" t="s">
        <v>159</v>
      </c>
      <c r="E119" s="42">
        <f>VALUE(MID(Tabla1[[#This Row],[RUT]],1,LEN(Tabla1[[#This Row],[RUT]])-1))</f>
        <v>61606612</v>
      </c>
      <c r="F119" t="str">
        <f t="shared" si="1"/>
        <v>CN61606612</v>
      </c>
    </row>
    <row r="120" spans="1:6" x14ac:dyDescent="0.25">
      <c r="A120" s="6">
        <v>616067036</v>
      </c>
      <c r="B120" s="5" t="s">
        <v>774</v>
      </c>
      <c r="C120" t="s">
        <v>159</v>
      </c>
      <c r="E120" s="42">
        <f>VALUE(MID(Tabla1[[#This Row],[RUT]],1,LEN(Tabla1[[#This Row],[RUT]])-1))</f>
        <v>61606703</v>
      </c>
      <c r="F120" t="str">
        <f t="shared" si="1"/>
        <v>CN61606703</v>
      </c>
    </row>
    <row r="121" spans="1:6" x14ac:dyDescent="0.25">
      <c r="A121" s="6">
        <v>616068008</v>
      </c>
      <c r="B121" s="5" t="s">
        <v>224</v>
      </c>
      <c r="C121" t="s">
        <v>159</v>
      </c>
      <c r="E121" s="42">
        <f>VALUE(MID(Tabla1[[#This Row],[RUT]],1,LEN(Tabla1[[#This Row],[RUT]])-1))</f>
        <v>61606800</v>
      </c>
      <c r="F121" t="str">
        <f t="shared" si="1"/>
        <v>CN61606800</v>
      </c>
    </row>
    <row r="122" spans="1:6" x14ac:dyDescent="0.25">
      <c r="A122" s="6">
        <v>616069004</v>
      </c>
      <c r="B122" s="5" t="s">
        <v>225</v>
      </c>
      <c r="C122" t="s">
        <v>159</v>
      </c>
      <c r="E122" s="42">
        <f>VALUE(MID(Tabla1[[#This Row],[RUT]],1,LEN(Tabla1[[#This Row],[RUT]])-1))</f>
        <v>61606900</v>
      </c>
      <c r="F122" t="str">
        <f t="shared" si="1"/>
        <v>CN61606900</v>
      </c>
    </row>
    <row r="123" spans="1:6" x14ac:dyDescent="0.25">
      <c r="A123" s="6">
        <v>616069012</v>
      </c>
      <c r="B123" s="5" t="s">
        <v>226</v>
      </c>
      <c r="C123" t="s">
        <v>159</v>
      </c>
      <c r="E123" s="42">
        <f>VALUE(MID(Tabla1[[#This Row],[RUT]],1,LEN(Tabla1[[#This Row],[RUT]])-1))</f>
        <v>61606901</v>
      </c>
      <c r="F123" t="str">
        <f t="shared" si="1"/>
        <v>CN61606901</v>
      </c>
    </row>
    <row r="124" spans="1:6" x14ac:dyDescent="0.25">
      <c r="A124" s="6">
        <v>616069039</v>
      </c>
      <c r="B124" s="5" t="s">
        <v>775</v>
      </c>
      <c r="C124" t="s">
        <v>159</v>
      </c>
      <c r="E124" s="42">
        <f>VALUE(MID(Tabla1[[#This Row],[RUT]],1,LEN(Tabla1[[#This Row],[RUT]])-1))</f>
        <v>61606903</v>
      </c>
      <c r="F124" t="str">
        <f t="shared" si="1"/>
        <v>CN61606903</v>
      </c>
    </row>
    <row r="125" spans="1:6" x14ac:dyDescent="0.25">
      <c r="A125" s="6">
        <v>616069055</v>
      </c>
      <c r="B125" s="5" t="s">
        <v>227</v>
      </c>
      <c r="C125" t="s">
        <v>159</v>
      </c>
      <c r="E125" s="42">
        <f>VALUE(MID(Tabla1[[#This Row],[RUT]],1,LEN(Tabla1[[#This Row],[RUT]])-1))</f>
        <v>61606905</v>
      </c>
      <c r="F125" t="str">
        <f t="shared" si="1"/>
        <v>CN61606905</v>
      </c>
    </row>
    <row r="126" spans="1:6" x14ac:dyDescent="0.25">
      <c r="A126" s="6">
        <v>616069063</v>
      </c>
      <c r="B126" s="5" t="s">
        <v>228</v>
      </c>
      <c r="C126" t="s">
        <v>159</v>
      </c>
      <c r="E126" s="42">
        <f>VALUE(MID(Tabla1[[#This Row],[RUT]],1,LEN(Tabla1[[#This Row],[RUT]])-1))</f>
        <v>61606906</v>
      </c>
      <c r="F126" t="str">
        <f t="shared" si="1"/>
        <v>CN61606906</v>
      </c>
    </row>
    <row r="127" spans="1:6" x14ac:dyDescent="0.25">
      <c r="A127" s="6">
        <v>616069071</v>
      </c>
      <c r="B127" s="5" t="s">
        <v>229</v>
      </c>
      <c r="C127" t="s">
        <v>159</v>
      </c>
      <c r="E127" s="42">
        <f>VALUE(MID(Tabla1[[#This Row],[RUT]],1,LEN(Tabla1[[#This Row],[RUT]])-1))</f>
        <v>61606907</v>
      </c>
      <c r="F127" t="str">
        <f t="shared" si="1"/>
        <v>CN61606907</v>
      </c>
    </row>
    <row r="128" spans="1:6" x14ac:dyDescent="0.25">
      <c r="A128" s="6">
        <v>616069101</v>
      </c>
      <c r="B128" s="5" t="s">
        <v>230</v>
      </c>
      <c r="C128" t="s">
        <v>159</v>
      </c>
      <c r="E128" s="42">
        <f>VALUE(MID(Tabla1[[#This Row],[RUT]],1,LEN(Tabla1[[#This Row],[RUT]])-1))</f>
        <v>61606910</v>
      </c>
      <c r="F128" t="str">
        <f t="shared" si="1"/>
        <v>CN61606910</v>
      </c>
    </row>
    <row r="129" spans="1:6" x14ac:dyDescent="0.25">
      <c r="A129" s="6">
        <v>616069128</v>
      </c>
      <c r="B129" s="5" t="s">
        <v>231</v>
      </c>
      <c r="C129" t="s">
        <v>159</v>
      </c>
      <c r="E129" s="42">
        <f>VALUE(MID(Tabla1[[#This Row],[RUT]],1,LEN(Tabla1[[#This Row],[RUT]])-1))</f>
        <v>61606912</v>
      </c>
      <c r="F129" t="str">
        <f t="shared" si="1"/>
        <v>CN61606912</v>
      </c>
    </row>
    <row r="130" spans="1:6" x14ac:dyDescent="0.25">
      <c r="A130" s="6">
        <v>616069136</v>
      </c>
      <c r="B130" s="5" t="s">
        <v>776</v>
      </c>
      <c r="C130" t="s">
        <v>159</v>
      </c>
      <c r="E130" s="42">
        <f>VALUE(MID(Tabla1[[#This Row],[RUT]],1,LEN(Tabla1[[#This Row],[RUT]])-1))</f>
        <v>61606913</v>
      </c>
      <c r="F130" t="str">
        <f t="shared" si="1"/>
        <v>CN61606913</v>
      </c>
    </row>
    <row r="131" spans="1:6" x14ac:dyDescent="0.25">
      <c r="A131" s="6">
        <v>616069152</v>
      </c>
      <c r="B131" s="5" t="s">
        <v>232</v>
      </c>
      <c r="C131" t="s">
        <v>159</v>
      </c>
      <c r="E131" s="42">
        <f>VALUE(MID(Tabla1[[#This Row],[RUT]],1,LEN(Tabla1[[#This Row],[RUT]])-1))</f>
        <v>61606915</v>
      </c>
      <c r="F131" t="str">
        <f t="shared" ref="F131:F194" si="2">"CN"&amp;E131</f>
        <v>CN61606915</v>
      </c>
    </row>
    <row r="132" spans="1:6" x14ac:dyDescent="0.25">
      <c r="A132" s="6">
        <v>616069179</v>
      </c>
      <c r="B132" s="5" t="s">
        <v>233</v>
      </c>
      <c r="C132" t="s">
        <v>159</v>
      </c>
      <c r="E132" s="42">
        <f>VALUE(MID(Tabla1[[#This Row],[RUT]],1,LEN(Tabla1[[#This Row],[RUT]])-1))</f>
        <v>61606917</v>
      </c>
      <c r="F132" t="str">
        <f t="shared" si="2"/>
        <v>CN61606917</v>
      </c>
    </row>
    <row r="133" spans="1:6" x14ac:dyDescent="0.25">
      <c r="A133" s="6">
        <v>616069187</v>
      </c>
      <c r="B133" s="5" t="s">
        <v>777</v>
      </c>
      <c r="C133" t="s">
        <v>159</v>
      </c>
      <c r="E133" s="42">
        <f>VALUE(MID(Tabla1[[#This Row],[RUT]],1,LEN(Tabla1[[#This Row],[RUT]])-1))</f>
        <v>61606918</v>
      </c>
      <c r="F133" t="str">
        <f t="shared" si="2"/>
        <v>CN61606918</v>
      </c>
    </row>
    <row r="134" spans="1:6" x14ac:dyDescent="0.25">
      <c r="A134" s="21">
        <v>616070002</v>
      </c>
      <c r="B134" s="10" t="s">
        <v>234</v>
      </c>
      <c r="C134" t="s">
        <v>159</v>
      </c>
      <c r="E134" s="42">
        <f>VALUE(MID(Tabla1[[#This Row],[RUT]],1,LEN(Tabla1[[#This Row],[RUT]])-1))</f>
        <v>61607000</v>
      </c>
      <c r="F134" t="str">
        <f t="shared" si="2"/>
        <v>CN61607000</v>
      </c>
    </row>
    <row r="135" spans="1:6" x14ac:dyDescent="0.25">
      <c r="A135" s="6">
        <v>616070037</v>
      </c>
      <c r="B135" s="5" t="s">
        <v>235</v>
      </c>
      <c r="C135" t="s">
        <v>159</v>
      </c>
      <c r="E135" s="42">
        <f>VALUE(MID(Tabla1[[#This Row],[RUT]],1,LEN(Tabla1[[#This Row],[RUT]])-1))</f>
        <v>61607003</v>
      </c>
      <c r="F135" t="str">
        <f t="shared" si="2"/>
        <v>CN61607003</v>
      </c>
    </row>
    <row r="136" spans="1:6" x14ac:dyDescent="0.25">
      <c r="A136" s="6">
        <v>616070045</v>
      </c>
      <c r="B136" s="5" t="s">
        <v>236</v>
      </c>
      <c r="C136" t="s">
        <v>159</v>
      </c>
      <c r="E136" s="42">
        <f>VALUE(MID(Tabla1[[#This Row],[RUT]],1,LEN(Tabla1[[#This Row],[RUT]])-1))</f>
        <v>61607004</v>
      </c>
      <c r="F136" t="str">
        <f t="shared" si="2"/>
        <v>CN61607004</v>
      </c>
    </row>
    <row r="137" spans="1:6" x14ac:dyDescent="0.25">
      <c r="A137" s="6">
        <v>616070053</v>
      </c>
      <c r="B137" s="5" t="s">
        <v>778</v>
      </c>
      <c r="C137" t="s">
        <v>159</v>
      </c>
      <c r="E137" s="42">
        <f>VALUE(MID(Tabla1[[#This Row],[RUT]],1,LEN(Tabla1[[#This Row],[RUT]])-1))</f>
        <v>61607005</v>
      </c>
      <c r="F137" t="str">
        <f t="shared" si="2"/>
        <v>CN61607005</v>
      </c>
    </row>
    <row r="138" spans="1:6" x14ac:dyDescent="0.25">
      <c r="A138" s="6">
        <v>616070061</v>
      </c>
      <c r="B138" s="5" t="s">
        <v>237</v>
      </c>
      <c r="C138" t="s">
        <v>159</v>
      </c>
      <c r="E138" s="42">
        <f>VALUE(MID(Tabla1[[#This Row],[RUT]],1,LEN(Tabla1[[#This Row],[RUT]])-1))</f>
        <v>61607006</v>
      </c>
      <c r="F138" t="str">
        <f t="shared" si="2"/>
        <v>CN61607006</v>
      </c>
    </row>
    <row r="139" spans="1:6" x14ac:dyDescent="0.25">
      <c r="A139" s="6">
        <v>616071009</v>
      </c>
      <c r="B139" s="5" t="s">
        <v>238</v>
      </c>
      <c r="C139" t="s">
        <v>159</v>
      </c>
      <c r="E139" s="42">
        <f>VALUE(MID(Tabla1[[#This Row],[RUT]],1,LEN(Tabla1[[#This Row],[RUT]])-1))</f>
        <v>61607100</v>
      </c>
      <c r="F139" t="str">
        <f t="shared" si="2"/>
        <v>CN61607100</v>
      </c>
    </row>
    <row r="140" spans="1:6" x14ac:dyDescent="0.25">
      <c r="A140" s="6">
        <v>616071033</v>
      </c>
      <c r="B140" s="5" t="s">
        <v>239</v>
      </c>
      <c r="C140" t="s">
        <v>159</v>
      </c>
      <c r="E140" s="42">
        <f>VALUE(MID(Tabla1[[#This Row],[RUT]],1,LEN(Tabla1[[#This Row],[RUT]])-1))</f>
        <v>61607103</v>
      </c>
      <c r="F140" t="str">
        <f t="shared" si="2"/>
        <v>CN61607103</v>
      </c>
    </row>
    <row r="141" spans="1:6" x14ac:dyDescent="0.25">
      <c r="A141" s="19">
        <v>616072005</v>
      </c>
      <c r="B141" s="8" t="s">
        <v>240</v>
      </c>
      <c r="C141" t="s">
        <v>159</v>
      </c>
      <c r="E141" s="42">
        <f>VALUE(MID(Tabla1[[#This Row],[RUT]],1,LEN(Tabla1[[#This Row],[RUT]])-1))</f>
        <v>61607200</v>
      </c>
      <c r="F141" t="str">
        <f t="shared" si="2"/>
        <v>CN61607200</v>
      </c>
    </row>
    <row r="142" spans="1:6" x14ac:dyDescent="0.25">
      <c r="A142" s="6">
        <v>616073028</v>
      </c>
      <c r="B142" s="5" t="s">
        <v>241</v>
      </c>
      <c r="C142" t="s">
        <v>159</v>
      </c>
      <c r="E142" s="42">
        <f>VALUE(MID(Tabla1[[#This Row],[RUT]],1,LEN(Tabla1[[#This Row],[RUT]])-1))</f>
        <v>61607302</v>
      </c>
      <c r="F142" t="str">
        <f t="shared" si="2"/>
        <v>CN61607302</v>
      </c>
    </row>
    <row r="143" spans="1:6" x14ac:dyDescent="0.25">
      <c r="A143" s="6">
        <v>616073052</v>
      </c>
      <c r="B143" s="5" t="s">
        <v>242</v>
      </c>
      <c r="C143" t="s">
        <v>159</v>
      </c>
      <c r="E143" s="42">
        <f>VALUE(MID(Tabla1[[#This Row],[RUT]],1,LEN(Tabla1[[#This Row],[RUT]])-1))</f>
        <v>61607305</v>
      </c>
      <c r="F143" t="str">
        <f t="shared" si="2"/>
        <v>CN61607305</v>
      </c>
    </row>
    <row r="144" spans="1:6" x14ac:dyDescent="0.25">
      <c r="A144" s="6">
        <v>616073060</v>
      </c>
      <c r="B144" s="5" t="s">
        <v>243</v>
      </c>
      <c r="C144" t="s">
        <v>159</v>
      </c>
      <c r="E144" s="42">
        <f>VALUE(MID(Tabla1[[#This Row],[RUT]],1,LEN(Tabla1[[#This Row],[RUT]])-1))</f>
        <v>61607306</v>
      </c>
      <c r="F144" t="str">
        <f t="shared" si="2"/>
        <v>CN61607306</v>
      </c>
    </row>
    <row r="145" spans="1:6" x14ac:dyDescent="0.25">
      <c r="A145" s="6">
        <v>616073079</v>
      </c>
      <c r="B145" s="5" t="s">
        <v>244</v>
      </c>
      <c r="C145" t="s">
        <v>159</v>
      </c>
      <c r="E145" s="42">
        <f>VALUE(MID(Tabla1[[#This Row],[RUT]],1,LEN(Tabla1[[#This Row],[RUT]])-1))</f>
        <v>61607307</v>
      </c>
      <c r="F145" t="str">
        <f t="shared" si="2"/>
        <v>CN61607307</v>
      </c>
    </row>
    <row r="146" spans="1:6" x14ac:dyDescent="0.25">
      <c r="A146" s="6">
        <v>616074024</v>
      </c>
      <c r="B146" s="5" t="s">
        <v>245</v>
      </c>
      <c r="C146" t="s">
        <v>159</v>
      </c>
      <c r="E146" s="42">
        <f>VALUE(MID(Tabla1[[#This Row],[RUT]],1,LEN(Tabla1[[#This Row],[RUT]])-1))</f>
        <v>61607402</v>
      </c>
      <c r="F146" t="str">
        <f t="shared" si="2"/>
        <v>CN61607402</v>
      </c>
    </row>
    <row r="147" spans="1:6" x14ac:dyDescent="0.25">
      <c r="A147" s="6">
        <v>616075047</v>
      </c>
      <c r="B147" s="5" t="s">
        <v>779</v>
      </c>
      <c r="C147" t="s">
        <v>159</v>
      </c>
      <c r="E147" s="42">
        <f>VALUE(MID(Tabla1[[#This Row],[RUT]],1,LEN(Tabla1[[#This Row],[RUT]])-1))</f>
        <v>61607504</v>
      </c>
      <c r="F147" t="str">
        <f t="shared" si="2"/>
        <v>CN61607504</v>
      </c>
    </row>
    <row r="148" spans="1:6" x14ac:dyDescent="0.25">
      <c r="A148" s="6">
        <v>616075071</v>
      </c>
      <c r="B148" s="5" t="s">
        <v>246</v>
      </c>
      <c r="C148" t="s">
        <v>159</v>
      </c>
      <c r="E148" s="42">
        <f>VALUE(MID(Tabla1[[#This Row],[RUT]],1,LEN(Tabla1[[#This Row],[RUT]])-1))</f>
        <v>61607507</v>
      </c>
      <c r="F148" t="str">
        <f t="shared" si="2"/>
        <v>CN61607507</v>
      </c>
    </row>
    <row r="149" spans="1:6" x14ac:dyDescent="0.25">
      <c r="A149" s="6">
        <v>616075098</v>
      </c>
      <c r="B149" s="5" t="s">
        <v>247</v>
      </c>
      <c r="C149" t="s">
        <v>159</v>
      </c>
      <c r="E149" s="42">
        <f>VALUE(MID(Tabla1[[#This Row],[RUT]],1,LEN(Tabla1[[#This Row],[RUT]])-1))</f>
        <v>61607509</v>
      </c>
      <c r="F149" t="str">
        <f t="shared" si="2"/>
        <v>CN61607509</v>
      </c>
    </row>
    <row r="150" spans="1:6" x14ac:dyDescent="0.25">
      <c r="A150" s="6">
        <v>616076000</v>
      </c>
      <c r="B150" s="5" t="s">
        <v>248</v>
      </c>
      <c r="C150" t="s">
        <v>159</v>
      </c>
      <c r="E150" s="42">
        <f>VALUE(MID(Tabla1[[#This Row],[RUT]],1,LEN(Tabla1[[#This Row],[RUT]])-1))</f>
        <v>61607600</v>
      </c>
      <c r="F150" t="str">
        <f t="shared" si="2"/>
        <v>CN61607600</v>
      </c>
    </row>
    <row r="151" spans="1:6" x14ac:dyDescent="0.25">
      <c r="A151" s="6">
        <v>616076027</v>
      </c>
      <c r="B151" s="5" t="s">
        <v>249</v>
      </c>
      <c r="C151" t="s">
        <v>159</v>
      </c>
      <c r="E151" s="42">
        <f>VALUE(MID(Tabla1[[#This Row],[RUT]],1,LEN(Tabla1[[#This Row],[RUT]])-1))</f>
        <v>61607602</v>
      </c>
      <c r="F151" t="str">
        <f t="shared" si="2"/>
        <v>CN61607602</v>
      </c>
    </row>
    <row r="152" spans="1:6" x14ac:dyDescent="0.25">
      <c r="A152" s="6">
        <v>616079018</v>
      </c>
      <c r="B152" s="5" t="s">
        <v>250</v>
      </c>
      <c r="C152" t="s">
        <v>159</v>
      </c>
      <c r="E152" s="42">
        <f>VALUE(MID(Tabla1[[#This Row],[RUT]],1,LEN(Tabla1[[#This Row],[RUT]])-1))</f>
        <v>61607901</v>
      </c>
      <c r="F152" t="str">
        <f t="shared" si="2"/>
        <v>CN61607901</v>
      </c>
    </row>
    <row r="153" spans="1:6" x14ac:dyDescent="0.25">
      <c r="A153" s="6">
        <v>616079034</v>
      </c>
      <c r="B153" s="5" t="s">
        <v>251</v>
      </c>
      <c r="C153" t="s">
        <v>159</v>
      </c>
      <c r="E153" s="42">
        <f>VALUE(MID(Tabla1[[#This Row],[RUT]],1,LEN(Tabla1[[#This Row],[RUT]])-1))</f>
        <v>61607903</v>
      </c>
      <c r="F153" t="str">
        <f t="shared" si="2"/>
        <v>CN61607903</v>
      </c>
    </row>
    <row r="154" spans="1:6" x14ac:dyDescent="0.25">
      <c r="A154" s="6">
        <v>616079042</v>
      </c>
      <c r="B154" s="5" t="s">
        <v>252</v>
      </c>
      <c r="C154" t="s">
        <v>159</v>
      </c>
      <c r="E154" s="42">
        <f>VALUE(MID(Tabla1[[#This Row],[RUT]],1,LEN(Tabla1[[#This Row],[RUT]])-1))</f>
        <v>61607904</v>
      </c>
      <c r="F154" t="str">
        <f t="shared" si="2"/>
        <v>CN61607904</v>
      </c>
    </row>
    <row r="155" spans="1:6" x14ac:dyDescent="0.25">
      <c r="A155" s="6">
        <v>616080067</v>
      </c>
      <c r="B155" s="5" t="s">
        <v>780</v>
      </c>
      <c r="C155" t="s">
        <v>159</v>
      </c>
      <c r="E155" s="42">
        <f>VALUE(MID(Tabla1[[#This Row],[RUT]],1,LEN(Tabla1[[#This Row],[RUT]])-1))</f>
        <v>61608006</v>
      </c>
      <c r="F155" t="str">
        <f t="shared" si="2"/>
        <v>CN61608006</v>
      </c>
    </row>
    <row r="156" spans="1:6" x14ac:dyDescent="0.25">
      <c r="A156" s="6">
        <v>616081055</v>
      </c>
      <c r="B156" s="5" t="s">
        <v>781</v>
      </c>
      <c r="C156" t="s">
        <v>159</v>
      </c>
      <c r="E156" s="42">
        <f>VALUE(MID(Tabla1[[#This Row],[RUT]],1,LEN(Tabla1[[#This Row],[RUT]])-1))</f>
        <v>61608105</v>
      </c>
      <c r="F156" t="str">
        <f t="shared" si="2"/>
        <v>CN61608105</v>
      </c>
    </row>
    <row r="157" spans="1:6" x14ac:dyDescent="0.25">
      <c r="A157" s="6">
        <v>616082000</v>
      </c>
      <c r="B157" s="5" t="s">
        <v>253</v>
      </c>
      <c r="C157" t="s">
        <v>159</v>
      </c>
      <c r="E157" s="42">
        <f>VALUE(MID(Tabla1[[#This Row],[RUT]],1,LEN(Tabla1[[#This Row],[RUT]])-1))</f>
        <v>61608200</v>
      </c>
      <c r="F157" t="str">
        <f t="shared" si="2"/>
        <v>CN61608200</v>
      </c>
    </row>
    <row r="158" spans="1:6" x14ac:dyDescent="0.25">
      <c r="A158" s="6">
        <v>616084038</v>
      </c>
      <c r="B158" s="5" t="s">
        <v>254</v>
      </c>
      <c r="C158" t="s">
        <v>159</v>
      </c>
      <c r="E158" s="42">
        <f>VALUE(MID(Tabla1[[#This Row],[RUT]],1,LEN(Tabla1[[#This Row],[RUT]])-1))</f>
        <v>61608403</v>
      </c>
      <c r="F158" t="str">
        <f t="shared" si="2"/>
        <v>CN61608403</v>
      </c>
    </row>
    <row r="159" spans="1:6" x14ac:dyDescent="0.25">
      <c r="A159" s="6">
        <v>616084070</v>
      </c>
      <c r="B159" s="5" t="s">
        <v>255</v>
      </c>
      <c r="C159" t="s">
        <v>159</v>
      </c>
      <c r="E159" s="42">
        <f>VALUE(MID(Tabla1[[#This Row],[RUT]],1,LEN(Tabla1[[#This Row],[RUT]])-1))</f>
        <v>61608407</v>
      </c>
      <c r="F159" t="str">
        <f t="shared" si="2"/>
        <v>CN61608407</v>
      </c>
    </row>
    <row r="160" spans="1:6" x14ac:dyDescent="0.25">
      <c r="A160" s="6">
        <v>616084089</v>
      </c>
      <c r="B160" s="5" t="s">
        <v>256</v>
      </c>
      <c r="C160" t="s">
        <v>159</v>
      </c>
      <c r="E160" s="42">
        <f>VALUE(MID(Tabla1[[#This Row],[RUT]],1,LEN(Tabla1[[#This Row],[RUT]])-1))</f>
        <v>61608408</v>
      </c>
      <c r="F160" t="str">
        <f t="shared" si="2"/>
        <v>CN61608408</v>
      </c>
    </row>
    <row r="161" spans="1:6" x14ac:dyDescent="0.25">
      <c r="A161" s="6">
        <v>616085034</v>
      </c>
      <c r="B161" s="5" t="s">
        <v>257</v>
      </c>
      <c r="C161" t="s">
        <v>159</v>
      </c>
      <c r="E161" s="42">
        <f>VALUE(MID(Tabla1[[#This Row],[RUT]],1,LEN(Tabla1[[#This Row],[RUT]])-1))</f>
        <v>61608503</v>
      </c>
      <c r="F161" t="str">
        <f t="shared" si="2"/>
        <v>CN61608503</v>
      </c>
    </row>
    <row r="162" spans="1:6" x14ac:dyDescent="0.25">
      <c r="A162" s="21">
        <v>616086057</v>
      </c>
      <c r="B162" s="10" t="s">
        <v>258</v>
      </c>
      <c r="C162" t="s">
        <v>159</v>
      </c>
      <c r="E162" s="42">
        <f>VALUE(MID(Tabla1[[#This Row],[RUT]],1,LEN(Tabla1[[#This Row],[RUT]])-1))</f>
        <v>61608605</v>
      </c>
      <c r="F162" t="str">
        <f t="shared" si="2"/>
        <v>CN61608605</v>
      </c>
    </row>
    <row r="163" spans="1:6" x14ac:dyDescent="0.25">
      <c r="A163" s="6">
        <v>619322002</v>
      </c>
      <c r="B163" s="5" t="s">
        <v>259</v>
      </c>
      <c r="C163" t="s">
        <v>159</v>
      </c>
      <c r="E163" s="42">
        <f>VALUE(MID(Tabla1[[#This Row],[RUT]],1,LEN(Tabla1[[#This Row],[RUT]])-1))</f>
        <v>61932200</v>
      </c>
      <c r="F163" t="str">
        <f t="shared" si="2"/>
        <v>CN61932200</v>
      </c>
    </row>
    <row r="164" spans="1:6" x14ac:dyDescent="0.25">
      <c r="A164" s="19">
        <v>619334000</v>
      </c>
      <c r="B164" s="8" t="s">
        <v>260</v>
      </c>
      <c r="C164" t="s">
        <v>159</v>
      </c>
      <c r="E164" s="42">
        <f>VALUE(MID(Tabla1[[#This Row],[RUT]],1,LEN(Tabla1[[#This Row],[RUT]])-1))</f>
        <v>61933400</v>
      </c>
      <c r="F164" t="str">
        <f t="shared" si="2"/>
        <v>CN61933400</v>
      </c>
    </row>
    <row r="165" spans="1:6" x14ac:dyDescent="0.25">
      <c r="A165" s="6">
        <v>619385004</v>
      </c>
      <c r="B165" s="5" t="s">
        <v>261</v>
      </c>
      <c r="C165" t="s">
        <v>159</v>
      </c>
      <c r="E165" s="42">
        <f>VALUE(MID(Tabla1[[#This Row],[RUT]],1,LEN(Tabla1[[#This Row],[RUT]])-1))</f>
        <v>61938500</v>
      </c>
      <c r="F165" t="str">
        <f t="shared" si="2"/>
        <v>CN61938500</v>
      </c>
    </row>
    <row r="166" spans="1:6" x14ac:dyDescent="0.25">
      <c r="A166" s="19">
        <v>619523008</v>
      </c>
      <c r="B166" s="8" t="s">
        <v>262</v>
      </c>
      <c r="C166" t="s">
        <v>4</v>
      </c>
      <c r="E166" s="42">
        <f>VALUE(MID(Tabla1[[#This Row],[RUT]],1,LEN(Tabla1[[#This Row],[RUT]])-1))</f>
        <v>61952300</v>
      </c>
      <c r="F166" t="str">
        <f t="shared" si="2"/>
        <v>CN61952300</v>
      </c>
    </row>
    <row r="167" spans="1:6" x14ac:dyDescent="0.25">
      <c r="A167" s="22">
        <v>619545001</v>
      </c>
      <c r="B167" s="11" t="s">
        <v>263</v>
      </c>
      <c r="C167" t="s">
        <v>159</v>
      </c>
      <c r="E167" s="42">
        <f>VALUE(MID(Tabla1[[#This Row],[RUT]],1,LEN(Tabla1[[#This Row],[RUT]])-1))</f>
        <v>61954500</v>
      </c>
      <c r="F167" t="str">
        <f t="shared" si="2"/>
        <v>CN61954500</v>
      </c>
    </row>
    <row r="168" spans="1:6" x14ac:dyDescent="0.25">
      <c r="A168" s="6">
        <v>619728009</v>
      </c>
      <c r="B168" s="5" t="s">
        <v>264</v>
      </c>
      <c r="C168" t="s">
        <v>159</v>
      </c>
      <c r="E168" s="42">
        <f>VALUE(MID(Tabla1[[#This Row],[RUT]],1,LEN(Tabla1[[#This Row],[RUT]])-1))</f>
        <v>61972800</v>
      </c>
      <c r="F168" t="str">
        <f t="shared" si="2"/>
        <v>CN61972800</v>
      </c>
    </row>
    <row r="169" spans="1:6" x14ac:dyDescent="0.25">
      <c r="A169" s="6">
        <v>619746007</v>
      </c>
      <c r="B169" s="5" t="s">
        <v>265</v>
      </c>
      <c r="C169" t="s">
        <v>159</v>
      </c>
      <c r="E169" s="42">
        <f>VALUE(MID(Tabla1[[#This Row],[RUT]],1,LEN(Tabla1[[#This Row],[RUT]])-1))</f>
        <v>61974600</v>
      </c>
      <c r="F169" t="str">
        <f t="shared" si="2"/>
        <v>CN61974600</v>
      </c>
    </row>
    <row r="170" spans="1:6" x14ac:dyDescent="0.25">
      <c r="A170" s="6">
        <v>619758005</v>
      </c>
      <c r="B170" s="5" t="s">
        <v>782</v>
      </c>
      <c r="C170" t="s">
        <v>4758</v>
      </c>
      <c r="E170" s="42">
        <f>VALUE(MID(Tabla1[[#This Row],[RUT]],1,LEN(Tabla1[[#This Row],[RUT]])-1))</f>
        <v>61975800</v>
      </c>
      <c r="F170" t="str">
        <f t="shared" si="2"/>
        <v>CN61975800</v>
      </c>
    </row>
    <row r="171" spans="1:6" x14ac:dyDescent="0.25">
      <c r="A171" s="6">
        <v>619787307</v>
      </c>
      <c r="B171" s="5" t="s">
        <v>266</v>
      </c>
      <c r="C171" t="s">
        <v>159</v>
      </c>
      <c r="E171" s="42">
        <f>VALUE(MID(Tabla1[[#This Row],[RUT]],1,LEN(Tabla1[[#This Row],[RUT]])-1))</f>
        <v>61978730</v>
      </c>
      <c r="F171" t="str">
        <f t="shared" si="2"/>
        <v>CN61978730</v>
      </c>
    </row>
    <row r="172" spans="1:6" x14ac:dyDescent="0.25">
      <c r="A172" s="21">
        <v>619794508</v>
      </c>
      <c r="B172" s="10" t="s">
        <v>267</v>
      </c>
      <c r="C172" t="s">
        <v>159</v>
      </c>
      <c r="E172" s="42">
        <f>VALUE(MID(Tabla1[[#This Row],[RUT]],1,LEN(Tabla1[[#This Row],[RUT]])-1))</f>
        <v>61979450</v>
      </c>
      <c r="F172" t="str">
        <f t="shared" si="2"/>
        <v>CN61979450</v>
      </c>
    </row>
    <row r="173" spans="1:6" x14ac:dyDescent="0.25">
      <c r="A173" s="6">
        <v>619799100</v>
      </c>
      <c r="B173" s="5" t="s">
        <v>35</v>
      </c>
      <c r="C173" t="s">
        <v>159</v>
      </c>
      <c r="E173" s="42">
        <f>VALUE(MID(Tabla1[[#This Row],[RUT]],1,LEN(Tabla1[[#This Row],[RUT]])-1))</f>
        <v>61979910</v>
      </c>
      <c r="F173" t="str">
        <f t="shared" si="2"/>
        <v>CN61979910</v>
      </c>
    </row>
    <row r="174" spans="1:6" x14ac:dyDescent="0.25">
      <c r="A174" s="19">
        <v>619800702</v>
      </c>
      <c r="B174" s="8" t="s">
        <v>268</v>
      </c>
      <c r="C174" t="s">
        <v>159</v>
      </c>
      <c r="E174" s="42">
        <f>VALUE(MID(Tabla1[[#This Row],[RUT]],1,LEN(Tabla1[[#This Row],[RUT]])-1))</f>
        <v>61980070</v>
      </c>
      <c r="F174" t="str">
        <f t="shared" si="2"/>
        <v>CN61980070</v>
      </c>
    </row>
    <row r="175" spans="1:6" x14ac:dyDescent="0.25">
      <c r="A175" s="6">
        <v>619803701</v>
      </c>
      <c r="B175" s="5" t="s">
        <v>269</v>
      </c>
      <c r="C175" t="s">
        <v>159</v>
      </c>
      <c r="E175" s="42">
        <f>VALUE(MID(Tabla1[[#This Row],[RUT]],1,LEN(Tabla1[[#This Row],[RUT]])-1))</f>
        <v>61980370</v>
      </c>
      <c r="F175" t="str">
        <f t="shared" si="2"/>
        <v>CN61980370</v>
      </c>
    </row>
    <row r="176" spans="1:6" x14ac:dyDescent="0.25">
      <c r="A176" s="6">
        <v>619804201</v>
      </c>
      <c r="B176" s="5" t="s">
        <v>270</v>
      </c>
      <c r="C176" t="s">
        <v>159</v>
      </c>
      <c r="E176" s="42">
        <f>VALUE(MID(Tabla1[[#This Row],[RUT]],1,LEN(Tabla1[[#This Row],[RUT]])-1))</f>
        <v>61980420</v>
      </c>
      <c r="F176" t="str">
        <f t="shared" si="2"/>
        <v>CN61980420</v>
      </c>
    </row>
    <row r="177" spans="1:6" x14ac:dyDescent="0.25">
      <c r="A177" s="6">
        <v>619806700</v>
      </c>
      <c r="B177" s="5" t="s">
        <v>271</v>
      </c>
      <c r="C177" t="s">
        <v>159</v>
      </c>
      <c r="E177" s="42">
        <f>VALUE(MID(Tabla1[[#This Row],[RUT]],1,LEN(Tabla1[[#This Row],[RUT]])-1))</f>
        <v>61980670</v>
      </c>
      <c r="F177" t="str">
        <f t="shared" si="2"/>
        <v>CN61980670</v>
      </c>
    </row>
    <row r="178" spans="1:6" x14ac:dyDescent="0.25">
      <c r="A178" s="20">
        <v>619807200</v>
      </c>
      <c r="B178" s="9" t="s">
        <v>272</v>
      </c>
      <c r="C178" t="s">
        <v>159</v>
      </c>
      <c r="E178" s="42">
        <f>VALUE(MID(Tabla1[[#This Row],[RUT]],1,LEN(Tabla1[[#This Row],[RUT]])-1))</f>
        <v>61980720</v>
      </c>
      <c r="F178" t="str">
        <f t="shared" si="2"/>
        <v>CN61980720</v>
      </c>
    </row>
    <row r="179" spans="1:6" x14ac:dyDescent="0.25">
      <c r="A179" s="21">
        <v>619807405</v>
      </c>
      <c r="B179" s="10" t="s">
        <v>273</v>
      </c>
      <c r="C179" t="s">
        <v>159</v>
      </c>
      <c r="E179" s="42">
        <f>VALUE(MID(Tabla1[[#This Row],[RUT]],1,LEN(Tabla1[[#This Row],[RUT]])-1))</f>
        <v>61980740</v>
      </c>
      <c r="F179" t="str">
        <f t="shared" si="2"/>
        <v>CN61980740</v>
      </c>
    </row>
    <row r="180" spans="1:6" x14ac:dyDescent="0.25">
      <c r="A180" s="21">
        <v>619990307</v>
      </c>
      <c r="B180" s="10" t="s">
        <v>783</v>
      </c>
      <c r="C180" t="s">
        <v>159</v>
      </c>
      <c r="E180" s="42">
        <f>VALUE(MID(Tabla1[[#This Row],[RUT]],1,LEN(Tabla1[[#This Row],[RUT]])-1))</f>
        <v>61999030</v>
      </c>
      <c r="F180" t="str">
        <f t="shared" si="2"/>
        <v>CN61999030</v>
      </c>
    </row>
    <row r="181" spans="1:6" x14ac:dyDescent="0.25">
      <c r="A181" s="6">
        <v>619991907</v>
      </c>
      <c r="B181" s="5" t="s">
        <v>274</v>
      </c>
      <c r="C181" t="s">
        <v>159</v>
      </c>
      <c r="E181" s="42">
        <f>VALUE(MID(Tabla1[[#This Row],[RUT]],1,LEN(Tabla1[[#This Row],[RUT]])-1))</f>
        <v>61999190</v>
      </c>
      <c r="F181" t="str">
        <f t="shared" si="2"/>
        <v>CN61999190</v>
      </c>
    </row>
    <row r="182" spans="1:6" x14ac:dyDescent="0.25">
      <c r="A182" s="19">
        <v>619992601</v>
      </c>
      <c r="B182" s="8" t="s">
        <v>275</v>
      </c>
      <c r="C182" t="s">
        <v>159</v>
      </c>
      <c r="E182" s="42">
        <f>VALUE(MID(Tabla1[[#This Row],[RUT]],1,LEN(Tabla1[[#This Row],[RUT]])-1))</f>
        <v>61999260</v>
      </c>
      <c r="F182" t="str">
        <f t="shared" si="2"/>
        <v>CN61999260</v>
      </c>
    </row>
    <row r="183" spans="1:6" x14ac:dyDescent="0.25">
      <c r="A183" s="6">
        <v>620003808</v>
      </c>
      <c r="B183" s="5" t="s">
        <v>276</v>
      </c>
      <c r="C183" t="s">
        <v>159</v>
      </c>
      <c r="E183" s="42">
        <f>VALUE(MID(Tabla1[[#This Row],[RUT]],1,LEN(Tabla1[[#This Row],[RUT]])-1))</f>
        <v>62000380</v>
      </c>
      <c r="F183" t="str">
        <f t="shared" si="2"/>
        <v>CN62000380</v>
      </c>
    </row>
    <row r="184" spans="1:6" x14ac:dyDescent="0.25">
      <c r="A184" s="6">
        <v>620005304</v>
      </c>
      <c r="B184" s="5" t="s">
        <v>277</v>
      </c>
      <c r="C184" t="s">
        <v>4</v>
      </c>
      <c r="E184" s="42">
        <f>VALUE(MID(Tabla1[[#This Row],[RUT]],1,LEN(Tabla1[[#This Row],[RUT]])-1))</f>
        <v>62000530</v>
      </c>
      <c r="F184" t="str">
        <f t="shared" si="2"/>
        <v>CN62000530</v>
      </c>
    </row>
    <row r="185" spans="1:6" x14ac:dyDescent="0.25">
      <c r="A185" s="18">
        <v>620009407</v>
      </c>
      <c r="B185" s="7" t="s">
        <v>278</v>
      </c>
      <c r="C185" t="s">
        <v>159</v>
      </c>
      <c r="E185" s="42">
        <f>VALUE(MID(Tabla1[[#This Row],[RUT]],1,LEN(Tabla1[[#This Row],[RUT]])-1))</f>
        <v>62000940</v>
      </c>
      <c r="F185" t="str">
        <f t="shared" si="2"/>
        <v>CN62000940</v>
      </c>
    </row>
    <row r="186" spans="1:6" x14ac:dyDescent="0.25">
      <c r="A186" s="19">
        <v>656371900</v>
      </c>
      <c r="B186" s="8" t="s">
        <v>279</v>
      </c>
      <c r="C186" t="s">
        <v>159</v>
      </c>
      <c r="E186" s="42">
        <f>VALUE(MID(Tabla1[[#This Row],[RUT]],1,LEN(Tabla1[[#This Row],[RUT]])-1))</f>
        <v>65637190</v>
      </c>
      <c r="F186" t="str">
        <f t="shared" si="2"/>
        <v>CN65637190</v>
      </c>
    </row>
    <row r="187" spans="1:6" x14ac:dyDescent="0.25">
      <c r="A187" s="21">
        <v>690101009</v>
      </c>
      <c r="B187" s="10" t="s">
        <v>280</v>
      </c>
      <c r="C187" t="s">
        <v>159</v>
      </c>
      <c r="E187" s="42">
        <f>VALUE(MID(Tabla1[[#This Row],[RUT]],1,LEN(Tabla1[[#This Row],[RUT]])-1))</f>
        <v>69010100</v>
      </c>
      <c r="F187" t="str">
        <f t="shared" si="2"/>
        <v>CN69010100</v>
      </c>
    </row>
    <row r="188" spans="1:6" x14ac:dyDescent="0.25">
      <c r="A188" s="6">
        <v>690102005</v>
      </c>
      <c r="B188" s="5" t="s">
        <v>281</v>
      </c>
      <c r="C188" t="s">
        <v>159</v>
      </c>
      <c r="E188" s="42">
        <f>VALUE(MID(Tabla1[[#This Row],[RUT]],1,LEN(Tabla1[[#This Row],[RUT]])-1))</f>
        <v>69010200</v>
      </c>
      <c r="F188" t="str">
        <f t="shared" si="2"/>
        <v>CN69010200</v>
      </c>
    </row>
    <row r="189" spans="1:6" x14ac:dyDescent="0.25">
      <c r="A189" s="22">
        <v>690301008</v>
      </c>
      <c r="B189" s="11" t="s">
        <v>282</v>
      </c>
      <c r="C189" t="s">
        <v>159</v>
      </c>
      <c r="E189" s="42">
        <f>VALUE(MID(Tabla1[[#This Row],[RUT]],1,LEN(Tabla1[[#This Row],[RUT]])-1))</f>
        <v>69030100</v>
      </c>
      <c r="F189" t="str">
        <f t="shared" si="2"/>
        <v>CN69030100</v>
      </c>
    </row>
    <row r="190" spans="1:6" x14ac:dyDescent="0.25">
      <c r="A190" s="21">
        <v>690302004</v>
      </c>
      <c r="B190" s="10" t="s">
        <v>283</v>
      </c>
      <c r="C190" t="s">
        <v>159</v>
      </c>
      <c r="E190" s="42">
        <f>VALUE(MID(Tabla1[[#This Row],[RUT]],1,LEN(Tabla1[[#This Row],[RUT]])-1))</f>
        <v>69030200</v>
      </c>
      <c r="F190" t="str">
        <f t="shared" si="2"/>
        <v>CN69030200</v>
      </c>
    </row>
    <row r="191" spans="1:6" x14ac:dyDescent="0.25">
      <c r="A191" s="6">
        <v>690303000</v>
      </c>
      <c r="B191" s="5" t="s">
        <v>284</v>
      </c>
      <c r="C191" t="s">
        <v>159</v>
      </c>
      <c r="E191" s="42">
        <f>VALUE(MID(Tabla1[[#This Row],[RUT]],1,LEN(Tabla1[[#This Row],[RUT]])-1))</f>
        <v>69030300</v>
      </c>
      <c r="F191" t="str">
        <f t="shared" si="2"/>
        <v>CN69030300</v>
      </c>
    </row>
    <row r="192" spans="1:6" x14ac:dyDescent="0.25">
      <c r="A192" s="22">
        <v>690304007</v>
      </c>
      <c r="B192" s="11" t="s">
        <v>285</v>
      </c>
      <c r="C192" t="s">
        <v>159</v>
      </c>
      <c r="E192" s="42">
        <f>VALUE(MID(Tabla1[[#This Row],[RUT]],1,LEN(Tabla1[[#This Row],[RUT]])-1))</f>
        <v>69030400</v>
      </c>
      <c r="F192" t="str">
        <f t="shared" si="2"/>
        <v>CN69030400</v>
      </c>
    </row>
    <row r="193" spans="1:6" x14ac:dyDescent="0.25">
      <c r="A193" s="6">
        <v>690305003</v>
      </c>
      <c r="B193" s="5" t="s">
        <v>286</v>
      </c>
      <c r="C193" t="s">
        <v>159</v>
      </c>
      <c r="E193" s="42">
        <f>VALUE(MID(Tabla1[[#This Row],[RUT]],1,LEN(Tabla1[[#This Row],[RUT]])-1))</f>
        <v>69030500</v>
      </c>
      <c r="F193" t="str">
        <f t="shared" si="2"/>
        <v>CN69030500</v>
      </c>
    </row>
    <row r="194" spans="1:6" x14ac:dyDescent="0.25">
      <c r="A194" s="20">
        <v>690408007</v>
      </c>
      <c r="B194" s="9" t="s">
        <v>287</v>
      </c>
      <c r="C194" t="s">
        <v>159</v>
      </c>
      <c r="E194" s="42">
        <f>VALUE(MID(Tabla1[[#This Row],[RUT]],1,LEN(Tabla1[[#This Row],[RUT]])-1))</f>
        <v>69040800</v>
      </c>
      <c r="F194" t="str">
        <f t="shared" si="2"/>
        <v>CN69040800</v>
      </c>
    </row>
    <row r="195" spans="1:6" x14ac:dyDescent="0.25">
      <c r="A195" s="19">
        <v>690409003</v>
      </c>
      <c r="B195" s="8" t="s">
        <v>288</v>
      </c>
      <c r="C195" t="s">
        <v>159</v>
      </c>
      <c r="E195" s="42">
        <f>VALUE(MID(Tabla1[[#This Row],[RUT]],1,LEN(Tabla1[[#This Row],[RUT]])-1))</f>
        <v>69040900</v>
      </c>
      <c r="F195" t="str">
        <f t="shared" ref="F195:F258" si="3">"CN"&amp;E195</f>
        <v>CN69040900</v>
      </c>
    </row>
    <row r="196" spans="1:6" x14ac:dyDescent="0.25">
      <c r="A196" s="6">
        <v>690410001</v>
      </c>
      <c r="B196" s="5" t="s">
        <v>784</v>
      </c>
      <c r="C196" t="s">
        <v>159</v>
      </c>
      <c r="E196" s="42">
        <f>VALUE(MID(Tabla1[[#This Row],[RUT]],1,LEN(Tabla1[[#This Row],[RUT]])-1))</f>
        <v>69041000</v>
      </c>
      <c r="F196" t="str">
        <f t="shared" si="3"/>
        <v>CN69041000</v>
      </c>
    </row>
    <row r="197" spans="1:6" x14ac:dyDescent="0.25">
      <c r="A197" s="6">
        <v>690411008</v>
      </c>
      <c r="B197" s="5" t="s">
        <v>289</v>
      </c>
      <c r="C197" t="s">
        <v>159</v>
      </c>
      <c r="E197" s="42">
        <f>VALUE(MID(Tabla1[[#This Row],[RUT]],1,LEN(Tabla1[[#This Row],[RUT]])-1))</f>
        <v>69041100</v>
      </c>
      <c r="F197" t="str">
        <f t="shared" si="3"/>
        <v>CN69041100</v>
      </c>
    </row>
    <row r="198" spans="1:6" x14ac:dyDescent="0.25">
      <c r="A198" s="6">
        <v>690412004</v>
      </c>
      <c r="B198" s="5" t="s">
        <v>290</v>
      </c>
      <c r="C198" t="s">
        <v>159</v>
      </c>
      <c r="E198" s="42">
        <f>VALUE(MID(Tabla1[[#This Row],[RUT]],1,LEN(Tabla1[[#This Row],[RUT]])-1))</f>
        <v>69041200</v>
      </c>
      <c r="F198" t="str">
        <f t="shared" si="3"/>
        <v>CN69041200</v>
      </c>
    </row>
    <row r="199" spans="1:6" x14ac:dyDescent="0.25">
      <c r="A199" s="22">
        <v>690504006</v>
      </c>
      <c r="B199" s="11" t="s">
        <v>785</v>
      </c>
      <c r="C199" t="s">
        <v>159</v>
      </c>
      <c r="E199" s="42">
        <f>VALUE(MID(Tabla1[[#This Row],[RUT]],1,LEN(Tabla1[[#This Row],[RUT]])-1))</f>
        <v>69050400</v>
      </c>
      <c r="F199" t="str">
        <f t="shared" si="3"/>
        <v>CN69050400</v>
      </c>
    </row>
    <row r="200" spans="1:6" x14ac:dyDescent="0.25">
      <c r="A200" s="6">
        <v>690505002</v>
      </c>
      <c r="B200" s="5" t="s">
        <v>291</v>
      </c>
      <c r="C200" t="s">
        <v>159</v>
      </c>
      <c r="E200" s="42">
        <f>VALUE(MID(Tabla1[[#This Row],[RUT]],1,LEN(Tabla1[[#This Row],[RUT]])-1))</f>
        <v>69050500</v>
      </c>
      <c r="F200" t="str">
        <f t="shared" si="3"/>
        <v>CN69050500</v>
      </c>
    </row>
    <row r="201" spans="1:6" x14ac:dyDescent="0.25">
      <c r="A201" s="22">
        <v>690506009</v>
      </c>
      <c r="B201" s="11" t="s">
        <v>292</v>
      </c>
      <c r="C201" t="s">
        <v>159</v>
      </c>
      <c r="E201" s="42">
        <f>VALUE(MID(Tabla1[[#This Row],[RUT]],1,LEN(Tabla1[[#This Row],[RUT]])-1))</f>
        <v>69050600</v>
      </c>
      <c r="F201" t="str">
        <f t="shared" si="3"/>
        <v>CN69050600</v>
      </c>
    </row>
    <row r="202" spans="1:6" x14ac:dyDescent="0.25">
      <c r="A202" s="18">
        <v>690509008</v>
      </c>
      <c r="B202" s="7" t="s">
        <v>786</v>
      </c>
      <c r="C202" t="s">
        <v>159</v>
      </c>
      <c r="E202" s="42">
        <f>VALUE(MID(Tabla1[[#This Row],[RUT]],1,LEN(Tabla1[[#This Row],[RUT]])-1))</f>
        <v>69050900</v>
      </c>
      <c r="F202" t="str">
        <f t="shared" si="3"/>
        <v>CN69050900</v>
      </c>
    </row>
    <row r="203" spans="1:6" x14ac:dyDescent="0.25">
      <c r="A203" s="6">
        <v>690510006</v>
      </c>
      <c r="B203" s="5" t="s">
        <v>293</v>
      </c>
      <c r="C203" t="s">
        <v>159</v>
      </c>
      <c r="E203" s="42">
        <f>VALUE(MID(Tabla1[[#This Row],[RUT]],1,LEN(Tabla1[[#This Row],[RUT]])-1))</f>
        <v>69051000</v>
      </c>
      <c r="F203" t="str">
        <f t="shared" si="3"/>
        <v>CN69051000</v>
      </c>
    </row>
    <row r="204" spans="1:6" x14ac:dyDescent="0.25">
      <c r="A204" s="6">
        <v>690511002</v>
      </c>
      <c r="B204" s="5" t="s">
        <v>294</v>
      </c>
      <c r="C204" t="s">
        <v>159</v>
      </c>
      <c r="E204" s="42">
        <f>VALUE(MID(Tabla1[[#This Row],[RUT]],1,LEN(Tabla1[[#This Row],[RUT]])-1))</f>
        <v>69051100</v>
      </c>
      <c r="F204" t="str">
        <f t="shared" si="3"/>
        <v>CN69051100</v>
      </c>
    </row>
    <row r="205" spans="1:6" x14ac:dyDescent="0.25">
      <c r="A205" s="6">
        <v>690512009</v>
      </c>
      <c r="B205" s="5" t="s">
        <v>295</v>
      </c>
      <c r="C205" t="s">
        <v>159</v>
      </c>
      <c r="E205" s="42">
        <f>VALUE(MID(Tabla1[[#This Row],[RUT]],1,LEN(Tabla1[[#This Row],[RUT]])-1))</f>
        <v>69051200</v>
      </c>
      <c r="F205" t="str">
        <f t="shared" si="3"/>
        <v>CN69051200</v>
      </c>
    </row>
    <row r="206" spans="1:6" x14ac:dyDescent="0.25">
      <c r="A206" s="22">
        <v>690513005</v>
      </c>
      <c r="B206" s="11" t="s">
        <v>296</v>
      </c>
      <c r="C206" t="s">
        <v>159</v>
      </c>
      <c r="E206" s="42">
        <f>VALUE(MID(Tabla1[[#This Row],[RUT]],1,LEN(Tabla1[[#This Row],[RUT]])-1))</f>
        <v>69051300</v>
      </c>
      <c r="F206" t="str">
        <f t="shared" si="3"/>
        <v>CN69051300</v>
      </c>
    </row>
    <row r="207" spans="1:6" x14ac:dyDescent="0.25">
      <c r="A207" s="6">
        <v>690602008</v>
      </c>
      <c r="B207" s="5" t="s">
        <v>297</v>
      </c>
      <c r="C207" t="s">
        <v>159</v>
      </c>
      <c r="E207" s="42">
        <f>VALUE(MID(Tabla1[[#This Row],[RUT]],1,LEN(Tabla1[[#This Row],[RUT]])-1))</f>
        <v>69060200</v>
      </c>
      <c r="F207" t="str">
        <f t="shared" si="3"/>
        <v>CN69060200</v>
      </c>
    </row>
    <row r="208" spans="1:6" x14ac:dyDescent="0.25">
      <c r="A208" s="6">
        <v>690603004</v>
      </c>
      <c r="B208" s="5" t="s">
        <v>298</v>
      </c>
      <c r="C208" t="s">
        <v>159</v>
      </c>
      <c r="E208" s="42">
        <f>VALUE(MID(Tabla1[[#This Row],[RUT]],1,LEN(Tabla1[[#This Row],[RUT]])-1))</f>
        <v>69060300</v>
      </c>
      <c r="F208" t="str">
        <f t="shared" si="3"/>
        <v>CN69060300</v>
      </c>
    </row>
    <row r="209" spans="1:6" x14ac:dyDescent="0.25">
      <c r="A209" s="21">
        <v>690606003</v>
      </c>
      <c r="B209" s="10" t="s">
        <v>299</v>
      </c>
      <c r="C209" t="s">
        <v>159</v>
      </c>
      <c r="E209" s="42">
        <f>VALUE(MID(Tabla1[[#This Row],[RUT]],1,LEN(Tabla1[[#This Row],[RUT]])-1))</f>
        <v>69060600</v>
      </c>
      <c r="F209" t="str">
        <f t="shared" si="3"/>
        <v>CN69060600</v>
      </c>
    </row>
    <row r="210" spans="1:6" x14ac:dyDescent="0.25">
      <c r="A210" s="6">
        <v>690612003</v>
      </c>
      <c r="B210" s="5" t="s">
        <v>300</v>
      </c>
      <c r="C210" t="s">
        <v>159</v>
      </c>
      <c r="E210" s="42">
        <f>VALUE(MID(Tabla1[[#This Row],[RUT]],1,LEN(Tabla1[[#This Row],[RUT]])-1))</f>
        <v>69061200</v>
      </c>
      <c r="F210" t="str">
        <f t="shared" si="3"/>
        <v>CN69061200</v>
      </c>
    </row>
    <row r="211" spans="1:6" x14ac:dyDescent="0.25">
      <c r="A211" s="21">
        <v>690614006</v>
      </c>
      <c r="B211" s="10" t="s">
        <v>301</v>
      </c>
      <c r="C211" t="s">
        <v>159</v>
      </c>
      <c r="E211" s="42">
        <f>VALUE(MID(Tabla1[[#This Row],[RUT]],1,LEN(Tabla1[[#This Row],[RUT]])-1))</f>
        <v>69061400</v>
      </c>
      <c r="F211" t="str">
        <f t="shared" si="3"/>
        <v>CN69061400</v>
      </c>
    </row>
    <row r="212" spans="1:6" x14ac:dyDescent="0.25">
      <c r="A212" s="21">
        <v>690701006</v>
      </c>
      <c r="B212" s="10" t="s">
        <v>302</v>
      </c>
      <c r="C212" t="s">
        <v>159</v>
      </c>
      <c r="E212" s="42">
        <f>VALUE(MID(Tabla1[[#This Row],[RUT]],1,LEN(Tabla1[[#This Row],[RUT]])-1))</f>
        <v>69070100</v>
      </c>
      <c r="F212" t="str">
        <f t="shared" si="3"/>
        <v>CN69070100</v>
      </c>
    </row>
    <row r="213" spans="1:6" x14ac:dyDescent="0.25">
      <c r="A213" s="6">
        <v>690703017</v>
      </c>
      <c r="B213" s="5" t="s">
        <v>303</v>
      </c>
      <c r="C213" t="s">
        <v>159</v>
      </c>
      <c r="E213" s="42">
        <f>VALUE(MID(Tabla1[[#This Row],[RUT]],1,LEN(Tabla1[[#This Row],[RUT]])-1))</f>
        <v>69070301</v>
      </c>
      <c r="F213" t="str">
        <f t="shared" si="3"/>
        <v>CN69070301</v>
      </c>
    </row>
    <row r="214" spans="1:6" x14ac:dyDescent="0.25">
      <c r="A214" s="6">
        <v>690709007</v>
      </c>
      <c r="B214" s="5" t="s">
        <v>304</v>
      </c>
      <c r="C214" t="s">
        <v>159</v>
      </c>
      <c r="E214" s="42">
        <f>VALUE(MID(Tabla1[[#This Row],[RUT]],1,LEN(Tabla1[[#This Row],[RUT]])-1))</f>
        <v>69070900</v>
      </c>
      <c r="F214" t="str">
        <f t="shared" si="3"/>
        <v>CN69070900</v>
      </c>
    </row>
    <row r="215" spans="1:6" x14ac:dyDescent="0.25">
      <c r="A215" s="6">
        <v>690713004</v>
      </c>
      <c r="B215" s="5" t="s">
        <v>305</v>
      </c>
      <c r="C215" t="s">
        <v>159</v>
      </c>
      <c r="E215" s="42">
        <f>VALUE(MID(Tabla1[[#This Row],[RUT]],1,LEN(Tabla1[[#This Row],[RUT]])-1))</f>
        <v>69071300</v>
      </c>
      <c r="F215" t="str">
        <f t="shared" si="3"/>
        <v>CN69071300</v>
      </c>
    </row>
    <row r="216" spans="1:6" x14ac:dyDescent="0.25">
      <c r="A216" s="18">
        <v>690713012</v>
      </c>
      <c r="B216" s="7" t="s">
        <v>305</v>
      </c>
      <c r="C216" t="s">
        <v>159</v>
      </c>
      <c r="E216" s="42">
        <f>VALUE(MID(Tabla1[[#This Row],[RUT]],1,LEN(Tabla1[[#This Row],[RUT]])-1))</f>
        <v>69071301</v>
      </c>
      <c r="F216" t="str">
        <f t="shared" si="3"/>
        <v>CN69071301</v>
      </c>
    </row>
    <row r="217" spans="1:6" x14ac:dyDescent="0.25">
      <c r="A217" s="6">
        <v>690718006</v>
      </c>
      <c r="B217" s="5" t="s">
        <v>306</v>
      </c>
      <c r="C217" t="s">
        <v>159</v>
      </c>
      <c r="E217" s="42">
        <f>VALUE(MID(Tabla1[[#This Row],[RUT]],1,LEN(Tabla1[[#This Row],[RUT]])-1))</f>
        <v>69071800</v>
      </c>
      <c r="F217" t="str">
        <f t="shared" si="3"/>
        <v>CN69071800</v>
      </c>
    </row>
    <row r="218" spans="1:6" x14ac:dyDescent="0.25">
      <c r="A218" s="19">
        <v>690720000</v>
      </c>
      <c r="B218" s="8" t="s">
        <v>307</v>
      </c>
      <c r="C218" t="s">
        <v>159</v>
      </c>
      <c r="E218" s="42">
        <f>VALUE(MID(Tabla1[[#This Row],[RUT]],1,LEN(Tabla1[[#This Row],[RUT]])-1))</f>
        <v>69072000</v>
      </c>
      <c r="F218" t="str">
        <f t="shared" si="3"/>
        <v>CN69072000</v>
      </c>
    </row>
    <row r="219" spans="1:6" x14ac:dyDescent="0.25">
      <c r="A219" s="6">
        <v>690724006</v>
      </c>
      <c r="B219" s="5" t="s">
        <v>308</v>
      </c>
      <c r="C219" t="s">
        <v>159</v>
      </c>
      <c r="E219" s="42">
        <f>VALUE(MID(Tabla1[[#This Row],[RUT]],1,LEN(Tabla1[[#This Row],[RUT]])-1))</f>
        <v>69072400</v>
      </c>
      <c r="F219" t="str">
        <f t="shared" si="3"/>
        <v>CN69072400</v>
      </c>
    </row>
    <row r="220" spans="1:6" x14ac:dyDescent="0.25">
      <c r="A220" s="6">
        <v>690726009</v>
      </c>
      <c r="B220" s="5" t="s">
        <v>309</v>
      </c>
      <c r="C220" t="s">
        <v>159</v>
      </c>
      <c r="E220" s="42">
        <f>VALUE(MID(Tabla1[[#This Row],[RUT]],1,LEN(Tabla1[[#This Row],[RUT]])-1))</f>
        <v>69072600</v>
      </c>
      <c r="F220" t="str">
        <f t="shared" si="3"/>
        <v>CN69072600</v>
      </c>
    </row>
    <row r="221" spans="1:6" x14ac:dyDescent="0.25">
      <c r="A221" s="6">
        <v>690730006</v>
      </c>
      <c r="B221" s="5" t="s">
        <v>310</v>
      </c>
      <c r="C221" t="s">
        <v>159</v>
      </c>
      <c r="E221" s="42">
        <f>VALUE(MID(Tabla1[[#This Row],[RUT]],1,LEN(Tabla1[[#This Row],[RUT]])-1))</f>
        <v>69073000</v>
      </c>
      <c r="F221" t="str">
        <f t="shared" si="3"/>
        <v>CN69073000</v>
      </c>
    </row>
    <row r="222" spans="1:6" x14ac:dyDescent="0.25">
      <c r="A222" s="6">
        <v>690731002</v>
      </c>
      <c r="B222" s="5" t="s">
        <v>311</v>
      </c>
      <c r="C222" t="s">
        <v>159</v>
      </c>
      <c r="E222" s="42">
        <f>VALUE(MID(Tabla1[[#This Row],[RUT]],1,LEN(Tabla1[[#This Row],[RUT]])-1))</f>
        <v>69073100</v>
      </c>
      <c r="F222" t="str">
        <f t="shared" si="3"/>
        <v>CN69073100</v>
      </c>
    </row>
    <row r="223" spans="1:6" x14ac:dyDescent="0.25">
      <c r="A223" s="6">
        <v>690735008</v>
      </c>
      <c r="B223" s="5" t="s">
        <v>787</v>
      </c>
      <c r="C223" t="s">
        <v>159</v>
      </c>
      <c r="E223" s="42">
        <f>VALUE(MID(Tabla1[[#This Row],[RUT]],1,LEN(Tabla1[[#This Row],[RUT]])-1))</f>
        <v>69073500</v>
      </c>
      <c r="F223" t="str">
        <f t="shared" si="3"/>
        <v>CN69073500</v>
      </c>
    </row>
    <row r="224" spans="1:6" x14ac:dyDescent="0.25">
      <c r="A224" s="6">
        <v>690736004</v>
      </c>
      <c r="B224" s="5" t="s">
        <v>312</v>
      </c>
      <c r="C224" t="s">
        <v>159</v>
      </c>
      <c r="E224" s="42">
        <f>VALUE(MID(Tabla1[[#This Row],[RUT]],1,LEN(Tabla1[[#This Row],[RUT]])-1))</f>
        <v>69073600</v>
      </c>
      <c r="F224" t="str">
        <f t="shared" si="3"/>
        <v>CN69073600</v>
      </c>
    </row>
    <row r="225" spans="1:6" x14ac:dyDescent="0.25">
      <c r="A225" s="6">
        <v>690737000</v>
      </c>
      <c r="B225" s="5" t="s">
        <v>313</v>
      </c>
      <c r="C225" t="s">
        <v>159</v>
      </c>
      <c r="E225" s="42">
        <f>VALUE(MID(Tabla1[[#This Row],[RUT]],1,LEN(Tabla1[[#This Row],[RUT]])-1))</f>
        <v>69073700</v>
      </c>
      <c r="F225" t="str">
        <f t="shared" si="3"/>
        <v>CN69073700</v>
      </c>
    </row>
    <row r="226" spans="1:6" x14ac:dyDescent="0.25">
      <c r="A226" s="22">
        <v>690738007</v>
      </c>
      <c r="B226" s="11" t="s">
        <v>314</v>
      </c>
      <c r="C226" t="s">
        <v>159</v>
      </c>
      <c r="E226" s="42">
        <f>VALUE(MID(Tabla1[[#This Row],[RUT]],1,LEN(Tabla1[[#This Row],[RUT]])-1))</f>
        <v>69073800</v>
      </c>
      <c r="F226" t="str">
        <f t="shared" si="3"/>
        <v>CN69073800</v>
      </c>
    </row>
    <row r="227" spans="1:6" x14ac:dyDescent="0.25">
      <c r="A227" s="6">
        <v>690802007</v>
      </c>
      <c r="B227" s="5" t="s">
        <v>315</v>
      </c>
      <c r="C227" t="s">
        <v>159</v>
      </c>
      <c r="E227" s="42">
        <f>VALUE(MID(Tabla1[[#This Row],[RUT]],1,LEN(Tabla1[[#This Row],[RUT]])-1))</f>
        <v>69080200</v>
      </c>
      <c r="F227" t="str">
        <f t="shared" si="3"/>
        <v>CN69080200</v>
      </c>
    </row>
    <row r="228" spans="1:6" x14ac:dyDescent="0.25">
      <c r="A228" s="6">
        <v>690805006</v>
      </c>
      <c r="B228" s="5" t="s">
        <v>316</v>
      </c>
      <c r="C228" t="s">
        <v>159</v>
      </c>
      <c r="E228" s="42">
        <f>VALUE(MID(Tabla1[[#This Row],[RUT]],1,LEN(Tabla1[[#This Row],[RUT]])-1))</f>
        <v>69080500</v>
      </c>
      <c r="F228" t="str">
        <f t="shared" si="3"/>
        <v>CN69080500</v>
      </c>
    </row>
    <row r="229" spans="1:6" x14ac:dyDescent="0.25">
      <c r="A229" s="6">
        <v>690806002</v>
      </c>
      <c r="B229" s="5" t="s">
        <v>317</v>
      </c>
      <c r="C229" t="s">
        <v>159</v>
      </c>
      <c r="E229" s="42">
        <f>VALUE(MID(Tabla1[[#This Row],[RUT]],1,LEN(Tabla1[[#This Row],[RUT]])-1))</f>
        <v>69080600</v>
      </c>
      <c r="F229" t="str">
        <f t="shared" si="3"/>
        <v>CN69080600</v>
      </c>
    </row>
    <row r="230" spans="1:6" x14ac:dyDescent="0.25">
      <c r="A230" s="18">
        <v>690807009</v>
      </c>
      <c r="B230" s="7" t="s">
        <v>318</v>
      </c>
      <c r="C230" t="s">
        <v>159</v>
      </c>
      <c r="E230" s="42">
        <f>VALUE(MID(Tabla1[[#This Row],[RUT]],1,LEN(Tabla1[[#This Row],[RUT]])-1))</f>
        <v>69080700</v>
      </c>
      <c r="F230" t="str">
        <f t="shared" si="3"/>
        <v>CN69080700</v>
      </c>
    </row>
    <row r="231" spans="1:6" x14ac:dyDescent="0.25">
      <c r="A231" s="6">
        <v>690811006</v>
      </c>
      <c r="B231" s="5" t="s">
        <v>788</v>
      </c>
      <c r="C231" t="s">
        <v>159</v>
      </c>
      <c r="E231" s="42">
        <f>VALUE(MID(Tabla1[[#This Row],[RUT]],1,LEN(Tabla1[[#This Row],[RUT]])-1))</f>
        <v>69081100</v>
      </c>
      <c r="F231" t="str">
        <f t="shared" si="3"/>
        <v>CN69081100</v>
      </c>
    </row>
    <row r="232" spans="1:6" x14ac:dyDescent="0.25">
      <c r="A232" s="6">
        <v>690812002</v>
      </c>
      <c r="B232" s="5" t="s">
        <v>319</v>
      </c>
      <c r="C232" t="s">
        <v>159</v>
      </c>
      <c r="E232" s="42">
        <f>VALUE(MID(Tabla1[[#This Row],[RUT]],1,LEN(Tabla1[[#This Row],[RUT]])-1))</f>
        <v>69081200</v>
      </c>
      <c r="F232" t="str">
        <f t="shared" si="3"/>
        <v>CN69081200</v>
      </c>
    </row>
    <row r="233" spans="1:6" x14ac:dyDescent="0.25">
      <c r="A233" s="22">
        <v>690813009</v>
      </c>
      <c r="B233" s="11" t="s">
        <v>320</v>
      </c>
      <c r="C233" t="s">
        <v>159</v>
      </c>
      <c r="E233" s="42">
        <f>VALUE(MID(Tabla1[[#This Row],[RUT]],1,LEN(Tabla1[[#This Row],[RUT]])-1))</f>
        <v>69081300</v>
      </c>
      <c r="F233" t="str">
        <f t="shared" si="3"/>
        <v>CN69081300</v>
      </c>
    </row>
    <row r="234" spans="1:6" x14ac:dyDescent="0.25">
      <c r="A234" s="18">
        <v>690815001</v>
      </c>
      <c r="B234" s="7" t="s">
        <v>789</v>
      </c>
      <c r="C234" t="s">
        <v>159</v>
      </c>
      <c r="E234" s="42">
        <f>VALUE(MID(Tabla1[[#This Row],[RUT]],1,LEN(Tabla1[[#This Row],[RUT]])-1))</f>
        <v>69081500</v>
      </c>
      <c r="F234" t="str">
        <f t="shared" si="3"/>
        <v>CN69081500</v>
      </c>
    </row>
    <row r="235" spans="1:6" x14ac:dyDescent="0.25">
      <c r="A235" s="6">
        <v>690817004</v>
      </c>
      <c r="B235" s="5" t="s">
        <v>321</v>
      </c>
      <c r="C235" t="s">
        <v>159</v>
      </c>
      <c r="E235" s="42">
        <f>VALUE(MID(Tabla1[[#This Row],[RUT]],1,LEN(Tabla1[[#This Row],[RUT]])-1))</f>
        <v>69081700</v>
      </c>
      <c r="F235" t="str">
        <f t="shared" si="3"/>
        <v>CN69081700</v>
      </c>
    </row>
    <row r="236" spans="1:6" x14ac:dyDescent="0.25">
      <c r="A236" s="18">
        <v>690902001</v>
      </c>
      <c r="B236" s="7" t="s">
        <v>790</v>
      </c>
      <c r="C236" t="s">
        <v>159</v>
      </c>
      <c r="E236" s="42">
        <f>VALUE(MID(Tabla1[[#This Row],[RUT]],1,LEN(Tabla1[[#This Row],[RUT]])-1))</f>
        <v>69090200</v>
      </c>
      <c r="F236" t="str">
        <f t="shared" si="3"/>
        <v>CN69090200</v>
      </c>
    </row>
    <row r="237" spans="1:6" x14ac:dyDescent="0.25">
      <c r="A237" s="6">
        <v>690903008</v>
      </c>
      <c r="B237" s="5" t="s">
        <v>322</v>
      </c>
      <c r="C237" t="s">
        <v>159</v>
      </c>
      <c r="E237" s="42">
        <f>VALUE(MID(Tabla1[[#This Row],[RUT]],1,LEN(Tabla1[[#This Row],[RUT]])-1))</f>
        <v>69090300</v>
      </c>
      <c r="F237" t="str">
        <f t="shared" si="3"/>
        <v>CN69090300</v>
      </c>
    </row>
    <row r="238" spans="1:6" x14ac:dyDescent="0.25">
      <c r="A238" s="21">
        <v>690904004</v>
      </c>
      <c r="B238" s="10" t="s">
        <v>323</v>
      </c>
      <c r="C238" t="s">
        <v>159</v>
      </c>
      <c r="E238" s="42">
        <f>VALUE(MID(Tabla1[[#This Row],[RUT]],1,LEN(Tabla1[[#This Row],[RUT]])-1))</f>
        <v>69090400</v>
      </c>
      <c r="F238" t="str">
        <f t="shared" si="3"/>
        <v>CN69090400</v>
      </c>
    </row>
    <row r="239" spans="1:6" x14ac:dyDescent="0.25">
      <c r="A239" s="6">
        <v>690906007</v>
      </c>
      <c r="B239" s="5" t="s">
        <v>324</v>
      </c>
      <c r="C239" t="s">
        <v>159</v>
      </c>
      <c r="E239" s="42">
        <f>VALUE(MID(Tabla1[[#This Row],[RUT]],1,LEN(Tabla1[[#This Row],[RUT]])-1))</f>
        <v>69090600</v>
      </c>
      <c r="F239" t="str">
        <f t="shared" si="3"/>
        <v>CN69090600</v>
      </c>
    </row>
    <row r="240" spans="1:6" x14ac:dyDescent="0.25">
      <c r="A240" s="19">
        <v>690907003</v>
      </c>
      <c r="B240" s="8" t="s">
        <v>325</v>
      </c>
      <c r="C240" t="s">
        <v>159</v>
      </c>
      <c r="E240" s="42">
        <f>VALUE(MID(Tabla1[[#This Row],[RUT]],1,LEN(Tabla1[[#This Row],[RUT]])-1))</f>
        <v>69090700</v>
      </c>
      <c r="F240" t="str">
        <f t="shared" si="3"/>
        <v>CN69090700</v>
      </c>
    </row>
    <row r="241" spans="1:6" x14ac:dyDescent="0.25">
      <c r="A241" s="21">
        <v>690909006</v>
      </c>
      <c r="B241" s="10" t="s">
        <v>326</v>
      </c>
      <c r="C241" t="s">
        <v>159</v>
      </c>
      <c r="E241" s="42">
        <f>VALUE(MID(Tabla1[[#This Row],[RUT]],1,LEN(Tabla1[[#This Row],[RUT]])-1))</f>
        <v>69090900</v>
      </c>
      <c r="F241" t="str">
        <f t="shared" si="3"/>
        <v>CN69090900</v>
      </c>
    </row>
    <row r="242" spans="1:6" x14ac:dyDescent="0.25">
      <c r="A242" s="6">
        <v>690912007</v>
      </c>
      <c r="B242" s="5" t="s">
        <v>327</v>
      </c>
      <c r="C242" t="s">
        <v>159</v>
      </c>
      <c r="E242" s="42">
        <f>VALUE(MID(Tabla1[[#This Row],[RUT]],1,LEN(Tabla1[[#This Row],[RUT]])-1))</f>
        <v>69091200</v>
      </c>
      <c r="F242" t="str">
        <f t="shared" si="3"/>
        <v>CN69091200</v>
      </c>
    </row>
    <row r="243" spans="1:6" x14ac:dyDescent="0.25">
      <c r="A243" s="18">
        <v>690915006</v>
      </c>
      <c r="B243" s="7" t="s">
        <v>328</v>
      </c>
      <c r="C243" t="s">
        <v>159</v>
      </c>
      <c r="E243" s="42">
        <f>VALUE(MID(Tabla1[[#This Row],[RUT]],1,LEN(Tabla1[[#This Row],[RUT]])-1))</f>
        <v>69091500</v>
      </c>
      <c r="F243" t="str">
        <f t="shared" si="3"/>
        <v>CN69091500</v>
      </c>
    </row>
    <row r="244" spans="1:6" x14ac:dyDescent="0.25">
      <c r="A244" s="6">
        <v>691001008</v>
      </c>
      <c r="B244" s="5" t="s">
        <v>329</v>
      </c>
      <c r="C244" t="s">
        <v>159</v>
      </c>
      <c r="E244" s="42">
        <f>VALUE(MID(Tabla1[[#This Row],[RUT]],1,LEN(Tabla1[[#This Row],[RUT]])-1))</f>
        <v>69100100</v>
      </c>
      <c r="F244" t="str">
        <f t="shared" si="3"/>
        <v>CN69100100</v>
      </c>
    </row>
    <row r="245" spans="1:6" x14ac:dyDescent="0.25">
      <c r="A245" s="6">
        <v>691002004</v>
      </c>
      <c r="B245" s="5" t="s">
        <v>330</v>
      </c>
      <c r="C245" t="s">
        <v>159</v>
      </c>
      <c r="E245" s="42">
        <f>VALUE(MID(Tabla1[[#This Row],[RUT]],1,LEN(Tabla1[[#This Row],[RUT]])-1))</f>
        <v>69100200</v>
      </c>
      <c r="F245" t="str">
        <f t="shared" si="3"/>
        <v>CN69100200</v>
      </c>
    </row>
    <row r="246" spans="1:6" x14ac:dyDescent="0.25">
      <c r="A246" s="6">
        <v>691003000</v>
      </c>
      <c r="B246" s="5" t="s">
        <v>331</v>
      </c>
      <c r="C246" t="s">
        <v>159</v>
      </c>
      <c r="E246" s="42">
        <f>VALUE(MID(Tabla1[[#This Row],[RUT]],1,LEN(Tabla1[[#This Row],[RUT]])-1))</f>
        <v>69100300</v>
      </c>
      <c r="F246" t="str">
        <f t="shared" si="3"/>
        <v>CN69100300</v>
      </c>
    </row>
    <row r="247" spans="1:6" x14ac:dyDescent="0.25">
      <c r="A247" s="6">
        <v>691004007</v>
      </c>
      <c r="B247" s="5" t="s">
        <v>332</v>
      </c>
      <c r="C247" t="s">
        <v>159</v>
      </c>
      <c r="E247" s="42">
        <f>VALUE(MID(Tabla1[[#This Row],[RUT]],1,LEN(Tabla1[[#This Row],[RUT]])-1))</f>
        <v>69100400</v>
      </c>
      <c r="F247" t="str">
        <f t="shared" si="3"/>
        <v>CN69100400</v>
      </c>
    </row>
    <row r="248" spans="1:6" x14ac:dyDescent="0.25">
      <c r="A248" s="6">
        <v>691005003</v>
      </c>
      <c r="B248" s="5" t="s">
        <v>333</v>
      </c>
      <c r="C248" t="s">
        <v>159</v>
      </c>
      <c r="E248" s="42">
        <f>VALUE(MID(Tabla1[[#This Row],[RUT]],1,LEN(Tabla1[[#This Row],[RUT]])-1))</f>
        <v>69100500</v>
      </c>
      <c r="F248" t="str">
        <f t="shared" si="3"/>
        <v>CN69100500</v>
      </c>
    </row>
    <row r="249" spans="1:6" x14ac:dyDescent="0.25">
      <c r="A249" s="6">
        <v>691101002</v>
      </c>
      <c r="B249" s="5" t="s">
        <v>334</v>
      </c>
      <c r="C249" t="s">
        <v>159</v>
      </c>
      <c r="E249" s="42">
        <f>VALUE(MID(Tabla1[[#This Row],[RUT]],1,LEN(Tabla1[[#This Row],[RUT]])-1))</f>
        <v>69110100</v>
      </c>
      <c r="F249" t="str">
        <f t="shared" si="3"/>
        <v>CN69110100</v>
      </c>
    </row>
    <row r="250" spans="1:6" x14ac:dyDescent="0.25">
      <c r="A250" s="6">
        <v>691102009</v>
      </c>
      <c r="B250" s="5" t="s">
        <v>335</v>
      </c>
      <c r="C250" t="s">
        <v>159</v>
      </c>
      <c r="E250" s="42">
        <f>VALUE(MID(Tabla1[[#This Row],[RUT]],1,LEN(Tabla1[[#This Row],[RUT]])-1))</f>
        <v>69110200</v>
      </c>
      <c r="F250" t="str">
        <f t="shared" si="3"/>
        <v>CN69110200</v>
      </c>
    </row>
    <row r="251" spans="1:6" x14ac:dyDescent="0.25">
      <c r="A251" s="6">
        <v>691103005</v>
      </c>
      <c r="B251" s="5" t="s">
        <v>336</v>
      </c>
      <c r="C251" t="s">
        <v>159</v>
      </c>
      <c r="E251" s="42">
        <f>VALUE(MID(Tabla1[[#This Row],[RUT]],1,LEN(Tabla1[[#This Row],[RUT]])-1))</f>
        <v>69110300</v>
      </c>
      <c r="F251" t="str">
        <f t="shared" si="3"/>
        <v>CN69110300</v>
      </c>
    </row>
    <row r="252" spans="1:6" x14ac:dyDescent="0.25">
      <c r="A252" s="6">
        <v>691104001</v>
      </c>
      <c r="B252" s="5" t="s">
        <v>337</v>
      </c>
      <c r="C252" t="s">
        <v>159</v>
      </c>
      <c r="E252" s="42">
        <f>VALUE(MID(Tabla1[[#This Row],[RUT]],1,LEN(Tabla1[[#This Row],[RUT]])-1))</f>
        <v>69110400</v>
      </c>
      <c r="F252" t="str">
        <f t="shared" si="3"/>
        <v>CN69110400</v>
      </c>
    </row>
    <row r="253" spans="1:6" x14ac:dyDescent="0.25">
      <c r="A253" s="6">
        <v>691105008</v>
      </c>
      <c r="B253" s="5" t="s">
        <v>338</v>
      </c>
      <c r="C253" t="s">
        <v>159</v>
      </c>
      <c r="E253" s="42">
        <f>VALUE(MID(Tabla1[[#This Row],[RUT]],1,LEN(Tabla1[[#This Row],[RUT]])-1))</f>
        <v>69110500</v>
      </c>
      <c r="F253" t="str">
        <f t="shared" si="3"/>
        <v>CN69110500</v>
      </c>
    </row>
    <row r="254" spans="1:6" x14ac:dyDescent="0.25">
      <c r="A254" s="21">
        <v>691106004</v>
      </c>
      <c r="B254" s="10" t="s">
        <v>339</v>
      </c>
      <c r="C254" t="s">
        <v>159</v>
      </c>
      <c r="E254" s="42">
        <f>VALUE(MID(Tabla1[[#This Row],[RUT]],1,LEN(Tabla1[[#This Row],[RUT]])-1))</f>
        <v>69110600</v>
      </c>
      <c r="F254" t="str">
        <f t="shared" si="3"/>
        <v>CN69110600</v>
      </c>
    </row>
    <row r="255" spans="1:6" x14ac:dyDescent="0.25">
      <c r="A255" s="6">
        <v>691107000</v>
      </c>
      <c r="B255" s="5" t="s">
        <v>791</v>
      </c>
      <c r="C255" t="s">
        <v>159</v>
      </c>
      <c r="E255" s="42">
        <f>VALUE(MID(Tabla1[[#This Row],[RUT]],1,LEN(Tabla1[[#This Row],[RUT]])-1))</f>
        <v>69110700</v>
      </c>
      <c r="F255" t="str">
        <f t="shared" si="3"/>
        <v>CN69110700</v>
      </c>
    </row>
    <row r="256" spans="1:6" x14ac:dyDescent="0.25">
      <c r="A256" s="6">
        <v>691201007</v>
      </c>
      <c r="B256" s="5" t="s">
        <v>340</v>
      </c>
      <c r="C256" t="s">
        <v>159</v>
      </c>
      <c r="E256" s="42">
        <f>VALUE(MID(Tabla1[[#This Row],[RUT]],1,LEN(Tabla1[[#This Row],[RUT]])-1))</f>
        <v>69120100</v>
      </c>
      <c r="F256" t="str">
        <f t="shared" si="3"/>
        <v>CN69120100</v>
      </c>
    </row>
    <row r="257" spans="1:6" x14ac:dyDescent="0.25">
      <c r="A257" s="6">
        <v>691204006</v>
      </c>
      <c r="B257" s="5" t="s">
        <v>341</v>
      </c>
      <c r="C257" t="s">
        <v>159</v>
      </c>
      <c r="E257" s="42">
        <f>VALUE(MID(Tabla1[[#This Row],[RUT]],1,LEN(Tabla1[[#This Row],[RUT]])-1))</f>
        <v>69120400</v>
      </c>
      <c r="F257" t="str">
        <f t="shared" si="3"/>
        <v>CN69120400</v>
      </c>
    </row>
    <row r="258" spans="1:6" x14ac:dyDescent="0.25">
      <c r="A258" s="20">
        <v>691301001</v>
      </c>
      <c r="B258" s="9" t="s">
        <v>342</v>
      </c>
      <c r="C258" t="s">
        <v>159</v>
      </c>
      <c r="E258" s="42">
        <f>VALUE(MID(Tabla1[[#This Row],[RUT]],1,LEN(Tabla1[[#This Row],[RUT]])-1))</f>
        <v>69130100</v>
      </c>
      <c r="F258" t="str">
        <f t="shared" si="3"/>
        <v>CN69130100</v>
      </c>
    </row>
    <row r="259" spans="1:6" x14ac:dyDescent="0.25">
      <c r="A259" s="22">
        <v>691302008</v>
      </c>
      <c r="B259" s="11" t="s">
        <v>792</v>
      </c>
      <c r="C259" t="s">
        <v>159</v>
      </c>
      <c r="E259" s="42">
        <f>VALUE(MID(Tabla1[[#This Row],[RUT]],1,LEN(Tabla1[[#This Row],[RUT]])-1))</f>
        <v>69130200</v>
      </c>
      <c r="F259" t="str">
        <f t="shared" ref="F259:F322" si="4">"CN"&amp;E259</f>
        <v>CN69130200</v>
      </c>
    </row>
    <row r="260" spans="1:6" x14ac:dyDescent="0.25">
      <c r="A260" s="21">
        <v>691303012</v>
      </c>
      <c r="B260" s="10" t="s">
        <v>343</v>
      </c>
      <c r="C260" t="s">
        <v>159</v>
      </c>
      <c r="E260" s="42">
        <f>VALUE(MID(Tabla1[[#This Row],[RUT]],1,LEN(Tabla1[[#This Row],[RUT]])-1))</f>
        <v>69130301</v>
      </c>
      <c r="F260" t="str">
        <f t="shared" si="4"/>
        <v>CN69130301</v>
      </c>
    </row>
    <row r="261" spans="1:6" x14ac:dyDescent="0.25">
      <c r="A261" s="22">
        <v>691304027</v>
      </c>
      <c r="B261" s="11" t="s">
        <v>793</v>
      </c>
      <c r="C261" t="s">
        <v>159</v>
      </c>
      <c r="E261" s="42">
        <f>VALUE(MID(Tabla1[[#This Row],[RUT]],1,LEN(Tabla1[[#This Row],[RUT]])-1))</f>
        <v>69130402</v>
      </c>
      <c r="F261" t="str">
        <f t="shared" si="4"/>
        <v>CN69130402</v>
      </c>
    </row>
    <row r="262" spans="1:6" x14ac:dyDescent="0.25">
      <c r="A262" s="18">
        <v>691305007</v>
      </c>
      <c r="B262" s="7" t="s">
        <v>344</v>
      </c>
      <c r="C262" t="s">
        <v>159</v>
      </c>
      <c r="E262" s="42">
        <f>VALUE(MID(Tabla1[[#This Row],[RUT]],1,LEN(Tabla1[[#This Row],[RUT]])-1))</f>
        <v>69130500</v>
      </c>
      <c r="F262" t="str">
        <f t="shared" si="4"/>
        <v>CN69130500</v>
      </c>
    </row>
    <row r="263" spans="1:6" x14ac:dyDescent="0.25">
      <c r="A263" s="6">
        <v>691403025</v>
      </c>
      <c r="B263" s="5" t="s">
        <v>794</v>
      </c>
      <c r="C263" t="s">
        <v>159</v>
      </c>
      <c r="E263" s="42">
        <f>VALUE(MID(Tabla1[[#This Row],[RUT]],1,LEN(Tabla1[[#This Row],[RUT]])-1))</f>
        <v>69140302</v>
      </c>
      <c r="F263" t="str">
        <f t="shared" si="4"/>
        <v>CN69140302</v>
      </c>
    </row>
    <row r="264" spans="1:6" x14ac:dyDescent="0.25">
      <c r="A264" s="6">
        <v>691404005</v>
      </c>
      <c r="B264" s="5" t="s">
        <v>345</v>
      </c>
      <c r="C264" t="s">
        <v>159</v>
      </c>
      <c r="E264" s="42">
        <f>VALUE(MID(Tabla1[[#This Row],[RUT]],1,LEN(Tabla1[[#This Row],[RUT]])-1))</f>
        <v>69140400</v>
      </c>
      <c r="F264" t="str">
        <f t="shared" si="4"/>
        <v>CN69140400</v>
      </c>
    </row>
    <row r="265" spans="1:6" x14ac:dyDescent="0.25">
      <c r="A265" s="6">
        <v>691405001</v>
      </c>
      <c r="B265" s="5" t="s">
        <v>346</v>
      </c>
      <c r="C265" t="s">
        <v>159</v>
      </c>
      <c r="E265" s="42">
        <f>VALUE(MID(Tabla1[[#This Row],[RUT]],1,LEN(Tabla1[[#This Row],[RUT]])-1))</f>
        <v>69140500</v>
      </c>
      <c r="F265" t="str">
        <f t="shared" si="4"/>
        <v>CN69140500</v>
      </c>
    </row>
    <row r="266" spans="1:6" x14ac:dyDescent="0.25">
      <c r="A266" s="6">
        <v>691406008</v>
      </c>
      <c r="B266" s="5" t="s">
        <v>347</v>
      </c>
      <c r="C266" t="s">
        <v>159</v>
      </c>
      <c r="E266" s="42">
        <f>VALUE(MID(Tabla1[[#This Row],[RUT]],1,LEN(Tabla1[[#This Row],[RUT]])-1))</f>
        <v>69140600</v>
      </c>
      <c r="F266" t="str">
        <f t="shared" si="4"/>
        <v>CN69140600</v>
      </c>
    </row>
    <row r="267" spans="1:6" x14ac:dyDescent="0.25">
      <c r="A267" s="18">
        <v>691408027</v>
      </c>
      <c r="B267" s="7" t="s">
        <v>348</v>
      </c>
      <c r="C267" t="s">
        <v>159</v>
      </c>
      <c r="E267" s="42">
        <f>VALUE(MID(Tabla1[[#This Row],[RUT]],1,LEN(Tabla1[[#This Row],[RUT]])-1))</f>
        <v>69140802</v>
      </c>
      <c r="F267" t="str">
        <f t="shared" si="4"/>
        <v>CN69140802</v>
      </c>
    </row>
    <row r="268" spans="1:6" x14ac:dyDescent="0.25">
      <c r="A268" s="20">
        <v>691411028</v>
      </c>
      <c r="B268" s="9" t="s">
        <v>349</v>
      </c>
      <c r="C268" t="s">
        <v>159</v>
      </c>
      <c r="E268" s="42">
        <f>VALUE(MID(Tabla1[[#This Row],[RUT]],1,LEN(Tabla1[[#This Row],[RUT]])-1))</f>
        <v>69141102</v>
      </c>
      <c r="F268" t="str">
        <f t="shared" si="4"/>
        <v>CN69141102</v>
      </c>
    </row>
    <row r="269" spans="1:6" x14ac:dyDescent="0.25">
      <c r="A269" s="6">
        <v>691412008</v>
      </c>
      <c r="B269" s="5" t="s">
        <v>350</v>
      </c>
      <c r="C269" t="s">
        <v>159</v>
      </c>
      <c r="E269" s="42">
        <f>VALUE(MID(Tabla1[[#This Row],[RUT]],1,LEN(Tabla1[[#This Row],[RUT]])-1))</f>
        <v>69141200</v>
      </c>
      <c r="F269" t="str">
        <f t="shared" si="4"/>
        <v>CN69141200</v>
      </c>
    </row>
    <row r="270" spans="1:6" x14ac:dyDescent="0.25">
      <c r="A270" s="6">
        <v>691413004</v>
      </c>
      <c r="B270" s="5" t="s">
        <v>351</v>
      </c>
      <c r="C270" t="s">
        <v>159</v>
      </c>
      <c r="E270" s="42">
        <f>VALUE(MID(Tabla1[[#This Row],[RUT]],1,LEN(Tabla1[[#This Row],[RUT]])-1))</f>
        <v>69141300</v>
      </c>
      <c r="F270" t="str">
        <f t="shared" si="4"/>
        <v>CN69141300</v>
      </c>
    </row>
    <row r="271" spans="1:6" x14ac:dyDescent="0.25">
      <c r="A271" s="6">
        <v>691418022</v>
      </c>
      <c r="B271" s="5" t="s">
        <v>352</v>
      </c>
      <c r="C271" t="s">
        <v>159</v>
      </c>
      <c r="E271" s="42">
        <f>VALUE(MID(Tabla1[[#This Row],[RUT]],1,LEN(Tabla1[[#This Row],[RUT]])-1))</f>
        <v>69141802</v>
      </c>
      <c r="F271" t="str">
        <f t="shared" si="4"/>
        <v>CN69141802</v>
      </c>
    </row>
    <row r="272" spans="1:6" x14ac:dyDescent="0.25">
      <c r="A272" s="19">
        <v>691502007</v>
      </c>
      <c r="B272" s="8" t="s">
        <v>353</v>
      </c>
      <c r="C272" t="s">
        <v>159</v>
      </c>
      <c r="E272" s="42">
        <f>VALUE(MID(Tabla1[[#This Row],[RUT]],1,LEN(Tabla1[[#This Row],[RUT]])-1))</f>
        <v>69150200</v>
      </c>
      <c r="F272" t="str">
        <f t="shared" si="4"/>
        <v>CN69150200</v>
      </c>
    </row>
    <row r="273" spans="1:6" x14ac:dyDescent="0.25">
      <c r="A273" s="18">
        <v>691503003</v>
      </c>
      <c r="B273" s="7" t="s">
        <v>354</v>
      </c>
      <c r="C273" t="s">
        <v>159</v>
      </c>
      <c r="E273" s="42">
        <f>VALUE(MID(Tabla1[[#This Row],[RUT]],1,LEN(Tabla1[[#This Row],[RUT]])-1))</f>
        <v>69150300</v>
      </c>
      <c r="F273" t="str">
        <f t="shared" si="4"/>
        <v>CN69150300</v>
      </c>
    </row>
    <row r="274" spans="1:6" x14ac:dyDescent="0.25">
      <c r="A274" s="6">
        <v>691505022</v>
      </c>
      <c r="B274" s="5" t="s">
        <v>355</v>
      </c>
      <c r="C274" t="s">
        <v>159</v>
      </c>
      <c r="E274" s="42">
        <f>VALUE(MID(Tabla1[[#This Row],[RUT]],1,LEN(Tabla1[[#This Row],[RUT]])-1))</f>
        <v>69150502</v>
      </c>
      <c r="F274" t="str">
        <f t="shared" si="4"/>
        <v>CN69150502</v>
      </c>
    </row>
    <row r="275" spans="1:6" x14ac:dyDescent="0.25">
      <c r="A275" s="6">
        <v>691506010</v>
      </c>
      <c r="B275" s="5" t="s">
        <v>795</v>
      </c>
      <c r="C275" t="s">
        <v>159</v>
      </c>
      <c r="E275" s="42">
        <f>VALUE(MID(Tabla1[[#This Row],[RUT]],1,LEN(Tabla1[[#This Row],[RUT]])-1))</f>
        <v>69150601</v>
      </c>
      <c r="F275" t="str">
        <f t="shared" si="4"/>
        <v>CN69150601</v>
      </c>
    </row>
    <row r="276" spans="1:6" x14ac:dyDescent="0.25">
      <c r="A276" s="6">
        <v>691511006</v>
      </c>
      <c r="B276" s="5" t="s">
        <v>356</v>
      </c>
      <c r="C276" t="s">
        <v>159</v>
      </c>
      <c r="E276" s="42">
        <f>VALUE(MID(Tabla1[[#This Row],[RUT]],1,LEN(Tabla1[[#This Row],[RUT]])-1))</f>
        <v>69151100</v>
      </c>
      <c r="F276" t="str">
        <f t="shared" si="4"/>
        <v>CN69151100</v>
      </c>
    </row>
    <row r="277" spans="1:6" x14ac:dyDescent="0.25">
      <c r="A277" s="21">
        <v>691601005</v>
      </c>
      <c r="B277" s="10" t="s">
        <v>357</v>
      </c>
      <c r="C277" t="s">
        <v>159</v>
      </c>
      <c r="E277" s="42">
        <f>VALUE(MID(Tabla1[[#This Row],[RUT]],1,LEN(Tabla1[[#This Row],[RUT]])-1))</f>
        <v>69160100</v>
      </c>
      <c r="F277" t="str">
        <f t="shared" si="4"/>
        <v>CN69160100</v>
      </c>
    </row>
    <row r="278" spans="1:6" x14ac:dyDescent="0.25">
      <c r="A278" s="18">
        <v>691602028</v>
      </c>
      <c r="B278" s="7" t="s">
        <v>796</v>
      </c>
      <c r="C278" t="s">
        <v>159</v>
      </c>
      <c r="E278" s="42">
        <f>VALUE(MID(Tabla1[[#This Row],[RUT]],1,LEN(Tabla1[[#This Row],[RUT]])-1))</f>
        <v>69160202</v>
      </c>
      <c r="F278" t="str">
        <f t="shared" si="4"/>
        <v>CN69160202</v>
      </c>
    </row>
    <row r="279" spans="1:6" x14ac:dyDescent="0.25">
      <c r="A279" s="6">
        <v>691603008</v>
      </c>
      <c r="B279" s="5" t="s">
        <v>358</v>
      </c>
      <c r="C279" t="s">
        <v>159</v>
      </c>
      <c r="E279" s="42">
        <f>VALUE(MID(Tabla1[[#This Row],[RUT]],1,LEN(Tabla1[[#This Row],[RUT]])-1))</f>
        <v>69160300</v>
      </c>
      <c r="F279" t="str">
        <f t="shared" si="4"/>
        <v>CN69160300</v>
      </c>
    </row>
    <row r="280" spans="1:6" x14ac:dyDescent="0.25">
      <c r="A280" s="6">
        <v>691604020</v>
      </c>
      <c r="B280" s="5" t="s">
        <v>359</v>
      </c>
      <c r="C280" t="s">
        <v>159</v>
      </c>
      <c r="E280" s="42">
        <f>VALUE(MID(Tabla1[[#This Row],[RUT]],1,LEN(Tabla1[[#This Row],[RUT]])-1))</f>
        <v>69160402</v>
      </c>
      <c r="F280" t="str">
        <f t="shared" si="4"/>
        <v>CN69160402</v>
      </c>
    </row>
    <row r="281" spans="1:6" x14ac:dyDescent="0.25">
      <c r="A281" s="6">
        <v>691607003</v>
      </c>
      <c r="B281" s="5" t="s">
        <v>797</v>
      </c>
      <c r="C281" t="s">
        <v>159</v>
      </c>
      <c r="E281" s="42">
        <f>VALUE(MID(Tabla1[[#This Row],[RUT]],1,LEN(Tabla1[[#This Row],[RUT]])-1))</f>
        <v>69160700</v>
      </c>
      <c r="F281" t="str">
        <f t="shared" si="4"/>
        <v>CN69160700</v>
      </c>
    </row>
    <row r="282" spans="1:6" x14ac:dyDescent="0.25">
      <c r="A282" s="21">
        <v>691702022</v>
      </c>
      <c r="B282" s="10" t="s">
        <v>360</v>
      </c>
      <c r="C282" t="s">
        <v>159</v>
      </c>
      <c r="E282" s="42">
        <f>VALUE(MID(Tabla1[[#This Row],[RUT]],1,LEN(Tabla1[[#This Row],[RUT]])-1))</f>
        <v>69170202</v>
      </c>
      <c r="F282" t="str">
        <f t="shared" si="4"/>
        <v>CN69170202</v>
      </c>
    </row>
    <row r="283" spans="1:6" x14ac:dyDescent="0.25">
      <c r="A283" s="18">
        <v>691704025</v>
      </c>
      <c r="B283" s="7" t="s">
        <v>361</v>
      </c>
      <c r="C283" t="s">
        <v>159</v>
      </c>
      <c r="E283" s="42">
        <f>VALUE(MID(Tabla1[[#This Row],[RUT]],1,LEN(Tabla1[[#This Row],[RUT]])-1))</f>
        <v>69170402</v>
      </c>
      <c r="F283" t="str">
        <f t="shared" si="4"/>
        <v>CN69170402</v>
      </c>
    </row>
    <row r="284" spans="1:6" x14ac:dyDescent="0.25">
      <c r="A284" s="6">
        <v>691707008</v>
      </c>
      <c r="B284" s="5" t="s">
        <v>362</v>
      </c>
      <c r="C284" t="s">
        <v>159</v>
      </c>
      <c r="E284" s="42">
        <f>VALUE(MID(Tabla1[[#This Row],[RUT]],1,LEN(Tabla1[[#This Row],[RUT]])-1))</f>
        <v>69170700</v>
      </c>
      <c r="F284" t="str">
        <f t="shared" si="4"/>
        <v>CN69170700</v>
      </c>
    </row>
    <row r="285" spans="1:6" x14ac:dyDescent="0.25">
      <c r="A285" s="6">
        <v>691708004</v>
      </c>
      <c r="B285" s="5" t="s">
        <v>363</v>
      </c>
      <c r="C285" t="s">
        <v>159</v>
      </c>
      <c r="E285" s="42">
        <f>VALUE(MID(Tabla1[[#This Row],[RUT]],1,LEN(Tabla1[[#This Row],[RUT]])-1))</f>
        <v>69170800</v>
      </c>
      <c r="F285" t="str">
        <f t="shared" si="4"/>
        <v>CN69170800</v>
      </c>
    </row>
    <row r="286" spans="1:6" x14ac:dyDescent="0.25">
      <c r="A286" s="6">
        <v>691726002</v>
      </c>
      <c r="B286" s="5" t="s">
        <v>364</v>
      </c>
      <c r="C286" t="s">
        <v>159</v>
      </c>
      <c r="E286" s="42">
        <f>VALUE(MID(Tabla1[[#This Row],[RUT]],1,LEN(Tabla1[[#This Row],[RUT]])-1))</f>
        <v>69172600</v>
      </c>
      <c r="F286" t="str">
        <f t="shared" si="4"/>
        <v>CN69172600</v>
      </c>
    </row>
    <row r="287" spans="1:6" x14ac:dyDescent="0.25">
      <c r="A287" s="6">
        <v>691803007</v>
      </c>
      <c r="B287" s="5" t="s">
        <v>365</v>
      </c>
      <c r="C287" t="s">
        <v>159</v>
      </c>
      <c r="E287" s="42">
        <f>VALUE(MID(Tabla1[[#This Row],[RUT]],1,LEN(Tabla1[[#This Row],[RUT]])-1))</f>
        <v>69180300</v>
      </c>
      <c r="F287" t="str">
        <f t="shared" si="4"/>
        <v>CN69180300</v>
      </c>
    </row>
    <row r="288" spans="1:6" x14ac:dyDescent="0.25">
      <c r="A288" s="6">
        <v>691806006</v>
      </c>
      <c r="B288" s="5" t="s">
        <v>366</v>
      </c>
      <c r="C288" t="s">
        <v>159</v>
      </c>
      <c r="E288" s="42">
        <f>VALUE(MID(Tabla1[[#This Row],[RUT]],1,LEN(Tabla1[[#This Row],[RUT]])-1))</f>
        <v>69180600</v>
      </c>
      <c r="F288" t="str">
        <f t="shared" si="4"/>
        <v>CN69180600</v>
      </c>
    </row>
    <row r="289" spans="1:6" x14ac:dyDescent="0.25">
      <c r="A289" s="6">
        <v>691808009</v>
      </c>
      <c r="B289" s="5" t="s">
        <v>367</v>
      </c>
      <c r="C289" t="s">
        <v>159</v>
      </c>
      <c r="E289" s="42">
        <f>VALUE(MID(Tabla1[[#This Row],[RUT]],1,LEN(Tabla1[[#This Row],[RUT]])-1))</f>
        <v>69180800</v>
      </c>
      <c r="F289" t="str">
        <f t="shared" si="4"/>
        <v>CN69180800</v>
      </c>
    </row>
    <row r="290" spans="1:6" x14ac:dyDescent="0.25">
      <c r="A290" s="6">
        <v>691810003</v>
      </c>
      <c r="B290" s="5" t="s">
        <v>368</v>
      </c>
      <c r="C290" t="s">
        <v>159</v>
      </c>
      <c r="E290" s="42">
        <f>VALUE(MID(Tabla1[[#This Row],[RUT]],1,LEN(Tabla1[[#This Row],[RUT]])-1))</f>
        <v>69181000</v>
      </c>
      <c r="F290" t="str">
        <f t="shared" si="4"/>
        <v>CN69181000</v>
      </c>
    </row>
    <row r="291" spans="1:6" x14ac:dyDescent="0.25">
      <c r="A291" s="6">
        <v>691903001</v>
      </c>
      <c r="B291" s="5" t="s">
        <v>369</v>
      </c>
      <c r="C291" t="s">
        <v>159</v>
      </c>
      <c r="E291" s="42">
        <f>VALUE(MID(Tabla1[[#This Row],[RUT]],1,LEN(Tabla1[[#This Row],[RUT]])-1))</f>
        <v>69190300</v>
      </c>
      <c r="F291" t="str">
        <f t="shared" si="4"/>
        <v>CN69190300</v>
      </c>
    </row>
    <row r="292" spans="1:6" x14ac:dyDescent="0.25">
      <c r="A292" s="6">
        <v>691905004</v>
      </c>
      <c r="B292" s="5" t="s">
        <v>370</v>
      </c>
      <c r="C292" t="s">
        <v>159</v>
      </c>
      <c r="E292" s="42">
        <f>VALUE(MID(Tabla1[[#This Row],[RUT]],1,LEN(Tabla1[[#This Row],[RUT]])-1))</f>
        <v>69190500</v>
      </c>
      <c r="F292" t="str">
        <f t="shared" si="4"/>
        <v>CN69190500</v>
      </c>
    </row>
    <row r="293" spans="1:6" x14ac:dyDescent="0.25">
      <c r="A293" s="6">
        <v>691906000</v>
      </c>
      <c r="B293" s="5" t="s">
        <v>371</v>
      </c>
      <c r="C293" t="s">
        <v>159</v>
      </c>
      <c r="E293" s="42">
        <f>VALUE(MID(Tabla1[[#This Row],[RUT]],1,LEN(Tabla1[[#This Row],[RUT]])-1))</f>
        <v>69190600</v>
      </c>
      <c r="F293" t="str">
        <f t="shared" si="4"/>
        <v>CN69190600</v>
      </c>
    </row>
    <row r="294" spans="1:6" x14ac:dyDescent="0.25">
      <c r="A294" s="6">
        <v>691908003</v>
      </c>
      <c r="B294" s="5" t="s">
        <v>372</v>
      </c>
      <c r="C294" t="s">
        <v>159</v>
      </c>
      <c r="E294" s="42">
        <f>VALUE(MID(Tabla1[[#This Row],[RUT]],1,LEN(Tabla1[[#This Row],[RUT]])-1))</f>
        <v>69190800</v>
      </c>
      <c r="F294" t="str">
        <f t="shared" si="4"/>
        <v>CN69190800</v>
      </c>
    </row>
    <row r="295" spans="1:6" x14ac:dyDescent="0.25">
      <c r="A295" s="6">
        <v>691910008</v>
      </c>
      <c r="B295" s="5" t="s">
        <v>373</v>
      </c>
      <c r="C295" t="s">
        <v>159</v>
      </c>
      <c r="E295" s="42">
        <f>VALUE(MID(Tabla1[[#This Row],[RUT]],1,LEN(Tabla1[[#This Row],[RUT]])-1))</f>
        <v>69191000</v>
      </c>
      <c r="F295" t="str">
        <f t="shared" si="4"/>
        <v>CN69191000</v>
      </c>
    </row>
    <row r="296" spans="1:6" x14ac:dyDescent="0.25">
      <c r="A296" s="6">
        <v>691911004</v>
      </c>
      <c r="B296" s="5" t="s">
        <v>374</v>
      </c>
      <c r="C296" t="s">
        <v>159</v>
      </c>
      <c r="E296" s="42">
        <f>VALUE(MID(Tabla1[[#This Row],[RUT]],1,LEN(Tabla1[[#This Row],[RUT]])-1))</f>
        <v>69191100</v>
      </c>
      <c r="F296" t="str">
        <f t="shared" si="4"/>
        <v>CN69191100</v>
      </c>
    </row>
    <row r="297" spans="1:6" x14ac:dyDescent="0.25">
      <c r="A297" s="6">
        <v>691912000</v>
      </c>
      <c r="B297" s="5" t="s">
        <v>375</v>
      </c>
      <c r="C297" t="s">
        <v>159</v>
      </c>
      <c r="E297" s="42">
        <f>VALUE(MID(Tabla1[[#This Row],[RUT]],1,LEN(Tabla1[[#This Row],[RUT]])-1))</f>
        <v>69191200</v>
      </c>
      <c r="F297" t="str">
        <f t="shared" si="4"/>
        <v>CN69191200</v>
      </c>
    </row>
    <row r="298" spans="1:6" x14ac:dyDescent="0.25">
      <c r="A298" s="6">
        <v>692003004</v>
      </c>
      <c r="B298" s="5" t="s">
        <v>376</v>
      </c>
      <c r="C298" t="s">
        <v>159</v>
      </c>
      <c r="E298" s="42">
        <f>VALUE(MID(Tabla1[[#This Row],[RUT]],1,LEN(Tabla1[[#This Row],[RUT]])-1))</f>
        <v>69200300</v>
      </c>
      <c r="F298" t="str">
        <f t="shared" si="4"/>
        <v>CN69200300</v>
      </c>
    </row>
    <row r="299" spans="1:6" x14ac:dyDescent="0.25">
      <c r="A299" s="6">
        <v>692005007</v>
      </c>
      <c r="B299" s="5" t="s">
        <v>377</v>
      </c>
      <c r="C299" t="s">
        <v>159</v>
      </c>
      <c r="E299" s="42">
        <f>VALUE(MID(Tabla1[[#This Row],[RUT]],1,LEN(Tabla1[[#This Row],[RUT]])-1))</f>
        <v>69200500</v>
      </c>
      <c r="F299" t="str">
        <f t="shared" si="4"/>
        <v>CN69200500</v>
      </c>
    </row>
    <row r="300" spans="1:6" x14ac:dyDescent="0.25">
      <c r="A300" s="6">
        <v>692006003</v>
      </c>
      <c r="B300" s="5" t="s">
        <v>378</v>
      </c>
      <c r="C300" t="s">
        <v>159</v>
      </c>
      <c r="E300" s="42">
        <f>VALUE(MID(Tabla1[[#This Row],[RUT]],1,LEN(Tabla1[[#This Row],[RUT]])-1))</f>
        <v>69200600</v>
      </c>
      <c r="F300" t="str">
        <f t="shared" si="4"/>
        <v>CN69200600</v>
      </c>
    </row>
    <row r="301" spans="1:6" x14ac:dyDescent="0.25">
      <c r="A301" s="6">
        <v>692009002</v>
      </c>
      <c r="B301" s="5" t="s">
        <v>798</v>
      </c>
      <c r="C301" t="s">
        <v>159</v>
      </c>
      <c r="E301" s="42">
        <f>VALUE(MID(Tabla1[[#This Row],[RUT]],1,LEN(Tabla1[[#This Row],[RUT]])-1))</f>
        <v>69200900</v>
      </c>
      <c r="F301" t="str">
        <f t="shared" si="4"/>
        <v>CN69200900</v>
      </c>
    </row>
    <row r="302" spans="1:6" x14ac:dyDescent="0.25">
      <c r="A302" s="6">
        <v>692010000</v>
      </c>
      <c r="B302" s="5" t="s">
        <v>379</v>
      </c>
      <c r="C302" t="s">
        <v>4758</v>
      </c>
      <c r="E302" s="42">
        <f>VALUE(MID(Tabla1[[#This Row],[RUT]],1,LEN(Tabla1[[#This Row],[RUT]])-1))</f>
        <v>69201000</v>
      </c>
      <c r="F302" t="str">
        <f t="shared" si="4"/>
        <v>CN69201000</v>
      </c>
    </row>
    <row r="303" spans="1:6" x14ac:dyDescent="0.25">
      <c r="A303" s="21">
        <v>692011007</v>
      </c>
      <c r="B303" s="10" t="s">
        <v>380</v>
      </c>
      <c r="C303" t="s">
        <v>159</v>
      </c>
      <c r="E303" s="42">
        <f>VALUE(MID(Tabla1[[#This Row],[RUT]],1,LEN(Tabla1[[#This Row],[RUT]])-1))</f>
        <v>69201100</v>
      </c>
      <c r="F303" t="str">
        <f t="shared" si="4"/>
        <v>CN69201100</v>
      </c>
    </row>
    <row r="304" spans="1:6" x14ac:dyDescent="0.25">
      <c r="A304" s="18">
        <v>692102029</v>
      </c>
      <c r="B304" s="7" t="s">
        <v>381</v>
      </c>
      <c r="C304" t="s">
        <v>159</v>
      </c>
      <c r="E304" s="42">
        <f>VALUE(MID(Tabla1[[#This Row],[RUT]],1,LEN(Tabla1[[#This Row],[RUT]])-1))</f>
        <v>69210202</v>
      </c>
      <c r="F304" t="str">
        <f t="shared" si="4"/>
        <v>CN69210202</v>
      </c>
    </row>
    <row r="305" spans="1:6" x14ac:dyDescent="0.25">
      <c r="A305" s="6">
        <v>692103025</v>
      </c>
      <c r="B305" s="5" t="s">
        <v>382</v>
      </c>
      <c r="C305" t="s">
        <v>159</v>
      </c>
      <c r="E305" s="42">
        <f>VALUE(MID(Tabla1[[#This Row],[RUT]],1,LEN(Tabla1[[#This Row],[RUT]])-1))</f>
        <v>69210302</v>
      </c>
      <c r="F305" t="str">
        <f t="shared" si="4"/>
        <v>CN69210302</v>
      </c>
    </row>
    <row r="306" spans="1:6" x14ac:dyDescent="0.25">
      <c r="A306" s="18">
        <v>692105001</v>
      </c>
      <c r="B306" s="7" t="s">
        <v>799</v>
      </c>
      <c r="C306" t="s">
        <v>159</v>
      </c>
      <c r="E306" s="42">
        <f>VALUE(MID(Tabla1[[#This Row],[RUT]],1,LEN(Tabla1[[#This Row],[RUT]])-1))</f>
        <v>69210500</v>
      </c>
      <c r="F306" t="str">
        <f t="shared" si="4"/>
        <v>CN69210500</v>
      </c>
    </row>
    <row r="307" spans="1:6" x14ac:dyDescent="0.25">
      <c r="A307" s="6">
        <v>692106008</v>
      </c>
      <c r="B307" s="5" t="s">
        <v>383</v>
      </c>
      <c r="C307" t="s">
        <v>159</v>
      </c>
      <c r="E307" s="42">
        <f>VALUE(MID(Tabla1[[#This Row],[RUT]],1,LEN(Tabla1[[#This Row],[RUT]])-1))</f>
        <v>69210600</v>
      </c>
      <c r="F307" t="str">
        <f t="shared" si="4"/>
        <v>CN69210600</v>
      </c>
    </row>
    <row r="308" spans="1:6" x14ac:dyDescent="0.25">
      <c r="A308" s="20">
        <v>692204026</v>
      </c>
      <c r="B308" s="9" t="s">
        <v>800</v>
      </c>
      <c r="C308" t="s">
        <v>159</v>
      </c>
      <c r="E308" s="42">
        <f>VALUE(MID(Tabla1[[#This Row],[RUT]],1,LEN(Tabla1[[#This Row],[RUT]])-1))</f>
        <v>69220402</v>
      </c>
      <c r="F308" t="str">
        <f t="shared" si="4"/>
        <v>CN69220402</v>
      </c>
    </row>
    <row r="309" spans="1:6" x14ac:dyDescent="0.25">
      <c r="A309" s="6">
        <v>692207025</v>
      </c>
      <c r="B309" s="5" t="s">
        <v>801</v>
      </c>
      <c r="C309" t="s">
        <v>159</v>
      </c>
      <c r="E309" s="42">
        <f>VALUE(MID(Tabla1[[#This Row],[RUT]],1,LEN(Tabla1[[#This Row],[RUT]])-1))</f>
        <v>69220702</v>
      </c>
      <c r="F309" t="str">
        <f t="shared" si="4"/>
        <v>CN69220702</v>
      </c>
    </row>
    <row r="310" spans="1:6" x14ac:dyDescent="0.25">
      <c r="A310" s="6">
        <v>692208005</v>
      </c>
      <c r="B310" s="5" t="s">
        <v>802</v>
      </c>
      <c r="C310" t="s">
        <v>159</v>
      </c>
      <c r="E310" s="42">
        <f>VALUE(MID(Tabla1[[#This Row],[RUT]],1,LEN(Tabla1[[#This Row],[RUT]])-1))</f>
        <v>69220800</v>
      </c>
      <c r="F310" t="str">
        <f t="shared" si="4"/>
        <v>CN69220800</v>
      </c>
    </row>
    <row r="311" spans="1:6" x14ac:dyDescent="0.25">
      <c r="A311" s="6">
        <v>692302001</v>
      </c>
      <c r="B311" s="5" t="s">
        <v>384</v>
      </c>
      <c r="C311" t="s">
        <v>159</v>
      </c>
      <c r="E311" s="42">
        <f>VALUE(MID(Tabla1[[#This Row],[RUT]],1,LEN(Tabla1[[#This Row],[RUT]])-1))</f>
        <v>69230200</v>
      </c>
      <c r="F311" t="str">
        <f t="shared" si="4"/>
        <v>CN69230200</v>
      </c>
    </row>
    <row r="312" spans="1:6" x14ac:dyDescent="0.25">
      <c r="A312" s="6">
        <v>692502000</v>
      </c>
      <c r="B312" s="5" t="s">
        <v>385</v>
      </c>
      <c r="C312" t="s">
        <v>159</v>
      </c>
      <c r="E312" s="42">
        <f>VALUE(MID(Tabla1[[#This Row],[RUT]],1,LEN(Tabla1[[#This Row],[RUT]])-1))</f>
        <v>69250200</v>
      </c>
      <c r="F312" t="str">
        <f t="shared" si="4"/>
        <v>CN69250200</v>
      </c>
    </row>
    <row r="313" spans="1:6" x14ac:dyDescent="0.25">
      <c r="A313" s="20">
        <v>692516001</v>
      </c>
      <c r="B313" s="9" t="s">
        <v>386</v>
      </c>
      <c r="C313" t="s">
        <v>159</v>
      </c>
      <c r="E313" s="42">
        <f>VALUE(MID(Tabla1[[#This Row],[RUT]],1,LEN(Tabla1[[#This Row],[RUT]])-1))</f>
        <v>69251600</v>
      </c>
      <c r="F313" t="str">
        <f t="shared" si="4"/>
        <v>CN69251600</v>
      </c>
    </row>
    <row r="314" spans="1:6" x14ac:dyDescent="0.25">
      <c r="A314" s="6">
        <v>692518004</v>
      </c>
      <c r="B314" s="5" t="s">
        <v>387</v>
      </c>
      <c r="C314" t="s">
        <v>159</v>
      </c>
      <c r="E314" s="42">
        <f>VALUE(MID(Tabla1[[#This Row],[RUT]],1,LEN(Tabla1[[#This Row],[RUT]])-1))</f>
        <v>69251800</v>
      </c>
      <c r="F314" t="str">
        <f t="shared" si="4"/>
        <v>CN69251800</v>
      </c>
    </row>
    <row r="315" spans="1:6" x14ac:dyDescent="0.25">
      <c r="A315" s="6">
        <v>692521005</v>
      </c>
      <c r="B315" s="5" t="s">
        <v>388</v>
      </c>
      <c r="C315" t="s">
        <v>159</v>
      </c>
      <c r="E315" s="42">
        <f>VALUE(MID(Tabla1[[#This Row],[RUT]],1,LEN(Tabla1[[#This Row],[RUT]])-1))</f>
        <v>69252100</v>
      </c>
      <c r="F315" t="str">
        <f t="shared" si="4"/>
        <v>CN69252100</v>
      </c>
    </row>
    <row r="316" spans="1:6" x14ac:dyDescent="0.25">
      <c r="A316" s="6">
        <v>692523008</v>
      </c>
      <c r="B316" s="5" t="s">
        <v>389</v>
      </c>
      <c r="C316" t="s">
        <v>159</v>
      </c>
      <c r="E316" s="42">
        <f>VALUE(MID(Tabla1[[#This Row],[RUT]],1,LEN(Tabla1[[#This Row],[RUT]])-1))</f>
        <v>69252300</v>
      </c>
      <c r="F316" t="str">
        <f t="shared" si="4"/>
        <v>CN69252300</v>
      </c>
    </row>
    <row r="317" spans="1:6" x14ac:dyDescent="0.25">
      <c r="A317" s="21">
        <v>692527003</v>
      </c>
      <c r="B317" s="10" t="s">
        <v>390</v>
      </c>
      <c r="C317" t="s">
        <v>159</v>
      </c>
      <c r="E317" s="42">
        <f>VALUE(MID(Tabla1[[#This Row],[RUT]],1,LEN(Tabla1[[#This Row],[RUT]])-1))</f>
        <v>69252700</v>
      </c>
      <c r="F317" t="str">
        <f t="shared" si="4"/>
        <v>CN69252700</v>
      </c>
    </row>
    <row r="318" spans="1:6" x14ac:dyDescent="0.25">
      <c r="A318" s="6">
        <v>692539001</v>
      </c>
      <c r="B318" s="5" t="s">
        <v>391</v>
      </c>
      <c r="C318" t="s">
        <v>159</v>
      </c>
      <c r="E318" s="42">
        <f>VALUE(MID(Tabla1[[#This Row],[RUT]],1,LEN(Tabla1[[#This Row],[RUT]])-1))</f>
        <v>69253900</v>
      </c>
      <c r="F318" t="str">
        <f t="shared" si="4"/>
        <v>CN69253900</v>
      </c>
    </row>
    <row r="319" spans="1:6" x14ac:dyDescent="0.25">
      <c r="A319" s="6">
        <v>692542002</v>
      </c>
      <c r="B319" s="5" t="s">
        <v>392</v>
      </c>
      <c r="C319" t="s">
        <v>159</v>
      </c>
      <c r="E319" s="42">
        <f>VALUE(MID(Tabla1[[#This Row],[RUT]],1,LEN(Tabla1[[#This Row],[RUT]])-1))</f>
        <v>69254200</v>
      </c>
      <c r="F319" t="str">
        <f t="shared" si="4"/>
        <v>CN69254200</v>
      </c>
    </row>
    <row r="320" spans="1:6" x14ac:dyDescent="0.25">
      <c r="A320" s="6">
        <v>692548000</v>
      </c>
      <c r="B320" s="5" t="s">
        <v>393</v>
      </c>
      <c r="C320" t="s">
        <v>159</v>
      </c>
      <c r="E320" s="42">
        <f>VALUE(MID(Tabla1[[#This Row],[RUT]],1,LEN(Tabla1[[#This Row],[RUT]])-1))</f>
        <v>69254800</v>
      </c>
      <c r="F320" t="str">
        <f t="shared" si="4"/>
        <v>CN69254800</v>
      </c>
    </row>
    <row r="321" spans="1:6" x14ac:dyDescent="0.25">
      <c r="A321" s="6">
        <v>692549007</v>
      </c>
      <c r="B321" s="5" t="s">
        <v>394</v>
      </c>
      <c r="C321" t="s">
        <v>159</v>
      </c>
      <c r="E321" s="42">
        <f>VALUE(MID(Tabla1[[#This Row],[RUT]],1,LEN(Tabla1[[#This Row],[RUT]])-1))</f>
        <v>69254900</v>
      </c>
      <c r="F321" t="str">
        <f t="shared" si="4"/>
        <v>CN69254900</v>
      </c>
    </row>
    <row r="322" spans="1:6" x14ac:dyDescent="0.25">
      <c r="A322" s="6">
        <v>692551001</v>
      </c>
      <c r="B322" s="5" t="s">
        <v>395</v>
      </c>
      <c r="C322" t="s">
        <v>159</v>
      </c>
      <c r="E322" s="42">
        <f>VALUE(MID(Tabla1[[#This Row],[RUT]],1,LEN(Tabla1[[#This Row],[RUT]])-1))</f>
        <v>69255100</v>
      </c>
      <c r="F322" t="str">
        <f t="shared" si="4"/>
        <v>CN69255100</v>
      </c>
    </row>
    <row r="323" spans="1:6" x14ac:dyDescent="0.25">
      <c r="A323" s="6">
        <v>692552008</v>
      </c>
      <c r="B323" s="5" t="s">
        <v>803</v>
      </c>
      <c r="C323" t="s">
        <v>159</v>
      </c>
      <c r="E323" s="42">
        <f>VALUE(MID(Tabla1[[#This Row],[RUT]],1,LEN(Tabla1[[#This Row],[RUT]])-1))</f>
        <v>69255200</v>
      </c>
      <c r="F323" t="str">
        <f t="shared" ref="F323:F386" si="5">"CN"&amp;E323</f>
        <v>CN69255200</v>
      </c>
    </row>
    <row r="324" spans="1:6" x14ac:dyDescent="0.25">
      <c r="A324" s="6">
        <v>692553004</v>
      </c>
      <c r="B324" s="5" t="s">
        <v>396</v>
      </c>
      <c r="C324" t="s">
        <v>159</v>
      </c>
      <c r="E324" s="42">
        <f>VALUE(MID(Tabla1[[#This Row],[RUT]],1,LEN(Tabla1[[#This Row],[RUT]])-1))</f>
        <v>69255300</v>
      </c>
      <c r="F324" t="str">
        <f t="shared" si="5"/>
        <v>CN69255300</v>
      </c>
    </row>
    <row r="325" spans="1:6" x14ac:dyDescent="0.25">
      <c r="A325" s="6">
        <v>692554000</v>
      </c>
      <c r="B325" s="5" t="s">
        <v>397</v>
      </c>
      <c r="C325" t="s">
        <v>159</v>
      </c>
      <c r="E325" s="42">
        <f>VALUE(MID(Tabla1[[#This Row],[RUT]],1,LEN(Tabla1[[#This Row],[RUT]])-1))</f>
        <v>69255400</v>
      </c>
      <c r="F325" t="str">
        <f t="shared" si="5"/>
        <v>CN69255400</v>
      </c>
    </row>
    <row r="326" spans="1:6" x14ac:dyDescent="0.25">
      <c r="A326" s="21">
        <v>692555007</v>
      </c>
      <c r="B326" s="10" t="s">
        <v>398</v>
      </c>
      <c r="C326" t="s">
        <v>159</v>
      </c>
      <c r="E326" s="42">
        <f>VALUE(MID(Tabla1[[#This Row],[RUT]],1,LEN(Tabla1[[#This Row],[RUT]])-1))</f>
        <v>69255500</v>
      </c>
      <c r="F326" t="str">
        <f t="shared" si="5"/>
        <v>CN69255500</v>
      </c>
    </row>
    <row r="327" spans="1:6" x14ac:dyDescent="0.25">
      <c r="A327" s="21">
        <v>692556003</v>
      </c>
      <c r="B327" s="10" t="s">
        <v>804</v>
      </c>
      <c r="C327" t="s">
        <v>159</v>
      </c>
      <c r="E327" s="42">
        <f>VALUE(MID(Tabla1[[#This Row],[RUT]],1,LEN(Tabla1[[#This Row],[RUT]])-1))</f>
        <v>69255600</v>
      </c>
      <c r="F327" t="str">
        <f t="shared" si="5"/>
        <v>CN69255600</v>
      </c>
    </row>
    <row r="328" spans="1:6" x14ac:dyDescent="0.25">
      <c r="A328" s="6">
        <v>692604008</v>
      </c>
      <c r="B328" s="5" t="s">
        <v>399</v>
      </c>
      <c r="C328" t="s">
        <v>4757</v>
      </c>
      <c r="E328" s="42">
        <f>VALUE(MID(Tabla1[[#This Row],[RUT]],1,LEN(Tabla1[[#This Row],[RUT]])-1))</f>
        <v>69260400</v>
      </c>
      <c r="F328" t="str">
        <f t="shared" si="5"/>
        <v>CN69260400</v>
      </c>
    </row>
    <row r="329" spans="1:6" x14ac:dyDescent="0.25">
      <c r="A329" s="6">
        <v>692614003</v>
      </c>
      <c r="B329" s="5" t="s">
        <v>400</v>
      </c>
      <c r="C329" t="s">
        <v>159</v>
      </c>
      <c r="E329" s="42">
        <f>VALUE(MID(Tabla1[[#This Row],[RUT]],1,LEN(Tabla1[[#This Row],[RUT]])-1))</f>
        <v>69261400</v>
      </c>
      <c r="F329" t="str">
        <f t="shared" si="5"/>
        <v>CN69261400</v>
      </c>
    </row>
    <row r="330" spans="1:6" x14ac:dyDescent="0.25">
      <c r="A330" s="21">
        <v>692645006</v>
      </c>
      <c r="B330" s="10" t="s">
        <v>401</v>
      </c>
      <c r="C330" t="s">
        <v>159</v>
      </c>
      <c r="E330" s="42">
        <f>VALUE(MID(Tabla1[[#This Row],[RUT]],1,LEN(Tabla1[[#This Row],[RUT]])-1))</f>
        <v>69264500</v>
      </c>
      <c r="F330" t="str">
        <f t="shared" si="5"/>
        <v>CN69264500</v>
      </c>
    </row>
    <row r="331" spans="1:6" x14ac:dyDescent="0.25">
      <c r="A331" s="6">
        <v>692646002</v>
      </c>
      <c r="B331" s="5" t="s">
        <v>402</v>
      </c>
      <c r="C331" t="s">
        <v>159</v>
      </c>
      <c r="E331" s="42">
        <f>VALUE(MID(Tabla1[[#This Row],[RUT]],1,LEN(Tabla1[[#This Row],[RUT]])-1))</f>
        <v>69264600</v>
      </c>
      <c r="F331" t="str">
        <f t="shared" si="5"/>
        <v>CN69264600</v>
      </c>
    </row>
    <row r="332" spans="1:6" x14ac:dyDescent="0.25">
      <c r="A332" s="6">
        <v>692647009</v>
      </c>
      <c r="B332" s="5" t="s">
        <v>403</v>
      </c>
      <c r="C332" t="s">
        <v>12</v>
      </c>
      <c r="E332" s="42">
        <f>VALUE(MID(Tabla1[[#This Row],[RUT]],1,LEN(Tabla1[[#This Row],[RUT]])-1))</f>
        <v>69264700</v>
      </c>
      <c r="F332" t="str">
        <f t="shared" si="5"/>
        <v>CN69264700</v>
      </c>
    </row>
    <row r="333" spans="1:6" x14ac:dyDescent="0.25">
      <c r="A333" s="18">
        <v>692648005</v>
      </c>
      <c r="B333" s="7" t="s">
        <v>404</v>
      </c>
      <c r="C333" t="s">
        <v>159</v>
      </c>
      <c r="E333" s="42">
        <f>VALUE(MID(Tabla1[[#This Row],[RUT]],1,LEN(Tabla1[[#This Row],[RUT]])-1))</f>
        <v>69264800</v>
      </c>
      <c r="F333" t="str">
        <f t="shared" si="5"/>
        <v>CN69264800</v>
      </c>
    </row>
    <row r="334" spans="1:6" x14ac:dyDescent="0.25">
      <c r="A334" s="6">
        <v>692651006</v>
      </c>
      <c r="B334" s="5" t="s">
        <v>405</v>
      </c>
      <c r="C334" t="s">
        <v>4</v>
      </c>
      <c r="E334" s="42">
        <f>VALUE(MID(Tabla1[[#This Row],[RUT]],1,LEN(Tabla1[[#This Row],[RUT]])-1))</f>
        <v>69265100</v>
      </c>
      <c r="F334" t="str">
        <f t="shared" si="5"/>
        <v>CN69265100</v>
      </c>
    </row>
    <row r="335" spans="1:6" x14ac:dyDescent="0.25">
      <c r="A335" s="6">
        <v>692664000</v>
      </c>
      <c r="B335" s="5" t="s">
        <v>805</v>
      </c>
      <c r="C335" t="s">
        <v>159</v>
      </c>
      <c r="E335" s="42">
        <f>VALUE(MID(Tabla1[[#This Row],[RUT]],1,LEN(Tabla1[[#This Row],[RUT]])-1))</f>
        <v>69266400</v>
      </c>
      <c r="F335" t="str">
        <f t="shared" si="5"/>
        <v>CN69266400</v>
      </c>
    </row>
    <row r="336" spans="1:6" x14ac:dyDescent="0.25">
      <c r="A336" s="22">
        <v>692875605</v>
      </c>
      <c r="B336" s="11" t="s">
        <v>406</v>
      </c>
      <c r="C336" t="s">
        <v>159</v>
      </c>
      <c r="E336" s="42">
        <f>VALUE(MID(Tabla1[[#This Row],[RUT]],1,LEN(Tabla1[[#This Row],[RUT]])-1))</f>
        <v>69287560</v>
      </c>
      <c r="F336" t="str">
        <f t="shared" si="5"/>
        <v>CN69287560</v>
      </c>
    </row>
    <row r="337" spans="1:6" x14ac:dyDescent="0.25">
      <c r="A337" s="21">
        <v>692875702</v>
      </c>
      <c r="B337" s="10" t="s">
        <v>407</v>
      </c>
      <c r="C337" t="s">
        <v>159</v>
      </c>
      <c r="E337" s="42">
        <f>VALUE(MID(Tabla1[[#This Row],[RUT]],1,LEN(Tabla1[[#This Row],[RUT]])-1))</f>
        <v>69287570</v>
      </c>
      <c r="F337" t="str">
        <f t="shared" si="5"/>
        <v>CN69287570</v>
      </c>
    </row>
    <row r="338" spans="1:6" x14ac:dyDescent="0.25">
      <c r="A338" s="20">
        <v>700126005</v>
      </c>
      <c r="B338" s="9" t="s">
        <v>408</v>
      </c>
      <c r="C338" t="s">
        <v>159</v>
      </c>
      <c r="E338" s="42">
        <f>VALUE(MID(Tabla1[[#This Row],[RUT]],1,LEN(Tabla1[[#This Row],[RUT]])-1))</f>
        <v>70012600</v>
      </c>
      <c r="F338" t="str">
        <f t="shared" si="5"/>
        <v>CN70012600</v>
      </c>
    </row>
    <row r="339" spans="1:6" x14ac:dyDescent="0.25">
      <c r="A339" s="6">
        <v>700836002</v>
      </c>
      <c r="B339" s="5" t="s">
        <v>409</v>
      </c>
      <c r="C339" t="s">
        <v>159</v>
      </c>
      <c r="E339" s="42">
        <f>VALUE(MID(Tabla1[[#This Row],[RUT]],1,LEN(Tabla1[[#This Row],[RUT]])-1))</f>
        <v>70083600</v>
      </c>
      <c r="F339" t="str">
        <f t="shared" si="5"/>
        <v>CN70083600</v>
      </c>
    </row>
    <row r="340" spans="1:6" x14ac:dyDescent="0.25">
      <c r="A340" s="18">
        <v>703620000</v>
      </c>
      <c r="B340" s="7" t="s">
        <v>410</v>
      </c>
      <c r="C340" t="s">
        <v>159</v>
      </c>
      <c r="E340" s="42">
        <f>VALUE(MID(Tabla1[[#This Row],[RUT]],1,LEN(Tabla1[[#This Row],[RUT]])-1))</f>
        <v>70362000</v>
      </c>
      <c r="F340" t="str">
        <f t="shared" si="5"/>
        <v>CN70362000</v>
      </c>
    </row>
    <row r="341" spans="1:6" x14ac:dyDescent="0.25">
      <c r="A341" s="6">
        <v>703774008</v>
      </c>
      <c r="B341" s="5" t="s">
        <v>411</v>
      </c>
      <c r="C341" t="s">
        <v>159</v>
      </c>
      <c r="E341" s="42">
        <f>VALUE(MID(Tabla1[[#This Row],[RUT]],1,LEN(Tabla1[[#This Row],[RUT]])-1))</f>
        <v>70377400</v>
      </c>
      <c r="F341" t="str">
        <f t="shared" si="5"/>
        <v>CN70377400</v>
      </c>
    </row>
    <row r="342" spans="1:6" x14ac:dyDescent="0.25">
      <c r="A342" s="21">
        <v>707447001</v>
      </c>
      <c r="B342" s="10" t="s">
        <v>412</v>
      </c>
      <c r="C342" t="s">
        <v>159</v>
      </c>
      <c r="E342" s="42">
        <f>VALUE(MID(Tabla1[[#This Row],[RUT]],1,LEN(Tabla1[[#This Row],[RUT]])-1))</f>
        <v>70744700</v>
      </c>
      <c r="F342" t="str">
        <f t="shared" si="5"/>
        <v>CN70744700</v>
      </c>
    </row>
    <row r="343" spans="1:6" x14ac:dyDescent="0.25">
      <c r="A343" s="6">
        <v>707665009</v>
      </c>
      <c r="B343" s="5" t="s">
        <v>413</v>
      </c>
      <c r="C343" t="s">
        <v>159</v>
      </c>
      <c r="E343" s="42">
        <f>VALUE(MID(Tabla1[[#This Row],[RUT]],1,LEN(Tabla1[[#This Row],[RUT]])-1))</f>
        <v>70766500</v>
      </c>
      <c r="F343" t="str">
        <f t="shared" si="5"/>
        <v>CN70766500</v>
      </c>
    </row>
    <row r="344" spans="1:6" x14ac:dyDescent="0.25">
      <c r="A344" s="20">
        <v>707831006</v>
      </c>
      <c r="B344" s="9" t="s">
        <v>414</v>
      </c>
      <c r="C344" t="s">
        <v>4757</v>
      </c>
      <c r="E344" s="42">
        <f>VALUE(MID(Tabla1[[#This Row],[RUT]],1,LEN(Tabla1[[#This Row],[RUT]])-1))</f>
        <v>70783100</v>
      </c>
      <c r="F344" t="str">
        <f t="shared" si="5"/>
        <v>CN70783100</v>
      </c>
    </row>
    <row r="345" spans="1:6" x14ac:dyDescent="0.25">
      <c r="A345" s="6">
        <v>708564001</v>
      </c>
      <c r="B345" s="5" t="s">
        <v>415</v>
      </c>
      <c r="C345" t="s">
        <v>159</v>
      </c>
      <c r="E345" s="42">
        <f>VALUE(MID(Tabla1[[#This Row],[RUT]],1,LEN(Tabla1[[#This Row],[RUT]])-1))</f>
        <v>70856400</v>
      </c>
      <c r="F345" t="str">
        <f t="shared" si="5"/>
        <v>CN70856400</v>
      </c>
    </row>
    <row r="346" spans="1:6" x14ac:dyDescent="0.25">
      <c r="A346" s="6">
        <v>708781002</v>
      </c>
      <c r="B346" s="5" t="s">
        <v>416</v>
      </c>
      <c r="C346" t="s">
        <v>159</v>
      </c>
      <c r="E346" s="42">
        <f>VALUE(MID(Tabla1[[#This Row],[RUT]],1,LEN(Tabla1[[#This Row],[RUT]])-1))</f>
        <v>70878100</v>
      </c>
      <c r="F346" t="str">
        <f t="shared" si="5"/>
        <v>CN70878100</v>
      </c>
    </row>
    <row r="347" spans="1:6" x14ac:dyDescent="0.25">
      <c r="A347" s="6">
        <v>708789003</v>
      </c>
      <c r="B347" s="5" t="s">
        <v>417</v>
      </c>
      <c r="C347" t="s">
        <v>4757</v>
      </c>
      <c r="E347" s="42">
        <f>VALUE(MID(Tabla1[[#This Row],[RUT]],1,LEN(Tabla1[[#This Row],[RUT]])-1))</f>
        <v>70878900</v>
      </c>
      <c r="F347" t="str">
        <f t="shared" si="5"/>
        <v>CN70878900</v>
      </c>
    </row>
    <row r="348" spans="1:6" x14ac:dyDescent="0.25">
      <c r="A348" s="6">
        <v>708803006</v>
      </c>
      <c r="B348" s="5" t="s">
        <v>418</v>
      </c>
      <c r="C348" t="s">
        <v>159</v>
      </c>
      <c r="E348" s="42">
        <f>VALUE(MID(Tabla1[[#This Row],[RUT]],1,LEN(Tabla1[[#This Row],[RUT]])-1))</f>
        <v>70880300</v>
      </c>
      <c r="F348" t="str">
        <f t="shared" si="5"/>
        <v>CN70880300</v>
      </c>
    </row>
    <row r="349" spans="1:6" x14ac:dyDescent="0.25">
      <c r="A349" s="6">
        <v>708821004</v>
      </c>
      <c r="B349" s="5" t="s">
        <v>419</v>
      </c>
      <c r="C349" t="s">
        <v>159</v>
      </c>
      <c r="E349" s="42">
        <f>VALUE(MID(Tabla1[[#This Row],[RUT]],1,LEN(Tabla1[[#This Row],[RUT]])-1))</f>
        <v>70882100</v>
      </c>
      <c r="F349" t="str">
        <f t="shared" si="5"/>
        <v>CN70882100</v>
      </c>
    </row>
    <row r="350" spans="1:6" x14ac:dyDescent="0.25">
      <c r="A350" s="6">
        <v>708855006</v>
      </c>
      <c r="B350" s="5" t="s">
        <v>420</v>
      </c>
      <c r="C350" t="s">
        <v>159</v>
      </c>
      <c r="E350" s="42">
        <f>VALUE(MID(Tabla1[[#This Row],[RUT]],1,LEN(Tabla1[[#This Row],[RUT]])-1))</f>
        <v>70885500</v>
      </c>
      <c r="F350" t="str">
        <f t="shared" si="5"/>
        <v>CN70885500</v>
      </c>
    </row>
    <row r="351" spans="1:6" x14ac:dyDescent="0.25">
      <c r="A351" s="6">
        <v>708921009</v>
      </c>
      <c r="B351" s="5" t="s">
        <v>421</v>
      </c>
      <c r="C351" t="s">
        <v>159</v>
      </c>
      <c r="E351" s="42">
        <f>VALUE(MID(Tabla1[[#This Row],[RUT]],1,LEN(Tabla1[[#This Row],[RUT]])-1))</f>
        <v>70892100</v>
      </c>
      <c r="F351" t="str">
        <f t="shared" si="5"/>
        <v>CN70892100</v>
      </c>
    </row>
    <row r="352" spans="1:6" x14ac:dyDescent="0.25">
      <c r="A352" s="6">
        <v>709024000</v>
      </c>
      <c r="B352" s="5" t="s">
        <v>422</v>
      </c>
      <c r="C352" t="s">
        <v>159</v>
      </c>
      <c r="E352" s="42">
        <f>VALUE(MID(Tabla1[[#This Row],[RUT]],1,LEN(Tabla1[[#This Row],[RUT]])-1))</f>
        <v>70902400</v>
      </c>
      <c r="F352" t="str">
        <f t="shared" si="5"/>
        <v>CN70902400</v>
      </c>
    </row>
    <row r="353" spans="1:6" x14ac:dyDescent="0.25">
      <c r="A353" s="6">
        <v>709057006</v>
      </c>
      <c r="B353" s="5" t="s">
        <v>423</v>
      </c>
      <c r="C353" t="s">
        <v>159</v>
      </c>
      <c r="E353" s="42">
        <f>VALUE(MID(Tabla1[[#This Row],[RUT]],1,LEN(Tabla1[[#This Row],[RUT]])-1))</f>
        <v>70905700</v>
      </c>
      <c r="F353" t="str">
        <f t="shared" si="5"/>
        <v>CN70905700</v>
      </c>
    </row>
    <row r="354" spans="1:6" x14ac:dyDescent="0.25">
      <c r="A354" s="6">
        <v>709131001</v>
      </c>
      <c r="B354" s="5" t="s">
        <v>424</v>
      </c>
      <c r="C354" t="s">
        <v>159</v>
      </c>
      <c r="E354" s="42">
        <f>VALUE(MID(Tabla1[[#This Row],[RUT]],1,LEN(Tabla1[[#This Row],[RUT]])-1))</f>
        <v>70913100</v>
      </c>
      <c r="F354" t="str">
        <f t="shared" si="5"/>
        <v>CN70913100</v>
      </c>
    </row>
    <row r="355" spans="1:6" x14ac:dyDescent="0.25">
      <c r="A355" s="6">
        <v>709255002</v>
      </c>
      <c r="B355" s="5" t="s">
        <v>425</v>
      </c>
      <c r="C355" t="s">
        <v>159</v>
      </c>
      <c r="E355" s="42">
        <f>VALUE(MID(Tabla1[[#This Row],[RUT]],1,LEN(Tabla1[[#This Row],[RUT]])-1))</f>
        <v>70925500</v>
      </c>
      <c r="F355" t="str">
        <f t="shared" si="5"/>
        <v>CN70925500</v>
      </c>
    </row>
    <row r="356" spans="1:6" x14ac:dyDescent="0.25">
      <c r="A356" s="6">
        <v>709319000</v>
      </c>
      <c r="B356" s="5" t="s">
        <v>426</v>
      </c>
      <c r="C356" t="s">
        <v>159</v>
      </c>
      <c r="E356" s="42">
        <f>VALUE(MID(Tabla1[[#This Row],[RUT]],1,LEN(Tabla1[[#This Row],[RUT]])-1))</f>
        <v>70931900</v>
      </c>
      <c r="F356" t="str">
        <f t="shared" si="5"/>
        <v>CN70931900</v>
      </c>
    </row>
    <row r="357" spans="1:6" x14ac:dyDescent="0.25">
      <c r="A357" s="6">
        <v>709337009</v>
      </c>
      <c r="B357" s="5" t="s">
        <v>427</v>
      </c>
      <c r="C357" t="s">
        <v>159</v>
      </c>
      <c r="E357" s="42">
        <f>VALUE(MID(Tabla1[[#This Row],[RUT]],1,LEN(Tabla1[[#This Row],[RUT]])-1))</f>
        <v>70933700</v>
      </c>
      <c r="F357" t="str">
        <f t="shared" si="5"/>
        <v>CN70933700</v>
      </c>
    </row>
    <row r="358" spans="1:6" x14ac:dyDescent="0.25">
      <c r="A358" s="6">
        <v>709349007</v>
      </c>
      <c r="B358" s="5" t="s">
        <v>428</v>
      </c>
      <c r="C358" t="s">
        <v>159</v>
      </c>
      <c r="E358" s="42">
        <f>VALUE(MID(Tabla1[[#This Row],[RUT]],1,LEN(Tabla1[[#This Row],[RUT]])-1))</f>
        <v>70934900</v>
      </c>
      <c r="F358" t="str">
        <f t="shared" si="5"/>
        <v>CN70934900</v>
      </c>
    </row>
    <row r="359" spans="1:6" x14ac:dyDescent="0.25">
      <c r="A359" s="6">
        <v>709372009</v>
      </c>
      <c r="B359" s="5" t="s">
        <v>429</v>
      </c>
      <c r="C359" t="s">
        <v>159</v>
      </c>
      <c r="E359" s="42">
        <f>VALUE(MID(Tabla1[[#This Row],[RUT]],1,LEN(Tabla1[[#This Row],[RUT]])-1))</f>
        <v>70937200</v>
      </c>
      <c r="F359" t="str">
        <f t="shared" si="5"/>
        <v>CN70937200</v>
      </c>
    </row>
    <row r="360" spans="1:6" x14ac:dyDescent="0.25">
      <c r="A360" s="21">
        <v>709388002</v>
      </c>
      <c r="B360" s="10" t="s">
        <v>430</v>
      </c>
      <c r="C360" t="s">
        <v>159</v>
      </c>
      <c r="E360" s="42">
        <f>VALUE(MID(Tabla1[[#This Row],[RUT]],1,LEN(Tabla1[[#This Row],[RUT]])-1))</f>
        <v>70938800</v>
      </c>
      <c r="F360" t="str">
        <f t="shared" si="5"/>
        <v>CN70938800</v>
      </c>
    </row>
    <row r="361" spans="1:6" x14ac:dyDescent="0.25">
      <c r="A361" s="20">
        <v>709542001</v>
      </c>
      <c r="B361" s="9" t="s">
        <v>431</v>
      </c>
      <c r="C361" t="s">
        <v>159</v>
      </c>
      <c r="E361" s="42">
        <f>VALUE(MID(Tabla1[[#This Row],[RUT]],1,LEN(Tabla1[[#This Row],[RUT]])-1))</f>
        <v>70954200</v>
      </c>
      <c r="F361" t="str">
        <f t="shared" si="5"/>
        <v>CN70954200</v>
      </c>
    </row>
    <row r="362" spans="1:6" x14ac:dyDescent="0.25">
      <c r="A362" s="6">
        <v>709836005</v>
      </c>
      <c r="B362" s="5" t="s">
        <v>432</v>
      </c>
      <c r="C362" t="s">
        <v>159</v>
      </c>
      <c r="E362" s="42">
        <f>VALUE(MID(Tabla1[[#This Row],[RUT]],1,LEN(Tabla1[[#This Row],[RUT]])-1))</f>
        <v>70983600</v>
      </c>
      <c r="F362" t="str">
        <f t="shared" si="5"/>
        <v>CN70983600</v>
      </c>
    </row>
    <row r="363" spans="1:6" x14ac:dyDescent="0.25">
      <c r="A363" s="6">
        <v>709932004</v>
      </c>
      <c r="B363" s="5" t="s">
        <v>433</v>
      </c>
      <c r="C363" t="s">
        <v>159</v>
      </c>
      <c r="E363" s="42">
        <f>VALUE(MID(Tabla1[[#This Row],[RUT]],1,LEN(Tabla1[[#This Row],[RUT]])-1))</f>
        <v>70993200</v>
      </c>
      <c r="F363" t="str">
        <f t="shared" si="5"/>
        <v>CN70993200</v>
      </c>
    </row>
    <row r="364" spans="1:6" x14ac:dyDescent="0.25">
      <c r="A364" s="6">
        <v>710142009</v>
      </c>
      <c r="B364" s="5" t="s">
        <v>434</v>
      </c>
      <c r="C364" t="s">
        <v>159</v>
      </c>
      <c r="E364" s="42">
        <f>VALUE(MID(Tabla1[[#This Row],[RUT]],1,LEN(Tabla1[[#This Row],[RUT]])-1))</f>
        <v>71014200</v>
      </c>
      <c r="F364" t="str">
        <f t="shared" si="5"/>
        <v>CN71014200</v>
      </c>
    </row>
    <row r="365" spans="1:6" x14ac:dyDescent="0.25">
      <c r="A365" s="6">
        <v>710163006</v>
      </c>
      <c r="B365" s="5" t="s">
        <v>435</v>
      </c>
      <c r="C365" t="s">
        <v>159</v>
      </c>
      <c r="E365" s="42">
        <f>VALUE(MID(Tabla1[[#This Row],[RUT]],1,LEN(Tabla1[[#This Row],[RUT]])-1))</f>
        <v>71016300</v>
      </c>
      <c r="F365" t="str">
        <f t="shared" si="5"/>
        <v>CN71016300</v>
      </c>
    </row>
    <row r="366" spans="1:6" x14ac:dyDescent="0.25">
      <c r="A366" s="6">
        <v>711026002</v>
      </c>
      <c r="B366" s="5" t="s">
        <v>436</v>
      </c>
      <c r="C366" t="s">
        <v>159</v>
      </c>
      <c r="E366" s="42">
        <f>VALUE(MID(Tabla1[[#This Row],[RUT]],1,LEN(Tabla1[[#This Row],[RUT]])-1))</f>
        <v>71102600</v>
      </c>
      <c r="F366" t="str">
        <f t="shared" si="5"/>
        <v>CN71102600</v>
      </c>
    </row>
    <row r="367" spans="1:6" x14ac:dyDescent="0.25">
      <c r="A367" s="6">
        <v>711272003</v>
      </c>
      <c r="B367" s="5" t="s">
        <v>437</v>
      </c>
      <c r="C367" t="s">
        <v>159</v>
      </c>
      <c r="E367" s="42">
        <f>VALUE(MID(Tabla1[[#This Row],[RUT]],1,LEN(Tabla1[[#This Row],[RUT]])-1))</f>
        <v>71127200</v>
      </c>
      <c r="F367" t="str">
        <f t="shared" si="5"/>
        <v>CN71127200</v>
      </c>
    </row>
    <row r="368" spans="1:6" x14ac:dyDescent="0.25">
      <c r="A368" s="6">
        <v>711460004</v>
      </c>
      <c r="B368" s="5" t="s">
        <v>438</v>
      </c>
      <c r="C368" t="s">
        <v>159</v>
      </c>
      <c r="E368" s="42">
        <f>VALUE(MID(Tabla1[[#This Row],[RUT]],1,LEN(Tabla1[[#This Row],[RUT]])-1))</f>
        <v>71146000</v>
      </c>
      <c r="F368" t="str">
        <f t="shared" si="5"/>
        <v>CN71146000</v>
      </c>
    </row>
    <row r="369" spans="1:6" x14ac:dyDescent="0.25">
      <c r="A369" s="6">
        <v>711497005</v>
      </c>
      <c r="B369" s="5" t="s">
        <v>439</v>
      </c>
      <c r="C369" t="s">
        <v>159</v>
      </c>
      <c r="E369" s="42">
        <f>VALUE(MID(Tabla1[[#This Row],[RUT]],1,LEN(Tabla1[[#This Row],[RUT]])-1))</f>
        <v>71149700</v>
      </c>
      <c r="F369" t="str">
        <f t="shared" si="5"/>
        <v>CN71149700</v>
      </c>
    </row>
    <row r="370" spans="1:6" x14ac:dyDescent="0.25">
      <c r="A370" s="6">
        <v>711609008</v>
      </c>
      <c r="B370" s="5" t="s">
        <v>440</v>
      </c>
      <c r="C370" t="s">
        <v>159</v>
      </c>
      <c r="E370" s="42">
        <f>VALUE(MID(Tabla1[[#This Row],[RUT]],1,LEN(Tabla1[[#This Row],[RUT]])-1))</f>
        <v>71160900</v>
      </c>
      <c r="F370" t="str">
        <f t="shared" si="5"/>
        <v>CN71160900</v>
      </c>
    </row>
    <row r="371" spans="1:6" x14ac:dyDescent="0.25">
      <c r="A371" s="19">
        <v>711643001</v>
      </c>
      <c r="B371" s="8" t="s">
        <v>441</v>
      </c>
      <c r="C371" t="s">
        <v>159</v>
      </c>
      <c r="E371" s="42">
        <f>VALUE(MID(Tabla1[[#This Row],[RUT]],1,LEN(Tabla1[[#This Row],[RUT]])-1))</f>
        <v>71164300</v>
      </c>
      <c r="F371" t="str">
        <f t="shared" si="5"/>
        <v>CN71164300</v>
      </c>
    </row>
    <row r="372" spans="1:6" x14ac:dyDescent="0.25">
      <c r="A372" s="6">
        <v>711658009</v>
      </c>
      <c r="B372" s="5" t="s">
        <v>442</v>
      </c>
      <c r="C372" t="s">
        <v>159</v>
      </c>
      <c r="E372" s="42">
        <f>VALUE(MID(Tabla1[[#This Row],[RUT]],1,LEN(Tabla1[[#This Row],[RUT]])-1))</f>
        <v>71165800</v>
      </c>
      <c r="F372" t="str">
        <f t="shared" si="5"/>
        <v>CN71165800</v>
      </c>
    </row>
    <row r="373" spans="1:6" x14ac:dyDescent="0.25">
      <c r="A373" s="21">
        <v>711731008</v>
      </c>
      <c r="B373" s="10" t="s">
        <v>443</v>
      </c>
      <c r="C373" t="s">
        <v>159</v>
      </c>
      <c r="E373" s="42">
        <f>VALUE(MID(Tabla1[[#This Row],[RUT]],1,LEN(Tabla1[[#This Row],[RUT]])-1))</f>
        <v>71173100</v>
      </c>
      <c r="F373" t="str">
        <f t="shared" si="5"/>
        <v>CN71173100</v>
      </c>
    </row>
    <row r="374" spans="1:6" x14ac:dyDescent="0.25">
      <c r="A374" s="22">
        <v>712341009</v>
      </c>
      <c r="B374" s="11" t="s">
        <v>806</v>
      </c>
      <c r="C374" t="s">
        <v>159</v>
      </c>
      <c r="E374" s="42">
        <f>VALUE(MID(Tabla1[[#This Row],[RUT]],1,LEN(Tabla1[[#This Row],[RUT]])-1))</f>
        <v>71234100</v>
      </c>
      <c r="F374" t="str">
        <f t="shared" si="5"/>
        <v>CN71234100</v>
      </c>
    </row>
    <row r="375" spans="1:6" x14ac:dyDescent="0.25">
      <c r="A375" s="21">
        <v>712815000</v>
      </c>
      <c r="B375" s="10" t="s">
        <v>444</v>
      </c>
      <c r="C375" t="s">
        <v>159</v>
      </c>
      <c r="E375" s="42">
        <f>VALUE(MID(Tabla1[[#This Row],[RUT]],1,LEN(Tabla1[[#This Row],[RUT]])-1))</f>
        <v>71281500</v>
      </c>
      <c r="F375" t="str">
        <f t="shared" si="5"/>
        <v>CN71281500</v>
      </c>
    </row>
    <row r="376" spans="1:6" x14ac:dyDescent="0.25">
      <c r="A376" s="6">
        <v>712939001</v>
      </c>
      <c r="B376" s="5" t="s">
        <v>445</v>
      </c>
      <c r="C376" t="s">
        <v>159</v>
      </c>
      <c r="E376" s="42">
        <f>VALUE(MID(Tabla1[[#This Row],[RUT]],1,LEN(Tabla1[[#This Row],[RUT]])-1))</f>
        <v>71293900</v>
      </c>
      <c r="F376" t="str">
        <f t="shared" si="5"/>
        <v>CN71293900</v>
      </c>
    </row>
    <row r="377" spans="1:6" x14ac:dyDescent="0.25">
      <c r="A377" s="6">
        <v>712990007</v>
      </c>
      <c r="B377" s="5" t="s">
        <v>446</v>
      </c>
      <c r="C377" t="s">
        <v>159</v>
      </c>
      <c r="E377" s="42">
        <f>VALUE(MID(Tabla1[[#This Row],[RUT]],1,LEN(Tabla1[[#This Row],[RUT]])-1))</f>
        <v>71299000</v>
      </c>
      <c r="F377" t="str">
        <f t="shared" si="5"/>
        <v>CN71299000</v>
      </c>
    </row>
    <row r="378" spans="1:6" x14ac:dyDescent="0.25">
      <c r="A378" s="6">
        <v>713286001</v>
      </c>
      <c r="B378" s="5" t="s">
        <v>447</v>
      </c>
      <c r="C378" t="s">
        <v>159</v>
      </c>
      <c r="E378" s="42">
        <f>VALUE(MID(Tabla1[[#This Row],[RUT]],1,LEN(Tabla1[[#This Row],[RUT]])-1))</f>
        <v>71328600</v>
      </c>
      <c r="F378" t="str">
        <f t="shared" si="5"/>
        <v>CN71328600</v>
      </c>
    </row>
    <row r="379" spans="1:6" x14ac:dyDescent="0.25">
      <c r="A379" s="6">
        <v>713699004</v>
      </c>
      <c r="B379" s="5" t="s">
        <v>448</v>
      </c>
      <c r="C379" t="s">
        <v>159</v>
      </c>
      <c r="E379" s="42">
        <f>VALUE(MID(Tabla1[[#This Row],[RUT]],1,LEN(Tabla1[[#This Row],[RUT]])-1))</f>
        <v>71369900</v>
      </c>
      <c r="F379" t="str">
        <f t="shared" si="5"/>
        <v>CN71369900</v>
      </c>
    </row>
    <row r="380" spans="1:6" x14ac:dyDescent="0.25">
      <c r="A380" s="6">
        <v>714207008</v>
      </c>
      <c r="B380" s="5" t="s">
        <v>449</v>
      </c>
      <c r="C380" t="s">
        <v>159</v>
      </c>
      <c r="E380" s="42">
        <f>VALUE(MID(Tabla1[[#This Row],[RUT]],1,LEN(Tabla1[[#This Row],[RUT]])-1))</f>
        <v>71420700</v>
      </c>
      <c r="F380" t="str">
        <f t="shared" si="5"/>
        <v>CN71420700</v>
      </c>
    </row>
    <row r="381" spans="1:6" x14ac:dyDescent="0.25">
      <c r="A381" s="18">
        <v>714555006</v>
      </c>
      <c r="B381" s="7" t="s">
        <v>450</v>
      </c>
      <c r="C381" t="s">
        <v>159</v>
      </c>
      <c r="E381" s="42">
        <f>VALUE(MID(Tabla1[[#This Row],[RUT]],1,LEN(Tabla1[[#This Row],[RUT]])-1))</f>
        <v>71455500</v>
      </c>
      <c r="F381" t="str">
        <f t="shared" si="5"/>
        <v>CN71455500</v>
      </c>
    </row>
    <row r="382" spans="1:6" x14ac:dyDescent="0.25">
      <c r="A382" s="21">
        <v>714974009</v>
      </c>
      <c r="B382" s="10" t="s">
        <v>451</v>
      </c>
      <c r="C382" t="s">
        <v>159</v>
      </c>
      <c r="E382" s="42">
        <f>VALUE(MID(Tabla1[[#This Row],[RUT]],1,LEN(Tabla1[[#This Row],[RUT]])-1))</f>
        <v>71497400</v>
      </c>
      <c r="F382" t="str">
        <f t="shared" si="5"/>
        <v>CN71497400</v>
      </c>
    </row>
    <row r="383" spans="1:6" x14ac:dyDescent="0.25">
      <c r="A383" s="18">
        <v>716333000</v>
      </c>
      <c r="B383" s="7" t="s">
        <v>452</v>
      </c>
      <c r="C383" t="s">
        <v>159</v>
      </c>
      <c r="E383" s="42">
        <f>VALUE(MID(Tabla1[[#This Row],[RUT]],1,LEN(Tabla1[[#This Row],[RUT]])-1))</f>
        <v>71633300</v>
      </c>
      <c r="F383" t="str">
        <f t="shared" si="5"/>
        <v>CN71633300</v>
      </c>
    </row>
    <row r="384" spans="1:6" x14ac:dyDescent="0.25">
      <c r="A384" s="6">
        <v>725295006</v>
      </c>
      <c r="B384" s="5" t="s">
        <v>453</v>
      </c>
      <c r="C384" t="s">
        <v>159</v>
      </c>
      <c r="E384" s="42">
        <f>VALUE(MID(Tabla1[[#This Row],[RUT]],1,LEN(Tabla1[[#This Row],[RUT]])-1))</f>
        <v>72529500</v>
      </c>
      <c r="F384" t="str">
        <f t="shared" si="5"/>
        <v>CN72529500</v>
      </c>
    </row>
    <row r="385" spans="1:6" x14ac:dyDescent="0.25">
      <c r="A385" s="6">
        <v>727625003</v>
      </c>
      <c r="B385" s="5" t="s">
        <v>454</v>
      </c>
      <c r="C385" t="s">
        <v>159</v>
      </c>
      <c r="E385" s="42">
        <f>VALUE(MID(Tabla1[[#This Row],[RUT]],1,LEN(Tabla1[[#This Row],[RUT]])-1))</f>
        <v>72762500</v>
      </c>
      <c r="F385" t="str">
        <f t="shared" si="5"/>
        <v>CN72762500</v>
      </c>
    </row>
    <row r="386" spans="1:6" x14ac:dyDescent="0.25">
      <c r="A386" s="21">
        <v>735686003</v>
      </c>
      <c r="B386" s="10" t="s">
        <v>455</v>
      </c>
      <c r="C386" t="s">
        <v>159</v>
      </c>
      <c r="E386" s="42">
        <f>VALUE(MID(Tabla1[[#This Row],[RUT]],1,LEN(Tabla1[[#This Row],[RUT]])-1))</f>
        <v>73568600</v>
      </c>
      <c r="F386" t="str">
        <f t="shared" si="5"/>
        <v>CN73568600</v>
      </c>
    </row>
    <row r="387" spans="1:6" x14ac:dyDescent="0.25">
      <c r="A387" s="6">
        <v>760006165</v>
      </c>
      <c r="B387" s="5" t="s">
        <v>456</v>
      </c>
      <c r="C387" t="s">
        <v>159</v>
      </c>
      <c r="E387" s="42">
        <f>VALUE(MID(Tabla1[[#This Row],[RUT]],1,LEN(Tabla1[[#This Row],[RUT]])-1))</f>
        <v>76000616</v>
      </c>
      <c r="F387" t="str">
        <f t="shared" ref="F387:F450" si="6">"CN"&amp;E387</f>
        <v>CN76000616</v>
      </c>
    </row>
    <row r="388" spans="1:6" x14ac:dyDescent="0.25">
      <c r="A388" s="6">
        <v>760125512</v>
      </c>
      <c r="B388" s="5" t="s">
        <v>457</v>
      </c>
      <c r="C388" t="s">
        <v>159</v>
      </c>
      <c r="E388" s="42">
        <f>VALUE(MID(Tabla1[[#This Row],[RUT]],1,LEN(Tabla1[[#This Row],[RUT]])-1))</f>
        <v>76012551</v>
      </c>
      <c r="F388" t="str">
        <f t="shared" si="6"/>
        <v>CN76012551</v>
      </c>
    </row>
    <row r="389" spans="1:6" x14ac:dyDescent="0.25">
      <c r="A389" s="6">
        <v>760262536</v>
      </c>
      <c r="B389" s="5" t="s">
        <v>458</v>
      </c>
      <c r="C389" t="s">
        <v>159</v>
      </c>
      <c r="E389" s="42">
        <f>VALUE(MID(Tabla1[[#This Row],[RUT]],1,LEN(Tabla1[[#This Row],[RUT]])-1))</f>
        <v>76026253</v>
      </c>
      <c r="F389" t="str">
        <f t="shared" si="6"/>
        <v>CN76026253</v>
      </c>
    </row>
    <row r="390" spans="1:6" x14ac:dyDescent="0.25">
      <c r="A390" s="18">
        <v>760329800</v>
      </c>
      <c r="B390" s="7" t="s">
        <v>459</v>
      </c>
      <c r="C390" t="s">
        <v>159</v>
      </c>
      <c r="E390" s="42">
        <f>VALUE(MID(Tabla1[[#This Row],[RUT]],1,LEN(Tabla1[[#This Row],[RUT]])-1))</f>
        <v>76032980</v>
      </c>
      <c r="F390" t="str">
        <f t="shared" si="6"/>
        <v>CN76032980</v>
      </c>
    </row>
    <row r="391" spans="1:6" x14ac:dyDescent="0.25">
      <c r="A391" s="6">
        <v>760465631</v>
      </c>
      <c r="B391" s="5" t="s">
        <v>807</v>
      </c>
      <c r="C391" t="s">
        <v>159</v>
      </c>
      <c r="E391" s="42">
        <f>VALUE(MID(Tabla1[[#This Row],[RUT]],1,LEN(Tabla1[[#This Row],[RUT]])-1))</f>
        <v>76046563</v>
      </c>
      <c r="F391" t="str">
        <f t="shared" si="6"/>
        <v>CN76046563</v>
      </c>
    </row>
    <row r="392" spans="1:6" x14ac:dyDescent="0.25">
      <c r="A392" s="6">
        <v>760477001</v>
      </c>
      <c r="B392" s="5" t="s">
        <v>460</v>
      </c>
      <c r="C392" t="s">
        <v>159</v>
      </c>
      <c r="E392" s="42">
        <f>VALUE(MID(Tabla1[[#This Row],[RUT]],1,LEN(Tabla1[[#This Row],[RUT]])-1))</f>
        <v>76047700</v>
      </c>
      <c r="F392" t="str">
        <f t="shared" si="6"/>
        <v>CN76047700</v>
      </c>
    </row>
    <row r="393" spans="1:6" x14ac:dyDescent="0.25">
      <c r="A393" s="18">
        <v>760534870</v>
      </c>
      <c r="B393" s="7" t="s">
        <v>808</v>
      </c>
      <c r="C393" t="s">
        <v>159</v>
      </c>
      <c r="E393" s="42">
        <f>VALUE(MID(Tabla1[[#This Row],[RUT]],1,LEN(Tabla1[[#This Row],[RUT]])-1))</f>
        <v>76053487</v>
      </c>
      <c r="F393" t="str">
        <f t="shared" si="6"/>
        <v>CN76053487</v>
      </c>
    </row>
    <row r="394" spans="1:6" x14ac:dyDescent="0.25">
      <c r="A394" s="21">
        <v>760649511</v>
      </c>
      <c r="B394" s="10" t="s">
        <v>809</v>
      </c>
      <c r="C394" t="s">
        <v>159</v>
      </c>
      <c r="E394" s="42">
        <f>VALUE(MID(Tabla1[[#This Row],[RUT]],1,LEN(Tabla1[[#This Row],[RUT]])-1))</f>
        <v>76064951</v>
      </c>
      <c r="F394" t="str">
        <f t="shared" si="6"/>
        <v>CN76064951</v>
      </c>
    </row>
    <row r="395" spans="1:6" x14ac:dyDescent="0.25">
      <c r="A395" s="6">
        <v>760709115</v>
      </c>
      <c r="B395" s="5" t="s">
        <v>461</v>
      </c>
      <c r="C395" t="s">
        <v>159</v>
      </c>
      <c r="E395" s="42">
        <f>VALUE(MID(Tabla1[[#This Row],[RUT]],1,LEN(Tabla1[[#This Row],[RUT]])-1))</f>
        <v>76070911</v>
      </c>
      <c r="F395" t="str">
        <f t="shared" si="6"/>
        <v>CN76070911</v>
      </c>
    </row>
    <row r="396" spans="1:6" x14ac:dyDescent="0.25">
      <c r="A396" s="6">
        <v>760738980</v>
      </c>
      <c r="B396" s="5" t="s">
        <v>462</v>
      </c>
      <c r="C396" t="s">
        <v>159</v>
      </c>
      <c r="E396" s="42">
        <f>VALUE(MID(Tabla1[[#This Row],[RUT]],1,LEN(Tabla1[[#This Row],[RUT]])-1))</f>
        <v>76073898</v>
      </c>
      <c r="F396" t="str">
        <f t="shared" si="6"/>
        <v>CN76073898</v>
      </c>
    </row>
    <row r="397" spans="1:6" x14ac:dyDescent="0.25">
      <c r="A397" s="6">
        <v>761150065</v>
      </c>
      <c r="B397" s="5" t="s">
        <v>810</v>
      </c>
      <c r="C397" t="s">
        <v>159</v>
      </c>
      <c r="E397" s="42">
        <f>VALUE(MID(Tabla1[[#This Row],[RUT]],1,LEN(Tabla1[[#This Row],[RUT]])-1))</f>
        <v>76115006</v>
      </c>
      <c r="F397" t="str">
        <f t="shared" si="6"/>
        <v>CN76115006</v>
      </c>
    </row>
    <row r="398" spans="1:6" x14ac:dyDescent="0.25">
      <c r="A398" s="6">
        <v>761174851</v>
      </c>
      <c r="B398" s="5" t="s">
        <v>463</v>
      </c>
      <c r="C398" t="s">
        <v>159</v>
      </c>
      <c r="E398" s="42">
        <f>VALUE(MID(Tabla1[[#This Row],[RUT]],1,LEN(Tabla1[[#This Row],[RUT]])-1))</f>
        <v>76117485</v>
      </c>
      <c r="F398" t="str">
        <f t="shared" si="6"/>
        <v>CN76117485</v>
      </c>
    </row>
    <row r="399" spans="1:6" x14ac:dyDescent="0.25">
      <c r="A399" s="20">
        <v>761353470</v>
      </c>
      <c r="B399" s="9" t="s">
        <v>811</v>
      </c>
      <c r="C399" t="s">
        <v>159</v>
      </c>
      <c r="E399" s="42">
        <f>VALUE(MID(Tabla1[[#This Row],[RUT]],1,LEN(Tabla1[[#This Row],[RUT]])-1))</f>
        <v>76135347</v>
      </c>
      <c r="F399" t="str">
        <f t="shared" si="6"/>
        <v>CN76135347</v>
      </c>
    </row>
    <row r="400" spans="1:6" x14ac:dyDescent="0.25">
      <c r="A400" s="6">
        <v>761426168</v>
      </c>
      <c r="B400" s="5" t="s">
        <v>464</v>
      </c>
      <c r="C400" t="s">
        <v>159</v>
      </c>
      <c r="E400" s="42">
        <f>VALUE(MID(Tabla1[[#This Row],[RUT]],1,LEN(Tabla1[[#This Row],[RUT]])-1))</f>
        <v>76142616</v>
      </c>
      <c r="F400" t="str">
        <f t="shared" si="6"/>
        <v>CN76142616</v>
      </c>
    </row>
    <row r="401" spans="1:6" x14ac:dyDescent="0.25">
      <c r="A401" s="18">
        <v>761458922</v>
      </c>
      <c r="B401" s="7" t="s">
        <v>465</v>
      </c>
      <c r="C401" t="s">
        <v>159</v>
      </c>
      <c r="E401" s="42">
        <f>VALUE(MID(Tabla1[[#This Row],[RUT]],1,LEN(Tabla1[[#This Row],[RUT]])-1))</f>
        <v>76145892</v>
      </c>
      <c r="F401" t="str">
        <f t="shared" si="6"/>
        <v>CN76145892</v>
      </c>
    </row>
    <row r="402" spans="1:6" x14ac:dyDescent="0.25">
      <c r="A402" s="6">
        <v>761732145</v>
      </c>
      <c r="B402" s="5" t="s">
        <v>812</v>
      </c>
      <c r="C402" t="s">
        <v>159</v>
      </c>
      <c r="E402" s="42">
        <f>VALUE(MID(Tabla1[[#This Row],[RUT]],1,LEN(Tabla1[[#This Row],[RUT]])-1))</f>
        <v>76173214</v>
      </c>
      <c r="F402" t="str">
        <f t="shared" si="6"/>
        <v>CN76173214</v>
      </c>
    </row>
    <row r="403" spans="1:6" x14ac:dyDescent="0.25">
      <c r="A403" s="18">
        <v>761825534</v>
      </c>
      <c r="B403" s="7" t="s">
        <v>466</v>
      </c>
      <c r="C403" t="s">
        <v>159</v>
      </c>
      <c r="E403" s="42">
        <f>VALUE(MID(Tabla1[[#This Row],[RUT]],1,LEN(Tabla1[[#This Row],[RUT]])-1))</f>
        <v>76182553</v>
      </c>
      <c r="F403" t="str">
        <f t="shared" si="6"/>
        <v>CN76182553</v>
      </c>
    </row>
    <row r="404" spans="1:6" x14ac:dyDescent="0.25">
      <c r="A404" s="20">
        <v>761843133</v>
      </c>
      <c r="B404" s="9" t="s">
        <v>467</v>
      </c>
      <c r="C404" t="s">
        <v>159</v>
      </c>
      <c r="E404" s="42">
        <f>VALUE(MID(Tabla1[[#This Row],[RUT]],1,LEN(Tabla1[[#This Row],[RUT]])-1))</f>
        <v>76184313</v>
      </c>
      <c r="F404" t="str">
        <f t="shared" si="6"/>
        <v>CN76184313</v>
      </c>
    </row>
    <row r="405" spans="1:6" x14ac:dyDescent="0.25">
      <c r="A405" s="20">
        <v>761912631</v>
      </c>
      <c r="B405" s="9" t="s">
        <v>813</v>
      </c>
      <c r="C405" t="s">
        <v>159</v>
      </c>
      <c r="E405" s="42">
        <f>VALUE(MID(Tabla1[[#This Row],[RUT]],1,LEN(Tabla1[[#This Row],[RUT]])-1))</f>
        <v>76191263</v>
      </c>
      <c r="F405" t="str">
        <f t="shared" si="6"/>
        <v>CN76191263</v>
      </c>
    </row>
    <row r="406" spans="1:6" x14ac:dyDescent="0.25">
      <c r="A406" s="6">
        <v>762051370</v>
      </c>
      <c r="B406" s="5" t="s">
        <v>468</v>
      </c>
      <c r="C406" t="s">
        <v>159</v>
      </c>
      <c r="E406" s="42">
        <f>VALUE(MID(Tabla1[[#This Row],[RUT]],1,LEN(Tabla1[[#This Row],[RUT]])-1))</f>
        <v>76205137</v>
      </c>
      <c r="F406" t="str">
        <f t="shared" si="6"/>
        <v>CN76205137</v>
      </c>
    </row>
    <row r="407" spans="1:6" x14ac:dyDescent="0.25">
      <c r="A407" s="21">
        <v>762051486</v>
      </c>
      <c r="B407" s="10" t="s">
        <v>469</v>
      </c>
      <c r="C407" t="s">
        <v>159</v>
      </c>
      <c r="E407" s="42">
        <f>VALUE(MID(Tabla1[[#This Row],[RUT]],1,LEN(Tabla1[[#This Row],[RUT]])-1))</f>
        <v>76205148</v>
      </c>
      <c r="F407" t="str">
        <f t="shared" si="6"/>
        <v>CN76205148</v>
      </c>
    </row>
    <row r="408" spans="1:6" x14ac:dyDescent="0.25">
      <c r="A408" s="6">
        <v>762082179</v>
      </c>
      <c r="B408" s="5" t="s">
        <v>470</v>
      </c>
      <c r="C408" t="s">
        <v>159</v>
      </c>
      <c r="E408" s="42">
        <f>VALUE(MID(Tabla1[[#This Row],[RUT]],1,LEN(Tabla1[[#This Row],[RUT]])-1))</f>
        <v>76208217</v>
      </c>
      <c r="F408" t="str">
        <f t="shared" si="6"/>
        <v>CN76208217</v>
      </c>
    </row>
    <row r="409" spans="1:6" x14ac:dyDescent="0.25">
      <c r="A409" s="6">
        <v>762098369</v>
      </c>
      <c r="B409" s="5" t="s">
        <v>814</v>
      </c>
      <c r="C409" t="s">
        <v>159</v>
      </c>
      <c r="E409" s="42">
        <f>VALUE(MID(Tabla1[[#This Row],[RUT]],1,LEN(Tabla1[[#This Row],[RUT]])-1))</f>
        <v>76209836</v>
      </c>
      <c r="F409" t="str">
        <f t="shared" si="6"/>
        <v>CN76209836</v>
      </c>
    </row>
    <row r="410" spans="1:6" x14ac:dyDescent="0.25">
      <c r="A410" s="6">
        <v>762174413</v>
      </c>
      <c r="B410" s="5" t="s">
        <v>471</v>
      </c>
      <c r="C410" t="s">
        <v>159</v>
      </c>
      <c r="E410" s="42">
        <f>VALUE(MID(Tabla1[[#This Row],[RUT]],1,LEN(Tabla1[[#This Row],[RUT]])-1))</f>
        <v>76217441</v>
      </c>
      <c r="F410" t="str">
        <f t="shared" si="6"/>
        <v>CN76217441</v>
      </c>
    </row>
    <row r="411" spans="1:6" x14ac:dyDescent="0.25">
      <c r="A411" s="6">
        <v>762177811</v>
      </c>
      <c r="B411" s="5" t="s">
        <v>472</v>
      </c>
      <c r="C411" t="s">
        <v>159</v>
      </c>
      <c r="E411" s="42">
        <f>VALUE(MID(Tabla1[[#This Row],[RUT]],1,LEN(Tabla1[[#This Row],[RUT]])-1))</f>
        <v>76217781</v>
      </c>
      <c r="F411" t="str">
        <f t="shared" si="6"/>
        <v>CN76217781</v>
      </c>
    </row>
    <row r="412" spans="1:6" x14ac:dyDescent="0.25">
      <c r="A412" s="22">
        <v>762187000</v>
      </c>
      <c r="B412" s="11" t="s">
        <v>473</v>
      </c>
      <c r="C412" t="s">
        <v>159</v>
      </c>
      <c r="E412" s="42">
        <f>VALUE(MID(Tabla1[[#This Row],[RUT]],1,LEN(Tabla1[[#This Row],[RUT]])-1))</f>
        <v>76218700</v>
      </c>
      <c r="F412" t="str">
        <f t="shared" si="6"/>
        <v>CN76218700</v>
      </c>
    </row>
    <row r="413" spans="1:6" x14ac:dyDescent="0.25">
      <c r="A413" s="6">
        <v>762232782</v>
      </c>
      <c r="B413" s="5" t="s">
        <v>474</v>
      </c>
      <c r="C413" t="s">
        <v>159</v>
      </c>
      <c r="E413" s="42">
        <f>VALUE(MID(Tabla1[[#This Row],[RUT]],1,LEN(Tabla1[[#This Row],[RUT]])-1))</f>
        <v>76223278</v>
      </c>
      <c r="F413" t="str">
        <f t="shared" si="6"/>
        <v>CN76223278</v>
      </c>
    </row>
    <row r="414" spans="1:6" x14ac:dyDescent="0.25">
      <c r="A414" s="6">
        <v>762255294</v>
      </c>
      <c r="B414" s="5" t="s">
        <v>475</v>
      </c>
      <c r="C414" t="s">
        <v>159</v>
      </c>
      <c r="E414" s="42">
        <f>VALUE(MID(Tabla1[[#This Row],[RUT]],1,LEN(Tabla1[[#This Row],[RUT]])-1))</f>
        <v>76225529</v>
      </c>
      <c r="F414" t="str">
        <f t="shared" si="6"/>
        <v>CN76225529</v>
      </c>
    </row>
    <row r="415" spans="1:6" x14ac:dyDescent="0.25">
      <c r="A415" s="18">
        <v>762421925</v>
      </c>
      <c r="B415" s="7" t="s">
        <v>815</v>
      </c>
      <c r="C415" t="s">
        <v>159</v>
      </c>
      <c r="E415" s="42">
        <f>VALUE(MID(Tabla1[[#This Row],[RUT]],1,LEN(Tabla1[[#This Row],[RUT]])-1))</f>
        <v>76242192</v>
      </c>
      <c r="F415" t="str">
        <f t="shared" si="6"/>
        <v>CN76242192</v>
      </c>
    </row>
    <row r="416" spans="1:6" x14ac:dyDescent="0.25">
      <c r="A416" s="21">
        <v>762569094</v>
      </c>
      <c r="B416" s="10" t="s">
        <v>816</v>
      </c>
      <c r="C416" t="s">
        <v>159</v>
      </c>
      <c r="E416" s="42">
        <f>VALUE(MID(Tabla1[[#This Row],[RUT]],1,LEN(Tabla1[[#This Row],[RUT]])-1))</f>
        <v>76256909</v>
      </c>
      <c r="F416" t="str">
        <f t="shared" si="6"/>
        <v>CN76256909</v>
      </c>
    </row>
    <row r="417" spans="1:6" x14ac:dyDescent="0.25">
      <c r="A417" s="6">
        <v>762666510</v>
      </c>
      <c r="B417" s="5" t="s">
        <v>476</v>
      </c>
      <c r="C417" t="s">
        <v>159</v>
      </c>
      <c r="E417" s="42">
        <f>VALUE(MID(Tabla1[[#This Row],[RUT]],1,LEN(Tabla1[[#This Row],[RUT]])-1))</f>
        <v>76266651</v>
      </c>
      <c r="F417" t="str">
        <f t="shared" si="6"/>
        <v>CN76266651</v>
      </c>
    </row>
    <row r="418" spans="1:6" x14ac:dyDescent="0.25">
      <c r="A418" s="18">
        <v>762887231</v>
      </c>
      <c r="B418" s="7" t="s">
        <v>817</v>
      </c>
      <c r="C418" t="s">
        <v>159</v>
      </c>
      <c r="E418" s="42">
        <f>VALUE(MID(Tabla1[[#This Row],[RUT]],1,LEN(Tabla1[[#This Row],[RUT]])-1))</f>
        <v>76288723</v>
      </c>
      <c r="F418" t="str">
        <f t="shared" si="6"/>
        <v>CN76288723</v>
      </c>
    </row>
    <row r="419" spans="1:6" ht="30" x14ac:dyDescent="0.25">
      <c r="A419" s="6">
        <v>763244970</v>
      </c>
      <c r="B419" s="5" t="s">
        <v>477</v>
      </c>
      <c r="C419" t="s">
        <v>159</v>
      </c>
      <c r="E419" s="42">
        <f>VALUE(MID(Tabla1[[#This Row],[RUT]],1,LEN(Tabla1[[#This Row],[RUT]])-1))</f>
        <v>76324497</v>
      </c>
      <c r="F419" t="str">
        <f t="shared" si="6"/>
        <v>CN76324497</v>
      </c>
    </row>
    <row r="420" spans="1:6" x14ac:dyDescent="0.25">
      <c r="A420" s="6">
        <v>763456226</v>
      </c>
      <c r="B420" s="5" t="s">
        <v>818</v>
      </c>
      <c r="C420" t="s">
        <v>159</v>
      </c>
      <c r="E420" s="42">
        <f>VALUE(MID(Tabla1[[#This Row],[RUT]],1,LEN(Tabla1[[#This Row],[RUT]])-1))</f>
        <v>76345622</v>
      </c>
      <c r="F420" t="str">
        <f t="shared" si="6"/>
        <v>CN76345622</v>
      </c>
    </row>
    <row r="421" spans="1:6" x14ac:dyDescent="0.25">
      <c r="A421" s="18">
        <v>763489477</v>
      </c>
      <c r="B421" s="7" t="s">
        <v>819</v>
      </c>
      <c r="C421" t="s">
        <v>159</v>
      </c>
      <c r="E421" s="42">
        <f>VALUE(MID(Tabla1[[#This Row],[RUT]],1,LEN(Tabla1[[#This Row],[RUT]])-1))</f>
        <v>76348947</v>
      </c>
      <c r="F421" t="str">
        <f t="shared" si="6"/>
        <v>CN76348947</v>
      </c>
    </row>
    <row r="422" spans="1:6" x14ac:dyDescent="0.25">
      <c r="A422" s="22">
        <v>763713024</v>
      </c>
      <c r="B422" s="11" t="s">
        <v>478</v>
      </c>
      <c r="C422" t="s">
        <v>159</v>
      </c>
      <c r="E422" s="42">
        <f>VALUE(MID(Tabla1[[#This Row],[RUT]],1,LEN(Tabla1[[#This Row],[RUT]])-1))</f>
        <v>76371302</v>
      </c>
      <c r="F422" t="str">
        <f t="shared" si="6"/>
        <v>CN76371302</v>
      </c>
    </row>
    <row r="423" spans="1:6" x14ac:dyDescent="0.25">
      <c r="A423" s="22">
        <v>763893839</v>
      </c>
      <c r="B423" s="11" t="s">
        <v>479</v>
      </c>
      <c r="C423" t="s">
        <v>159</v>
      </c>
      <c r="E423" s="42">
        <f>VALUE(MID(Tabla1[[#This Row],[RUT]],1,LEN(Tabla1[[#This Row],[RUT]])-1))</f>
        <v>76389383</v>
      </c>
      <c r="F423" t="str">
        <f t="shared" si="6"/>
        <v>CN76389383</v>
      </c>
    </row>
    <row r="424" spans="1:6" x14ac:dyDescent="0.25">
      <c r="A424" s="19">
        <v>763991776</v>
      </c>
      <c r="B424" s="8" t="s">
        <v>820</v>
      </c>
      <c r="C424" t="s">
        <v>159</v>
      </c>
      <c r="E424" s="42">
        <f>VALUE(MID(Tabla1[[#This Row],[RUT]],1,LEN(Tabla1[[#This Row],[RUT]])-1))</f>
        <v>76399177</v>
      </c>
      <c r="F424" t="str">
        <f t="shared" si="6"/>
        <v>CN76399177</v>
      </c>
    </row>
    <row r="425" spans="1:6" x14ac:dyDescent="0.25">
      <c r="A425" s="20">
        <v>764003837</v>
      </c>
      <c r="B425" s="9" t="s">
        <v>821</v>
      </c>
      <c r="C425" t="s">
        <v>159</v>
      </c>
      <c r="E425" s="42">
        <f>VALUE(MID(Tabla1[[#This Row],[RUT]],1,LEN(Tabla1[[#This Row],[RUT]])-1))</f>
        <v>76400383</v>
      </c>
      <c r="F425" t="str">
        <f t="shared" si="6"/>
        <v>CN76400383</v>
      </c>
    </row>
    <row r="426" spans="1:6" x14ac:dyDescent="0.25">
      <c r="A426" s="20">
        <v>764074270</v>
      </c>
      <c r="B426" s="9" t="s">
        <v>480</v>
      </c>
      <c r="C426" t="s">
        <v>159</v>
      </c>
      <c r="E426" s="42">
        <f>VALUE(MID(Tabla1[[#This Row],[RUT]],1,LEN(Tabla1[[#This Row],[RUT]])-1))</f>
        <v>76407427</v>
      </c>
      <c r="F426" t="str">
        <f t="shared" si="6"/>
        <v>CN76407427</v>
      </c>
    </row>
    <row r="427" spans="1:6" x14ac:dyDescent="0.25">
      <c r="A427" s="18">
        <v>764164660</v>
      </c>
      <c r="B427" s="7" t="s">
        <v>481</v>
      </c>
      <c r="C427" t="s">
        <v>159</v>
      </c>
      <c r="E427" s="42">
        <f>VALUE(MID(Tabla1[[#This Row],[RUT]],1,LEN(Tabla1[[#This Row],[RUT]])-1))</f>
        <v>76416466</v>
      </c>
      <c r="F427" t="str">
        <f t="shared" si="6"/>
        <v>CN76416466</v>
      </c>
    </row>
    <row r="428" spans="1:6" x14ac:dyDescent="0.25">
      <c r="A428" s="6">
        <v>764254597</v>
      </c>
      <c r="B428" s="5" t="s">
        <v>482</v>
      </c>
      <c r="C428" t="s">
        <v>159</v>
      </c>
      <c r="E428" s="42">
        <f>VALUE(MID(Tabla1[[#This Row],[RUT]],1,LEN(Tabla1[[#This Row],[RUT]])-1))</f>
        <v>76425459</v>
      </c>
      <c r="F428" t="str">
        <f t="shared" si="6"/>
        <v>CN76425459</v>
      </c>
    </row>
    <row r="429" spans="1:6" ht="30" x14ac:dyDescent="0.25">
      <c r="A429" s="22">
        <v>764523776</v>
      </c>
      <c r="B429" s="11" t="s">
        <v>483</v>
      </c>
      <c r="C429" t="s">
        <v>159</v>
      </c>
      <c r="E429" s="42">
        <f>VALUE(MID(Tabla1[[#This Row],[RUT]],1,LEN(Tabla1[[#This Row],[RUT]])-1))</f>
        <v>76452377</v>
      </c>
      <c r="F429" t="str">
        <f t="shared" si="6"/>
        <v>CN76452377</v>
      </c>
    </row>
    <row r="430" spans="1:6" x14ac:dyDescent="0.25">
      <c r="A430" s="6">
        <v>764534581</v>
      </c>
      <c r="B430" s="5" t="s">
        <v>484</v>
      </c>
      <c r="C430" t="s">
        <v>159</v>
      </c>
      <c r="E430" s="42">
        <f>VALUE(MID(Tabla1[[#This Row],[RUT]],1,LEN(Tabla1[[#This Row],[RUT]])-1))</f>
        <v>76453458</v>
      </c>
      <c r="F430" t="str">
        <f t="shared" si="6"/>
        <v>CN76453458</v>
      </c>
    </row>
    <row r="431" spans="1:6" x14ac:dyDescent="0.25">
      <c r="A431" s="6">
        <v>764605608</v>
      </c>
      <c r="B431" s="5" t="s">
        <v>822</v>
      </c>
      <c r="C431" t="s">
        <v>159</v>
      </c>
      <c r="E431" s="42">
        <f>VALUE(MID(Tabla1[[#This Row],[RUT]],1,LEN(Tabla1[[#This Row],[RUT]])-1))</f>
        <v>76460560</v>
      </c>
      <c r="F431" t="str">
        <f t="shared" si="6"/>
        <v>CN76460560</v>
      </c>
    </row>
    <row r="432" spans="1:6" x14ac:dyDescent="0.25">
      <c r="A432" s="19">
        <v>764614062</v>
      </c>
      <c r="B432" s="8" t="s">
        <v>823</v>
      </c>
      <c r="C432" t="s">
        <v>159</v>
      </c>
      <c r="E432" s="42">
        <f>VALUE(MID(Tabla1[[#This Row],[RUT]],1,LEN(Tabla1[[#This Row],[RUT]])-1))</f>
        <v>76461406</v>
      </c>
      <c r="F432" t="str">
        <f t="shared" si="6"/>
        <v>CN76461406</v>
      </c>
    </row>
    <row r="433" spans="1:6" x14ac:dyDescent="0.25">
      <c r="A433" s="6">
        <v>764755081</v>
      </c>
      <c r="B433" s="5" t="s">
        <v>824</v>
      </c>
      <c r="C433" t="s">
        <v>159</v>
      </c>
      <c r="E433" s="42">
        <f>VALUE(MID(Tabla1[[#This Row],[RUT]],1,LEN(Tabla1[[#This Row],[RUT]])-1))</f>
        <v>76475508</v>
      </c>
      <c r="F433" t="str">
        <f t="shared" si="6"/>
        <v>CN76475508</v>
      </c>
    </row>
    <row r="434" spans="1:6" x14ac:dyDescent="0.25">
      <c r="A434" s="20">
        <v>764760271</v>
      </c>
      <c r="B434" s="9" t="s">
        <v>485</v>
      </c>
      <c r="C434" t="s">
        <v>159</v>
      </c>
      <c r="E434" s="42">
        <f>VALUE(MID(Tabla1[[#This Row],[RUT]],1,LEN(Tabla1[[#This Row],[RUT]])-1))</f>
        <v>76476027</v>
      </c>
      <c r="F434" t="str">
        <f t="shared" si="6"/>
        <v>CN76476027</v>
      </c>
    </row>
    <row r="435" spans="1:6" x14ac:dyDescent="0.25">
      <c r="A435" s="22">
        <v>764793692</v>
      </c>
      <c r="B435" s="11" t="s">
        <v>825</v>
      </c>
      <c r="C435" t="s">
        <v>159</v>
      </c>
      <c r="E435" s="42">
        <f>VALUE(MID(Tabla1[[#This Row],[RUT]],1,LEN(Tabla1[[#This Row],[RUT]])-1))</f>
        <v>76479369</v>
      </c>
      <c r="F435" t="str">
        <f t="shared" si="6"/>
        <v>CN76479369</v>
      </c>
    </row>
    <row r="436" spans="1:6" x14ac:dyDescent="0.25">
      <c r="A436" s="20">
        <v>764919629</v>
      </c>
      <c r="B436" s="9" t="s">
        <v>486</v>
      </c>
      <c r="C436" t="s">
        <v>159</v>
      </c>
      <c r="E436" s="42">
        <f>VALUE(MID(Tabla1[[#This Row],[RUT]],1,LEN(Tabla1[[#This Row],[RUT]])-1))</f>
        <v>76491962</v>
      </c>
      <c r="F436" t="str">
        <f t="shared" si="6"/>
        <v>CN76491962</v>
      </c>
    </row>
    <row r="437" spans="1:6" x14ac:dyDescent="0.25">
      <c r="A437" s="18">
        <v>764954165</v>
      </c>
      <c r="B437" s="7" t="s">
        <v>487</v>
      </c>
      <c r="C437" t="s">
        <v>159</v>
      </c>
      <c r="E437" s="42">
        <f>VALUE(MID(Tabla1[[#This Row],[RUT]],1,LEN(Tabla1[[#This Row],[RUT]])-1))</f>
        <v>76495416</v>
      </c>
      <c r="F437" t="str">
        <f t="shared" si="6"/>
        <v>CN76495416</v>
      </c>
    </row>
    <row r="438" spans="1:6" x14ac:dyDescent="0.25">
      <c r="A438" s="21">
        <v>765012791</v>
      </c>
      <c r="B438" s="10" t="s">
        <v>826</v>
      </c>
      <c r="C438" t="s">
        <v>159</v>
      </c>
      <c r="E438" s="42">
        <f>VALUE(MID(Tabla1[[#This Row],[RUT]],1,LEN(Tabla1[[#This Row],[RUT]])-1))</f>
        <v>76501279</v>
      </c>
      <c r="F438" t="str">
        <f t="shared" si="6"/>
        <v>CN76501279</v>
      </c>
    </row>
    <row r="439" spans="1:6" x14ac:dyDescent="0.25">
      <c r="A439" s="6">
        <v>765208491</v>
      </c>
      <c r="B439" s="5" t="s">
        <v>488</v>
      </c>
      <c r="C439" t="s">
        <v>159</v>
      </c>
      <c r="E439" s="42">
        <f>VALUE(MID(Tabla1[[#This Row],[RUT]],1,LEN(Tabla1[[#This Row],[RUT]])-1))</f>
        <v>76520849</v>
      </c>
      <c r="F439" t="str">
        <f t="shared" si="6"/>
        <v>CN76520849</v>
      </c>
    </row>
    <row r="440" spans="1:6" x14ac:dyDescent="0.25">
      <c r="A440" s="6">
        <v>765327229</v>
      </c>
      <c r="B440" s="5" t="s">
        <v>489</v>
      </c>
      <c r="C440" t="s">
        <v>159</v>
      </c>
      <c r="E440" s="42">
        <f>VALUE(MID(Tabla1[[#This Row],[RUT]],1,LEN(Tabla1[[#This Row],[RUT]])-1))</f>
        <v>76532722</v>
      </c>
      <c r="F440" t="str">
        <f t="shared" si="6"/>
        <v>CN76532722</v>
      </c>
    </row>
    <row r="441" spans="1:6" x14ac:dyDescent="0.25">
      <c r="A441" s="21">
        <v>765464307</v>
      </c>
      <c r="B441" s="10" t="s">
        <v>827</v>
      </c>
      <c r="C441" t="s">
        <v>159</v>
      </c>
      <c r="E441" s="42">
        <f>VALUE(MID(Tabla1[[#This Row],[RUT]],1,LEN(Tabla1[[#This Row],[RUT]])-1))</f>
        <v>76546430</v>
      </c>
      <c r="F441" t="str">
        <f t="shared" si="6"/>
        <v>CN76546430</v>
      </c>
    </row>
    <row r="442" spans="1:6" x14ac:dyDescent="0.25">
      <c r="A442" s="20">
        <v>765478049</v>
      </c>
      <c r="B442" s="9" t="s">
        <v>490</v>
      </c>
      <c r="C442" t="s">
        <v>159</v>
      </c>
      <c r="E442" s="42">
        <f>VALUE(MID(Tabla1[[#This Row],[RUT]],1,LEN(Tabla1[[#This Row],[RUT]])-1))</f>
        <v>76547804</v>
      </c>
      <c r="F442" t="str">
        <f t="shared" si="6"/>
        <v>CN76547804</v>
      </c>
    </row>
    <row r="443" spans="1:6" x14ac:dyDescent="0.25">
      <c r="A443" s="18">
        <v>765626188</v>
      </c>
      <c r="B443" s="7" t="s">
        <v>491</v>
      </c>
      <c r="C443" t="s">
        <v>159</v>
      </c>
      <c r="E443" s="42">
        <f>VALUE(MID(Tabla1[[#This Row],[RUT]],1,LEN(Tabla1[[#This Row],[RUT]])-1))</f>
        <v>76562618</v>
      </c>
      <c r="F443" t="str">
        <f t="shared" si="6"/>
        <v>CN76562618</v>
      </c>
    </row>
    <row r="444" spans="1:6" x14ac:dyDescent="0.25">
      <c r="A444" s="21">
        <v>765902134</v>
      </c>
      <c r="B444" s="10" t="s">
        <v>492</v>
      </c>
      <c r="C444" t="s">
        <v>159</v>
      </c>
      <c r="E444" s="42">
        <f>VALUE(MID(Tabla1[[#This Row],[RUT]],1,LEN(Tabla1[[#This Row],[RUT]])-1))</f>
        <v>76590213</v>
      </c>
      <c r="F444" t="str">
        <f t="shared" si="6"/>
        <v>CN76590213</v>
      </c>
    </row>
    <row r="445" spans="1:6" x14ac:dyDescent="0.25">
      <c r="A445" s="6">
        <v>765946247</v>
      </c>
      <c r="B445" s="5" t="s">
        <v>828</v>
      </c>
      <c r="C445" t="s">
        <v>159</v>
      </c>
      <c r="E445" s="42">
        <f>VALUE(MID(Tabla1[[#This Row],[RUT]],1,LEN(Tabla1[[#This Row],[RUT]])-1))</f>
        <v>76594624</v>
      </c>
      <c r="F445" t="str">
        <f t="shared" si="6"/>
        <v>CN76594624</v>
      </c>
    </row>
    <row r="446" spans="1:6" x14ac:dyDescent="0.25">
      <c r="A446" s="20">
        <v>766025838</v>
      </c>
      <c r="B446" s="9" t="s">
        <v>493</v>
      </c>
      <c r="C446" t="s">
        <v>159</v>
      </c>
      <c r="E446" s="42">
        <f>VALUE(MID(Tabla1[[#This Row],[RUT]],1,LEN(Tabla1[[#This Row],[RUT]])-1))</f>
        <v>76602583</v>
      </c>
      <c r="F446" t="str">
        <f t="shared" si="6"/>
        <v>CN76602583</v>
      </c>
    </row>
    <row r="447" spans="1:6" x14ac:dyDescent="0.25">
      <c r="A447" s="6">
        <v>766208177</v>
      </c>
      <c r="B447" s="5" t="s">
        <v>494</v>
      </c>
      <c r="C447" t="s">
        <v>159</v>
      </c>
      <c r="E447" s="42">
        <f>VALUE(MID(Tabla1[[#This Row],[RUT]],1,LEN(Tabla1[[#This Row],[RUT]])-1))</f>
        <v>76620817</v>
      </c>
      <c r="F447" t="str">
        <f t="shared" si="6"/>
        <v>CN76620817</v>
      </c>
    </row>
    <row r="448" spans="1:6" x14ac:dyDescent="0.25">
      <c r="A448" s="6">
        <v>766402496</v>
      </c>
      <c r="B448" s="5" t="s">
        <v>829</v>
      </c>
      <c r="C448" t="s">
        <v>159</v>
      </c>
      <c r="E448" s="42">
        <f>VALUE(MID(Tabla1[[#This Row],[RUT]],1,LEN(Tabla1[[#This Row],[RUT]])-1))</f>
        <v>76640249</v>
      </c>
      <c r="F448" t="str">
        <f t="shared" si="6"/>
        <v>CN76640249</v>
      </c>
    </row>
    <row r="449" spans="1:6" x14ac:dyDescent="0.25">
      <c r="A449" s="6">
        <v>766425852</v>
      </c>
      <c r="B449" s="5" t="s">
        <v>495</v>
      </c>
      <c r="C449" t="s">
        <v>159</v>
      </c>
      <c r="E449" s="42">
        <f>VALUE(MID(Tabla1[[#This Row],[RUT]],1,LEN(Tabla1[[#This Row],[RUT]])-1))</f>
        <v>76642585</v>
      </c>
      <c r="F449" t="str">
        <f t="shared" si="6"/>
        <v>CN76642585</v>
      </c>
    </row>
    <row r="450" spans="1:6" x14ac:dyDescent="0.25">
      <c r="A450" s="6">
        <v>766434436</v>
      </c>
      <c r="B450" s="5" t="s">
        <v>496</v>
      </c>
      <c r="C450" t="s">
        <v>159</v>
      </c>
      <c r="E450" s="42">
        <f>VALUE(MID(Tabla1[[#This Row],[RUT]],1,LEN(Tabla1[[#This Row],[RUT]])-1))</f>
        <v>76643443</v>
      </c>
      <c r="F450" t="str">
        <f t="shared" si="6"/>
        <v>CN76643443</v>
      </c>
    </row>
    <row r="451" spans="1:6" x14ac:dyDescent="0.25">
      <c r="A451" s="22">
        <v>766456863</v>
      </c>
      <c r="B451" s="11" t="s">
        <v>497</v>
      </c>
      <c r="C451" t="s">
        <v>159</v>
      </c>
      <c r="E451" s="42">
        <f>VALUE(MID(Tabla1[[#This Row],[RUT]],1,LEN(Tabla1[[#This Row],[RUT]])-1))</f>
        <v>76645686</v>
      </c>
      <c r="F451" t="str">
        <f t="shared" ref="F451:F514" si="7">"CN"&amp;E451</f>
        <v>CN76645686</v>
      </c>
    </row>
    <row r="452" spans="1:6" x14ac:dyDescent="0.25">
      <c r="A452" s="6">
        <v>766499104</v>
      </c>
      <c r="B452" s="5" t="s">
        <v>830</v>
      </c>
      <c r="C452" t="s">
        <v>159</v>
      </c>
      <c r="E452" s="42">
        <f>VALUE(MID(Tabla1[[#This Row],[RUT]],1,LEN(Tabla1[[#This Row],[RUT]])-1))</f>
        <v>76649910</v>
      </c>
      <c r="F452" t="str">
        <f t="shared" si="7"/>
        <v>CN76649910</v>
      </c>
    </row>
    <row r="453" spans="1:6" x14ac:dyDescent="0.25">
      <c r="A453" s="19">
        <v>766666744</v>
      </c>
      <c r="B453" s="8" t="s">
        <v>498</v>
      </c>
      <c r="C453" t="s">
        <v>159</v>
      </c>
      <c r="E453" s="42">
        <f>VALUE(MID(Tabla1[[#This Row],[RUT]],1,LEN(Tabla1[[#This Row],[RUT]])-1))</f>
        <v>76666674</v>
      </c>
      <c r="F453" t="str">
        <f t="shared" si="7"/>
        <v>CN76666674</v>
      </c>
    </row>
    <row r="454" spans="1:6" x14ac:dyDescent="0.25">
      <c r="A454" s="6">
        <v>766844154</v>
      </c>
      <c r="B454" s="5" t="s">
        <v>831</v>
      </c>
      <c r="C454" t="s">
        <v>159</v>
      </c>
      <c r="E454" s="42">
        <f>VALUE(MID(Tabla1[[#This Row],[RUT]],1,LEN(Tabla1[[#This Row],[RUT]])-1))</f>
        <v>76684415</v>
      </c>
      <c r="F454" t="str">
        <f t="shared" si="7"/>
        <v>CN76684415</v>
      </c>
    </row>
    <row r="455" spans="1:6" x14ac:dyDescent="0.25">
      <c r="A455" s="22">
        <v>766862357</v>
      </c>
      <c r="B455" s="11" t="s">
        <v>499</v>
      </c>
      <c r="C455" t="s">
        <v>159</v>
      </c>
      <c r="E455" s="42">
        <f>VALUE(MID(Tabla1[[#This Row],[RUT]],1,LEN(Tabla1[[#This Row],[RUT]])-1))</f>
        <v>76686235</v>
      </c>
      <c r="F455" t="str">
        <f t="shared" si="7"/>
        <v>CN76686235</v>
      </c>
    </row>
    <row r="456" spans="1:6" x14ac:dyDescent="0.25">
      <c r="A456" s="19">
        <v>766951309</v>
      </c>
      <c r="B456" s="8" t="s">
        <v>500</v>
      </c>
      <c r="C456" t="s">
        <v>159</v>
      </c>
      <c r="E456" s="42">
        <f>VALUE(MID(Tabla1[[#This Row],[RUT]],1,LEN(Tabla1[[#This Row],[RUT]])-1))</f>
        <v>76695130</v>
      </c>
      <c r="F456" t="str">
        <f t="shared" si="7"/>
        <v>CN76695130</v>
      </c>
    </row>
    <row r="457" spans="1:6" x14ac:dyDescent="0.25">
      <c r="A457" s="21">
        <v>767166966</v>
      </c>
      <c r="B457" s="10" t="s">
        <v>501</v>
      </c>
      <c r="C457" t="s">
        <v>159</v>
      </c>
      <c r="E457" s="42">
        <f>VALUE(MID(Tabla1[[#This Row],[RUT]],1,LEN(Tabla1[[#This Row],[RUT]])-1))</f>
        <v>76716696</v>
      </c>
      <c r="F457" t="str">
        <f t="shared" si="7"/>
        <v>CN76716696</v>
      </c>
    </row>
    <row r="458" spans="1:6" x14ac:dyDescent="0.25">
      <c r="A458" s="6">
        <v>767253591</v>
      </c>
      <c r="B458" s="5" t="s">
        <v>832</v>
      </c>
      <c r="C458" t="s">
        <v>159</v>
      </c>
      <c r="E458" s="42">
        <f>VALUE(MID(Tabla1[[#This Row],[RUT]],1,LEN(Tabla1[[#This Row],[RUT]])-1))</f>
        <v>76725359</v>
      </c>
      <c r="F458" t="str">
        <f t="shared" si="7"/>
        <v>CN76725359</v>
      </c>
    </row>
    <row r="459" spans="1:6" x14ac:dyDescent="0.25">
      <c r="A459" s="6">
        <v>767382995</v>
      </c>
      <c r="B459" s="5" t="s">
        <v>502</v>
      </c>
      <c r="C459" t="s">
        <v>159</v>
      </c>
      <c r="E459" s="42">
        <f>VALUE(MID(Tabla1[[#This Row],[RUT]],1,LEN(Tabla1[[#This Row],[RUT]])-1))</f>
        <v>76738299</v>
      </c>
      <c r="F459" t="str">
        <f t="shared" si="7"/>
        <v>CN76738299</v>
      </c>
    </row>
    <row r="460" spans="1:6" x14ac:dyDescent="0.25">
      <c r="A460" s="18">
        <v>767407939</v>
      </c>
      <c r="B460" s="7" t="s">
        <v>833</v>
      </c>
      <c r="C460" t="s">
        <v>159</v>
      </c>
      <c r="E460" s="42">
        <f>VALUE(MID(Tabla1[[#This Row],[RUT]],1,LEN(Tabla1[[#This Row],[RUT]])-1))</f>
        <v>76740793</v>
      </c>
      <c r="F460" t="str">
        <f t="shared" si="7"/>
        <v>CN76740793</v>
      </c>
    </row>
    <row r="461" spans="1:6" x14ac:dyDescent="0.25">
      <c r="A461" s="18">
        <v>767409354</v>
      </c>
      <c r="B461" s="7" t="s">
        <v>834</v>
      </c>
      <c r="C461" t="s">
        <v>159</v>
      </c>
      <c r="E461" s="42">
        <f>VALUE(MID(Tabla1[[#This Row],[RUT]],1,LEN(Tabla1[[#This Row],[RUT]])-1))</f>
        <v>76740935</v>
      </c>
      <c r="F461" t="str">
        <f t="shared" si="7"/>
        <v>CN76740935</v>
      </c>
    </row>
    <row r="462" spans="1:6" x14ac:dyDescent="0.25">
      <c r="A462" s="18">
        <v>767409842</v>
      </c>
      <c r="B462" s="7" t="s">
        <v>835</v>
      </c>
      <c r="C462" t="s">
        <v>159</v>
      </c>
      <c r="E462" s="42">
        <f>VALUE(MID(Tabla1[[#This Row],[RUT]],1,LEN(Tabla1[[#This Row],[RUT]])-1))</f>
        <v>76740984</v>
      </c>
      <c r="F462" t="str">
        <f t="shared" si="7"/>
        <v>CN76740984</v>
      </c>
    </row>
    <row r="463" spans="1:6" x14ac:dyDescent="0.25">
      <c r="A463" s="6">
        <v>767486421</v>
      </c>
      <c r="B463" s="5" t="s">
        <v>503</v>
      </c>
      <c r="C463" t="s">
        <v>159</v>
      </c>
      <c r="E463" s="42">
        <f>VALUE(MID(Tabla1[[#This Row],[RUT]],1,LEN(Tabla1[[#This Row],[RUT]])-1))</f>
        <v>76748642</v>
      </c>
      <c r="F463" t="str">
        <f t="shared" si="7"/>
        <v>CN76748642</v>
      </c>
    </row>
    <row r="464" spans="1:6" x14ac:dyDescent="0.25">
      <c r="A464" s="21">
        <v>767568088</v>
      </c>
      <c r="B464" s="10" t="s">
        <v>836</v>
      </c>
      <c r="C464" t="s">
        <v>159</v>
      </c>
      <c r="E464" s="42">
        <f>VALUE(MID(Tabla1[[#This Row],[RUT]],1,LEN(Tabla1[[#This Row],[RUT]])-1))</f>
        <v>76756808</v>
      </c>
      <c r="F464" t="str">
        <f t="shared" si="7"/>
        <v>CN76756808</v>
      </c>
    </row>
    <row r="465" spans="1:6" x14ac:dyDescent="0.25">
      <c r="A465" s="21">
        <v>767754396</v>
      </c>
      <c r="B465" s="10" t="s">
        <v>504</v>
      </c>
      <c r="C465" t="s">
        <v>159</v>
      </c>
      <c r="E465" s="42">
        <f>VALUE(MID(Tabla1[[#This Row],[RUT]],1,LEN(Tabla1[[#This Row],[RUT]])-1))</f>
        <v>76775439</v>
      </c>
      <c r="F465" t="str">
        <f t="shared" si="7"/>
        <v>CN76775439</v>
      </c>
    </row>
    <row r="466" spans="1:6" x14ac:dyDescent="0.25">
      <c r="A466" s="18">
        <v>767813252</v>
      </c>
      <c r="B466" s="7" t="s">
        <v>837</v>
      </c>
      <c r="C466" t="s">
        <v>159</v>
      </c>
      <c r="E466" s="42">
        <f>VALUE(MID(Tabla1[[#This Row],[RUT]],1,LEN(Tabla1[[#This Row],[RUT]])-1))</f>
        <v>76781325</v>
      </c>
      <c r="F466" t="str">
        <f t="shared" si="7"/>
        <v>CN76781325</v>
      </c>
    </row>
    <row r="467" spans="1:6" x14ac:dyDescent="0.25">
      <c r="A467" s="19">
        <v>767884176</v>
      </c>
      <c r="B467" s="8" t="s">
        <v>838</v>
      </c>
      <c r="C467" t="s">
        <v>159</v>
      </c>
      <c r="E467" s="42">
        <f>VALUE(MID(Tabla1[[#This Row],[RUT]],1,LEN(Tabla1[[#This Row],[RUT]])-1))</f>
        <v>76788417</v>
      </c>
      <c r="F467" t="str">
        <f t="shared" si="7"/>
        <v>CN76788417</v>
      </c>
    </row>
    <row r="468" spans="1:6" x14ac:dyDescent="0.25">
      <c r="A468" s="6">
        <v>767892799</v>
      </c>
      <c r="B468" s="5" t="s">
        <v>839</v>
      </c>
      <c r="C468" t="s">
        <v>159</v>
      </c>
      <c r="E468" s="42">
        <f>VALUE(MID(Tabla1[[#This Row],[RUT]],1,LEN(Tabla1[[#This Row],[RUT]])-1))</f>
        <v>76789279</v>
      </c>
      <c r="F468" t="str">
        <f t="shared" si="7"/>
        <v>CN76789279</v>
      </c>
    </row>
    <row r="469" spans="1:6" x14ac:dyDescent="0.25">
      <c r="A469" s="18">
        <v>767904088</v>
      </c>
      <c r="B469" s="7" t="s">
        <v>840</v>
      </c>
      <c r="C469" t="s">
        <v>159</v>
      </c>
      <c r="E469" s="42">
        <f>VALUE(MID(Tabla1[[#This Row],[RUT]],1,LEN(Tabla1[[#This Row],[RUT]])-1))</f>
        <v>76790408</v>
      </c>
      <c r="F469" t="str">
        <f t="shared" si="7"/>
        <v>CN76790408</v>
      </c>
    </row>
    <row r="470" spans="1:6" x14ac:dyDescent="0.25">
      <c r="A470" s="21">
        <v>768078661</v>
      </c>
      <c r="B470" s="10" t="s">
        <v>841</v>
      </c>
      <c r="C470" t="s">
        <v>159</v>
      </c>
      <c r="E470" s="42">
        <f>VALUE(MID(Tabla1[[#This Row],[RUT]],1,LEN(Tabla1[[#This Row],[RUT]])-1))</f>
        <v>76807866</v>
      </c>
      <c r="F470" t="str">
        <f t="shared" si="7"/>
        <v>CN76807866</v>
      </c>
    </row>
    <row r="471" spans="1:6" x14ac:dyDescent="0.25">
      <c r="A471" s="6">
        <v>768142173</v>
      </c>
      <c r="B471" s="5" t="s">
        <v>505</v>
      </c>
      <c r="C471" t="s">
        <v>159</v>
      </c>
      <c r="E471" s="42">
        <f>VALUE(MID(Tabla1[[#This Row],[RUT]],1,LEN(Tabla1[[#This Row],[RUT]])-1))</f>
        <v>76814217</v>
      </c>
      <c r="F471" t="str">
        <f t="shared" si="7"/>
        <v>CN76814217</v>
      </c>
    </row>
    <row r="472" spans="1:6" x14ac:dyDescent="0.25">
      <c r="A472" s="6">
        <v>768426007</v>
      </c>
      <c r="B472" s="5" t="s">
        <v>506</v>
      </c>
      <c r="C472" t="s">
        <v>159</v>
      </c>
      <c r="E472" s="42">
        <f>VALUE(MID(Tabla1[[#This Row],[RUT]],1,LEN(Tabla1[[#This Row],[RUT]])-1))</f>
        <v>76842600</v>
      </c>
      <c r="F472" t="str">
        <f t="shared" si="7"/>
        <v>CN76842600</v>
      </c>
    </row>
    <row r="473" spans="1:6" x14ac:dyDescent="0.25">
      <c r="A473" s="20">
        <v>768449252</v>
      </c>
      <c r="B473" s="9" t="s">
        <v>507</v>
      </c>
      <c r="C473" t="s">
        <v>159</v>
      </c>
      <c r="E473" s="42">
        <f>VALUE(MID(Tabla1[[#This Row],[RUT]],1,LEN(Tabla1[[#This Row],[RUT]])-1))</f>
        <v>76844925</v>
      </c>
      <c r="F473" t="str">
        <f t="shared" si="7"/>
        <v>CN76844925</v>
      </c>
    </row>
    <row r="474" spans="1:6" x14ac:dyDescent="0.25">
      <c r="A474" s="6">
        <v>768473536</v>
      </c>
      <c r="B474" s="5" t="s">
        <v>508</v>
      </c>
      <c r="C474" t="s">
        <v>159</v>
      </c>
      <c r="E474" s="42">
        <f>VALUE(MID(Tabla1[[#This Row],[RUT]],1,LEN(Tabla1[[#This Row],[RUT]])-1))</f>
        <v>76847353</v>
      </c>
      <c r="F474" t="str">
        <f t="shared" si="7"/>
        <v>CN76847353</v>
      </c>
    </row>
    <row r="475" spans="1:6" x14ac:dyDescent="0.25">
      <c r="A475" s="18">
        <v>768526907</v>
      </c>
      <c r="B475" s="7" t="s">
        <v>842</v>
      </c>
      <c r="C475" t="s">
        <v>159</v>
      </c>
      <c r="E475" s="42">
        <f>VALUE(MID(Tabla1[[#This Row],[RUT]],1,LEN(Tabla1[[#This Row],[RUT]])-1))</f>
        <v>76852690</v>
      </c>
      <c r="F475" t="str">
        <f t="shared" si="7"/>
        <v>CN76852690</v>
      </c>
    </row>
    <row r="476" spans="1:6" x14ac:dyDescent="0.25">
      <c r="A476" s="21">
        <v>768557993</v>
      </c>
      <c r="B476" s="10" t="s">
        <v>509</v>
      </c>
      <c r="C476" t="s">
        <v>159</v>
      </c>
      <c r="E476" s="42">
        <f>VALUE(MID(Tabla1[[#This Row],[RUT]],1,LEN(Tabla1[[#This Row],[RUT]])-1))</f>
        <v>76855799</v>
      </c>
      <c r="F476" t="str">
        <f t="shared" si="7"/>
        <v>CN76855799</v>
      </c>
    </row>
    <row r="477" spans="1:6" x14ac:dyDescent="0.25">
      <c r="A477" s="6">
        <v>768658846</v>
      </c>
      <c r="B477" s="5" t="s">
        <v>510</v>
      </c>
      <c r="C477" t="s">
        <v>159</v>
      </c>
      <c r="E477" s="42">
        <f>VALUE(MID(Tabla1[[#This Row],[RUT]],1,LEN(Tabla1[[#This Row],[RUT]])-1))</f>
        <v>76865884</v>
      </c>
      <c r="F477" t="str">
        <f t="shared" si="7"/>
        <v>CN76865884</v>
      </c>
    </row>
    <row r="478" spans="1:6" x14ac:dyDescent="0.25">
      <c r="A478" s="22">
        <v>768805636</v>
      </c>
      <c r="B478" s="11" t="s">
        <v>511</v>
      </c>
      <c r="C478" t="s">
        <v>159</v>
      </c>
      <c r="E478" s="42">
        <f>VALUE(MID(Tabla1[[#This Row],[RUT]],1,LEN(Tabla1[[#This Row],[RUT]])-1))</f>
        <v>76880563</v>
      </c>
      <c r="F478" t="str">
        <f t="shared" si="7"/>
        <v>CN76880563</v>
      </c>
    </row>
    <row r="479" spans="1:6" x14ac:dyDescent="0.25">
      <c r="A479" s="19">
        <v>768893845</v>
      </c>
      <c r="B479" s="8" t="s">
        <v>512</v>
      </c>
      <c r="C479" t="s">
        <v>159</v>
      </c>
      <c r="E479" s="42">
        <f>VALUE(MID(Tabla1[[#This Row],[RUT]],1,LEN(Tabla1[[#This Row],[RUT]])-1))</f>
        <v>76889384</v>
      </c>
      <c r="F479" t="str">
        <f t="shared" si="7"/>
        <v>CN76889384</v>
      </c>
    </row>
    <row r="480" spans="1:6" x14ac:dyDescent="0.25">
      <c r="A480" s="6">
        <v>768905975</v>
      </c>
      <c r="B480" s="5" t="s">
        <v>513</v>
      </c>
      <c r="C480" t="s">
        <v>159</v>
      </c>
      <c r="E480" s="42">
        <f>VALUE(MID(Tabla1[[#This Row],[RUT]],1,LEN(Tabla1[[#This Row],[RUT]])-1))</f>
        <v>76890597</v>
      </c>
      <c r="F480" t="str">
        <f t="shared" si="7"/>
        <v>CN76890597</v>
      </c>
    </row>
    <row r="481" spans="1:6" x14ac:dyDescent="0.25">
      <c r="A481" s="6">
        <v>769396942</v>
      </c>
      <c r="B481" s="5" t="s">
        <v>514</v>
      </c>
      <c r="C481" t="s">
        <v>159</v>
      </c>
      <c r="E481" s="42">
        <f>VALUE(MID(Tabla1[[#This Row],[RUT]],1,LEN(Tabla1[[#This Row],[RUT]])-1))</f>
        <v>76939694</v>
      </c>
      <c r="F481" t="str">
        <f t="shared" si="7"/>
        <v>CN76939694</v>
      </c>
    </row>
    <row r="482" spans="1:6" x14ac:dyDescent="0.25">
      <c r="A482" s="6">
        <v>769770453</v>
      </c>
      <c r="B482" s="5" t="s">
        <v>515</v>
      </c>
      <c r="C482" t="s">
        <v>159</v>
      </c>
      <c r="E482" s="42">
        <f>VALUE(MID(Tabla1[[#This Row],[RUT]],1,LEN(Tabla1[[#This Row],[RUT]])-1))</f>
        <v>76977045</v>
      </c>
      <c r="F482" t="str">
        <f t="shared" si="7"/>
        <v>CN76977045</v>
      </c>
    </row>
    <row r="483" spans="1:6" ht="30" x14ac:dyDescent="0.25">
      <c r="A483" s="21">
        <v>769915311</v>
      </c>
      <c r="B483" s="10" t="s">
        <v>516</v>
      </c>
      <c r="C483" t="s">
        <v>159</v>
      </c>
      <c r="E483" s="42">
        <f>VALUE(MID(Tabla1[[#This Row],[RUT]],1,LEN(Tabla1[[#This Row],[RUT]])-1))</f>
        <v>76991531</v>
      </c>
      <c r="F483" t="str">
        <f t="shared" si="7"/>
        <v>CN76991531</v>
      </c>
    </row>
    <row r="484" spans="1:6" x14ac:dyDescent="0.25">
      <c r="A484" s="19">
        <v>769919759</v>
      </c>
      <c r="B484" s="8" t="s">
        <v>517</v>
      </c>
      <c r="C484" t="s">
        <v>159</v>
      </c>
      <c r="E484" s="42">
        <f>VALUE(MID(Tabla1[[#This Row],[RUT]],1,LEN(Tabla1[[#This Row],[RUT]])-1))</f>
        <v>76991975</v>
      </c>
      <c r="F484" t="str">
        <f t="shared" si="7"/>
        <v>CN76991975</v>
      </c>
    </row>
    <row r="485" spans="1:6" x14ac:dyDescent="0.25">
      <c r="A485" s="22">
        <v>769957855</v>
      </c>
      <c r="B485" s="11" t="s">
        <v>518</v>
      </c>
      <c r="C485" t="s">
        <v>159</v>
      </c>
      <c r="E485" s="42">
        <f>VALUE(MID(Tabla1[[#This Row],[RUT]],1,LEN(Tabla1[[#This Row],[RUT]])-1))</f>
        <v>76995785</v>
      </c>
      <c r="F485" t="str">
        <f t="shared" si="7"/>
        <v>CN76995785</v>
      </c>
    </row>
    <row r="486" spans="1:6" x14ac:dyDescent="0.25">
      <c r="A486" s="6">
        <v>769958789</v>
      </c>
      <c r="B486" s="5" t="s">
        <v>519</v>
      </c>
      <c r="C486" t="s">
        <v>159</v>
      </c>
      <c r="E486" s="42">
        <f>VALUE(MID(Tabla1[[#This Row],[RUT]],1,LEN(Tabla1[[#This Row],[RUT]])-1))</f>
        <v>76995878</v>
      </c>
      <c r="F486" t="str">
        <f t="shared" si="7"/>
        <v>CN76995878</v>
      </c>
    </row>
    <row r="487" spans="1:6" x14ac:dyDescent="0.25">
      <c r="A487" s="6">
        <v>769987304</v>
      </c>
      <c r="B487" s="5" t="s">
        <v>843</v>
      </c>
      <c r="C487" t="s">
        <v>159</v>
      </c>
      <c r="E487" s="42">
        <f>VALUE(MID(Tabla1[[#This Row],[RUT]],1,LEN(Tabla1[[#This Row],[RUT]])-1))</f>
        <v>76998730</v>
      </c>
      <c r="F487" t="str">
        <f t="shared" si="7"/>
        <v>CN76998730</v>
      </c>
    </row>
    <row r="488" spans="1:6" x14ac:dyDescent="0.25">
      <c r="A488" s="21">
        <v>770084466</v>
      </c>
      <c r="B488" s="10" t="s">
        <v>520</v>
      </c>
      <c r="C488" t="s">
        <v>159</v>
      </c>
      <c r="E488" s="42">
        <f>VALUE(MID(Tabla1[[#This Row],[RUT]],1,LEN(Tabla1[[#This Row],[RUT]])-1))</f>
        <v>77008446</v>
      </c>
      <c r="F488" t="str">
        <f t="shared" si="7"/>
        <v>CN77008446</v>
      </c>
    </row>
    <row r="489" spans="1:6" x14ac:dyDescent="0.25">
      <c r="A489" s="19">
        <v>770085454</v>
      </c>
      <c r="B489" s="8" t="s">
        <v>844</v>
      </c>
      <c r="C489" t="s">
        <v>159</v>
      </c>
      <c r="E489" s="42">
        <f>VALUE(MID(Tabla1[[#This Row],[RUT]],1,LEN(Tabla1[[#This Row],[RUT]])-1))</f>
        <v>77008545</v>
      </c>
      <c r="F489" t="str">
        <f t="shared" si="7"/>
        <v>CN77008545</v>
      </c>
    </row>
    <row r="490" spans="1:6" x14ac:dyDescent="0.25">
      <c r="A490" s="6">
        <v>770120012</v>
      </c>
      <c r="B490" s="5" t="s">
        <v>845</v>
      </c>
      <c r="C490" t="s">
        <v>159</v>
      </c>
      <c r="E490" s="42">
        <f>VALUE(MID(Tabla1[[#This Row],[RUT]],1,LEN(Tabla1[[#This Row],[RUT]])-1))</f>
        <v>77012001</v>
      </c>
      <c r="F490" t="str">
        <f t="shared" si="7"/>
        <v>CN77012001</v>
      </c>
    </row>
    <row r="491" spans="1:6" x14ac:dyDescent="0.25">
      <c r="A491" s="6">
        <v>770252970</v>
      </c>
      <c r="B491" s="5" t="s">
        <v>846</v>
      </c>
      <c r="C491" t="s">
        <v>159</v>
      </c>
      <c r="E491" s="42">
        <f>VALUE(MID(Tabla1[[#This Row],[RUT]],1,LEN(Tabla1[[#This Row],[RUT]])-1))</f>
        <v>77025297</v>
      </c>
      <c r="F491" t="str">
        <f t="shared" si="7"/>
        <v>CN77025297</v>
      </c>
    </row>
    <row r="492" spans="1:6" x14ac:dyDescent="0.25">
      <c r="A492" s="6">
        <v>770253160</v>
      </c>
      <c r="B492" s="5" t="s">
        <v>521</v>
      </c>
      <c r="C492" t="s">
        <v>159</v>
      </c>
      <c r="E492" s="42">
        <f>VALUE(MID(Tabla1[[#This Row],[RUT]],1,LEN(Tabla1[[#This Row],[RUT]])-1))</f>
        <v>77025316</v>
      </c>
      <c r="F492" t="str">
        <f t="shared" si="7"/>
        <v>CN77025316</v>
      </c>
    </row>
    <row r="493" spans="1:6" x14ac:dyDescent="0.25">
      <c r="A493" s="19">
        <v>770443032</v>
      </c>
      <c r="B493" s="8" t="s">
        <v>522</v>
      </c>
      <c r="C493" t="s">
        <v>159</v>
      </c>
      <c r="E493" s="42">
        <f>VALUE(MID(Tabla1[[#This Row],[RUT]],1,LEN(Tabla1[[#This Row],[RUT]])-1))</f>
        <v>77044303</v>
      </c>
      <c r="F493" t="str">
        <f t="shared" si="7"/>
        <v>CN77044303</v>
      </c>
    </row>
    <row r="494" spans="1:6" x14ac:dyDescent="0.25">
      <c r="A494" s="6">
        <v>770510473</v>
      </c>
      <c r="B494" s="5" t="s">
        <v>523</v>
      </c>
      <c r="C494" t="s">
        <v>159</v>
      </c>
      <c r="E494" s="42">
        <f>VALUE(MID(Tabla1[[#This Row],[RUT]],1,LEN(Tabla1[[#This Row],[RUT]])-1))</f>
        <v>77051047</v>
      </c>
      <c r="F494" t="str">
        <f t="shared" si="7"/>
        <v>CN77051047</v>
      </c>
    </row>
    <row r="495" spans="1:6" x14ac:dyDescent="0.25">
      <c r="A495" s="6">
        <v>770697182</v>
      </c>
      <c r="B495" s="5" t="s">
        <v>524</v>
      </c>
      <c r="C495" t="s">
        <v>159</v>
      </c>
      <c r="E495" s="42">
        <f>VALUE(MID(Tabla1[[#This Row],[RUT]],1,LEN(Tabla1[[#This Row],[RUT]])-1))</f>
        <v>77069718</v>
      </c>
      <c r="F495" t="str">
        <f t="shared" si="7"/>
        <v>CN77069718</v>
      </c>
    </row>
    <row r="496" spans="1:6" x14ac:dyDescent="0.25">
      <c r="A496" s="6">
        <v>770724309</v>
      </c>
      <c r="B496" s="5" t="s">
        <v>525</v>
      </c>
      <c r="C496" t="s">
        <v>159</v>
      </c>
      <c r="E496" s="42">
        <f>VALUE(MID(Tabla1[[#This Row],[RUT]],1,LEN(Tabla1[[#This Row],[RUT]])-1))</f>
        <v>77072430</v>
      </c>
      <c r="F496" t="str">
        <f t="shared" si="7"/>
        <v>CN77072430</v>
      </c>
    </row>
    <row r="497" spans="1:6" x14ac:dyDescent="0.25">
      <c r="A497" s="6">
        <v>770874432</v>
      </c>
      <c r="B497" s="5" t="s">
        <v>847</v>
      </c>
      <c r="C497" t="s">
        <v>159</v>
      </c>
      <c r="E497" s="42">
        <f>VALUE(MID(Tabla1[[#This Row],[RUT]],1,LEN(Tabla1[[#This Row],[RUT]])-1))</f>
        <v>77087443</v>
      </c>
      <c r="F497" t="str">
        <f t="shared" si="7"/>
        <v>CN77087443</v>
      </c>
    </row>
    <row r="498" spans="1:6" x14ac:dyDescent="0.25">
      <c r="A498" s="6">
        <v>770940354</v>
      </c>
      <c r="B498" s="5" t="s">
        <v>526</v>
      </c>
      <c r="C498" t="s">
        <v>159</v>
      </c>
      <c r="E498" s="42">
        <f>VALUE(MID(Tabla1[[#This Row],[RUT]],1,LEN(Tabla1[[#This Row],[RUT]])-1))</f>
        <v>77094035</v>
      </c>
      <c r="F498" t="str">
        <f t="shared" si="7"/>
        <v>CN77094035</v>
      </c>
    </row>
    <row r="499" spans="1:6" x14ac:dyDescent="0.25">
      <c r="A499" s="6">
        <v>771139620</v>
      </c>
      <c r="B499" s="5" t="s">
        <v>848</v>
      </c>
      <c r="C499" t="s">
        <v>159</v>
      </c>
      <c r="E499" s="42">
        <f>VALUE(MID(Tabla1[[#This Row],[RUT]],1,LEN(Tabla1[[#This Row],[RUT]])-1))</f>
        <v>77113962</v>
      </c>
      <c r="F499" t="str">
        <f t="shared" si="7"/>
        <v>CN77113962</v>
      </c>
    </row>
    <row r="500" spans="1:6" x14ac:dyDescent="0.25">
      <c r="A500" s="6">
        <v>771314945</v>
      </c>
      <c r="B500" s="5" t="s">
        <v>527</v>
      </c>
      <c r="C500" t="s">
        <v>159</v>
      </c>
      <c r="E500" s="42">
        <f>VALUE(MID(Tabla1[[#This Row],[RUT]],1,LEN(Tabla1[[#This Row],[RUT]])-1))</f>
        <v>77131494</v>
      </c>
      <c r="F500" t="str">
        <f t="shared" si="7"/>
        <v>CN77131494</v>
      </c>
    </row>
    <row r="501" spans="1:6" x14ac:dyDescent="0.25">
      <c r="A501" s="6">
        <v>771455840</v>
      </c>
      <c r="B501" s="5" t="s">
        <v>528</v>
      </c>
      <c r="C501" t="s">
        <v>159</v>
      </c>
      <c r="E501" s="42">
        <f>VALUE(MID(Tabla1[[#This Row],[RUT]],1,LEN(Tabla1[[#This Row],[RUT]])-1))</f>
        <v>77145584</v>
      </c>
      <c r="F501" t="str">
        <f t="shared" si="7"/>
        <v>CN77145584</v>
      </c>
    </row>
    <row r="502" spans="1:6" x14ac:dyDescent="0.25">
      <c r="A502" s="6">
        <v>771477356</v>
      </c>
      <c r="B502" s="5" t="s">
        <v>529</v>
      </c>
      <c r="C502" t="s">
        <v>159</v>
      </c>
      <c r="E502" s="42">
        <f>VALUE(MID(Tabla1[[#This Row],[RUT]],1,LEN(Tabla1[[#This Row],[RUT]])-1))</f>
        <v>77147735</v>
      </c>
      <c r="F502" t="str">
        <f t="shared" si="7"/>
        <v>CN77147735</v>
      </c>
    </row>
    <row r="503" spans="1:6" x14ac:dyDescent="0.25">
      <c r="A503" s="6">
        <v>771478026</v>
      </c>
      <c r="B503" s="5" t="s">
        <v>530</v>
      </c>
      <c r="C503" t="s">
        <v>159</v>
      </c>
      <c r="E503" s="42">
        <f>VALUE(MID(Tabla1[[#This Row],[RUT]],1,LEN(Tabla1[[#This Row],[RUT]])-1))</f>
        <v>77147802</v>
      </c>
      <c r="F503" t="str">
        <f t="shared" si="7"/>
        <v>CN77147802</v>
      </c>
    </row>
    <row r="504" spans="1:6" x14ac:dyDescent="0.25">
      <c r="A504" s="6">
        <v>771480330</v>
      </c>
      <c r="B504" s="5" t="s">
        <v>531</v>
      </c>
      <c r="C504" t="s">
        <v>159</v>
      </c>
      <c r="E504" s="42">
        <f>VALUE(MID(Tabla1[[#This Row],[RUT]],1,LEN(Tabla1[[#This Row],[RUT]])-1))</f>
        <v>77148033</v>
      </c>
      <c r="F504" t="str">
        <f t="shared" si="7"/>
        <v>CN77148033</v>
      </c>
    </row>
    <row r="505" spans="1:6" x14ac:dyDescent="0.25">
      <c r="A505" s="6">
        <v>771497691</v>
      </c>
      <c r="B505" s="5" t="s">
        <v>849</v>
      </c>
      <c r="C505" t="s">
        <v>159</v>
      </c>
      <c r="E505" s="42">
        <f>VALUE(MID(Tabla1[[#This Row],[RUT]],1,LEN(Tabla1[[#This Row],[RUT]])-1))</f>
        <v>77149769</v>
      </c>
      <c r="F505" t="str">
        <f t="shared" si="7"/>
        <v>CN77149769</v>
      </c>
    </row>
    <row r="506" spans="1:6" x14ac:dyDescent="0.25">
      <c r="A506" s="18">
        <v>771513638</v>
      </c>
      <c r="B506" s="7" t="s">
        <v>532</v>
      </c>
      <c r="C506" t="s">
        <v>159</v>
      </c>
      <c r="E506" s="42">
        <f>VALUE(MID(Tabla1[[#This Row],[RUT]],1,LEN(Tabla1[[#This Row],[RUT]])-1))</f>
        <v>77151363</v>
      </c>
      <c r="F506" t="str">
        <f t="shared" si="7"/>
        <v>CN77151363</v>
      </c>
    </row>
    <row r="507" spans="1:6" x14ac:dyDescent="0.25">
      <c r="A507" s="6">
        <v>771532128</v>
      </c>
      <c r="B507" s="5" t="s">
        <v>850</v>
      </c>
      <c r="C507" t="s">
        <v>159</v>
      </c>
      <c r="E507" s="42">
        <f>VALUE(MID(Tabla1[[#This Row],[RUT]],1,LEN(Tabla1[[#This Row],[RUT]])-1))</f>
        <v>77153212</v>
      </c>
      <c r="F507" t="str">
        <f t="shared" si="7"/>
        <v>CN77153212</v>
      </c>
    </row>
    <row r="508" spans="1:6" x14ac:dyDescent="0.25">
      <c r="A508" s="6">
        <v>771564356</v>
      </c>
      <c r="B508" s="5" t="s">
        <v>533</v>
      </c>
      <c r="C508" t="s">
        <v>159</v>
      </c>
      <c r="E508" s="42">
        <f>VALUE(MID(Tabla1[[#This Row],[RUT]],1,LEN(Tabla1[[#This Row],[RUT]])-1))</f>
        <v>77156435</v>
      </c>
      <c r="F508" t="str">
        <f t="shared" si="7"/>
        <v>CN77156435</v>
      </c>
    </row>
    <row r="509" spans="1:6" x14ac:dyDescent="0.25">
      <c r="A509" s="6">
        <v>771601715</v>
      </c>
      <c r="B509" s="5" t="s">
        <v>534</v>
      </c>
      <c r="C509" t="s">
        <v>159</v>
      </c>
      <c r="E509" s="42">
        <f>VALUE(MID(Tabla1[[#This Row],[RUT]],1,LEN(Tabla1[[#This Row],[RUT]])-1))</f>
        <v>77160171</v>
      </c>
      <c r="F509" t="str">
        <f t="shared" si="7"/>
        <v>CN77160171</v>
      </c>
    </row>
    <row r="510" spans="1:6" x14ac:dyDescent="0.25">
      <c r="A510" s="20">
        <v>771784062</v>
      </c>
      <c r="B510" s="9" t="s">
        <v>535</v>
      </c>
      <c r="C510" t="s">
        <v>159</v>
      </c>
      <c r="E510" s="42">
        <f>VALUE(MID(Tabla1[[#This Row],[RUT]],1,LEN(Tabla1[[#This Row],[RUT]])-1))</f>
        <v>77178406</v>
      </c>
      <c r="F510" t="str">
        <f t="shared" si="7"/>
        <v>CN77178406</v>
      </c>
    </row>
    <row r="511" spans="1:6" x14ac:dyDescent="0.25">
      <c r="A511" s="6">
        <v>771855199</v>
      </c>
      <c r="B511" s="5" t="s">
        <v>536</v>
      </c>
      <c r="C511" t="s">
        <v>159</v>
      </c>
      <c r="E511" s="42">
        <f>VALUE(MID(Tabla1[[#This Row],[RUT]],1,LEN(Tabla1[[#This Row],[RUT]])-1))</f>
        <v>77185519</v>
      </c>
      <c r="F511" t="str">
        <f t="shared" si="7"/>
        <v>CN77185519</v>
      </c>
    </row>
    <row r="512" spans="1:6" x14ac:dyDescent="0.25">
      <c r="A512" s="21">
        <v>771867634</v>
      </c>
      <c r="B512" s="10" t="s">
        <v>851</v>
      </c>
      <c r="C512" t="s">
        <v>159</v>
      </c>
      <c r="E512" s="42">
        <f>VALUE(MID(Tabla1[[#This Row],[RUT]],1,LEN(Tabla1[[#This Row],[RUT]])-1))</f>
        <v>77186763</v>
      </c>
      <c r="F512" t="str">
        <f t="shared" si="7"/>
        <v>CN77186763</v>
      </c>
    </row>
    <row r="513" spans="1:6" x14ac:dyDescent="0.25">
      <c r="A513" s="20">
        <v>771868592</v>
      </c>
      <c r="B513" s="9" t="s">
        <v>537</v>
      </c>
      <c r="C513" t="s">
        <v>159</v>
      </c>
      <c r="E513" s="42">
        <f>VALUE(MID(Tabla1[[#This Row],[RUT]],1,LEN(Tabla1[[#This Row],[RUT]])-1))</f>
        <v>77186859</v>
      </c>
      <c r="F513" t="str">
        <f t="shared" si="7"/>
        <v>CN77186859</v>
      </c>
    </row>
    <row r="514" spans="1:6" x14ac:dyDescent="0.25">
      <c r="A514" s="21">
        <v>771875475</v>
      </c>
      <c r="B514" s="10" t="s">
        <v>538</v>
      </c>
      <c r="C514" t="s">
        <v>159</v>
      </c>
      <c r="E514" s="42">
        <f>VALUE(MID(Tabla1[[#This Row],[RUT]],1,LEN(Tabla1[[#This Row],[RUT]])-1))</f>
        <v>77187547</v>
      </c>
      <c r="F514" t="str">
        <f t="shared" si="7"/>
        <v>CN77187547</v>
      </c>
    </row>
    <row r="515" spans="1:6" x14ac:dyDescent="0.25">
      <c r="A515" s="21">
        <v>771893740</v>
      </c>
      <c r="B515" s="10" t="s">
        <v>852</v>
      </c>
      <c r="C515" t="s">
        <v>159</v>
      </c>
      <c r="E515" s="42">
        <f>VALUE(MID(Tabla1[[#This Row],[RUT]],1,LEN(Tabla1[[#This Row],[RUT]])-1))</f>
        <v>77189374</v>
      </c>
      <c r="F515" t="str">
        <f t="shared" ref="F515:F578" si="8">"CN"&amp;E515</f>
        <v>CN77189374</v>
      </c>
    </row>
    <row r="516" spans="1:6" x14ac:dyDescent="0.25">
      <c r="A516" s="21">
        <v>771911862</v>
      </c>
      <c r="B516" s="10" t="s">
        <v>539</v>
      </c>
      <c r="C516" t="s">
        <v>159</v>
      </c>
      <c r="E516" s="42">
        <f>VALUE(MID(Tabla1[[#This Row],[RUT]],1,LEN(Tabla1[[#This Row],[RUT]])-1))</f>
        <v>77191186</v>
      </c>
      <c r="F516" t="str">
        <f t="shared" si="8"/>
        <v>CN77191186</v>
      </c>
    </row>
    <row r="517" spans="1:6" x14ac:dyDescent="0.25">
      <c r="A517" s="18">
        <v>772043074</v>
      </c>
      <c r="B517" s="7" t="s">
        <v>540</v>
      </c>
      <c r="C517" t="s">
        <v>159</v>
      </c>
      <c r="E517" s="42">
        <f>VALUE(MID(Tabla1[[#This Row],[RUT]],1,LEN(Tabla1[[#This Row],[RUT]])-1))</f>
        <v>77204307</v>
      </c>
      <c r="F517" t="str">
        <f t="shared" si="8"/>
        <v>CN77204307</v>
      </c>
    </row>
    <row r="518" spans="1:6" x14ac:dyDescent="0.25">
      <c r="A518" s="6">
        <v>772087233</v>
      </c>
      <c r="B518" s="5" t="s">
        <v>541</v>
      </c>
      <c r="C518" t="s">
        <v>159</v>
      </c>
      <c r="E518" s="42">
        <f>VALUE(MID(Tabla1[[#This Row],[RUT]],1,LEN(Tabla1[[#This Row],[RUT]])-1))</f>
        <v>77208723</v>
      </c>
      <c r="F518" t="str">
        <f t="shared" si="8"/>
        <v>CN77208723</v>
      </c>
    </row>
    <row r="519" spans="1:6" x14ac:dyDescent="0.25">
      <c r="A519" s="20">
        <v>772221533</v>
      </c>
      <c r="B519" s="9" t="s">
        <v>853</v>
      </c>
      <c r="C519" t="s">
        <v>159</v>
      </c>
      <c r="E519" s="42">
        <f>VALUE(MID(Tabla1[[#This Row],[RUT]],1,LEN(Tabla1[[#This Row],[RUT]])-1))</f>
        <v>77222153</v>
      </c>
      <c r="F519" t="str">
        <f t="shared" si="8"/>
        <v>CN77222153</v>
      </c>
    </row>
    <row r="520" spans="1:6" x14ac:dyDescent="0.25">
      <c r="A520" s="18">
        <v>772235445</v>
      </c>
      <c r="B520" s="7" t="s">
        <v>854</v>
      </c>
      <c r="C520" t="s">
        <v>159</v>
      </c>
      <c r="E520" s="42">
        <f>VALUE(MID(Tabla1[[#This Row],[RUT]],1,LEN(Tabla1[[#This Row],[RUT]])-1))</f>
        <v>77223544</v>
      </c>
      <c r="F520" t="str">
        <f t="shared" si="8"/>
        <v>CN77223544</v>
      </c>
    </row>
    <row r="521" spans="1:6" x14ac:dyDescent="0.25">
      <c r="A521" s="19">
        <v>772762143</v>
      </c>
      <c r="B521" s="8" t="s">
        <v>542</v>
      </c>
      <c r="C521" t="s">
        <v>159</v>
      </c>
      <c r="E521" s="42">
        <f>VALUE(MID(Tabla1[[#This Row],[RUT]],1,LEN(Tabla1[[#This Row],[RUT]])-1))</f>
        <v>77276214</v>
      </c>
      <c r="F521" t="str">
        <f t="shared" si="8"/>
        <v>CN77276214</v>
      </c>
    </row>
    <row r="522" spans="1:6" x14ac:dyDescent="0.25">
      <c r="A522" s="6">
        <v>772777159</v>
      </c>
      <c r="B522" s="5" t="s">
        <v>543</v>
      </c>
      <c r="C522" t="s">
        <v>159</v>
      </c>
      <c r="E522" s="42">
        <f>VALUE(MID(Tabla1[[#This Row],[RUT]],1,LEN(Tabla1[[#This Row],[RUT]])-1))</f>
        <v>77277715</v>
      </c>
      <c r="F522" t="str">
        <f t="shared" si="8"/>
        <v>CN77277715</v>
      </c>
    </row>
    <row r="523" spans="1:6" x14ac:dyDescent="0.25">
      <c r="A523" s="19">
        <v>772966326</v>
      </c>
      <c r="B523" s="8" t="s">
        <v>544</v>
      </c>
      <c r="C523" t="s">
        <v>159</v>
      </c>
      <c r="E523" s="42">
        <f>VALUE(MID(Tabla1[[#This Row],[RUT]],1,LEN(Tabla1[[#This Row],[RUT]])-1))</f>
        <v>77296632</v>
      </c>
      <c r="F523" t="str">
        <f t="shared" si="8"/>
        <v>CN77296632</v>
      </c>
    </row>
    <row r="524" spans="1:6" x14ac:dyDescent="0.25">
      <c r="A524" s="6">
        <v>773250065</v>
      </c>
      <c r="B524" s="5" t="s">
        <v>855</v>
      </c>
      <c r="C524" t="s">
        <v>159</v>
      </c>
      <c r="E524" s="42">
        <f>VALUE(MID(Tabla1[[#This Row],[RUT]],1,LEN(Tabla1[[#This Row],[RUT]])-1))</f>
        <v>77325006</v>
      </c>
      <c r="F524" t="str">
        <f t="shared" si="8"/>
        <v>CN77325006</v>
      </c>
    </row>
    <row r="525" spans="1:6" x14ac:dyDescent="0.25">
      <c r="A525" s="18">
        <v>773540845</v>
      </c>
      <c r="B525" s="7" t="s">
        <v>545</v>
      </c>
      <c r="C525" t="s">
        <v>159</v>
      </c>
      <c r="E525" s="42">
        <f>VALUE(MID(Tabla1[[#This Row],[RUT]],1,LEN(Tabla1[[#This Row],[RUT]])-1))</f>
        <v>77354084</v>
      </c>
      <c r="F525" t="str">
        <f t="shared" si="8"/>
        <v>CN77354084</v>
      </c>
    </row>
    <row r="526" spans="1:6" x14ac:dyDescent="0.25">
      <c r="A526" s="6">
        <v>773553866</v>
      </c>
      <c r="B526" s="5" t="s">
        <v>856</v>
      </c>
      <c r="C526" t="s">
        <v>159</v>
      </c>
      <c r="E526" s="42">
        <f>VALUE(MID(Tabla1[[#This Row],[RUT]],1,LEN(Tabla1[[#This Row],[RUT]])-1))</f>
        <v>77355386</v>
      </c>
      <c r="F526" t="str">
        <f t="shared" si="8"/>
        <v>CN77355386</v>
      </c>
    </row>
    <row r="527" spans="1:6" x14ac:dyDescent="0.25">
      <c r="A527" s="19">
        <v>773845166</v>
      </c>
      <c r="B527" s="8" t="s">
        <v>546</v>
      </c>
      <c r="C527" t="s">
        <v>159</v>
      </c>
      <c r="E527" s="42">
        <f>VALUE(MID(Tabla1[[#This Row],[RUT]],1,LEN(Tabla1[[#This Row],[RUT]])-1))</f>
        <v>77384516</v>
      </c>
      <c r="F527" t="str">
        <f t="shared" si="8"/>
        <v>CN77384516</v>
      </c>
    </row>
    <row r="528" spans="1:6" x14ac:dyDescent="0.25">
      <c r="A528" s="20">
        <v>773851808</v>
      </c>
      <c r="B528" s="9" t="s">
        <v>547</v>
      </c>
      <c r="C528" t="s">
        <v>159</v>
      </c>
      <c r="E528" s="42">
        <f>VALUE(MID(Tabla1[[#This Row],[RUT]],1,LEN(Tabla1[[#This Row],[RUT]])-1))</f>
        <v>77385180</v>
      </c>
      <c r="F528" t="str">
        <f t="shared" si="8"/>
        <v>CN77385180</v>
      </c>
    </row>
    <row r="529" spans="1:6" x14ac:dyDescent="0.25">
      <c r="A529" s="6">
        <v>774104089</v>
      </c>
      <c r="B529" s="5" t="s">
        <v>548</v>
      </c>
      <c r="C529" t="s">
        <v>159</v>
      </c>
      <c r="E529" s="42">
        <f>VALUE(MID(Tabla1[[#This Row],[RUT]],1,LEN(Tabla1[[#This Row],[RUT]])-1))</f>
        <v>77410408</v>
      </c>
      <c r="F529" t="str">
        <f t="shared" si="8"/>
        <v>CN77410408</v>
      </c>
    </row>
    <row r="530" spans="1:6" x14ac:dyDescent="0.25">
      <c r="A530" s="18">
        <v>774104216</v>
      </c>
      <c r="B530" s="7" t="s">
        <v>549</v>
      </c>
      <c r="C530" t="s">
        <v>159</v>
      </c>
      <c r="E530" s="42">
        <f>VALUE(MID(Tabla1[[#This Row],[RUT]],1,LEN(Tabla1[[#This Row],[RUT]])-1))</f>
        <v>77410421</v>
      </c>
      <c r="F530" t="str">
        <f t="shared" si="8"/>
        <v>CN77410421</v>
      </c>
    </row>
    <row r="531" spans="1:6" x14ac:dyDescent="0.25">
      <c r="A531" s="21">
        <v>774175083</v>
      </c>
      <c r="B531" s="10" t="s">
        <v>857</v>
      </c>
      <c r="C531" t="s">
        <v>159</v>
      </c>
      <c r="E531" s="42">
        <f>VALUE(MID(Tabla1[[#This Row],[RUT]],1,LEN(Tabla1[[#This Row],[RUT]])-1))</f>
        <v>77417508</v>
      </c>
      <c r="F531" t="str">
        <f t="shared" si="8"/>
        <v>CN77417508</v>
      </c>
    </row>
    <row r="532" spans="1:6" x14ac:dyDescent="0.25">
      <c r="A532" s="22">
        <v>774317910</v>
      </c>
      <c r="B532" s="11" t="s">
        <v>550</v>
      </c>
      <c r="C532" t="s">
        <v>159</v>
      </c>
      <c r="E532" s="42">
        <f>VALUE(MID(Tabla1[[#This Row],[RUT]],1,LEN(Tabla1[[#This Row],[RUT]])-1))</f>
        <v>77431791</v>
      </c>
      <c r="F532" t="str">
        <f t="shared" si="8"/>
        <v>CN77431791</v>
      </c>
    </row>
    <row r="533" spans="1:6" x14ac:dyDescent="0.25">
      <c r="A533" s="6">
        <v>774328483</v>
      </c>
      <c r="B533" s="5" t="s">
        <v>858</v>
      </c>
      <c r="C533" t="s">
        <v>159</v>
      </c>
      <c r="E533" s="42">
        <f>VALUE(MID(Tabla1[[#This Row],[RUT]],1,LEN(Tabla1[[#This Row],[RUT]])-1))</f>
        <v>77432848</v>
      </c>
      <c r="F533" t="str">
        <f t="shared" si="8"/>
        <v>CN77432848</v>
      </c>
    </row>
    <row r="534" spans="1:6" x14ac:dyDescent="0.25">
      <c r="A534" s="6">
        <v>774448799</v>
      </c>
      <c r="B534" s="5" t="s">
        <v>551</v>
      </c>
      <c r="C534" t="s">
        <v>159</v>
      </c>
      <c r="E534" s="42">
        <f>VALUE(MID(Tabla1[[#This Row],[RUT]],1,LEN(Tabla1[[#This Row],[RUT]])-1))</f>
        <v>77444879</v>
      </c>
      <c r="F534" t="str">
        <f t="shared" si="8"/>
        <v>CN77444879</v>
      </c>
    </row>
    <row r="535" spans="1:6" x14ac:dyDescent="0.25">
      <c r="A535" s="21">
        <v>774831975</v>
      </c>
      <c r="B535" s="10" t="s">
        <v>552</v>
      </c>
      <c r="C535" t="s">
        <v>159</v>
      </c>
      <c r="E535" s="42">
        <f>VALUE(MID(Tabla1[[#This Row],[RUT]],1,LEN(Tabla1[[#This Row],[RUT]])-1))</f>
        <v>77483197</v>
      </c>
      <c r="F535" t="str">
        <f t="shared" si="8"/>
        <v>CN77483197</v>
      </c>
    </row>
    <row r="536" spans="1:6" x14ac:dyDescent="0.25">
      <c r="A536" s="6">
        <v>774889191</v>
      </c>
      <c r="B536" s="5" t="s">
        <v>859</v>
      </c>
      <c r="C536" t="s">
        <v>159</v>
      </c>
      <c r="E536" s="42">
        <f>VALUE(MID(Tabla1[[#This Row],[RUT]],1,LEN(Tabla1[[#This Row],[RUT]])-1))</f>
        <v>77488919</v>
      </c>
      <c r="F536" t="str">
        <f t="shared" si="8"/>
        <v>CN77488919</v>
      </c>
    </row>
    <row r="537" spans="1:6" x14ac:dyDescent="0.25">
      <c r="A537" s="21">
        <v>775013796</v>
      </c>
      <c r="B537" s="10" t="s">
        <v>553</v>
      </c>
      <c r="C537" t="s">
        <v>159</v>
      </c>
      <c r="E537" s="42">
        <f>VALUE(MID(Tabla1[[#This Row],[RUT]],1,LEN(Tabla1[[#This Row],[RUT]])-1))</f>
        <v>77501379</v>
      </c>
      <c r="F537" t="str">
        <f t="shared" si="8"/>
        <v>CN77501379</v>
      </c>
    </row>
    <row r="538" spans="1:6" x14ac:dyDescent="0.25">
      <c r="A538" s="6">
        <v>775046813</v>
      </c>
      <c r="B538" s="5" t="s">
        <v>554</v>
      </c>
      <c r="C538" t="s">
        <v>159</v>
      </c>
      <c r="E538" s="42">
        <f>VALUE(MID(Tabla1[[#This Row],[RUT]],1,LEN(Tabla1[[#This Row],[RUT]])-1))</f>
        <v>77504681</v>
      </c>
      <c r="F538" t="str">
        <f t="shared" si="8"/>
        <v>CN77504681</v>
      </c>
    </row>
    <row r="539" spans="1:6" x14ac:dyDescent="0.25">
      <c r="A539" s="20">
        <v>775190604</v>
      </c>
      <c r="B539" s="9" t="s">
        <v>555</v>
      </c>
      <c r="C539" t="s">
        <v>159</v>
      </c>
      <c r="E539" s="42">
        <f>VALUE(MID(Tabla1[[#This Row],[RUT]],1,LEN(Tabla1[[#This Row],[RUT]])-1))</f>
        <v>77519060</v>
      </c>
      <c r="F539" t="str">
        <f t="shared" si="8"/>
        <v>CN77519060</v>
      </c>
    </row>
    <row r="540" spans="1:6" x14ac:dyDescent="0.25">
      <c r="A540" s="18">
        <v>775408936</v>
      </c>
      <c r="B540" s="7" t="s">
        <v>556</v>
      </c>
      <c r="C540" t="s">
        <v>159</v>
      </c>
      <c r="E540" s="42">
        <f>VALUE(MID(Tabla1[[#This Row],[RUT]],1,LEN(Tabla1[[#This Row],[RUT]])-1))</f>
        <v>77540893</v>
      </c>
      <c r="F540" t="str">
        <f t="shared" si="8"/>
        <v>CN77540893</v>
      </c>
    </row>
    <row r="541" spans="1:6" x14ac:dyDescent="0.25">
      <c r="A541" s="20">
        <v>775583533</v>
      </c>
      <c r="B541" s="9" t="s">
        <v>860</v>
      </c>
      <c r="C541" t="s">
        <v>159</v>
      </c>
      <c r="E541" s="42">
        <f>VALUE(MID(Tabla1[[#This Row],[RUT]],1,LEN(Tabla1[[#This Row],[RUT]])-1))</f>
        <v>77558353</v>
      </c>
      <c r="F541" t="str">
        <f t="shared" si="8"/>
        <v>CN77558353</v>
      </c>
    </row>
    <row r="542" spans="1:6" x14ac:dyDescent="0.25">
      <c r="A542" s="6">
        <v>775614315</v>
      </c>
      <c r="B542" s="5" t="s">
        <v>557</v>
      </c>
      <c r="C542" t="s">
        <v>159</v>
      </c>
      <c r="E542" s="42">
        <f>VALUE(MID(Tabla1[[#This Row],[RUT]],1,LEN(Tabla1[[#This Row],[RUT]])-1))</f>
        <v>77561431</v>
      </c>
      <c r="F542" t="str">
        <f t="shared" si="8"/>
        <v>CN77561431</v>
      </c>
    </row>
    <row r="543" spans="1:6" x14ac:dyDescent="0.25">
      <c r="A543" s="20">
        <v>775874295</v>
      </c>
      <c r="B543" s="9" t="s">
        <v>558</v>
      </c>
      <c r="C543" t="s">
        <v>159</v>
      </c>
      <c r="E543" s="42">
        <f>VALUE(MID(Tabla1[[#This Row],[RUT]],1,LEN(Tabla1[[#This Row],[RUT]])-1))</f>
        <v>77587429</v>
      </c>
      <c r="F543" t="str">
        <f t="shared" si="8"/>
        <v>CN77587429</v>
      </c>
    </row>
    <row r="544" spans="1:6" x14ac:dyDescent="0.25">
      <c r="A544" s="20">
        <v>776062200</v>
      </c>
      <c r="B544" s="9" t="s">
        <v>861</v>
      </c>
      <c r="C544" t="s">
        <v>159</v>
      </c>
      <c r="E544" s="42">
        <f>VALUE(MID(Tabla1[[#This Row],[RUT]],1,LEN(Tabla1[[#This Row],[RUT]])-1))</f>
        <v>77606220</v>
      </c>
      <c r="F544" t="str">
        <f t="shared" si="8"/>
        <v>CN77606220</v>
      </c>
    </row>
    <row r="545" spans="1:6" x14ac:dyDescent="0.25">
      <c r="A545" s="20">
        <v>776081809</v>
      </c>
      <c r="B545" s="9" t="s">
        <v>559</v>
      </c>
      <c r="C545" t="s">
        <v>159</v>
      </c>
      <c r="E545" s="42">
        <f>VALUE(MID(Tabla1[[#This Row],[RUT]],1,LEN(Tabla1[[#This Row],[RUT]])-1))</f>
        <v>77608180</v>
      </c>
      <c r="F545" t="str">
        <f t="shared" si="8"/>
        <v>CN77608180</v>
      </c>
    </row>
    <row r="546" spans="1:6" x14ac:dyDescent="0.25">
      <c r="A546" s="6">
        <v>776108448</v>
      </c>
      <c r="B546" s="5" t="s">
        <v>560</v>
      </c>
      <c r="C546" t="s">
        <v>159</v>
      </c>
      <c r="E546" s="42">
        <f>VALUE(MID(Tabla1[[#This Row],[RUT]],1,LEN(Tabla1[[#This Row],[RUT]])-1))</f>
        <v>77610844</v>
      </c>
      <c r="F546" t="str">
        <f t="shared" si="8"/>
        <v>CN77610844</v>
      </c>
    </row>
    <row r="547" spans="1:6" x14ac:dyDescent="0.25">
      <c r="A547" s="21">
        <v>776286303</v>
      </c>
      <c r="B547" s="10" t="s">
        <v>862</v>
      </c>
      <c r="C547" t="s">
        <v>159</v>
      </c>
      <c r="E547" s="42">
        <f>VALUE(MID(Tabla1[[#This Row],[RUT]],1,LEN(Tabla1[[#This Row],[RUT]])-1))</f>
        <v>77628630</v>
      </c>
      <c r="F547" t="str">
        <f t="shared" si="8"/>
        <v>CN77628630</v>
      </c>
    </row>
    <row r="548" spans="1:6" x14ac:dyDescent="0.25">
      <c r="A548" s="6">
        <v>776381233</v>
      </c>
      <c r="B548" s="5" t="s">
        <v>561</v>
      </c>
      <c r="C548" t="s">
        <v>159</v>
      </c>
      <c r="E548" s="42">
        <f>VALUE(MID(Tabla1[[#This Row],[RUT]],1,LEN(Tabla1[[#This Row],[RUT]])-1))</f>
        <v>77638123</v>
      </c>
      <c r="F548" t="str">
        <f t="shared" si="8"/>
        <v>CN77638123</v>
      </c>
    </row>
    <row r="549" spans="1:6" x14ac:dyDescent="0.25">
      <c r="A549" s="18">
        <v>776441406</v>
      </c>
      <c r="B549" s="7" t="s">
        <v>562</v>
      </c>
      <c r="C549" t="s">
        <v>159</v>
      </c>
      <c r="E549" s="42">
        <f>VALUE(MID(Tabla1[[#This Row],[RUT]],1,LEN(Tabla1[[#This Row],[RUT]])-1))</f>
        <v>77644140</v>
      </c>
      <c r="F549" t="str">
        <f t="shared" si="8"/>
        <v>CN77644140</v>
      </c>
    </row>
    <row r="550" spans="1:6" x14ac:dyDescent="0.25">
      <c r="A550" s="19">
        <v>776531693</v>
      </c>
      <c r="B550" s="8" t="s">
        <v>563</v>
      </c>
      <c r="C550" t="s">
        <v>159</v>
      </c>
      <c r="E550" s="42">
        <f>VALUE(MID(Tabla1[[#This Row],[RUT]],1,LEN(Tabla1[[#This Row],[RUT]])-1))</f>
        <v>77653169</v>
      </c>
      <c r="F550" t="str">
        <f t="shared" si="8"/>
        <v>CN77653169</v>
      </c>
    </row>
    <row r="551" spans="1:6" x14ac:dyDescent="0.25">
      <c r="A551" s="22">
        <v>776717754</v>
      </c>
      <c r="B551" s="11" t="s">
        <v>564</v>
      </c>
      <c r="C551" t="s">
        <v>159</v>
      </c>
      <c r="E551" s="42">
        <f>VALUE(MID(Tabla1[[#This Row],[RUT]],1,LEN(Tabla1[[#This Row],[RUT]])-1))</f>
        <v>77671775</v>
      </c>
      <c r="F551" t="str">
        <f t="shared" si="8"/>
        <v>CN77671775</v>
      </c>
    </row>
    <row r="552" spans="1:6" x14ac:dyDescent="0.25">
      <c r="A552" s="22">
        <v>776722316</v>
      </c>
      <c r="B552" s="11" t="s">
        <v>565</v>
      </c>
      <c r="C552" t="s">
        <v>159</v>
      </c>
      <c r="E552" s="42">
        <f>VALUE(MID(Tabla1[[#This Row],[RUT]],1,LEN(Tabla1[[#This Row],[RUT]])-1))</f>
        <v>77672231</v>
      </c>
      <c r="F552" t="str">
        <f t="shared" si="8"/>
        <v>CN77672231</v>
      </c>
    </row>
    <row r="553" spans="1:6" x14ac:dyDescent="0.25">
      <c r="A553" s="19">
        <v>776891320</v>
      </c>
      <c r="B553" s="8" t="s">
        <v>566</v>
      </c>
      <c r="C553" t="s">
        <v>159</v>
      </c>
      <c r="E553" s="42">
        <f>VALUE(MID(Tabla1[[#This Row],[RUT]],1,LEN(Tabla1[[#This Row],[RUT]])-1))</f>
        <v>77689132</v>
      </c>
      <c r="F553" t="str">
        <f t="shared" si="8"/>
        <v>CN77689132</v>
      </c>
    </row>
    <row r="554" spans="1:6" x14ac:dyDescent="0.25">
      <c r="A554" s="6">
        <v>776953997</v>
      </c>
      <c r="B554" s="5" t="s">
        <v>567</v>
      </c>
      <c r="C554" t="s">
        <v>159</v>
      </c>
      <c r="E554" s="42">
        <f>VALUE(MID(Tabla1[[#This Row],[RUT]],1,LEN(Tabla1[[#This Row],[RUT]])-1))</f>
        <v>77695399</v>
      </c>
      <c r="F554" t="str">
        <f t="shared" si="8"/>
        <v>CN77695399</v>
      </c>
    </row>
    <row r="555" spans="1:6" x14ac:dyDescent="0.25">
      <c r="A555" s="19">
        <v>776982598</v>
      </c>
      <c r="B555" s="8" t="s">
        <v>568</v>
      </c>
      <c r="C555" t="s">
        <v>159</v>
      </c>
      <c r="E555" s="42">
        <f>VALUE(MID(Tabla1[[#This Row],[RUT]],1,LEN(Tabla1[[#This Row],[RUT]])-1))</f>
        <v>77698259</v>
      </c>
      <c r="F555" t="str">
        <f t="shared" si="8"/>
        <v>CN77698259</v>
      </c>
    </row>
    <row r="556" spans="1:6" x14ac:dyDescent="0.25">
      <c r="A556" s="6">
        <v>777228234</v>
      </c>
      <c r="B556" s="5" t="s">
        <v>863</v>
      </c>
      <c r="C556" t="s">
        <v>159</v>
      </c>
      <c r="E556" s="42">
        <f>VALUE(MID(Tabla1[[#This Row],[RUT]],1,LEN(Tabla1[[#This Row],[RUT]])-1))</f>
        <v>77722823</v>
      </c>
      <c r="F556" t="str">
        <f t="shared" si="8"/>
        <v>CN77722823</v>
      </c>
    </row>
    <row r="557" spans="1:6" x14ac:dyDescent="0.25">
      <c r="A557" s="19">
        <v>777474596</v>
      </c>
      <c r="B557" s="8" t="s">
        <v>569</v>
      </c>
      <c r="C557" t="s">
        <v>159</v>
      </c>
      <c r="E557" s="42">
        <f>VALUE(MID(Tabla1[[#This Row],[RUT]],1,LEN(Tabla1[[#This Row],[RUT]])-1))</f>
        <v>77747459</v>
      </c>
      <c r="F557" t="str">
        <f t="shared" si="8"/>
        <v>CN77747459</v>
      </c>
    </row>
    <row r="558" spans="1:6" x14ac:dyDescent="0.25">
      <c r="A558" s="6">
        <v>777492101</v>
      </c>
      <c r="B558" s="5" t="s">
        <v>570</v>
      </c>
      <c r="C558" t="s">
        <v>159</v>
      </c>
      <c r="E558" s="42">
        <f>VALUE(MID(Tabla1[[#This Row],[RUT]],1,LEN(Tabla1[[#This Row],[RUT]])-1))</f>
        <v>77749210</v>
      </c>
      <c r="F558" t="str">
        <f t="shared" si="8"/>
        <v>CN77749210</v>
      </c>
    </row>
    <row r="559" spans="1:6" x14ac:dyDescent="0.25">
      <c r="A559" s="6">
        <v>777767453</v>
      </c>
      <c r="B559" s="5" t="s">
        <v>571</v>
      </c>
      <c r="C559" t="s">
        <v>159</v>
      </c>
      <c r="E559" s="42">
        <f>VALUE(MID(Tabla1[[#This Row],[RUT]],1,LEN(Tabla1[[#This Row],[RUT]])-1))</f>
        <v>77776745</v>
      </c>
      <c r="F559" t="str">
        <f t="shared" si="8"/>
        <v>CN77776745</v>
      </c>
    </row>
    <row r="560" spans="1:6" x14ac:dyDescent="0.25">
      <c r="A560" s="6">
        <v>777941046</v>
      </c>
      <c r="B560" s="5" t="s">
        <v>572</v>
      </c>
      <c r="C560" t="s">
        <v>159</v>
      </c>
      <c r="E560" s="42">
        <f>VALUE(MID(Tabla1[[#This Row],[RUT]],1,LEN(Tabla1[[#This Row],[RUT]])-1))</f>
        <v>77794104</v>
      </c>
      <c r="F560" t="str">
        <f t="shared" si="8"/>
        <v>CN77794104</v>
      </c>
    </row>
    <row r="561" spans="1:6" x14ac:dyDescent="0.25">
      <c r="A561" s="6">
        <v>778078406</v>
      </c>
      <c r="B561" s="5" t="s">
        <v>864</v>
      </c>
      <c r="C561" t="s">
        <v>159</v>
      </c>
      <c r="E561" s="42">
        <f>VALUE(MID(Tabla1[[#This Row],[RUT]],1,LEN(Tabla1[[#This Row],[RUT]])-1))</f>
        <v>77807840</v>
      </c>
      <c r="F561" t="str">
        <f t="shared" si="8"/>
        <v>CN77807840</v>
      </c>
    </row>
    <row r="562" spans="1:6" x14ac:dyDescent="0.25">
      <c r="A562" s="6">
        <v>778187922</v>
      </c>
      <c r="B562" s="5" t="s">
        <v>573</v>
      </c>
      <c r="C562" t="s">
        <v>159</v>
      </c>
      <c r="E562" s="42">
        <f>VALUE(MID(Tabla1[[#This Row],[RUT]],1,LEN(Tabla1[[#This Row],[RUT]])-1))</f>
        <v>77818792</v>
      </c>
      <c r="F562" t="str">
        <f t="shared" si="8"/>
        <v>CN77818792</v>
      </c>
    </row>
    <row r="563" spans="1:6" x14ac:dyDescent="0.25">
      <c r="A563" s="6">
        <v>778781700</v>
      </c>
      <c r="B563" s="5" t="s">
        <v>574</v>
      </c>
      <c r="C563" t="s">
        <v>159</v>
      </c>
      <c r="E563" s="42">
        <f>VALUE(MID(Tabla1[[#This Row],[RUT]],1,LEN(Tabla1[[#This Row],[RUT]])-1))</f>
        <v>77878170</v>
      </c>
      <c r="F563" t="str">
        <f t="shared" si="8"/>
        <v>CN77878170</v>
      </c>
    </row>
    <row r="564" spans="1:6" x14ac:dyDescent="0.25">
      <c r="A564" s="18">
        <v>779041808</v>
      </c>
      <c r="B564" s="7" t="s">
        <v>575</v>
      </c>
      <c r="C564" t="s">
        <v>159</v>
      </c>
      <c r="E564" s="42">
        <f>VALUE(MID(Tabla1[[#This Row],[RUT]],1,LEN(Tabla1[[#This Row],[RUT]])-1))</f>
        <v>77904180</v>
      </c>
      <c r="F564" t="str">
        <f t="shared" si="8"/>
        <v>CN77904180</v>
      </c>
    </row>
    <row r="565" spans="1:6" x14ac:dyDescent="0.25">
      <c r="A565" s="21">
        <v>779544508</v>
      </c>
      <c r="B565" s="10" t="s">
        <v>576</v>
      </c>
      <c r="C565" t="s">
        <v>159</v>
      </c>
      <c r="E565" s="42">
        <f>VALUE(MID(Tabla1[[#This Row],[RUT]],1,LEN(Tabla1[[#This Row],[RUT]])-1))</f>
        <v>77954450</v>
      </c>
      <c r="F565" t="str">
        <f t="shared" si="8"/>
        <v>CN77954450</v>
      </c>
    </row>
    <row r="566" spans="1:6" x14ac:dyDescent="0.25">
      <c r="A566" s="21">
        <v>780271205</v>
      </c>
      <c r="B566" s="10" t="s">
        <v>577</v>
      </c>
      <c r="C566" t="s">
        <v>159</v>
      </c>
      <c r="E566" s="42">
        <f>VALUE(MID(Tabla1[[#This Row],[RUT]],1,LEN(Tabla1[[#This Row],[RUT]])-1))</f>
        <v>78027120</v>
      </c>
      <c r="F566" t="str">
        <f t="shared" si="8"/>
        <v>CN78027120</v>
      </c>
    </row>
    <row r="567" spans="1:6" x14ac:dyDescent="0.25">
      <c r="A567" s="20">
        <v>780356405</v>
      </c>
      <c r="B567" s="9" t="s">
        <v>578</v>
      </c>
      <c r="C567" t="s">
        <v>159</v>
      </c>
      <c r="E567" s="42">
        <f>VALUE(MID(Tabla1[[#This Row],[RUT]],1,LEN(Tabla1[[#This Row],[RUT]])-1))</f>
        <v>78035640</v>
      </c>
      <c r="F567" t="str">
        <f t="shared" si="8"/>
        <v>CN78035640</v>
      </c>
    </row>
    <row r="568" spans="1:6" x14ac:dyDescent="0.25">
      <c r="A568" s="6">
        <v>780405201</v>
      </c>
      <c r="B568" s="5" t="s">
        <v>579</v>
      </c>
      <c r="C568" t="s">
        <v>159</v>
      </c>
      <c r="E568" s="42">
        <f>VALUE(MID(Tabla1[[#This Row],[RUT]],1,LEN(Tabla1[[#This Row],[RUT]])-1))</f>
        <v>78040520</v>
      </c>
      <c r="F568" t="str">
        <f t="shared" si="8"/>
        <v>CN78040520</v>
      </c>
    </row>
    <row r="569" spans="1:6" x14ac:dyDescent="0.25">
      <c r="A569" s="18">
        <v>780839406</v>
      </c>
      <c r="B569" s="7" t="s">
        <v>580</v>
      </c>
      <c r="C569" t="s">
        <v>159</v>
      </c>
      <c r="E569" s="42">
        <f>VALUE(MID(Tabla1[[#This Row],[RUT]],1,LEN(Tabla1[[#This Row],[RUT]])-1))</f>
        <v>78083940</v>
      </c>
      <c r="F569" t="str">
        <f t="shared" si="8"/>
        <v>CN78083940</v>
      </c>
    </row>
    <row r="570" spans="1:6" x14ac:dyDescent="0.25">
      <c r="A570" s="18">
        <v>781247707</v>
      </c>
      <c r="B570" s="7" t="s">
        <v>581</v>
      </c>
      <c r="C570" t="s">
        <v>159</v>
      </c>
      <c r="E570" s="42">
        <f>VALUE(MID(Tabla1[[#This Row],[RUT]],1,LEN(Tabla1[[#This Row],[RUT]])-1))</f>
        <v>78124770</v>
      </c>
      <c r="F570" t="str">
        <f t="shared" si="8"/>
        <v>CN78124770</v>
      </c>
    </row>
    <row r="571" spans="1:6" x14ac:dyDescent="0.25">
      <c r="A571" s="18">
        <v>781851302</v>
      </c>
      <c r="B571" s="7" t="s">
        <v>582</v>
      </c>
      <c r="C571" t="s">
        <v>159</v>
      </c>
      <c r="E571" s="42">
        <f>VALUE(MID(Tabla1[[#This Row],[RUT]],1,LEN(Tabla1[[#This Row],[RUT]])-1))</f>
        <v>78185130</v>
      </c>
      <c r="F571" t="str">
        <f t="shared" si="8"/>
        <v>CN78185130</v>
      </c>
    </row>
    <row r="572" spans="1:6" x14ac:dyDescent="0.25">
      <c r="A572" s="18">
        <v>782302302</v>
      </c>
      <c r="B572" s="7" t="s">
        <v>865</v>
      </c>
      <c r="C572" t="s">
        <v>159</v>
      </c>
      <c r="E572" s="42">
        <f>VALUE(MID(Tabla1[[#This Row],[RUT]],1,LEN(Tabla1[[#This Row],[RUT]])-1))</f>
        <v>78230230</v>
      </c>
      <c r="F572" t="str">
        <f t="shared" si="8"/>
        <v>CN78230230</v>
      </c>
    </row>
    <row r="573" spans="1:6" x14ac:dyDescent="0.25">
      <c r="A573" s="6">
        <v>785563700</v>
      </c>
      <c r="B573" s="5" t="s">
        <v>583</v>
      </c>
      <c r="C573" t="s">
        <v>159</v>
      </c>
      <c r="E573" s="42">
        <f>VALUE(MID(Tabla1[[#This Row],[RUT]],1,LEN(Tabla1[[#This Row],[RUT]])-1))</f>
        <v>78556370</v>
      </c>
      <c r="F573" t="str">
        <f t="shared" si="8"/>
        <v>CN78556370</v>
      </c>
    </row>
    <row r="574" spans="1:6" x14ac:dyDescent="0.25">
      <c r="A574" s="19">
        <v>785837509</v>
      </c>
      <c r="B574" s="8" t="s">
        <v>584</v>
      </c>
      <c r="C574" t="s">
        <v>159</v>
      </c>
      <c r="E574" s="42">
        <f>VALUE(MID(Tabla1[[#This Row],[RUT]],1,LEN(Tabla1[[#This Row],[RUT]])-1))</f>
        <v>78583750</v>
      </c>
      <c r="F574" t="str">
        <f t="shared" si="8"/>
        <v>CN78583750</v>
      </c>
    </row>
    <row r="575" spans="1:6" x14ac:dyDescent="0.25">
      <c r="A575" s="22">
        <v>785977408</v>
      </c>
      <c r="B575" s="11" t="s">
        <v>866</v>
      </c>
      <c r="C575" t="s">
        <v>159</v>
      </c>
      <c r="E575" s="42">
        <f>VALUE(MID(Tabla1[[#This Row],[RUT]],1,LEN(Tabla1[[#This Row],[RUT]])-1))</f>
        <v>78597740</v>
      </c>
      <c r="F575" t="str">
        <f t="shared" si="8"/>
        <v>CN78597740</v>
      </c>
    </row>
    <row r="576" spans="1:6" x14ac:dyDescent="0.25">
      <c r="A576" s="21">
        <v>786632609</v>
      </c>
      <c r="B576" s="10" t="s">
        <v>867</v>
      </c>
      <c r="C576" t="s">
        <v>159</v>
      </c>
      <c r="E576" s="42">
        <f>VALUE(MID(Tabla1[[#This Row],[RUT]],1,LEN(Tabla1[[#This Row],[RUT]])-1))</f>
        <v>78663260</v>
      </c>
      <c r="F576" t="str">
        <f t="shared" si="8"/>
        <v>CN78663260</v>
      </c>
    </row>
    <row r="577" spans="1:6" x14ac:dyDescent="0.25">
      <c r="A577" s="19">
        <v>787395805</v>
      </c>
      <c r="B577" s="8" t="s">
        <v>868</v>
      </c>
      <c r="C577" t="s">
        <v>159</v>
      </c>
      <c r="E577" s="42">
        <f>VALUE(MID(Tabla1[[#This Row],[RUT]],1,LEN(Tabla1[[#This Row],[RUT]])-1))</f>
        <v>78739580</v>
      </c>
      <c r="F577" t="str">
        <f t="shared" si="8"/>
        <v>CN78739580</v>
      </c>
    </row>
    <row r="578" spans="1:6" x14ac:dyDescent="0.25">
      <c r="A578" s="6">
        <v>789182906</v>
      </c>
      <c r="B578" s="5" t="s">
        <v>585</v>
      </c>
      <c r="C578" t="s">
        <v>159</v>
      </c>
      <c r="E578" s="42">
        <f>VALUE(MID(Tabla1[[#This Row],[RUT]],1,LEN(Tabla1[[#This Row],[RUT]])-1))</f>
        <v>78918290</v>
      </c>
      <c r="F578" t="str">
        <f t="shared" si="8"/>
        <v>CN78918290</v>
      </c>
    </row>
    <row r="579" spans="1:6" x14ac:dyDescent="0.25">
      <c r="A579" s="18">
        <v>789374503</v>
      </c>
      <c r="B579" s="7" t="s">
        <v>586</v>
      </c>
      <c r="C579" t="s">
        <v>159</v>
      </c>
      <c r="E579" s="42">
        <f>VALUE(MID(Tabla1[[#This Row],[RUT]],1,LEN(Tabla1[[#This Row],[RUT]])-1))</f>
        <v>78937450</v>
      </c>
      <c r="F579" t="str">
        <f t="shared" ref="F579:F642" si="9">"CN"&amp;E579</f>
        <v>CN78937450</v>
      </c>
    </row>
    <row r="580" spans="1:6" x14ac:dyDescent="0.25">
      <c r="A580" s="18">
        <v>798440802</v>
      </c>
      <c r="B580" s="7" t="s">
        <v>587</v>
      </c>
      <c r="C580" t="s">
        <v>159</v>
      </c>
      <c r="E580" s="42">
        <f>VALUE(MID(Tabla1[[#This Row],[RUT]],1,LEN(Tabla1[[#This Row],[RUT]])-1))</f>
        <v>79844080</v>
      </c>
      <c r="F580" t="str">
        <f t="shared" si="9"/>
        <v>CN79844080</v>
      </c>
    </row>
    <row r="581" spans="1:6" x14ac:dyDescent="0.25">
      <c r="A581" s="18">
        <v>798598902</v>
      </c>
      <c r="B581" s="7" t="s">
        <v>588</v>
      </c>
      <c r="C581" t="s">
        <v>159</v>
      </c>
      <c r="E581" s="42">
        <f>VALUE(MID(Tabla1[[#This Row],[RUT]],1,LEN(Tabla1[[#This Row],[RUT]])-1))</f>
        <v>79859890</v>
      </c>
      <c r="F581" t="str">
        <f t="shared" si="9"/>
        <v>CN79859890</v>
      </c>
    </row>
    <row r="582" spans="1:6" x14ac:dyDescent="0.25">
      <c r="A582" s="20">
        <v>798956701</v>
      </c>
      <c r="B582" s="9" t="s">
        <v>589</v>
      </c>
      <c r="C582" t="s">
        <v>159</v>
      </c>
      <c r="E582" s="42">
        <f>VALUE(MID(Tabla1[[#This Row],[RUT]],1,LEN(Tabla1[[#This Row],[RUT]])-1))</f>
        <v>79895670</v>
      </c>
      <c r="F582" t="str">
        <f t="shared" si="9"/>
        <v>CN79895670</v>
      </c>
    </row>
    <row r="583" spans="1:6" x14ac:dyDescent="0.25">
      <c r="A583" s="21">
        <v>813380005</v>
      </c>
      <c r="B583" s="10" t="s">
        <v>590</v>
      </c>
      <c r="C583" t="s">
        <v>159</v>
      </c>
      <c r="E583" s="42">
        <f>VALUE(MID(Tabla1[[#This Row],[RUT]],1,LEN(Tabla1[[#This Row],[RUT]])-1))</f>
        <v>81338000</v>
      </c>
      <c r="F583" t="str">
        <f t="shared" si="9"/>
        <v>CN81338000</v>
      </c>
    </row>
    <row r="584" spans="1:6" x14ac:dyDescent="0.25">
      <c r="A584" s="6">
        <v>816989000</v>
      </c>
      <c r="B584" s="5" t="s">
        <v>591</v>
      </c>
      <c r="C584" t="s">
        <v>159</v>
      </c>
      <c r="E584" s="42">
        <f>VALUE(MID(Tabla1[[#This Row],[RUT]],1,LEN(Tabla1[[#This Row],[RUT]])-1))</f>
        <v>81698900</v>
      </c>
      <c r="F584" t="str">
        <f t="shared" si="9"/>
        <v>CN81698900</v>
      </c>
    </row>
    <row r="585" spans="1:6" x14ac:dyDescent="0.25">
      <c r="A585" s="21">
        <v>818975007</v>
      </c>
      <c r="B585" s="10" t="s">
        <v>592</v>
      </c>
      <c r="C585" t="s">
        <v>159</v>
      </c>
      <c r="E585" s="42">
        <f>VALUE(MID(Tabla1[[#This Row],[RUT]],1,LEN(Tabla1[[#This Row],[RUT]])-1))</f>
        <v>81897500</v>
      </c>
      <c r="F585" t="str">
        <f t="shared" si="9"/>
        <v>CN81897500</v>
      </c>
    </row>
    <row r="586" spans="1:6" x14ac:dyDescent="0.25">
      <c r="A586" s="6">
        <v>821567009</v>
      </c>
      <c r="B586" s="5" t="s">
        <v>593</v>
      </c>
      <c r="C586" t="s">
        <v>159</v>
      </c>
      <c r="E586" s="42">
        <f>VALUE(MID(Tabla1[[#This Row],[RUT]],1,LEN(Tabla1[[#This Row],[RUT]])-1))</f>
        <v>82156700</v>
      </c>
      <c r="F586" t="str">
        <f t="shared" si="9"/>
        <v>CN82156700</v>
      </c>
    </row>
    <row r="587" spans="1:6" x14ac:dyDescent="0.25">
      <c r="A587" s="6">
        <v>823695004</v>
      </c>
      <c r="B587" s="5" t="s">
        <v>594</v>
      </c>
      <c r="C587" t="s">
        <v>159</v>
      </c>
      <c r="E587" s="42">
        <f>VALUE(MID(Tabla1[[#This Row],[RUT]],1,LEN(Tabla1[[#This Row],[RUT]])-1))</f>
        <v>82369500</v>
      </c>
      <c r="F587" t="str">
        <f t="shared" si="9"/>
        <v>CN82369500</v>
      </c>
    </row>
    <row r="588" spans="1:6" x14ac:dyDescent="0.25">
      <c r="A588" s="18">
        <v>856109003</v>
      </c>
      <c r="B588" s="7" t="s">
        <v>869</v>
      </c>
      <c r="C588" t="s">
        <v>159</v>
      </c>
      <c r="E588" s="42">
        <f>VALUE(MID(Tabla1[[#This Row],[RUT]],1,LEN(Tabla1[[#This Row],[RUT]])-1))</f>
        <v>85610900</v>
      </c>
      <c r="F588" t="str">
        <f t="shared" si="9"/>
        <v>CN85610900</v>
      </c>
    </row>
    <row r="589" spans="1:6" x14ac:dyDescent="0.25">
      <c r="A589" s="6">
        <v>859621007</v>
      </c>
      <c r="B589" s="5" t="s">
        <v>595</v>
      </c>
      <c r="C589" t="s">
        <v>159</v>
      </c>
      <c r="E589" s="42">
        <f>VALUE(MID(Tabla1[[#This Row],[RUT]],1,LEN(Tabla1[[#This Row],[RUT]])-1))</f>
        <v>85962100</v>
      </c>
      <c r="F589" t="str">
        <f t="shared" si="9"/>
        <v>CN85962100</v>
      </c>
    </row>
    <row r="590" spans="1:6" x14ac:dyDescent="0.25">
      <c r="A590" s="19">
        <v>863833000</v>
      </c>
      <c r="B590" s="8" t="s">
        <v>870</v>
      </c>
      <c r="C590" t="s">
        <v>159</v>
      </c>
      <c r="E590" s="42">
        <f>VALUE(MID(Tabla1[[#This Row],[RUT]],1,LEN(Tabla1[[#This Row],[RUT]])-1))</f>
        <v>86383300</v>
      </c>
      <c r="F590" t="str">
        <f t="shared" si="9"/>
        <v>CN86383300</v>
      </c>
    </row>
    <row r="591" spans="1:6" x14ac:dyDescent="0.25">
      <c r="A591" s="6">
        <v>868210001</v>
      </c>
      <c r="B591" s="5" t="s">
        <v>596</v>
      </c>
      <c r="C591" t="s">
        <v>159</v>
      </c>
      <c r="E591" s="42">
        <f>VALUE(MID(Tabla1[[#This Row],[RUT]],1,LEN(Tabla1[[#This Row],[RUT]])-1))</f>
        <v>86821000</v>
      </c>
      <c r="F591" t="str">
        <f t="shared" si="9"/>
        <v>CN86821000</v>
      </c>
    </row>
    <row r="592" spans="1:6" x14ac:dyDescent="0.25">
      <c r="A592" s="18">
        <v>902120009</v>
      </c>
      <c r="B592" s="7" t="s">
        <v>597</v>
      </c>
      <c r="C592" t="s">
        <v>159</v>
      </c>
      <c r="E592" s="42">
        <f>VALUE(MID(Tabla1[[#This Row],[RUT]],1,LEN(Tabla1[[#This Row],[RUT]])-1))</f>
        <v>90212000</v>
      </c>
      <c r="F592" t="str">
        <f t="shared" si="9"/>
        <v>CN90212000</v>
      </c>
    </row>
    <row r="593" spans="1:6" x14ac:dyDescent="0.25">
      <c r="A593" s="6">
        <v>902560009</v>
      </c>
      <c r="B593" s="5" t="s">
        <v>598</v>
      </c>
      <c r="C593" t="s">
        <v>159</v>
      </c>
      <c r="E593" s="42">
        <f>VALUE(MID(Tabla1[[#This Row],[RUT]],1,LEN(Tabla1[[#This Row],[RUT]])-1))</f>
        <v>90256000</v>
      </c>
      <c r="F593" t="str">
        <f t="shared" si="9"/>
        <v>CN90256000</v>
      </c>
    </row>
    <row r="594" spans="1:6" x14ac:dyDescent="0.25">
      <c r="A594" s="6">
        <v>907530000</v>
      </c>
      <c r="B594" s="5" t="s">
        <v>599</v>
      </c>
      <c r="C594" t="s">
        <v>159</v>
      </c>
      <c r="E594" s="42">
        <f>VALUE(MID(Tabla1[[#This Row],[RUT]],1,LEN(Tabla1[[#This Row],[RUT]])-1))</f>
        <v>90753000</v>
      </c>
      <c r="F594" t="str">
        <f t="shared" si="9"/>
        <v>CN90753000</v>
      </c>
    </row>
    <row r="595" spans="1:6" x14ac:dyDescent="0.25">
      <c r="A595" s="6">
        <v>915750001</v>
      </c>
      <c r="B595" s="5" t="s">
        <v>600</v>
      </c>
      <c r="C595" t="s">
        <v>159</v>
      </c>
      <c r="E595" s="42">
        <f>VALUE(MID(Tabla1[[#This Row],[RUT]],1,LEN(Tabla1[[#This Row],[RUT]])-1))</f>
        <v>91575000</v>
      </c>
      <c r="F595" t="str">
        <f t="shared" si="9"/>
        <v>CN91575000</v>
      </c>
    </row>
    <row r="596" spans="1:6" x14ac:dyDescent="0.25">
      <c r="A596" s="6">
        <v>954310000</v>
      </c>
      <c r="B596" s="5" t="s">
        <v>871</v>
      </c>
      <c r="C596" t="s">
        <v>159</v>
      </c>
      <c r="E596" s="42">
        <f>VALUE(MID(Tabla1[[#This Row],[RUT]],1,LEN(Tabla1[[#This Row],[RUT]])-1))</f>
        <v>95431000</v>
      </c>
      <c r="F596" t="str">
        <f t="shared" si="9"/>
        <v>CN95431000</v>
      </c>
    </row>
    <row r="597" spans="1:6" x14ac:dyDescent="0.25">
      <c r="A597" s="20">
        <v>965333304</v>
      </c>
      <c r="B597" s="9" t="s">
        <v>601</v>
      </c>
      <c r="C597" t="s">
        <v>159</v>
      </c>
      <c r="E597" s="42">
        <f>VALUE(MID(Tabla1[[#This Row],[RUT]],1,LEN(Tabla1[[#This Row],[RUT]])-1))</f>
        <v>96533330</v>
      </c>
      <c r="F597" t="str">
        <f t="shared" si="9"/>
        <v>CN96533330</v>
      </c>
    </row>
    <row r="598" spans="1:6" x14ac:dyDescent="0.25">
      <c r="A598" s="18">
        <v>965671706</v>
      </c>
      <c r="B598" s="7" t="s">
        <v>602</v>
      </c>
      <c r="C598" t="s">
        <v>159</v>
      </c>
      <c r="E598" s="42">
        <f>VALUE(MID(Tabla1[[#This Row],[RUT]],1,LEN(Tabla1[[#This Row],[RUT]])-1))</f>
        <v>96567170</v>
      </c>
      <c r="F598" t="str">
        <f t="shared" si="9"/>
        <v>CN96567170</v>
      </c>
    </row>
    <row r="599" spans="1:6" x14ac:dyDescent="0.25">
      <c r="A599" s="6">
        <v>965679200</v>
      </c>
      <c r="B599" s="5" t="s">
        <v>603</v>
      </c>
      <c r="C599" t="s">
        <v>159</v>
      </c>
      <c r="E599" s="42">
        <f>VALUE(MID(Tabla1[[#This Row],[RUT]],1,LEN(Tabla1[[#This Row],[RUT]])-1))</f>
        <v>96567920</v>
      </c>
      <c r="F599" t="str">
        <f t="shared" si="9"/>
        <v>CN96567920</v>
      </c>
    </row>
    <row r="600" spans="1:6" x14ac:dyDescent="0.25">
      <c r="A600" s="6">
        <v>965988505</v>
      </c>
      <c r="B600" s="5" t="s">
        <v>604</v>
      </c>
      <c r="C600" t="s">
        <v>4</v>
      </c>
      <c r="E600" s="42">
        <f>VALUE(MID(Tabla1[[#This Row],[RUT]],1,LEN(Tabla1[[#This Row],[RUT]])-1))</f>
        <v>96598850</v>
      </c>
      <c r="F600" t="str">
        <f t="shared" si="9"/>
        <v>CN96598850</v>
      </c>
    </row>
    <row r="601" spans="1:6" x14ac:dyDescent="0.25">
      <c r="A601" s="19">
        <v>966126205</v>
      </c>
      <c r="B601" s="8" t="s">
        <v>605</v>
      </c>
      <c r="C601" t="s">
        <v>159</v>
      </c>
      <c r="E601" s="42">
        <f>VALUE(MID(Tabla1[[#This Row],[RUT]],1,LEN(Tabla1[[#This Row],[RUT]])-1))</f>
        <v>96612620</v>
      </c>
      <c r="F601" t="str">
        <f t="shared" si="9"/>
        <v>CN96612620</v>
      </c>
    </row>
    <row r="602" spans="1:6" x14ac:dyDescent="0.25">
      <c r="A602" s="18">
        <v>966132205</v>
      </c>
      <c r="B602" s="7" t="s">
        <v>606</v>
      </c>
      <c r="C602" t="s">
        <v>159</v>
      </c>
      <c r="E602" s="42">
        <f>VALUE(MID(Tabla1[[#This Row],[RUT]],1,LEN(Tabla1[[#This Row],[RUT]])-1))</f>
        <v>96613220</v>
      </c>
      <c r="F602" t="str">
        <f t="shared" si="9"/>
        <v>CN96613220</v>
      </c>
    </row>
    <row r="603" spans="1:6" x14ac:dyDescent="0.25">
      <c r="A603" s="6">
        <v>966248807</v>
      </c>
      <c r="B603" s="5" t="s">
        <v>872</v>
      </c>
      <c r="C603" t="s">
        <v>159</v>
      </c>
      <c r="E603" s="42">
        <f>VALUE(MID(Tabla1[[#This Row],[RUT]],1,LEN(Tabla1[[#This Row],[RUT]])-1))</f>
        <v>96624880</v>
      </c>
      <c r="F603" t="str">
        <f t="shared" si="9"/>
        <v>CN96624880</v>
      </c>
    </row>
    <row r="604" spans="1:6" x14ac:dyDescent="0.25">
      <c r="A604" s="20">
        <v>966259507</v>
      </c>
      <c r="B604" s="9" t="s">
        <v>873</v>
      </c>
      <c r="C604" t="s">
        <v>159</v>
      </c>
      <c r="E604" s="42">
        <f>VALUE(MID(Tabla1[[#This Row],[RUT]],1,LEN(Tabla1[[#This Row],[RUT]])-1))</f>
        <v>96625950</v>
      </c>
      <c r="F604" t="str">
        <f t="shared" si="9"/>
        <v>CN96625950</v>
      </c>
    </row>
    <row r="605" spans="1:6" x14ac:dyDescent="0.25">
      <c r="A605" s="21">
        <v>966624507</v>
      </c>
      <c r="B605" s="10" t="s">
        <v>607</v>
      </c>
      <c r="C605" t="s">
        <v>159</v>
      </c>
      <c r="E605" s="42">
        <f>VALUE(MID(Tabla1[[#This Row],[RUT]],1,LEN(Tabla1[[#This Row],[RUT]])-1))</f>
        <v>96662450</v>
      </c>
      <c r="F605" t="str">
        <f t="shared" si="9"/>
        <v>CN96662450</v>
      </c>
    </row>
    <row r="606" spans="1:6" x14ac:dyDescent="0.25">
      <c r="A606" s="18">
        <v>967051500</v>
      </c>
      <c r="B606" s="7" t="s">
        <v>608</v>
      </c>
      <c r="C606" t="s">
        <v>159</v>
      </c>
      <c r="E606" s="42">
        <f>VALUE(MID(Tabla1[[#This Row],[RUT]],1,LEN(Tabla1[[#This Row],[RUT]])-1))</f>
        <v>96705150</v>
      </c>
      <c r="F606" t="str">
        <f t="shared" si="9"/>
        <v>CN96705150</v>
      </c>
    </row>
    <row r="607" spans="1:6" x14ac:dyDescent="0.25">
      <c r="A607" s="6">
        <v>967667803</v>
      </c>
      <c r="B607" s="5" t="s">
        <v>609</v>
      </c>
      <c r="C607" t="s">
        <v>159</v>
      </c>
      <c r="E607" s="42">
        <f>VALUE(MID(Tabla1[[#This Row],[RUT]],1,LEN(Tabla1[[#This Row],[RUT]])-1))</f>
        <v>96766780</v>
      </c>
      <c r="F607" t="str">
        <f t="shared" si="9"/>
        <v>CN96766780</v>
      </c>
    </row>
    <row r="608" spans="1:6" x14ac:dyDescent="0.25">
      <c r="A608" s="6">
        <v>967900400</v>
      </c>
      <c r="B608" s="5" t="s">
        <v>610</v>
      </c>
      <c r="C608" t="s">
        <v>159</v>
      </c>
      <c r="E608" s="42">
        <f>VALUE(MID(Tabla1[[#This Row],[RUT]],1,LEN(Tabla1[[#This Row],[RUT]])-1))</f>
        <v>96790040</v>
      </c>
      <c r="F608" t="str">
        <f t="shared" si="9"/>
        <v>CN96790040</v>
      </c>
    </row>
    <row r="609" spans="1:6" x14ac:dyDescent="0.25">
      <c r="A609" s="6">
        <v>968028006</v>
      </c>
      <c r="B609" s="5" t="s">
        <v>611</v>
      </c>
      <c r="C609" t="s">
        <v>159</v>
      </c>
      <c r="E609" s="42">
        <f>VALUE(MID(Tabla1[[#This Row],[RUT]],1,LEN(Tabla1[[#This Row],[RUT]])-1))</f>
        <v>96802800</v>
      </c>
      <c r="F609" t="str">
        <f t="shared" si="9"/>
        <v>CN96802800</v>
      </c>
    </row>
    <row r="610" spans="1:6" x14ac:dyDescent="0.25">
      <c r="A610" s="6">
        <v>968406108</v>
      </c>
      <c r="B610" s="5" t="s">
        <v>612</v>
      </c>
      <c r="C610" t="s">
        <v>4</v>
      </c>
      <c r="E610" s="42">
        <f>VALUE(MID(Tabla1[[#This Row],[RUT]],1,LEN(Tabla1[[#This Row],[RUT]])-1))</f>
        <v>96840610</v>
      </c>
      <c r="F610" t="str">
        <f t="shared" si="9"/>
        <v>CN96840610</v>
      </c>
    </row>
    <row r="611" spans="1:6" x14ac:dyDescent="0.25">
      <c r="A611" s="6">
        <v>969216604</v>
      </c>
      <c r="B611" s="5" t="s">
        <v>613</v>
      </c>
      <c r="C611" t="s">
        <v>159</v>
      </c>
      <c r="E611" s="42">
        <f>VALUE(MID(Tabla1[[#This Row],[RUT]],1,LEN(Tabla1[[#This Row],[RUT]])-1))</f>
        <v>96921660</v>
      </c>
      <c r="F611" t="str">
        <f t="shared" si="9"/>
        <v>CN96921660</v>
      </c>
    </row>
    <row r="612" spans="1:6" x14ac:dyDescent="0.25">
      <c r="A612" s="6">
        <v>969424002</v>
      </c>
      <c r="B612" s="5" t="s">
        <v>614</v>
      </c>
      <c r="C612" t="s">
        <v>159</v>
      </c>
      <c r="E612" s="42">
        <f>VALUE(MID(Tabla1[[#This Row],[RUT]],1,LEN(Tabla1[[#This Row],[RUT]])-1))</f>
        <v>96942400</v>
      </c>
      <c r="F612" t="str">
        <f t="shared" si="9"/>
        <v>CN96942400</v>
      </c>
    </row>
    <row r="613" spans="1:6" x14ac:dyDescent="0.25">
      <c r="A613" s="6">
        <v>969865505</v>
      </c>
      <c r="B613" s="5" t="s">
        <v>874</v>
      </c>
      <c r="C613" t="s">
        <v>159</v>
      </c>
      <c r="E613" s="42">
        <f>VALUE(MID(Tabla1[[#This Row],[RUT]],1,LEN(Tabla1[[#This Row],[RUT]])-1))</f>
        <v>96986550</v>
      </c>
      <c r="F613" t="str">
        <f t="shared" si="9"/>
        <v>CN96986550</v>
      </c>
    </row>
    <row r="614" spans="1:6" x14ac:dyDescent="0.25">
      <c r="A614" s="6">
        <v>995071304</v>
      </c>
      <c r="B614" s="5" t="s">
        <v>615</v>
      </c>
      <c r="C614" t="s">
        <v>159</v>
      </c>
      <c r="E614" s="42">
        <f>VALUE(MID(Tabla1[[#This Row],[RUT]],1,LEN(Tabla1[[#This Row],[RUT]])-1))</f>
        <v>99507130</v>
      </c>
      <c r="F614" t="str">
        <f t="shared" si="9"/>
        <v>CN99507130</v>
      </c>
    </row>
    <row r="615" spans="1:6" x14ac:dyDescent="0.25">
      <c r="A615" s="21">
        <v>995356201</v>
      </c>
      <c r="B615" s="10" t="s">
        <v>616</v>
      </c>
      <c r="C615" t="s">
        <v>159</v>
      </c>
      <c r="E615" s="42">
        <f>VALUE(MID(Tabla1[[#This Row],[RUT]],1,LEN(Tabla1[[#This Row],[RUT]])-1))</f>
        <v>99535620</v>
      </c>
      <c r="F615" t="str">
        <f t="shared" si="9"/>
        <v>CN99535620</v>
      </c>
    </row>
    <row r="616" spans="1:6" x14ac:dyDescent="0.25">
      <c r="A616" s="6">
        <v>995378000</v>
      </c>
      <c r="B616" s="5" t="s">
        <v>617</v>
      </c>
      <c r="C616" t="s">
        <v>159</v>
      </c>
      <c r="E616" s="42">
        <f>VALUE(MID(Tabla1[[#This Row],[RUT]],1,LEN(Tabla1[[#This Row],[RUT]])-1))</f>
        <v>99537800</v>
      </c>
      <c r="F616" t="str">
        <f t="shared" si="9"/>
        <v>CN99537800</v>
      </c>
    </row>
    <row r="617" spans="1:6" x14ac:dyDescent="0.25">
      <c r="A617" s="19">
        <v>995491303</v>
      </c>
      <c r="B617" s="8" t="s">
        <v>618</v>
      </c>
      <c r="C617" t="s">
        <v>159</v>
      </c>
      <c r="E617" s="42">
        <f>VALUE(MID(Tabla1[[#This Row],[RUT]],1,LEN(Tabla1[[#This Row],[RUT]])-1))</f>
        <v>99549130</v>
      </c>
      <c r="F617" t="str">
        <f t="shared" si="9"/>
        <v>CN99549130</v>
      </c>
    </row>
    <row r="618" spans="1:6" x14ac:dyDescent="0.25">
      <c r="A618" s="18">
        <v>995931702</v>
      </c>
      <c r="B618" s="7" t="s">
        <v>619</v>
      </c>
      <c r="C618" t="s">
        <v>159</v>
      </c>
      <c r="E618" s="42">
        <f>VALUE(MID(Tabla1[[#This Row],[RUT]],1,LEN(Tabla1[[#This Row],[RUT]])-1))</f>
        <v>99593170</v>
      </c>
      <c r="F618" t="str">
        <f t="shared" si="9"/>
        <v>CN99593170</v>
      </c>
    </row>
    <row r="619" spans="1:6" x14ac:dyDescent="0.25">
      <c r="A619" s="21" t="s">
        <v>620</v>
      </c>
      <c r="B619" s="10" t="s">
        <v>621</v>
      </c>
      <c r="C619" t="s">
        <v>159</v>
      </c>
      <c r="E619" s="42">
        <f>VALUE(MID(Tabla1[[#This Row],[RUT]],1,LEN(Tabla1[[#This Row],[RUT]])-1))</f>
        <v>61004042</v>
      </c>
      <c r="F619" t="str">
        <f t="shared" si="9"/>
        <v>CN61004042</v>
      </c>
    </row>
    <row r="620" spans="1:6" x14ac:dyDescent="0.25">
      <c r="A620" s="6" t="s">
        <v>622</v>
      </c>
      <c r="B620" s="5" t="s">
        <v>623</v>
      </c>
      <c r="C620" t="s">
        <v>159</v>
      </c>
      <c r="E620" s="42">
        <f>VALUE(MID(Tabla1[[#This Row],[RUT]],1,LEN(Tabla1[[#This Row],[RUT]])-1))</f>
        <v>61108000</v>
      </c>
      <c r="F620" t="str">
        <f t="shared" si="9"/>
        <v>CN61108000</v>
      </c>
    </row>
    <row r="621" spans="1:6" x14ac:dyDescent="0.25">
      <c r="A621" s="22" t="s">
        <v>624</v>
      </c>
      <c r="B621" s="11" t="s">
        <v>625</v>
      </c>
      <c r="C621" t="s">
        <v>159</v>
      </c>
      <c r="E621" s="42">
        <f>VALUE(MID(Tabla1[[#This Row],[RUT]],1,LEN(Tabla1[[#This Row],[RUT]])-1))</f>
        <v>61601000</v>
      </c>
      <c r="F621" t="str">
        <f t="shared" si="9"/>
        <v>CN61601000</v>
      </c>
    </row>
    <row r="622" spans="1:6" x14ac:dyDescent="0.25">
      <c r="A622" s="6" t="s">
        <v>626</v>
      </c>
      <c r="B622" s="5" t="s">
        <v>627</v>
      </c>
      <c r="C622" t="s">
        <v>159</v>
      </c>
      <c r="E622" s="42">
        <f>VALUE(MID(Tabla1[[#This Row],[RUT]],1,LEN(Tabla1[[#This Row],[RUT]])-1))</f>
        <v>61602132</v>
      </c>
      <c r="F622" t="str">
        <f t="shared" si="9"/>
        <v>CN61602132</v>
      </c>
    </row>
    <row r="623" spans="1:6" x14ac:dyDescent="0.25">
      <c r="A623" s="6" t="s">
        <v>628</v>
      </c>
      <c r="B623" s="5" t="s">
        <v>629</v>
      </c>
      <c r="C623" t="s">
        <v>159</v>
      </c>
      <c r="E623" s="42">
        <f>VALUE(MID(Tabla1[[#This Row],[RUT]],1,LEN(Tabla1[[#This Row],[RUT]])-1))</f>
        <v>61602146</v>
      </c>
      <c r="F623" t="str">
        <f t="shared" si="9"/>
        <v>CN61602146</v>
      </c>
    </row>
    <row r="624" spans="1:6" x14ac:dyDescent="0.25">
      <c r="A624" s="18" t="s">
        <v>630</v>
      </c>
      <c r="B624" s="7" t="s">
        <v>631</v>
      </c>
      <c r="C624" t="s">
        <v>159</v>
      </c>
      <c r="E624" s="42">
        <f>VALUE(MID(Tabla1[[#This Row],[RUT]],1,LEN(Tabla1[[#This Row],[RUT]])-1))</f>
        <v>61602194</v>
      </c>
      <c r="F624" t="str">
        <f t="shared" si="9"/>
        <v>CN61602194</v>
      </c>
    </row>
    <row r="625" spans="1:6" x14ac:dyDescent="0.25">
      <c r="A625" s="6" t="s">
        <v>632</v>
      </c>
      <c r="B625" s="5" t="s">
        <v>633</v>
      </c>
      <c r="C625" t="s">
        <v>159</v>
      </c>
      <c r="E625" s="42">
        <f>VALUE(MID(Tabla1[[#This Row],[RUT]],1,LEN(Tabla1[[#This Row],[RUT]])-1))</f>
        <v>61602244</v>
      </c>
      <c r="F625" t="str">
        <f t="shared" si="9"/>
        <v>CN61602244</v>
      </c>
    </row>
    <row r="626" spans="1:6" x14ac:dyDescent="0.25">
      <c r="A626" s="6" t="s">
        <v>634</v>
      </c>
      <c r="B626" s="5" t="s">
        <v>635</v>
      </c>
      <c r="C626" t="s">
        <v>159</v>
      </c>
      <c r="E626" s="42">
        <f>VALUE(MID(Tabla1[[#This Row],[RUT]],1,LEN(Tabla1[[#This Row],[RUT]])-1))</f>
        <v>61602261</v>
      </c>
      <c r="F626" t="str">
        <f t="shared" si="9"/>
        <v>CN61602261</v>
      </c>
    </row>
    <row r="627" spans="1:6" x14ac:dyDescent="0.25">
      <c r="A627" s="6" t="s">
        <v>636</v>
      </c>
      <c r="B627" s="5" t="s">
        <v>637</v>
      </c>
      <c r="C627" t="s">
        <v>4758</v>
      </c>
      <c r="E627" s="42">
        <f>VALUE(MID(Tabla1[[#This Row],[RUT]],1,LEN(Tabla1[[#This Row],[RUT]])-1))</f>
        <v>61602275</v>
      </c>
      <c r="F627" t="str">
        <f t="shared" si="9"/>
        <v>CN61602275</v>
      </c>
    </row>
    <row r="628" spans="1:6" x14ac:dyDescent="0.25">
      <c r="A628" s="6" t="s">
        <v>638</v>
      </c>
      <c r="B628" s="5" t="s">
        <v>639</v>
      </c>
      <c r="C628" t="s">
        <v>159</v>
      </c>
      <c r="E628" s="42">
        <f>VALUE(MID(Tabla1[[#This Row],[RUT]],1,LEN(Tabla1[[#This Row],[RUT]])-1))</f>
        <v>61602292</v>
      </c>
      <c r="F628" t="str">
        <f t="shared" si="9"/>
        <v>CN61602292</v>
      </c>
    </row>
    <row r="629" spans="1:6" x14ac:dyDescent="0.25">
      <c r="A629" s="6" t="s">
        <v>640</v>
      </c>
      <c r="B629" s="5" t="s">
        <v>641</v>
      </c>
      <c r="C629" t="s">
        <v>159</v>
      </c>
      <c r="E629" s="42">
        <f>VALUE(MID(Tabla1[[#This Row],[RUT]],1,LEN(Tabla1[[#This Row],[RUT]])-1))</f>
        <v>61602311</v>
      </c>
      <c r="F629" t="str">
        <f t="shared" si="9"/>
        <v>CN61602311</v>
      </c>
    </row>
    <row r="630" spans="1:6" x14ac:dyDescent="0.25">
      <c r="A630" s="6" t="s">
        <v>642</v>
      </c>
      <c r="B630" s="5" t="s">
        <v>875</v>
      </c>
      <c r="C630" t="s">
        <v>159</v>
      </c>
      <c r="E630" s="42">
        <f>VALUE(MID(Tabla1[[#This Row],[RUT]],1,LEN(Tabla1[[#This Row],[RUT]])-1))</f>
        <v>61606200</v>
      </c>
      <c r="F630" t="str">
        <f t="shared" si="9"/>
        <v>CN61606200</v>
      </c>
    </row>
    <row r="631" spans="1:6" x14ac:dyDescent="0.25">
      <c r="A631" s="6" t="s">
        <v>643</v>
      </c>
      <c r="B631" s="5" t="s">
        <v>644</v>
      </c>
      <c r="C631" t="s">
        <v>159</v>
      </c>
      <c r="E631" s="42">
        <f>VALUE(MID(Tabla1[[#This Row],[RUT]],1,LEN(Tabla1[[#This Row],[RUT]])-1))</f>
        <v>61606309</v>
      </c>
      <c r="F631" t="str">
        <f t="shared" si="9"/>
        <v>CN61606309</v>
      </c>
    </row>
    <row r="632" spans="1:6" x14ac:dyDescent="0.25">
      <c r="A632" s="6" t="s">
        <v>645</v>
      </c>
      <c r="B632" s="5" t="s">
        <v>646</v>
      </c>
      <c r="C632" t="s">
        <v>159</v>
      </c>
      <c r="E632" s="42">
        <f>VALUE(MID(Tabla1[[#This Row],[RUT]],1,LEN(Tabla1[[#This Row],[RUT]])-1))</f>
        <v>61606407</v>
      </c>
      <c r="F632" t="str">
        <f t="shared" si="9"/>
        <v>CN61606407</v>
      </c>
    </row>
    <row r="633" spans="1:6" x14ac:dyDescent="0.25">
      <c r="A633" s="6" t="s">
        <v>647</v>
      </c>
      <c r="B633" s="5" t="s">
        <v>648</v>
      </c>
      <c r="C633" t="s">
        <v>159</v>
      </c>
      <c r="E633" s="42">
        <f>VALUE(MID(Tabla1[[#This Row],[RUT]],1,LEN(Tabla1[[#This Row],[RUT]])-1))</f>
        <v>61606908</v>
      </c>
      <c r="F633" t="str">
        <f t="shared" si="9"/>
        <v>CN61606908</v>
      </c>
    </row>
    <row r="634" spans="1:6" x14ac:dyDescent="0.25">
      <c r="A634" s="6" t="s">
        <v>649</v>
      </c>
      <c r="B634" s="5" t="s">
        <v>650</v>
      </c>
      <c r="C634" t="s">
        <v>159</v>
      </c>
      <c r="E634" s="42">
        <f>VALUE(MID(Tabla1[[#This Row],[RUT]],1,LEN(Tabla1[[#This Row],[RUT]])-1))</f>
        <v>61606911</v>
      </c>
      <c r="F634" t="str">
        <f t="shared" si="9"/>
        <v>CN61606911</v>
      </c>
    </row>
    <row r="635" spans="1:6" x14ac:dyDescent="0.25">
      <c r="A635" s="6" t="s">
        <v>651</v>
      </c>
      <c r="B635" s="5" t="s">
        <v>652</v>
      </c>
      <c r="C635" t="s">
        <v>159</v>
      </c>
      <c r="E635" s="42">
        <f>VALUE(MID(Tabla1[[#This Row],[RUT]],1,LEN(Tabla1[[#This Row],[RUT]])-1))</f>
        <v>61607508</v>
      </c>
      <c r="F635" t="str">
        <f t="shared" si="9"/>
        <v>CN61607508</v>
      </c>
    </row>
    <row r="636" spans="1:6" x14ac:dyDescent="0.25">
      <c r="A636" s="6" t="s">
        <v>653</v>
      </c>
      <c r="B636" s="5" t="s">
        <v>654</v>
      </c>
      <c r="C636" t="s">
        <v>159</v>
      </c>
      <c r="E636" s="42">
        <f>VALUE(MID(Tabla1[[#This Row],[RUT]],1,LEN(Tabla1[[#This Row],[RUT]])-1))</f>
        <v>61607900</v>
      </c>
      <c r="F636" t="str">
        <f t="shared" si="9"/>
        <v>CN61607900</v>
      </c>
    </row>
    <row r="637" spans="1:6" x14ac:dyDescent="0.25">
      <c r="A637" s="18" t="s">
        <v>655</v>
      </c>
      <c r="B637" s="7" t="s">
        <v>656</v>
      </c>
      <c r="C637" t="s">
        <v>159</v>
      </c>
      <c r="E637" s="42">
        <f>VALUE(MID(Tabla1[[#This Row],[RUT]],1,LEN(Tabla1[[#This Row],[RUT]])-1))</f>
        <v>61608108</v>
      </c>
      <c r="F637" t="str">
        <f t="shared" si="9"/>
        <v>CN61608108</v>
      </c>
    </row>
    <row r="638" spans="1:6" x14ac:dyDescent="0.25">
      <c r="A638" s="6" t="s">
        <v>657</v>
      </c>
      <c r="B638" s="5" t="s">
        <v>658</v>
      </c>
      <c r="C638" t="s">
        <v>159</v>
      </c>
      <c r="E638" s="42">
        <f>VALUE(MID(Tabla1[[#This Row],[RUT]],1,LEN(Tabla1[[#This Row],[RUT]])-1))</f>
        <v>61608402</v>
      </c>
      <c r="F638" t="str">
        <f t="shared" si="9"/>
        <v>CN61608402</v>
      </c>
    </row>
    <row r="639" spans="1:6" x14ac:dyDescent="0.25">
      <c r="A639" s="6" t="s">
        <v>659</v>
      </c>
      <c r="B639" s="5" t="s">
        <v>660</v>
      </c>
      <c r="C639" t="s">
        <v>159</v>
      </c>
      <c r="E639" s="42">
        <f>VALUE(MID(Tabla1[[#This Row],[RUT]],1,LEN(Tabla1[[#This Row],[RUT]])-1))</f>
        <v>61608500</v>
      </c>
      <c r="F639" t="str">
        <f t="shared" si="9"/>
        <v>CN61608500</v>
      </c>
    </row>
    <row r="640" spans="1:6" x14ac:dyDescent="0.25">
      <c r="A640" s="6" t="s">
        <v>661</v>
      </c>
      <c r="B640" s="5" t="s">
        <v>662</v>
      </c>
      <c r="C640" t="s">
        <v>159</v>
      </c>
      <c r="E640" s="42">
        <f>VALUE(MID(Tabla1[[#This Row],[RUT]],1,LEN(Tabla1[[#This Row],[RUT]])-1))</f>
        <v>61929100</v>
      </c>
      <c r="F640" t="str">
        <f t="shared" si="9"/>
        <v>CN61929100</v>
      </c>
    </row>
    <row r="641" spans="1:6" x14ac:dyDescent="0.25">
      <c r="A641" s="6" t="s">
        <v>663</v>
      </c>
      <c r="B641" s="5" t="s">
        <v>876</v>
      </c>
      <c r="C641" t="s">
        <v>159</v>
      </c>
      <c r="E641" s="42">
        <f>VALUE(MID(Tabla1[[#This Row],[RUT]],1,LEN(Tabla1[[#This Row],[RUT]])-1))</f>
        <v>61979270</v>
      </c>
      <c r="F641" t="str">
        <f t="shared" si="9"/>
        <v>CN61979270</v>
      </c>
    </row>
    <row r="642" spans="1:6" x14ac:dyDescent="0.25">
      <c r="A642" s="6" t="s">
        <v>664</v>
      </c>
      <c r="B642" s="5" t="s">
        <v>665</v>
      </c>
      <c r="C642" t="s">
        <v>159</v>
      </c>
      <c r="E642" s="42">
        <f>VALUE(MID(Tabla1[[#This Row],[RUT]],1,LEN(Tabla1[[#This Row],[RUT]])-1))</f>
        <v>61980080</v>
      </c>
      <c r="F642" t="str">
        <f t="shared" si="9"/>
        <v>CN61980080</v>
      </c>
    </row>
    <row r="643" spans="1:6" x14ac:dyDescent="0.25">
      <c r="A643" s="6" t="s">
        <v>666</v>
      </c>
      <c r="B643" s="5" t="s">
        <v>667</v>
      </c>
      <c r="C643" t="s">
        <v>159</v>
      </c>
      <c r="E643" s="42">
        <f>VALUE(MID(Tabla1[[#This Row],[RUT]],1,LEN(Tabla1[[#This Row],[RUT]])-1))</f>
        <v>65001975</v>
      </c>
      <c r="F643" t="str">
        <f t="shared" ref="F643:F706" si="10">"CN"&amp;E643</f>
        <v>CN65001975</v>
      </c>
    </row>
    <row r="644" spans="1:6" x14ac:dyDescent="0.25">
      <c r="A644" s="18" t="s">
        <v>668</v>
      </c>
      <c r="B644" s="7" t="s">
        <v>669</v>
      </c>
      <c r="C644" t="s">
        <v>159</v>
      </c>
      <c r="E644" s="42">
        <f>VALUE(MID(Tabla1[[#This Row],[RUT]],1,LEN(Tabla1[[#This Row],[RUT]])-1))</f>
        <v>65061030</v>
      </c>
      <c r="F644" t="str">
        <f t="shared" si="10"/>
        <v>CN65061030</v>
      </c>
    </row>
    <row r="645" spans="1:6" x14ac:dyDescent="0.25">
      <c r="A645" s="18" t="s">
        <v>670</v>
      </c>
      <c r="B645" s="7" t="s">
        <v>671</v>
      </c>
      <c r="C645" t="s">
        <v>159</v>
      </c>
      <c r="E645" s="42">
        <f>VALUE(MID(Tabla1[[#This Row],[RUT]],1,LEN(Tabla1[[#This Row],[RUT]])-1))</f>
        <v>65311270</v>
      </c>
      <c r="F645" t="str">
        <f t="shared" si="10"/>
        <v>CN65311270</v>
      </c>
    </row>
    <row r="646" spans="1:6" x14ac:dyDescent="0.25">
      <c r="A646" s="6" t="s">
        <v>672</v>
      </c>
      <c r="B646" s="5" t="s">
        <v>673</v>
      </c>
      <c r="C646" t="s">
        <v>159</v>
      </c>
      <c r="E646" s="42">
        <f>VALUE(MID(Tabla1[[#This Row],[RUT]],1,LEN(Tabla1[[#This Row],[RUT]])-1))</f>
        <v>69030600</v>
      </c>
      <c r="F646" t="str">
        <f t="shared" si="10"/>
        <v>CN69030600</v>
      </c>
    </row>
    <row r="647" spans="1:6" x14ac:dyDescent="0.25">
      <c r="A647" s="6" t="s">
        <v>674</v>
      </c>
      <c r="B647" s="5" t="s">
        <v>675</v>
      </c>
      <c r="C647" t="s">
        <v>159</v>
      </c>
      <c r="E647" s="42">
        <f>VALUE(MID(Tabla1[[#This Row],[RUT]],1,LEN(Tabla1[[#This Row],[RUT]])-1))</f>
        <v>69050300</v>
      </c>
      <c r="F647" t="str">
        <f t="shared" si="10"/>
        <v>CN69050300</v>
      </c>
    </row>
    <row r="648" spans="1:6" x14ac:dyDescent="0.25">
      <c r="A648" s="6" t="s">
        <v>676</v>
      </c>
      <c r="B648" s="5" t="s">
        <v>677</v>
      </c>
      <c r="C648" t="s">
        <v>159</v>
      </c>
      <c r="E648" s="42">
        <f>VALUE(MID(Tabla1[[#This Row],[RUT]],1,LEN(Tabla1[[#This Row],[RUT]])-1))</f>
        <v>69071700</v>
      </c>
      <c r="F648" t="str">
        <f t="shared" si="10"/>
        <v>CN69071700</v>
      </c>
    </row>
    <row r="649" spans="1:6" x14ac:dyDescent="0.25">
      <c r="A649" s="18" t="s">
        <v>678</v>
      </c>
      <c r="B649" s="7" t="s">
        <v>877</v>
      </c>
      <c r="C649" t="s">
        <v>159</v>
      </c>
      <c r="E649" s="42">
        <f>VALUE(MID(Tabla1[[#This Row],[RUT]],1,LEN(Tabla1[[#This Row],[RUT]])-1))</f>
        <v>69080400</v>
      </c>
      <c r="F649" t="str">
        <f t="shared" si="10"/>
        <v>CN69080400</v>
      </c>
    </row>
    <row r="650" spans="1:6" x14ac:dyDescent="0.25">
      <c r="A650" s="6" t="s">
        <v>679</v>
      </c>
      <c r="B650" s="5" t="s">
        <v>878</v>
      </c>
      <c r="C650" t="s">
        <v>159</v>
      </c>
      <c r="E650" s="42">
        <f>VALUE(MID(Tabla1[[#This Row],[RUT]],1,LEN(Tabla1[[#This Row],[RUT]])-1))</f>
        <v>69081000</v>
      </c>
      <c r="F650" t="str">
        <f t="shared" si="10"/>
        <v>CN69081000</v>
      </c>
    </row>
    <row r="651" spans="1:6" x14ac:dyDescent="0.25">
      <c r="A651" s="6" t="s">
        <v>680</v>
      </c>
      <c r="B651" s="5" t="s">
        <v>681</v>
      </c>
      <c r="C651" t="s">
        <v>159</v>
      </c>
      <c r="E651" s="42">
        <f>VALUE(MID(Tabla1[[#This Row],[RUT]],1,LEN(Tabla1[[#This Row],[RUT]])-1))</f>
        <v>69090800</v>
      </c>
      <c r="F651" t="str">
        <f t="shared" si="10"/>
        <v>CN69090800</v>
      </c>
    </row>
    <row r="652" spans="1:6" x14ac:dyDescent="0.25">
      <c r="A652" s="6" t="s">
        <v>682</v>
      </c>
      <c r="B652" s="5" t="s">
        <v>683</v>
      </c>
      <c r="C652" t="s">
        <v>159</v>
      </c>
      <c r="E652" s="42">
        <f>VALUE(MID(Tabla1[[#This Row],[RUT]],1,LEN(Tabla1[[#This Row],[RUT]])-1))</f>
        <v>69091400</v>
      </c>
      <c r="F652" t="str">
        <f t="shared" si="10"/>
        <v>CN69091400</v>
      </c>
    </row>
    <row r="653" spans="1:6" x14ac:dyDescent="0.25">
      <c r="A653" s="6" t="s">
        <v>684</v>
      </c>
      <c r="B653" s="5" t="s">
        <v>685</v>
      </c>
      <c r="C653" t="s">
        <v>159</v>
      </c>
      <c r="E653" s="42">
        <f>VALUE(MID(Tabla1[[#This Row],[RUT]],1,LEN(Tabla1[[#This Row],[RUT]])-1))</f>
        <v>69180500</v>
      </c>
      <c r="F653" t="str">
        <f t="shared" si="10"/>
        <v>CN69180500</v>
      </c>
    </row>
    <row r="654" spans="1:6" x14ac:dyDescent="0.25">
      <c r="A654" s="6" t="s">
        <v>686</v>
      </c>
      <c r="B654" s="5" t="s">
        <v>687</v>
      </c>
      <c r="C654" t="s">
        <v>159</v>
      </c>
      <c r="E654" s="42">
        <f>VALUE(MID(Tabla1[[#This Row],[RUT]],1,LEN(Tabla1[[#This Row],[RUT]])-1))</f>
        <v>69190900</v>
      </c>
      <c r="F654" t="str">
        <f t="shared" si="10"/>
        <v>CN69190900</v>
      </c>
    </row>
    <row r="655" spans="1:6" x14ac:dyDescent="0.25">
      <c r="A655" s="6" t="s">
        <v>688</v>
      </c>
      <c r="B655" s="5" t="s">
        <v>689</v>
      </c>
      <c r="C655" t="s">
        <v>159</v>
      </c>
      <c r="E655" s="42">
        <f>VALUE(MID(Tabla1[[#This Row],[RUT]],1,LEN(Tabla1[[#This Row],[RUT]])-1))</f>
        <v>69200700</v>
      </c>
      <c r="F655" t="str">
        <f t="shared" si="10"/>
        <v>CN69200700</v>
      </c>
    </row>
    <row r="656" spans="1:6" x14ac:dyDescent="0.25">
      <c r="A656" s="6" t="s">
        <v>690</v>
      </c>
      <c r="B656" s="5" t="s">
        <v>691</v>
      </c>
      <c r="C656" t="s">
        <v>159</v>
      </c>
      <c r="E656" s="42">
        <f>VALUE(MID(Tabla1[[#This Row],[RUT]],1,LEN(Tabla1[[#This Row],[RUT]])-1))</f>
        <v>69265000</v>
      </c>
      <c r="F656" t="str">
        <f t="shared" si="10"/>
        <v>CN69265000</v>
      </c>
    </row>
    <row r="657" spans="1:6" x14ac:dyDescent="0.25">
      <c r="A657" s="18" t="s">
        <v>692</v>
      </c>
      <c r="B657" s="7" t="s">
        <v>693</v>
      </c>
      <c r="C657" t="s">
        <v>159</v>
      </c>
      <c r="E657" s="42">
        <f>VALUE(MID(Tabla1[[#This Row],[RUT]],1,LEN(Tabla1[[#This Row],[RUT]])-1))</f>
        <v>70770800</v>
      </c>
      <c r="F657" t="str">
        <f t="shared" si="10"/>
        <v>CN70770800</v>
      </c>
    </row>
    <row r="658" spans="1:6" x14ac:dyDescent="0.25">
      <c r="A658" s="6" t="s">
        <v>694</v>
      </c>
      <c r="B658" s="5" t="s">
        <v>695</v>
      </c>
      <c r="C658" t="s">
        <v>159</v>
      </c>
      <c r="E658" s="42">
        <f>VALUE(MID(Tabla1[[#This Row],[RUT]],1,LEN(Tabla1[[#This Row],[RUT]])-1))</f>
        <v>70931100</v>
      </c>
      <c r="F658" t="str">
        <f t="shared" si="10"/>
        <v>CN70931100</v>
      </c>
    </row>
    <row r="659" spans="1:6" x14ac:dyDescent="0.25">
      <c r="A659" s="6" t="s">
        <v>696</v>
      </c>
      <c r="B659" s="5" t="s">
        <v>879</v>
      </c>
      <c r="C659" t="s">
        <v>159</v>
      </c>
      <c r="E659" s="42">
        <f>VALUE(MID(Tabla1[[#This Row],[RUT]],1,LEN(Tabla1[[#This Row],[RUT]])-1))</f>
        <v>70932800</v>
      </c>
      <c r="F659" t="str">
        <f t="shared" si="10"/>
        <v>CN70932800</v>
      </c>
    </row>
    <row r="660" spans="1:6" x14ac:dyDescent="0.25">
      <c r="A660" s="20" t="s">
        <v>697</v>
      </c>
      <c r="B660" s="9" t="s">
        <v>698</v>
      </c>
      <c r="C660" t="s">
        <v>159</v>
      </c>
      <c r="E660" s="42">
        <f>VALUE(MID(Tabla1[[#This Row],[RUT]],1,LEN(Tabla1[[#This Row],[RUT]])-1))</f>
        <v>71500500</v>
      </c>
      <c r="F660" t="str">
        <f t="shared" si="10"/>
        <v>CN71500500</v>
      </c>
    </row>
    <row r="661" spans="1:6" x14ac:dyDescent="0.25">
      <c r="A661" s="6" t="s">
        <v>699</v>
      </c>
      <c r="B661" s="5" t="s">
        <v>700</v>
      </c>
      <c r="C661" t="s">
        <v>159</v>
      </c>
      <c r="E661" s="42">
        <f>VALUE(MID(Tabla1[[#This Row],[RUT]],1,LEN(Tabla1[[#This Row],[RUT]])-1))</f>
        <v>71918300</v>
      </c>
      <c r="F661" t="str">
        <f t="shared" si="10"/>
        <v>CN71918300</v>
      </c>
    </row>
    <row r="662" spans="1:6" x14ac:dyDescent="0.25">
      <c r="A662" s="19" t="s">
        <v>701</v>
      </c>
      <c r="B662" s="8" t="s">
        <v>702</v>
      </c>
      <c r="C662" t="s">
        <v>159</v>
      </c>
      <c r="E662" s="42">
        <f>VALUE(MID(Tabla1[[#This Row],[RUT]],1,LEN(Tabla1[[#This Row],[RUT]])-1))</f>
        <v>76037010</v>
      </c>
      <c r="F662" t="str">
        <f t="shared" si="10"/>
        <v>CN76037010</v>
      </c>
    </row>
    <row r="663" spans="1:6" x14ac:dyDescent="0.25">
      <c r="A663" s="6" t="s">
        <v>703</v>
      </c>
      <c r="B663" s="5" t="s">
        <v>704</v>
      </c>
      <c r="C663" t="s">
        <v>159</v>
      </c>
      <c r="E663" s="42">
        <f>VALUE(MID(Tabla1[[#This Row],[RUT]],1,LEN(Tabla1[[#This Row],[RUT]])-1))</f>
        <v>76037430</v>
      </c>
      <c r="F663" t="str">
        <f t="shared" si="10"/>
        <v>CN76037430</v>
      </c>
    </row>
    <row r="664" spans="1:6" x14ac:dyDescent="0.25">
      <c r="A664" s="6" t="s">
        <v>705</v>
      </c>
      <c r="B664" s="5" t="s">
        <v>706</v>
      </c>
      <c r="C664" t="s">
        <v>159</v>
      </c>
      <c r="E664" s="42">
        <f>VALUE(MID(Tabla1[[#This Row],[RUT]],1,LEN(Tabla1[[#This Row],[RUT]])-1))</f>
        <v>76098454</v>
      </c>
      <c r="F664" t="str">
        <f t="shared" si="10"/>
        <v>CN76098454</v>
      </c>
    </row>
    <row r="665" spans="1:6" x14ac:dyDescent="0.25">
      <c r="A665" s="21" t="s">
        <v>707</v>
      </c>
      <c r="B665" s="10" t="s">
        <v>880</v>
      </c>
      <c r="C665" t="s">
        <v>159</v>
      </c>
      <c r="E665" s="42">
        <f>VALUE(MID(Tabla1[[#This Row],[RUT]],1,LEN(Tabla1[[#This Row],[RUT]])-1))</f>
        <v>76367603</v>
      </c>
      <c r="F665" t="str">
        <f t="shared" si="10"/>
        <v>CN76367603</v>
      </c>
    </row>
    <row r="666" spans="1:6" x14ac:dyDescent="0.25">
      <c r="A666" s="6" t="s">
        <v>708</v>
      </c>
      <c r="B666" s="5" t="s">
        <v>709</v>
      </c>
      <c r="C666" t="s">
        <v>159</v>
      </c>
      <c r="E666" s="42">
        <f>VALUE(MID(Tabla1[[#This Row],[RUT]],1,LEN(Tabla1[[#This Row],[RUT]])-1))</f>
        <v>76512686</v>
      </c>
      <c r="F666" t="str">
        <f t="shared" si="10"/>
        <v>CN76512686</v>
      </c>
    </row>
    <row r="667" spans="1:6" x14ac:dyDescent="0.25">
      <c r="A667" s="6" t="s">
        <v>710</v>
      </c>
      <c r="B667" s="5" t="s">
        <v>881</v>
      </c>
      <c r="C667" t="s">
        <v>159</v>
      </c>
      <c r="E667" s="42">
        <f>VALUE(MID(Tabla1[[#This Row],[RUT]],1,LEN(Tabla1[[#This Row],[RUT]])-1))</f>
        <v>76555831</v>
      </c>
      <c r="F667" t="str">
        <f t="shared" si="10"/>
        <v>CN76555831</v>
      </c>
    </row>
    <row r="668" spans="1:6" x14ac:dyDescent="0.25">
      <c r="A668" s="19" t="s">
        <v>711</v>
      </c>
      <c r="B668" s="8" t="s">
        <v>712</v>
      </c>
      <c r="C668" t="s">
        <v>159</v>
      </c>
      <c r="E668" s="42">
        <f>VALUE(MID(Tabla1[[#This Row],[RUT]],1,LEN(Tabla1[[#This Row],[RUT]])-1))</f>
        <v>76718218</v>
      </c>
      <c r="F668" t="str">
        <f t="shared" si="10"/>
        <v>CN76718218</v>
      </c>
    </row>
    <row r="669" spans="1:6" x14ac:dyDescent="0.25">
      <c r="A669" s="6" t="s">
        <v>713</v>
      </c>
      <c r="B669" s="5" t="s">
        <v>714</v>
      </c>
      <c r="C669" t="s">
        <v>159</v>
      </c>
      <c r="E669" s="42">
        <f>VALUE(MID(Tabla1[[#This Row],[RUT]],1,LEN(Tabla1[[#This Row],[RUT]])-1))</f>
        <v>76739523</v>
      </c>
      <c r="F669" t="str">
        <f t="shared" si="10"/>
        <v>CN76739523</v>
      </c>
    </row>
    <row r="670" spans="1:6" x14ac:dyDescent="0.25">
      <c r="A670" s="18" t="s">
        <v>715</v>
      </c>
      <c r="B670" s="7" t="s">
        <v>716</v>
      </c>
      <c r="C670" t="s">
        <v>159</v>
      </c>
      <c r="E670" s="42">
        <f>VALUE(MID(Tabla1[[#This Row],[RUT]],1,LEN(Tabla1[[#This Row],[RUT]])-1))</f>
        <v>76758248</v>
      </c>
      <c r="F670" t="str">
        <f t="shared" si="10"/>
        <v>CN76758248</v>
      </c>
    </row>
    <row r="671" spans="1:6" x14ac:dyDescent="0.25">
      <c r="A671" s="18" t="s">
        <v>717</v>
      </c>
      <c r="B671" s="7" t="s">
        <v>882</v>
      </c>
      <c r="C671" t="s">
        <v>159</v>
      </c>
      <c r="E671" s="42">
        <f>VALUE(MID(Tabla1[[#This Row],[RUT]],1,LEN(Tabla1[[#This Row],[RUT]])-1))</f>
        <v>76850721</v>
      </c>
      <c r="F671" t="str">
        <f t="shared" si="10"/>
        <v>CN76850721</v>
      </c>
    </row>
    <row r="672" spans="1:6" x14ac:dyDescent="0.25">
      <c r="A672" s="6" t="s">
        <v>718</v>
      </c>
      <c r="B672" s="5" t="s">
        <v>719</v>
      </c>
      <c r="C672" t="s">
        <v>159</v>
      </c>
      <c r="E672" s="42">
        <f>VALUE(MID(Tabla1[[#This Row],[RUT]],1,LEN(Tabla1[[#This Row],[RUT]])-1))</f>
        <v>76871990</v>
      </c>
      <c r="F672" t="str">
        <f t="shared" si="10"/>
        <v>CN76871990</v>
      </c>
    </row>
    <row r="673" spans="1:6" x14ac:dyDescent="0.25">
      <c r="A673" s="18" t="s">
        <v>720</v>
      </c>
      <c r="B673" s="7" t="s">
        <v>721</v>
      </c>
      <c r="C673" t="s">
        <v>159</v>
      </c>
      <c r="E673" s="42">
        <f>VALUE(MID(Tabla1[[#This Row],[RUT]],1,LEN(Tabla1[[#This Row],[RUT]])-1))</f>
        <v>76875179</v>
      </c>
      <c r="F673" t="str">
        <f t="shared" si="10"/>
        <v>CN76875179</v>
      </c>
    </row>
    <row r="674" spans="1:6" x14ac:dyDescent="0.25">
      <c r="A674" s="6" t="s">
        <v>722</v>
      </c>
      <c r="B674" s="5" t="s">
        <v>723</v>
      </c>
      <c r="C674" t="s">
        <v>159</v>
      </c>
      <c r="E674" s="42">
        <f>VALUE(MID(Tabla1[[#This Row],[RUT]],1,LEN(Tabla1[[#This Row],[RUT]])-1))</f>
        <v>76938510</v>
      </c>
      <c r="F674" t="str">
        <f t="shared" si="10"/>
        <v>CN76938510</v>
      </c>
    </row>
    <row r="675" spans="1:6" x14ac:dyDescent="0.25">
      <c r="A675" s="18" t="s">
        <v>724</v>
      </c>
      <c r="B675" s="7" t="s">
        <v>725</v>
      </c>
      <c r="C675" t="s">
        <v>159</v>
      </c>
      <c r="E675" s="42">
        <f>VALUE(MID(Tabla1[[#This Row],[RUT]],1,LEN(Tabla1[[#This Row],[RUT]])-1))</f>
        <v>77198052</v>
      </c>
      <c r="F675" t="str">
        <f t="shared" si="10"/>
        <v>CN77198052</v>
      </c>
    </row>
    <row r="676" spans="1:6" x14ac:dyDescent="0.25">
      <c r="A676" s="6" t="s">
        <v>726</v>
      </c>
      <c r="B676" s="5" t="s">
        <v>727</v>
      </c>
      <c r="C676" t="s">
        <v>159</v>
      </c>
      <c r="E676" s="42">
        <f>VALUE(MID(Tabla1[[#This Row],[RUT]],1,LEN(Tabla1[[#This Row],[RUT]])-1))</f>
        <v>77242437</v>
      </c>
      <c r="F676" t="str">
        <f t="shared" si="10"/>
        <v>CN77242437</v>
      </c>
    </row>
    <row r="677" spans="1:6" x14ac:dyDescent="0.25">
      <c r="A677" s="18" t="s">
        <v>728</v>
      </c>
      <c r="B677" s="7" t="s">
        <v>729</v>
      </c>
      <c r="C677" t="s">
        <v>159</v>
      </c>
      <c r="E677" s="42">
        <f>VALUE(MID(Tabla1[[#This Row],[RUT]],1,LEN(Tabla1[[#This Row],[RUT]])-1))</f>
        <v>77339458</v>
      </c>
      <c r="F677" t="str">
        <f t="shared" si="10"/>
        <v>CN77339458</v>
      </c>
    </row>
    <row r="678" spans="1:6" x14ac:dyDescent="0.25">
      <c r="A678" s="6" t="s">
        <v>730</v>
      </c>
      <c r="B678" s="5" t="s">
        <v>883</v>
      </c>
      <c r="C678" t="s">
        <v>159</v>
      </c>
      <c r="E678" s="42">
        <f>VALUE(MID(Tabla1[[#This Row],[RUT]],1,LEN(Tabla1[[#This Row],[RUT]])-1))</f>
        <v>77405832</v>
      </c>
      <c r="F678" t="str">
        <f t="shared" si="10"/>
        <v>CN77405832</v>
      </c>
    </row>
    <row r="679" spans="1:6" x14ac:dyDescent="0.25">
      <c r="A679" s="20" t="s">
        <v>731</v>
      </c>
      <c r="B679" s="9" t="s">
        <v>732</v>
      </c>
      <c r="C679" t="s">
        <v>159</v>
      </c>
      <c r="E679" s="42">
        <f>VALUE(MID(Tabla1[[#This Row],[RUT]],1,LEN(Tabla1[[#This Row],[RUT]])-1))</f>
        <v>77407029</v>
      </c>
      <c r="F679" t="str">
        <f t="shared" si="10"/>
        <v>CN77407029</v>
      </c>
    </row>
    <row r="680" spans="1:6" x14ac:dyDescent="0.25">
      <c r="A680" s="21" t="s">
        <v>733</v>
      </c>
      <c r="B680" s="10" t="s">
        <v>734</v>
      </c>
      <c r="C680" t="s">
        <v>159</v>
      </c>
      <c r="E680" s="42">
        <f>VALUE(MID(Tabla1[[#This Row],[RUT]],1,LEN(Tabla1[[#This Row],[RUT]])-1))</f>
        <v>77518471</v>
      </c>
      <c r="F680" t="str">
        <f t="shared" si="10"/>
        <v>CN77518471</v>
      </c>
    </row>
    <row r="681" spans="1:6" x14ac:dyDescent="0.25">
      <c r="A681" s="6" t="s">
        <v>735</v>
      </c>
      <c r="B681" s="5" t="s">
        <v>736</v>
      </c>
      <c r="C681" t="s">
        <v>159</v>
      </c>
      <c r="E681" s="42">
        <f>VALUE(MID(Tabla1[[#This Row],[RUT]],1,LEN(Tabla1[[#This Row],[RUT]])-1))</f>
        <v>78060400</v>
      </c>
      <c r="F681" t="str">
        <f t="shared" si="10"/>
        <v>CN78060400</v>
      </c>
    </row>
    <row r="682" spans="1:6" x14ac:dyDescent="0.25">
      <c r="A682" s="6" t="s">
        <v>737</v>
      </c>
      <c r="B682" s="5" t="s">
        <v>738</v>
      </c>
      <c r="C682" t="s">
        <v>159</v>
      </c>
      <c r="E682" s="42">
        <f>VALUE(MID(Tabla1[[#This Row],[RUT]],1,LEN(Tabla1[[#This Row],[RUT]])-1))</f>
        <v>81494400</v>
      </c>
      <c r="F682" t="str">
        <f t="shared" si="10"/>
        <v>CN81494400</v>
      </c>
    </row>
    <row r="683" spans="1:6" x14ac:dyDescent="0.25">
      <c r="A683" s="19" t="s">
        <v>739</v>
      </c>
      <c r="B683" s="8" t="s">
        <v>884</v>
      </c>
      <c r="C683" t="s">
        <v>159</v>
      </c>
      <c r="E683" s="42">
        <f>VALUE(MID(Tabla1[[#This Row],[RUT]],1,LEN(Tabla1[[#This Row],[RUT]])-1))</f>
        <v>96757080</v>
      </c>
      <c r="F683" t="str">
        <f t="shared" si="10"/>
        <v>CN96757080</v>
      </c>
    </row>
    <row r="684" spans="1:6" x14ac:dyDescent="0.25">
      <c r="A684" s="6" t="s">
        <v>740</v>
      </c>
      <c r="B684" s="5" t="s">
        <v>741</v>
      </c>
      <c r="C684" t="s">
        <v>159</v>
      </c>
      <c r="E684" s="42">
        <f>VALUE(MID(Tabla1[[#This Row],[RUT]],1,LEN(Tabla1[[#This Row],[RUT]])-1))</f>
        <v>96879440</v>
      </c>
      <c r="F684" t="str">
        <f t="shared" si="10"/>
        <v>CN96879440</v>
      </c>
    </row>
    <row r="685" spans="1:6" x14ac:dyDescent="0.25">
      <c r="A685" s="23">
        <v>605057233</v>
      </c>
      <c r="B685" s="1" t="s">
        <v>5</v>
      </c>
      <c r="C685" t="s">
        <v>6</v>
      </c>
      <c r="E685" s="42">
        <f>VALUE(MID(Tabla1[[#This Row],[RUT]],1,LEN(Tabla1[[#This Row],[RUT]])-1))</f>
        <v>60505723</v>
      </c>
      <c r="F685" t="str">
        <f t="shared" si="10"/>
        <v>CN60505723</v>
      </c>
    </row>
    <row r="686" spans="1:6" x14ac:dyDescent="0.25">
      <c r="A686" s="6">
        <v>605140009</v>
      </c>
      <c r="B686" s="12" t="s">
        <v>7</v>
      </c>
      <c r="C686" t="s">
        <v>6</v>
      </c>
      <c r="E686" s="42">
        <f>VALUE(MID(Tabla1[[#This Row],[RUT]],1,LEN(Tabla1[[#This Row],[RUT]])-1))</f>
        <v>60514000</v>
      </c>
      <c r="F686" t="str">
        <f t="shared" si="10"/>
        <v>CN60514000</v>
      </c>
    </row>
    <row r="687" spans="1:6" x14ac:dyDescent="0.25">
      <c r="A687" s="24">
        <v>611010303</v>
      </c>
      <c r="B687" s="2" t="s">
        <v>9</v>
      </c>
      <c r="C687" t="s">
        <v>6</v>
      </c>
      <c r="E687" s="42">
        <f>VALUE(MID(Tabla1[[#This Row],[RUT]],1,LEN(Tabla1[[#This Row],[RUT]])-1))</f>
        <v>61101030</v>
      </c>
      <c r="F687" t="str">
        <f t="shared" si="10"/>
        <v>CN61101030</v>
      </c>
    </row>
    <row r="688" spans="1:6" x14ac:dyDescent="0.25">
      <c r="A688" s="6">
        <v>615130036</v>
      </c>
      <c r="B688" s="5" t="s">
        <v>7</v>
      </c>
      <c r="C688" t="s">
        <v>6</v>
      </c>
      <c r="E688" s="42">
        <f>VALUE(MID(Tabla1[[#This Row],[RUT]],1,LEN(Tabla1[[#This Row],[RUT]])-1))</f>
        <v>61513003</v>
      </c>
      <c r="F688" t="str">
        <f t="shared" si="10"/>
        <v>CN61513003</v>
      </c>
    </row>
    <row r="689" spans="1:6" x14ac:dyDescent="0.25">
      <c r="A689" s="24">
        <v>616021176</v>
      </c>
      <c r="B689" s="2" t="s">
        <v>16</v>
      </c>
      <c r="C689" t="s">
        <v>159</v>
      </c>
      <c r="E689" s="42">
        <f>VALUE(MID(Tabla1[[#This Row],[RUT]],1,LEN(Tabla1[[#This Row],[RUT]])-1))</f>
        <v>61602117</v>
      </c>
      <c r="F689" t="str">
        <f t="shared" si="10"/>
        <v>CN61602117</v>
      </c>
    </row>
    <row r="690" spans="1:6" x14ac:dyDescent="0.25">
      <c r="A690" s="6">
        <v>616021230</v>
      </c>
      <c r="B690" s="4" t="s">
        <v>17</v>
      </c>
      <c r="C690" t="s">
        <v>6</v>
      </c>
      <c r="E690" s="42">
        <f>VALUE(MID(Tabla1[[#This Row],[RUT]],1,LEN(Tabla1[[#This Row],[RUT]])-1))</f>
        <v>61602123</v>
      </c>
      <c r="F690" t="str">
        <f t="shared" si="10"/>
        <v>CN61602123</v>
      </c>
    </row>
    <row r="691" spans="1:6" x14ac:dyDescent="0.25">
      <c r="A691" s="6">
        <v>616081071</v>
      </c>
      <c r="B691" s="12" t="s">
        <v>56</v>
      </c>
      <c r="C691" t="s">
        <v>6</v>
      </c>
      <c r="E691" s="42">
        <f>VALUE(MID(Tabla1[[#This Row],[RUT]],1,LEN(Tabla1[[#This Row],[RUT]])-1))</f>
        <v>61608107</v>
      </c>
      <c r="F691" t="str">
        <f t="shared" si="10"/>
        <v>CN61608107</v>
      </c>
    </row>
    <row r="692" spans="1:6" x14ac:dyDescent="0.25">
      <c r="A692" s="24">
        <v>616082043</v>
      </c>
      <c r="B692" s="2" t="s">
        <v>58</v>
      </c>
      <c r="C692" t="s">
        <v>6</v>
      </c>
      <c r="E692" s="42">
        <f>VALUE(MID(Tabla1[[#This Row],[RUT]],1,LEN(Tabla1[[#This Row],[RUT]])-1))</f>
        <v>61608204</v>
      </c>
      <c r="F692" t="str">
        <f t="shared" si="10"/>
        <v>CN61608204</v>
      </c>
    </row>
    <row r="693" spans="1:6" x14ac:dyDescent="0.25">
      <c r="A693" s="6">
        <v>616082051</v>
      </c>
      <c r="B693" s="12" t="s">
        <v>59</v>
      </c>
      <c r="C693" t="s">
        <v>6</v>
      </c>
      <c r="E693" s="42">
        <f>VALUE(MID(Tabla1[[#This Row],[RUT]],1,LEN(Tabla1[[#This Row],[RUT]])-1))</f>
        <v>61608205</v>
      </c>
      <c r="F693" t="str">
        <f t="shared" si="10"/>
        <v>CN61608205</v>
      </c>
    </row>
    <row r="694" spans="1:6" x14ac:dyDescent="0.25">
      <c r="A694" s="6">
        <v>616085026</v>
      </c>
      <c r="B694" s="12" t="s">
        <v>62</v>
      </c>
      <c r="C694" t="s">
        <v>6</v>
      </c>
      <c r="E694" s="42">
        <f>VALUE(MID(Tabla1[[#This Row],[RUT]],1,LEN(Tabla1[[#This Row],[RUT]])-1))</f>
        <v>61608502</v>
      </c>
      <c r="F694" t="str">
        <f t="shared" si="10"/>
        <v>CN61608502</v>
      </c>
    </row>
    <row r="695" spans="1:6" x14ac:dyDescent="0.25">
      <c r="A695" s="6">
        <v>616086022</v>
      </c>
      <c r="B695" s="5" t="s">
        <v>63</v>
      </c>
      <c r="C695" t="s">
        <v>6</v>
      </c>
      <c r="E695" s="42">
        <f>VALUE(MID(Tabla1[[#This Row],[RUT]],1,LEN(Tabla1[[#This Row],[RUT]])-1))</f>
        <v>61608602</v>
      </c>
      <c r="F695" t="str">
        <f t="shared" si="10"/>
        <v>CN61608602</v>
      </c>
    </row>
    <row r="696" spans="1:6" x14ac:dyDescent="0.25">
      <c r="A696" s="23">
        <v>619532007</v>
      </c>
      <c r="B696" s="4" t="s">
        <v>748</v>
      </c>
      <c r="C696" t="s">
        <v>159</v>
      </c>
      <c r="E696" s="42">
        <f>VALUE(MID(Tabla1[[#This Row],[RUT]],1,LEN(Tabla1[[#This Row],[RUT]])-1))</f>
        <v>61953200</v>
      </c>
      <c r="F696" t="str">
        <f t="shared" si="10"/>
        <v>CN61953200</v>
      </c>
    </row>
    <row r="697" spans="1:6" x14ac:dyDescent="0.25">
      <c r="A697" s="6">
        <v>619585003</v>
      </c>
      <c r="B697" s="12" t="s">
        <v>66</v>
      </c>
      <c r="C697" t="s">
        <v>6</v>
      </c>
      <c r="E697" s="42">
        <f>VALUE(MID(Tabla1[[#This Row],[RUT]],1,LEN(Tabla1[[#This Row],[RUT]])-1))</f>
        <v>61958500</v>
      </c>
      <c r="F697" t="str">
        <f t="shared" si="10"/>
        <v>CN61958500</v>
      </c>
    </row>
    <row r="698" spans="1:6" x14ac:dyDescent="0.25">
      <c r="A698" s="6">
        <v>619598008</v>
      </c>
      <c r="B698" s="5" t="s">
        <v>67</v>
      </c>
      <c r="C698" t="s">
        <v>6</v>
      </c>
      <c r="E698" s="42">
        <f>VALUE(MID(Tabla1[[#This Row],[RUT]],1,LEN(Tabla1[[#This Row],[RUT]])-1))</f>
        <v>61959800</v>
      </c>
      <c r="F698" t="str">
        <f t="shared" si="10"/>
        <v>CN61959800</v>
      </c>
    </row>
    <row r="699" spans="1:6" x14ac:dyDescent="0.25">
      <c r="A699" s="6">
        <v>619803205</v>
      </c>
      <c r="B699" s="12" t="s">
        <v>69</v>
      </c>
      <c r="C699" t="s">
        <v>6</v>
      </c>
      <c r="E699" s="42">
        <f>VALUE(MID(Tabla1[[#This Row],[RUT]],1,LEN(Tabla1[[#This Row],[RUT]])-1))</f>
        <v>61980320</v>
      </c>
      <c r="F699" t="str">
        <f t="shared" si="10"/>
        <v>CN61980320</v>
      </c>
    </row>
    <row r="700" spans="1:6" x14ac:dyDescent="0.25">
      <c r="A700" s="6">
        <v>619806204</v>
      </c>
      <c r="B700" s="5" t="s">
        <v>70</v>
      </c>
      <c r="C700" t="s">
        <v>6</v>
      </c>
      <c r="E700" s="42">
        <f>VALUE(MID(Tabla1[[#This Row],[RUT]],1,LEN(Tabla1[[#This Row],[RUT]])-1))</f>
        <v>61980620</v>
      </c>
      <c r="F700" t="str">
        <f t="shared" si="10"/>
        <v>CN61980620</v>
      </c>
    </row>
    <row r="701" spans="1:6" x14ac:dyDescent="0.25">
      <c r="A701" s="24">
        <v>713780006</v>
      </c>
      <c r="B701" s="2" t="s">
        <v>106</v>
      </c>
      <c r="C701" t="s">
        <v>159</v>
      </c>
      <c r="E701" s="42">
        <f>VALUE(MID(Tabla1[[#This Row],[RUT]],1,LEN(Tabla1[[#This Row],[RUT]])-1))</f>
        <v>71378000</v>
      </c>
      <c r="F701" t="str">
        <f t="shared" si="10"/>
        <v>CN71378000</v>
      </c>
    </row>
    <row r="702" spans="1:6" x14ac:dyDescent="0.25">
      <c r="A702" s="24">
        <v>716140008</v>
      </c>
      <c r="B702" s="2" t="s">
        <v>107</v>
      </c>
      <c r="C702" t="s">
        <v>6</v>
      </c>
      <c r="E702" s="42">
        <f>VALUE(MID(Tabla1[[#This Row],[RUT]],1,LEN(Tabla1[[#This Row],[RUT]])-1))</f>
        <v>71614000</v>
      </c>
      <c r="F702" t="str">
        <f t="shared" si="10"/>
        <v>CN71614000</v>
      </c>
    </row>
    <row r="703" spans="1:6" x14ac:dyDescent="0.25">
      <c r="A703" s="6">
        <v>763360393</v>
      </c>
      <c r="B703" s="12" t="s">
        <v>112</v>
      </c>
      <c r="C703" t="s">
        <v>6</v>
      </c>
      <c r="E703" s="42">
        <f>VALUE(MID(Tabla1[[#This Row],[RUT]],1,LEN(Tabla1[[#This Row],[RUT]])-1))</f>
        <v>76336039</v>
      </c>
      <c r="F703" t="str">
        <f t="shared" si="10"/>
        <v>CN76336039</v>
      </c>
    </row>
    <row r="704" spans="1:6" x14ac:dyDescent="0.25">
      <c r="A704" s="24">
        <v>780535601</v>
      </c>
      <c r="B704" s="2" t="s">
        <v>754</v>
      </c>
      <c r="C704" t="s">
        <v>6</v>
      </c>
      <c r="E704" s="42">
        <f>VALUE(MID(Tabla1[[#This Row],[RUT]],1,LEN(Tabla1[[#This Row],[RUT]])-1))</f>
        <v>78053560</v>
      </c>
      <c r="F704" t="str">
        <f t="shared" si="10"/>
        <v>CN78053560</v>
      </c>
    </row>
    <row r="705" spans="1:6" x14ac:dyDescent="0.25">
      <c r="A705" s="25">
        <v>820318005</v>
      </c>
      <c r="B705" s="2" t="s">
        <v>122</v>
      </c>
      <c r="C705" t="s">
        <v>6</v>
      </c>
      <c r="E705" s="42">
        <f>VALUE(MID(Tabla1[[#This Row],[RUT]],1,LEN(Tabla1[[#This Row],[RUT]])-1))</f>
        <v>82031800</v>
      </c>
      <c r="F705" t="str">
        <f t="shared" si="10"/>
        <v>CN82031800</v>
      </c>
    </row>
    <row r="706" spans="1:6" x14ac:dyDescent="0.25">
      <c r="A706" s="6">
        <v>939300007</v>
      </c>
      <c r="B706" s="12" t="s">
        <v>127</v>
      </c>
      <c r="C706" t="s">
        <v>6</v>
      </c>
      <c r="E706" s="42">
        <f>VALUE(MID(Tabla1[[#This Row],[RUT]],1,LEN(Tabla1[[#This Row],[RUT]])-1))</f>
        <v>93930000</v>
      </c>
      <c r="F706" t="str">
        <f t="shared" si="10"/>
        <v>CN93930000</v>
      </c>
    </row>
    <row r="707" spans="1:6" x14ac:dyDescent="0.25">
      <c r="A707" s="24">
        <v>965304703</v>
      </c>
      <c r="B707" s="2" t="s">
        <v>755</v>
      </c>
      <c r="C707" t="s">
        <v>6</v>
      </c>
      <c r="E707" s="42">
        <f>VALUE(MID(Tabla1[[#This Row],[RUT]],1,LEN(Tabla1[[#This Row],[RUT]])-1))</f>
        <v>96530470</v>
      </c>
      <c r="F707" t="str">
        <f t="shared" ref="F707:F770" si="11">"CN"&amp;E707</f>
        <v>CN96530470</v>
      </c>
    </row>
    <row r="708" spans="1:6" x14ac:dyDescent="0.25">
      <c r="A708" s="6">
        <v>967701009</v>
      </c>
      <c r="B708" s="5" t="s">
        <v>131</v>
      </c>
      <c r="C708" t="s">
        <v>6</v>
      </c>
      <c r="E708" s="42">
        <f>VALUE(MID(Tabla1[[#This Row],[RUT]],1,LEN(Tabla1[[#This Row],[RUT]])-1))</f>
        <v>96770100</v>
      </c>
      <c r="F708" t="str">
        <f t="shared" si="11"/>
        <v>CN96770100</v>
      </c>
    </row>
    <row r="709" spans="1:6" x14ac:dyDescent="0.25">
      <c r="A709" s="24">
        <v>995734907</v>
      </c>
      <c r="B709" s="2" t="s">
        <v>758</v>
      </c>
      <c r="C709" t="s">
        <v>6</v>
      </c>
      <c r="E709" s="42">
        <f>VALUE(MID(Tabla1[[#This Row],[RUT]],1,LEN(Tabla1[[#This Row],[RUT]])-1))</f>
        <v>99573490</v>
      </c>
      <c r="F709" t="str">
        <f t="shared" si="11"/>
        <v>CN99573490</v>
      </c>
    </row>
    <row r="710" spans="1:6" x14ac:dyDescent="0.25">
      <c r="A710" s="6" t="s">
        <v>143</v>
      </c>
      <c r="B710" s="5" t="s">
        <v>144</v>
      </c>
      <c r="C710" t="s">
        <v>6</v>
      </c>
      <c r="E710" s="42">
        <f>VALUE(MID(Tabla1[[#This Row],[RUT]],1,LEN(Tabla1[[#This Row],[RUT]])-1))</f>
        <v>61103007</v>
      </c>
      <c r="F710" t="str">
        <f t="shared" si="11"/>
        <v>CN61103007</v>
      </c>
    </row>
    <row r="711" spans="1:6" x14ac:dyDescent="0.25">
      <c r="A711" s="6">
        <v>703601006</v>
      </c>
      <c r="B711" s="5" t="s">
        <v>102</v>
      </c>
      <c r="C711" t="s">
        <v>159</v>
      </c>
      <c r="E711" s="42">
        <f>VALUE(MID(Tabla1[[#This Row],[RUT]],1,LEN(Tabla1[[#This Row],[RUT]])-1))</f>
        <v>70360100</v>
      </c>
      <c r="F711" t="str">
        <f t="shared" si="11"/>
        <v>CN70360100</v>
      </c>
    </row>
    <row r="712" spans="1:6" x14ac:dyDescent="0.25">
      <c r="A712" s="6">
        <v>761988220</v>
      </c>
      <c r="B712" s="5" t="s">
        <v>110</v>
      </c>
      <c r="C712" t="s">
        <v>159</v>
      </c>
      <c r="E712" s="42">
        <f>VALUE(MID(Tabla1[[#This Row],[RUT]],1,LEN(Tabla1[[#This Row],[RUT]])-1))</f>
        <v>76198822</v>
      </c>
      <c r="F712" t="str">
        <f t="shared" si="11"/>
        <v>CN76198822</v>
      </c>
    </row>
    <row r="713" spans="1:6" x14ac:dyDescent="0.25">
      <c r="A713" s="6">
        <v>995792605</v>
      </c>
      <c r="B713" s="5" t="s">
        <v>759</v>
      </c>
      <c r="C713" t="s">
        <v>159</v>
      </c>
      <c r="E713" s="42">
        <f>VALUE(MID(Tabla1[[#This Row],[RUT]],1,LEN(Tabla1[[#This Row],[RUT]])-1))</f>
        <v>99579260</v>
      </c>
      <c r="F713" t="str">
        <f t="shared" si="11"/>
        <v>CN99579260</v>
      </c>
    </row>
    <row r="714" spans="1:6" x14ac:dyDescent="0.25">
      <c r="A714" s="6" t="s">
        <v>156</v>
      </c>
      <c r="B714" s="5" t="s">
        <v>761</v>
      </c>
      <c r="C714" t="s">
        <v>159</v>
      </c>
      <c r="E714" s="42">
        <f>VALUE(MID(Tabla1[[#This Row],[RUT]],1,LEN(Tabla1[[#This Row],[RUT]])-1))</f>
        <v>76481620</v>
      </c>
      <c r="F714" t="str">
        <f t="shared" si="11"/>
        <v>CN76481620</v>
      </c>
    </row>
    <row r="715" spans="1:6" x14ac:dyDescent="0.25">
      <c r="A715" s="26">
        <v>531258509</v>
      </c>
      <c r="B715" s="2" t="s">
        <v>3</v>
      </c>
      <c r="C715" t="s">
        <v>4</v>
      </c>
      <c r="E715" s="42">
        <f>VALUE(MID(Tabla1[[#This Row],[RUT]],1,LEN(Tabla1[[#This Row],[RUT]])-1))</f>
        <v>53125850</v>
      </c>
      <c r="F715" t="str">
        <f t="shared" si="11"/>
        <v>CN53125850</v>
      </c>
    </row>
    <row r="716" spans="1:6" x14ac:dyDescent="0.25">
      <c r="A716" s="6">
        <v>609100001</v>
      </c>
      <c r="B716" s="5" t="s">
        <v>8</v>
      </c>
      <c r="C716" t="s">
        <v>4</v>
      </c>
      <c r="E716" s="42">
        <f>VALUE(MID(Tabla1[[#This Row],[RUT]],1,LEN(Tabla1[[#This Row],[RUT]])-1))</f>
        <v>60910000</v>
      </c>
      <c r="F716" t="str">
        <f t="shared" si="11"/>
        <v>CN60910000</v>
      </c>
    </row>
    <row r="717" spans="1:6" x14ac:dyDescent="0.25">
      <c r="A717" s="6">
        <v>616080024</v>
      </c>
      <c r="B717" s="5" t="s">
        <v>51</v>
      </c>
      <c r="C717" t="s">
        <v>4</v>
      </c>
      <c r="E717" s="42">
        <f>VALUE(MID(Tabla1[[#This Row],[RUT]],1,LEN(Tabla1[[#This Row],[RUT]])-1))</f>
        <v>61608002</v>
      </c>
      <c r="F717" t="str">
        <f t="shared" si="11"/>
        <v>CN61608002</v>
      </c>
    </row>
    <row r="718" spans="1:6" x14ac:dyDescent="0.25">
      <c r="A718" s="6">
        <v>616080032</v>
      </c>
      <c r="B718" s="5" t="s">
        <v>746</v>
      </c>
      <c r="C718" t="s">
        <v>4</v>
      </c>
      <c r="E718" s="42">
        <f>VALUE(MID(Tabla1[[#This Row],[RUT]],1,LEN(Tabla1[[#This Row],[RUT]])-1))</f>
        <v>61608003</v>
      </c>
      <c r="F718" t="str">
        <f t="shared" si="11"/>
        <v>CN61608003</v>
      </c>
    </row>
    <row r="719" spans="1:6" x14ac:dyDescent="0.25">
      <c r="A719" s="6">
        <v>616080040</v>
      </c>
      <c r="B719" s="5" t="s">
        <v>52</v>
      </c>
      <c r="C719" t="s">
        <v>4</v>
      </c>
      <c r="E719" s="42">
        <f>VALUE(MID(Tabla1[[#This Row],[RUT]],1,LEN(Tabla1[[#This Row],[RUT]])-1))</f>
        <v>61608004</v>
      </c>
      <c r="F719" t="str">
        <f t="shared" si="11"/>
        <v>CN61608004</v>
      </c>
    </row>
    <row r="720" spans="1:6" x14ac:dyDescent="0.25">
      <c r="A720" s="26">
        <v>616081012</v>
      </c>
      <c r="B720" s="2" t="s">
        <v>53</v>
      </c>
      <c r="C720" t="s">
        <v>4</v>
      </c>
      <c r="E720" s="42">
        <f>VALUE(MID(Tabla1[[#This Row],[RUT]],1,LEN(Tabla1[[#This Row],[RUT]])-1))</f>
        <v>61608101</v>
      </c>
      <c r="F720" t="str">
        <f t="shared" si="11"/>
        <v>CN61608101</v>
      </c>
    </row>
    <row r="721" spans="1:6" x14ac:dyDescent="0.25">
      <c r="A721" s="26">
        <v>616081020</v>
      </c>
      <c r="B721" s="2" t="s">
        <v>54</v>
      </c>
      <c r="C721" t="s">
        <v>4</v>
      </c>
      <c r="E721" s="42">
        <f>VALUE(MID(Tabla1[[#This Row],[RUT]],1,LEN(Tabla1[[#This Row],[RUT]])-1))</f>
        <v>61608102</v>
      </c>
      <c r="F721" t="str">
        <f t="shared" si="11"/>
        <v>CN61608102</v>
      </c>
    </row>
    <row r="722" spans="1:6" x14ac:dyDescent="0.25">
      <c r="A722" s="26">
        <v>616081047</v>
      </c>
      <c r="B722" s="2" t="s">
        <v>55</v>
      </c>
      <c r="C722" t="s">
        <v>4</v>
      </c>
      <c r="E722" s="42">
        <f>VALUE(MID(Tabla1[[#This Row],[RUT]],1,LEN(Tabla1[[#This Row],[RUT]])-1))</f>
        <v>61608104</v>
      </c>
      <c r="F722" t="str">
        <f t="shared" si="11"/>
        <v>CN61608104</v>
      </c>
    </row>
    <row r="723" spans="1:6" x14ac:dyDescent="0.25">
      <c r="A723" s="26">
        <v>616082035</v>
      </c>
      <c r="B723" s="2" t="s">
        <v>57</v>
      </c>
      <c r="C723" t="s">
        <v>4</v>
      </c>
      <c r="E723" s="42">
        <f>VALUE(MID(Tabla1[[#This Row],[RUT]],1,LEN(Tabla1[[#This Row],[RUT]])-1))</f>
        <v>61608203</v>
      </c>
      <c r="F723" t="str">
        <f t="shared" si="11"/>
        <v>CN61608203</v>
      </c>
    </row>
    <row r="724" spans="1:6" x14ac:dyDescent="0.25">
      <c r="A724" s="6">
        <v>616084046</v>
      </c>
      <c r="B724" s="5" t="s">
        <v>60</v>
      </c>
      <c r="C724" t="s">
        <v>4</v>
      </c>
      <c r="E724" s="42">
        <f>VALUE(MID(Tabla1[[#This Row],[RUT]],1,LEN(Tabla1[[#This Row],[RUT]])-1))</f>
        <v>61608404</v>
      </c>
      <c r="F724" t="str">
        <f t="shared" si="11"/>
        <v>CN61608404</v>
      </c>
    </row>
    <row r="725" spans="1:6" x14ac:dyDescent="0.25">
      <c r="A725" s="6">
        <v>616084062</v>
      </c>
      <c r="B725" s="5" t="s">
        <v>61</v>
      </c>
      <c r="C725" t="s">
        <v>4</v>
      </c>
      <c r="E725" s="42">
        <f>VALUE(MID(Tabla1[[#This Row],[RUT]],1,LEN(Tabla1[[#This Row],[RUT]])-1))</f>
        <v>61608406</v>
      </c>
      <c r="F725" t="str">
        <f t="shared" si="11"/>
        <v>CN61608406</v>
      </c>
    </row>
    <row r="726" spans="1:6" x14ac:dyDescent="0.25">
      <c r="A726" s="6">
        <v>616086049</v>
      </c>
      <c r="B726" s="5" t="s">
        <v>64</v>
      </c>
      <c r="C726" t="s">
        <v>4</v>
      </c>
      <c r="E726" s="42">
        <f>VALUE(MID(Tabla1[[#This Row],[RUT]],1,LEN(Tabla1[[#This Row],[RUT]])-1))</f>
        <v>61608604</v>
      </c>
      <c r="F726" t="str">
        <f t="shared" si="11"/>
        <v>CN61608604</v>
      </c>
    </row>
    <row r="727" spans="1:6" x14ac:dyDescent="0.25">
      <c r="A727" s="6">
        <v>650754859</v>
      </c>
      <c r="B727" s="5" t="s">
        <v>72</v>
      </c>
      <c r="C727" t="s">
        <v>4</v>
      </c>
      <c r="E727" s="42">
        <f>VALUE(MID(Tabla1[[#This Row],[RUT]],1,LEN(Tabla1[[#This Row],[RUT]])-1))</f>
        <v>65075485</v>
      </c>
      <c r="F727" t="str">
        <f t="shared" si="11"/>
        <v>CN65075485</v>
      </c>
    </row>
    <row r="728" spans="1:6" x14ac:dyDescent="0.25">
      <c r="A728" s="6">
        <v>702851009</v>
      </c>
      <c r="B728" s="5" t="s">
        <v>101</v>
      </c>
      <c r="C728" t="s">
        <v>4</v>
      </c>
      <c r="E728" s="42">
        <f>VALUE(MID(Tabla1[[#This Row],[RUT]],1,LEN(Tabla1[[#This Row],[RUT]])-1))</f>
        <v>70285100</v>
      </c>
      <c r="F728" t="str">
        <f t="shared" si="11"/>
        <v>CN70285100</v>
      </c>
    </row>
    <row r="729" spans="1:6" x14ac:dyDescent="0.25">
      <c r="A729" s="6">
        <v>709625004</v>
      </c>
      <c r="B729" s="5" t="s">
        <v>105</v>
      </c>
      <c r="C729" t="s">
        <v>159</v>
      </c>
      <c r="E729" s="42">
        <f>VALUE(MID(Tabla1[[#This Row],[RUT]],1,LEN(Tabla1[[#This Row],[RUT]])-1))</f>
        <v>70962500</v>
      </c>
      <c r="F729" t="str">
        <f t="shared" si="11"/>
        <v>CN70962500</v>
      </c>
    </row>
    <row r="730" spans="1:6" x14ac:dyDescent="0.25">
      <c r="A730" s="6">
        <v>762427745</v>
      </c>
      <c r="B730" s="5" t="s">
        <v>111</v>
      </c>
      <c r="C730" t="s">
        <v>4</v>
      </c>
      <c r="E730" s="42">
        <f>VALUE(MID(Tabla1[[#This Row],[RUT]],1,LEN(Tabla1[[#This Row],[RUT]])-1))</f>
        <v>76242774</v>
      </c>
      <c r="F730" t="str">
        <f t="shared" si="11"/>
        <v>CN76242774</v>
      </c>
    </row>
    <row r="731" spans="1:6" x14ac:dyDescent="0.25">
      <c r="A731" s="26">
        <v>763632059</v>
      </c>
      <c r="B731" s="2" t="s">
        <v>113</v>
      </c>
      <c r="C731" t="s">
        <v>159</v>
      </c>
      <c r="E731" s="42">
        <f>VALUE(MID(Tabla1[[#This Row],[RUT]],1,LEN(Tabla1[[#This Row],[RUT]])-1))</f>
        <v>76363205</v>
      </c>
      <c r="F731" t="str">
        <f t="shared" si="11"/>
        <v>CN76363205</v>
      </c>
    </row>
    <row r="732" spans="1:6" x14ac:dyDescent="0.25">
      <c r="A732" s="26">
        <v>895932000</v>
      </c>
      <c r="B732" s="2" t="s">
        <v>125</v>
      </c>
      <c r="C732" t="s">
        <v>159</v>
      </c>
      <c r="E732" s="42">
        <f>VALUE(MID(Tabla1[[#This Row],[RUT]],1,LEN(Tabla1[[#This Row],[RUT]])-1))</f>
        <v>89593200</v>
      </c>
      <c r="F732" t="str">
        <f t="shared" si="11"/>
        <v>CN89593200</v>
      </c>
    </row>
    <row r="733" spans="1:6" x14ac:dyDescent="0.25">
      <c r="A733" s="26">
        <v>920510000</v>
      </c>
      <c r="B733" s="2" t="s">
        <v>126</v>
      </c>
      <c r="C733" t="s">
        <v>4</v>
      </c>
      <c r="E733" s="42">
        <f>VALUE(MID(Tabla1[[#This Row],[RUT]],1,LEN(Tabla1[[#This Row],[RUT]])-1))</f>
        <v>92051000</v>
      </c>
      <c r="F733" t="str">
        <f t="shared" si="11"/>
        <v>CN92051000</v>
      </c>
    </row>
    <row r="734" spans="1:6" x14ac:dyDescent="0.25">
      <c r="A734" s="26">
        <v>968859307</v>
      </c>
      <c r="B734" s="2" t="s">
        <v>133</v>
      </c>
      <c r="C734" t="s">
        <v>4</v>
      </c>
      <c r="E734" s="42">
        <f>VALUE(MID(Tabla1[[#This Row],[RUT]],1,LEN(Tabla1[[#This Row],[RUT]])-1))</f>
        <v>96885930</v>
      </c>
      <c r="F734" t="str">
        <f t="shared" si="11"/>
        <v>CN96885930</v>
      </c>
    </row>
    <row r="735" spans="1:6" x14ac:dyDescent="0.25">
      <c r="A735" s="6">
        <v>968989804</v>
      </c>
      <c r="B735" s="5" t="s">
        <v>757</v>
      </c>
      <c r="C735" t="s">
        <v>4</v>
      </c>
      <c r="E735" s="42">
        <f>VALUE(MID(Tabla1[[#This Row],[RUT]],1,LEN(Tabla1[[#This Row],[RUT]])-1))</f>
        <v>96898980</v>
      </c>
      <c r="F735" t="str">
        <f t="shared" si="11"/>
        <v>CN96898980</v>
      </c>
    </row>
    <row r="736" spans="1:6" x14ac:dyDescent="0.25">
      <c r="A736" s="6">
        <v>611020252</v>
      </c>
      <c r="B736" s="5" t="s">
        <v>11</v>
      </c>
      <c r="C736" t="s">
        <v>12</v>
      </c>
      <c r="E736" s="42">
        <f>VALUE(MID(Tabla1[[#This Row],[RUT]],1,LEN(Tabla1[[#This Row],[RUT]])-1))</f>
        <v>61102025</v>
      </c>
      <c r="F736" t="str">
        <f t="shared" si="11"/>
        <v>CN61102025</v>
      </c>
    </row>
    <row r="737" spans="1:6" x14ac:dyDescent="0.25">
      <c r="A737" s="6">
        <v>616021893</v>
      </c>
      <c r="B737" s="5" t="s">
        <v>19</v>
      </c>
      <c r="C737" t="s">
        <v>12</v>
      </c>
      <c r="E737" s="42">
        <f>VALUE(MID(Tabla1[[#This Row],[RUT]],1,LEN(Tabla1[[#This Row],[RUT]])-1))</f>
        <v>61602189</v>
      </c>
      <c r="F737" t="str">
        <f t="shared" si="11"/>
        <v>CN61602189</v>
      </c>
    </row>
    <row r="738" spans="1:6" x14ac:dyDescent="0.25">
      <c r="A738" s="6">
        <v>616021982</v>
      </c>
      <c r="B738" s="5" t="s">
        <v>20</v>
      </c>
      <c r="C738" t="s">
        <v>12</v>
      </c>
      <c r="E738" s="42">
        <f>VALUE(MID(Tabla1[[#This Row],[RUT]],1,LEN(Tabla1[[#This Row],[RUT]])-1))</f>
        <v>61602198</v>
      </c>
      <c r="F738" t="str">
        <f t="shared" si="11"/>
        <v>CN61602198</v>
      </c>
    </row>
    <row r="739" spans="1:6" x14ac:dyDescent="0.25">
      <c r="A739" s="6">
        <v>616022016</v>
      </c>
      <c r="B739" s="5" t="s">
        <v>743</v>
      </c>
      <c r="C739" t="s">
        <v>12</v>
      </c>
      <c r="E739" s="42">
        <f>VALUE(MID(Tabla1[[#This Row],[RUT]],1,LEN(Tabla1[[#This Row],[RUT]])-1))</f>
        <v>61602201</v>
      </c>
      <c r="F739" t="str">
        <f t="shared" si="11"/>
        <v>CN61602201</v>
      </c>
    </row>
    <row r="740" spans="1:6" x14ac:dyDescent="0.25">
      <c r="A740" s="6">
        <v>616022032</v>
      </c>
      <c r="B740" s="5" t="s">
        <v>21</v>
      </c>
      <c r="C740" t="s">
        <v>12</v>
      </c>
      <c r="E740" s="42">
        <f>VALUE(MID(Tabla1[[#This Row],[RUT]],1,LEN(Tabla1[[#This Row],[RUT]])-1))</f>
        <v>61602203</v>
      </c>
      <c r="F740" t="str">
        <f t="shared" si="11"/>
        <v>CN61602203</v>
      </c>
    </row>
    <row r="741" spans="1:6" x14ac:dyDescent="0.25">
      <c r="A741" s="3">
        <v>616022091</v>
      </c>
      <c r="B741" s="1" t="s">
        <v>22</v>
      </c>
      <c r="C741" t="s">
        <v>12</v>
      </c>
      <c r="E741" s="42">
        <f>VALUE(MID(Tabla1[[#This Row],[RUT]],1,LEN(Tabla1[[#This Row],[RUT]])-1))</f>
        <v>61602209</v>
      </c>
      <c r="F741" t="str">
        <f t="shared" si="11"/>
        <v>CN61602209</v>
      </c>
    </row>
    <row r="742" spans="1:6" x14ac:dyDescent="0.25">
      <c r="A742" s="6">
        <v>616022113</v>
      </c>
      <c r="B742" s="5" t="s">
        <v>744</v>
      </c>
      <c r="C742" t="s">
        <v>12</v>
      </c>
      <c r="E742" s="42">
        <f>VALUE(MID(Tabla1[[#This Row],[RUT]],1,LEN(Tabla1[[#This Row],[RUT]])-1))</f>
        <v>61602211</v>
      </c>
      <c r="F742" t="str">
        <f t="shared" si="11"/>
        <v>CN61602211</v>
      </c>
    </row>
    <row r="743" spans="1:6" x14ac:dyDescent="0.25">
      <c r="A743" s="6">
        <v>616022229</v>
      </c>
      <c r="B743" s="5" t="s">
        <v>23</v>
      </c>
      <c r="C743" t="s">
        <v>12</v>
      </c>
      <c r="E743" s="42">
        <f>VALUE(MID(Tabla1[[#This Row],[RUT]],1,LEN(Tabla1[[#This Row],[RUT]])-1))</f>
        <v>61602222</v>
      </c>
      <c r="F743" t="str">
        <f t="shared" si="11"/>
        <v>CN61602222</v>
      </c>
    </row>
    <row r="744" spans="1:6" x14ac:dyDescent="0.25">
      <c r="A744" s="6">
        <v>616022954</v>
      </c>
      <c r="B744" s="5" t="s">
        <v>31</v>
      </c>
      <c r="C744" t="s">
        <v>12</v>
      </c>
      <c r="E744" s="42">
        <f>VALUE(MID(Tabla1[[#This Row],[RUT]],1,LEN(Tabla1[[#This Row],[RUT]])-1))</f>
        <v>61602295</v>
      </c>
      <c r="F744" t="str">
        <f t="shared" si="11"/>
        <v>CN61602295</v>
      </c>
    </row>
    <row r="745" spans="1:6" x14ac:dyDescent="0.25">
      <c r="A745" s="6">
        <v>616070010</v>
      </c>
      <c r="B745" s="5" t="s">
        <v>43</v>
      </c>
      <c r="C745" t="s">
        <v>12</v>
      </c>
      <c r="E745" s="42">
        <f>VALUE(MID(Tabla1[[#This Row],[RUT]],1,LEN(Tabla1[[#This Row],[RUT]])-1))</f>
        <v>61607001</v>
      </c>
      <c r="F745" t="str">
        <f t="shared" si="11"/>
        <v>CN61607001</v>
      </c>
    </row>
    <row r="746" spans="1:6" x14ac:dyDescent="0.25">
      <c r="A746" s="6">
        <v>616070029</v>
      </c>
      <c r="B746" s="5" t="s">
        <v>44</v>
      </c>
      <c r="C746" t="s">
        <v>12</v>
      </c>
      <c r="E746" s="42">
        <f>VALUE(MID(Tabla1[[#This Row],[RUT]],1,LEN(Tabla1[[#This Row],[RUT]])-1))</f>
        <v>61607002</v>
      </c>
      <c r="F746" t="str">
        <f t="shared" si="11"/>
        <v>CN61607002</v>
      </c>
    </row>
    <row r="747" spans="1:6" x14ac:dyDescent="0.25">
      <c r="A747" s="6">
        <v>616071041</v>
      </c>
      <c r="B747" s="5" t="s">
        <v>45</v>
      </c>
      <c r="C747" t="s">
        <v>12</v>
      </c>
      <c r="E747" s="42">
        <f>VALUE(MID(Tabla1[[#This Row],[RUT]],1,LEN(Tabla1[[#This Row],[RUT]])-1))</f>
        <v>61607104</v>
      </c>
      <c r="F747" t="str">
        <f t="shared" si="11"/>
        <v>CN61607104</v>
      </c>
    </row>
    <row r="748" spans="1:6" x14ac:dyDescent="0.25">
      <c r="A748" s="6">
        <v>616072013</v>
      </c>
      <c r="B748" s="5" t="s">
        <v>46</v>
      </c>
      <c r="C748" t="s">
        <v>12</v>
      </c>
      <c r="E748" s="42">
        <f>VALUE(MID(Tabla1[[#This Row],[RUT]],1,LEN(Tabla1[[#This Row],[RUT]])-1))</f>
        <v>61607201</v>
      </c>
      <c r="F748" t="str">
        <f t="shared" si="11"/>
        <v>CN61607201</v>
      </c>
    </row>
    <row r="749" spans="1:6" x14ac:dyDescent="0.25">
      <c r="A749" s="6">
        <v>616072021</v>
      </c>
      <c r="B749" s="5" t="s">
        <v>47</v>
      </c>
      <c r="C749" t="s">
        <v>12</v>
      </c>
      <c r="E749" s="42">
        <f>VALUE(MID(Tabla1[[#This Row],[RUT]],1,LEN(Tabla1[[#This Row],[RUT]])-1))</f>
        <v>61607202</v>
      </c>
      <c r="F749" t="str">
        <f t="shared" si="11"/>
        <v>CN61607202</v>
      </c>
    </row>
    <row r="750" spans="1:6" x14ac:dyDescent="0.25">
      <c r="A750" s="6">
        <v>619318005</v>
      </c>
      <c r="B750" s="5" t="s">
        <v>747</v>
      </c>
      <c r="C750" t="s">
        <v>12</v>
      </c>
      <c r="E750" s="42">
        <f>VALUE(MID(Tabla1[[#This Row],[RUT]],1,LEN(Tabla1[[#This Row],[RUT]])-1))</f>
        <v>61931800</v>
      </c>
      <c r="F750" t="str">
        <f t="shared" si="11"/>
        <v>CN61931800</v>
      </c>
    </row>
    <row r="751" spans="1:6" x14ac:dyDescent="0.25">
      <c r="A751" s="6">
        <v>691501027</v>
      </c>
      <c r="B751" s="5" t="s">
        <v>83</v>
      </c>
      <c r="C751" t="s">
        <v>12</v>
      </c>
      <c r="E751" s="42">
        <f>VALUE(MID(Tabla1[[#This Row],[RUT]],1,LEN(Tabla1[[#This Row],[RUT]])-1))</f>
        <v>69150102</v>
      </c>
      <c r="F751" t="str">
        <f t="shared" si="11"/>
        <v>CN69150102</v>
      </c>
    </row>
    <row r="752" spans="1:6" x14ac:dyDescent="0.25">
      <c r="A752" s="6">
        <v>691508005</v>
      </c>
      <c r="B752" s="5" t="s">
        <v>84</v>
      </c>
      <c r="C752" t="s">
        <v>12</v>
      </c>
      <c r="E752" s="42">
        <f>VALUE(MID(Tabla1[[#This Row],[RUT]],1,LEN(Tabla1[[#This Row],[RUT]])-1))</f>
        <v>69150800</v>
      </c>
      <c r="F752" t="str">
        <f t="shared" si="11"/>
        <v>CN69150800</v>
      </c>
    </row>
    <row r="753" spans="1:6" x14ac:dyDescent="0.25">
      <c r="A753" s="3">
        <v>691510026</v>
      </c>
      <c r="B753" s="1" t="s">
        <v>85</v>
      </c>
      <c r="C753" t="s">
        <v>12</v>
      </c>
      <c r="E753" s="42">
        <f>VALUE(MID(Tabla1[[#This Row],[RUT]],1,LEN(Tabla1[[#This Row],[RUT]])-1))</f>
        <v>69151002</v>
      </c>
      <c r="F753" t="str">
        <f t="shared" si="11"/>
        <v>CN69151002</v>
      </c>
    </row>
    <row r="754" spans="1:6" x14ac:dyDescent="0.25">
      <c r="A754" s="6">
        <v>691512029</v>
      </c>
      <c r="B754" s="5" t="s">
        <v>86</v>
      </c>
      <c r="C754" t="s">
        <v>12</v>
      </c>
      <c r="E754" s="42">
        <f>VALUE(MID(Tabla1[[#This Row],[RUT]],1,LEN(Tabla1[[#This Row],[RUT]])-1))</f>
        <v>69151202</v>
      </c>
      <c r="F754" t="str">
        <f t="shared" si="11"/>
        <v>CN69151202</v>
      </c>
    </row>
    <row r="755" spans="1:6" x14ac:dyDescent="0.25">
      <c r="A755" s="6">
        <v>691701026</v>
      </c>
      <c r="B755" s="5" t="s">
        <v>87</v>
      </c>
      <c r="C755" t="s">
        <v>12</v>
      </c>
      <c r="E755" s="42">
        <f>VALUE(MID(Tabla1[[#This Row],[RUT]],1,LEN(Tabla1[[#This Row],[RUT]])-1))</f>
        <v>69170102</v>
      </c>
      <c r="F755" t="str">
        <f t="shared" si="11"/>
        <v>CN69170102</v>
      </c>
    </row>
    <row r="756" spans="1:6" x14ac:dyDescent="0.25">
      <c r="A756" s="6">
        <v>691801004</v>
      </c>
      <c r="B756" s="5" t="s">
        <v>88</v>
      </c>
      <c r="C756" t="s">
        <v>12</v>
      </c>
      <c r="E756" s="42">
        <f>VALUE(MID(Tabla1[[#This Row],[RUT]],1,LEN(Tabla1[[#This Row],[RUT]])-1))</f>
        <v>69180100</v>
      </c>
      <c r="F756" t="str">
        <f t="shared" si="11"/>
        <v>CN69180100</v>
      </c>
    </row>
    <row r="757" spans="1:6" x14ac:dyDescent="0.25">
      <c r="A757" s="6">
        <v>692569008</v>
      </c>
      <c r="B757" s="5" t="s">
        <v>98</v>
      </c>
      <c r="C757" t="s">
        <v>12</v>
      </c>
      <c r="E757" s="42">
        <f>VALUE(MID(Tabla1[[#This Row],[RUT]],1,LEN(Tabla1[[#This Row],[RUT]])-1))</f>
        <v>69256900</v>
      </c>
      <c r="F757" t="str">
        <f t="shared" si="11"/>
        <v>CN69256900</v>
      </c>
    </row>
    <row r="758" spans="1:6" x14ac:dyDescent="0.25">
      <c r="A758" s="3">
        <v>692599004</v>
      </c>
      <c r="B758" s="1" t="s">
        <v>99</v>
      </c>
      <c r="C758" t="s">
        <v>12</v>
      </c>
      <c r="E758" s="42">
        <f>VALUE(MID(Tabla1[[#This Row],[RUT]],1,LEN(Tabla1[[#This Row],[RUT]])-1))</f>
        <v>69259900</v>
      </c>
      <c r="F758" t="str">
        <f t="shared" si="11"/>
        <v>CN69259900</v>
      </c>
    </row>
    <row r="759" spans="1:6" x14ac:dyDescent="0.25">
      <c r="A759" s="3">
        <v>692665007</v>
      </c>
      <c r="B759" s="1" t="s">
        <v>751</v>
      </c>
      <c r="C759" t="s">
        <v>12</v>
      </c>
      <c r="E759" s="42">
        <f>VALUE(MID(Tabla1[[#This Row],[RUT]],1,LEN(Tabla1[[#This Row],[RUT]])-1))</f>
        <v>69266500</v>
      </c>
      <c r="F759" t="str">
        <f t="shared" si="11"/>
        <v>CN69266500</v>
      </c>
    </row>
    <row r="760" spans="1:6" x14ac:dyDescent="0.25">
      <c r="A760" s="6">
        <v>742696006</v>
      </c>
      <c r="B760" s="5" t="s">
        <v>752</v>
      </c>
      <c r="C760" t="s">
        <v>12</v>
      </c>
      <c r="E760" s="42">
        <f>VALUE(MID(Tabla1[[#This Row],[RUT]],1,LEN(Tabla1[[#This Row],[RUT]])-1))</f>
        <v>74269600</v>
      </c>
      <c r="F760" t="str">
        <f t="shared" si="11"/>
        <v>CN74269600</v>
      </c>
    </row>
    <row r="761" spans="1:6" x14ac:dyDescent="0.25">
      <c r="A761" s="6">
        <v>760189928</v>
      </c>
      <c r="B761" s="5" t="s">
        <v>753</v>
      </c>
      <c r="C761" t="s">
        <v>12</v>
      </c>
      <c r="E761" s="42">
        <f>VALUE(MID(Tabla1[[#This Row],[RUT]],1,LEN(Tabla1[[#This Row],[RUT]])-1))</f>
        <v>76018992</v>
      </c>
      <c r="F761" t="str">
        <f t="shared" si="11"/>
        <v>CN76018992</v>
      </c>
    </row>
    <row r="762" spans="1:6" x14ac:dyDescent="0.25">
      <c r="A762" s="6">
        <v>760579041</v>
      </c>
      <c r="B762" s="5" t="s">
        <v>108</v>
      </c>
      <c r="C762" t="s">
        <v>12</v>
      </c>
      <c r="E762" s="42">
        <f>VALUE(MID(Tabla1[[#This Row],[RUT]],1,LEN(Tabla1[[#This Row],[RUT]])-1))</f>
        <v>76057904</v>
      </c>
      <c r="F762" t="str">
        <f t="shared" si="11"/>
        <v>CN76057904</v>
      </c>
    </row>
    <row r="763" spans="1:6" x14ac:dyDescent="0.25">
      <c r="A763" s="6">
        <v>765150701</v>
      </c>
      <c r="B763" s="5" t="s">
        <v>115</v>
      </c>
      <c r="C763" t="s">
        <v>12</v>
      </c>
      <c r="E763" s="42">
        <f>VALUE(MID(Tabla1[[#This Row],[RUT]],1,LEN(Tabla1[[#This Row],[RUT]])-1))</f>
        <v>76515070</v>
      </c>
      <c r="F763" t="str">
        <f t="shared" si="11"/>
        <v>CN76515070</v>
      </c>
    </row>
    <row r="764" spans="1:6" x14ac:dyDescent="0.25">
      <c r="A764" s="6">
        <v>796079002</v>
      </c>
      <c r="B764" s="5" t="s">
        <v>120</v>
      </c>
      <c r="C764" t="s">
        <v>12</v>
      </c>
      <c r="E764" s="42">
        <f>VALUE(MID(Tabla1[[#This Row],[RUT]],1,LEN(Tabla1[[#This Row],[RUT]])-1))</f>
        <v>79607900</v>
      </c>
      <c r="F764" t="str">
        <f t="shared" si="11"/>
        <v>CN79607900</v>
      </c>
    </row>
    <row r="765" spans="1:6" x14ac:dyDescent="0.25">
      <c r="A765" s="3">
        <v>827453005</v>
      </c>
      <c r="B765" s="1" t="s">
        <v>123</v>
      </c>
      <c r="C765" t="s">
        <v>12</v>
      </c>
      <c r="E765" s="42">
        <f>VALUE(MID(Tabla1[[#This Row],[RUT]],1,LEN(Tabla1[[#This Row],[RUT]])-1))</f>
        <v>82745300</v>
      </c>
      <c r="F765" t="str">
        <f t="shared" si="11"/>
        <v>CN82745300</v>
      </c>
    </row>
    <row r="766" spans="1:6" x14ac:dyDescent="0.25">
      <c r="A766" s="6">
        <v>886116004</v>
      </c>
      <c r="B766" s="5" t="s">
        <v>124</v>
      </c>
      <c r="C766" t="s">
        <v>12</v>
      </c>
      <c r="E766" s="42">
        <f>VALUE(MID(Tabla1[[#This Row],[RUT]],1,LEN(Tabla1[[#This Row],[RUT]])-1))</f>
        <v>88611600</v>
      </c>
      <c r="F766" t="str">
        <f t="shared" si="11"/>
        <v>CN88611600</v>
      </c>
    </row>
    <row r="767" spans="1:6" x14ac:dyDescent="0.25">
      <c r="A767" s="3">
        <v>968859404</v>
      </c>
      <c r="B767" s="1" t="s">
        <v>134</v>
      </c>
      <c r="C767" t="s">
        <v>12</v>
      </c>
      <c r="E767" s="42">
        <f>VALUE(MID(Tabla1[[#This Row],[RUT]],1,LEN(Tabla1[[#This Row],[RUT]])-1))</f>
        <v>96885940</v>
      </c>
      <c r="F767" t="str">
        <f t="shared" si="11"/>
        <v>CN96885940</v>
      </c>
    </row>
    <row r="768" spans="1:6" x14ac:dyDescent="0.25">
      <c r="A768" s="6" t="s">
        <v>145</v>
      </c>
      <c r="B768" s="5" t="s">
        <v>146</v>
      </c>
      <c r="C768" t="s">
        <v>12</v>
      </c>
      <c r="E768" s="42">
        <f>VALUE(MID(Tabla1[[#This Row],[RUT]],1,LEN(Tabla1[[#This Row],[RUT]])-1))</f>
        <v>61602213</v>
      </c>
      <c r="F768" t="str">
        <f t="shared" si="11"/>
        <v>CN61602213</v>
      </c>
    </row>
    <row r="769" spans="1:6" x14ac:dyDescent="0.25">
      <c r="A769" s="6" t="s">
        <v>148</v>
      </c>
      <c r="B769" s="5" t="s">
        <v>149</v>
      </c>
      <c r="C769" t="s">
        <v>12</v>
      </c>
      <c r="E769" s="42">
        <f>VALUE(MID(Tabla1[[#This Row],[RUT]],1,LEN(Tabla1[[#This Row],[RUT]])-1))</f>
        <v>61607301</v>
      </c>
      <c r="F769" t="str">
        <f t="shared" si="11"/>
        <v>CN61607301</v>
      </c>
    </row>
    <row r="770" spans="1:6" x14ac:dyDescent="0.25">
      <c r="A770" s="6" t="s">
        <v>152</v>
      </c>
      <c r="B770" s="5" t="s">
        <v>153</v>
      </c>
      <c r="C770" t="s">
        <v>12</v>
      </c>
      <c r="E770" s="42">
        <f>VALUE(MID(Tabla1[[#This Row],[RUT]],1,LEN(Tabla1[[#This Row],[RUT]])-1))</f>
        <v>69264400</v>
      </c>
      <c r="F770" t="str">
        <f t="shared" si="11"/>
        <v>CN69264400</v>
      </c>
    </row>
    <row r="771" spans="1:6" x14ac:dyDescent="0.25">
      <c r="A771" s="6" t="s">
        <v>154</v>
      </c>
      <c r="B771" s="5" t="s">
        <v>155</v>
      </c>
      <c r="C771" t="s">
        <v>12</v>
      </c>
      <c r="E771" s="42">
        <f>VALUE(MID(Tabla1[[#This Row],[RUT]],1,LEN(Tabla1[[#This Row],[RUT]])-1))</f>
        <v>69270200</v>
      </c>
      <c r="F771" t="str">
        <f t="shared" ref="F771:F834" si="12">"CN"&amp;E771</f>
        <v>CN69270200</v>
      </c>
    </row>
    <row r="772" spans="1:6" x14ac:dyDescent="0.25">
      <c r="A772" s="6" t="s">
        <v>157</v>
      </c>
      <c r="B772" s="5" t="s">
        <v>158</v>
      </c>
      <c r="C772" t="s">
        <v>12</v>
      </c>
      <c r="E772" s="42">
        <f>VALUE(MID(Tabla1[[#This Row],[RUT]],1,LEN(Tabla1[[#This Row],[RUT]])-1))</f>
        <v>96662020</v>
      </c>
      <c r="F772" t="str">
        <f t="shared" si="12"/>
        <v>CN96662020</v>
      </c>
    </row>
    <row r="773" spans="1:6" x14ac:dyDescent="0.25">
      <c r="A773" s="6">
        <v>616022296</v>
      </c>
      <c r="B773" s="5" t="s">
        <v>24</v>
      </c>
      <c r="C773" t="s">
        <v>4758</v>
      </c>
      <c r="E773" s="42">
        <f>VALUE(MID(Tabla1[[#This Row],[RUT]],1,LEN(Tabla1[[#This Row],[RUT]])-1))</f>
        <v>61602229</v>
      </c>
      <c r="F773" t="str">
        <f t="shared" si="12"/>
        <v>CN61602229</v>
      </c>
    </row>
    <row r="774" spans="1:6" x14ac:dyDescent="0.25">
      <c r="A774" s="6">
        <v>616022326</v>
      </c>
      <c r="B774" s="5" t="s">
        <v>26</v>
      </c>
      <c r="C774" t="s">
        <v>4758</v>
      </c>
      <c r="E774" s="42">
        <f>VALUE(MID(Tabla1[[#This Row],[RUT]],1,LEN(Tabla1[[#This Row],[RUT]])-1))</f>
        <v>61602232</v>
      </c>
      <c r="F774" t="str">
        <f t="shared" si="12"/>
        <v>CN61602232</v>
      </c>
    </row>
    <row r="775" spans="1:6" x14ac:dyDescent="0.25">
      <c r="A775" s="6">
        <v>616022369</v>
      </c>
      <c r="B775" s="5" t="s">
        <v>27</v>
      </c>
      <c r="C775" t="s">
        <v>4758</v>
      </c>
      <c r="E775" s="42">
        <f>VALUE(MID(Tabla1[[#This Row],[RUT]],1,LEN(Tabla1[[#This Row],[RUT]])-1))</f>
        <v>61602236</v>
      </c>
      <c r="F775" t="str">
        <f t="shared" si="12"/>
        <v>CN61602236</v>
      </c>
    </row>
    <row r="776" spans="1:6" x14ac:dyDescent="0.25">
      <c r="A776" s="6">
        <v>616022385</v>
      </c>
      <c r="B776" s="5" t="s">
        <v>28</v>
      </c>
      <c r="C776" t="s">
        <v>4758</v>
      </c>
      <c r="E776" s="42">
        <f>VALUE(MID(Tabla1[[#This Row],[RUT]],1,LEN(Tabla1[[#This Row],[RUT]])-1))</f>
        <v>61602238</v>
      </c>
      <c r="F776" t="str">
        <f t="shared" si="12"/>
        <v>CN61602238</v>
      </c>
    </row>
    <row r="777" spans="1:6" x14ac:dyDescent="0.25">
      <c r="A777" s="6">
        <v>616022482</v>
      </c>
      <c r="B777" s="5" t="s">
        <v>745</v>
      </c>
      <c r="C777" t="s">
        <v>4758</v>
      </c>
      <c r="E777" s="42">
        <f>VALUE(MID(Tabla1[[#This Row],[RUT]],1,LEN(Tabla1[[#This Row],[RUT]])-1))</f>
        <v>61602248</v>
      </c>
      <c r="F777" t="str">
        <f t="shared" si="12"/>
        <v>CN61602248</v>
      </c>
    </row>
    <row r="778" spans="1:6" x14ac:dyDescent="0.25">
      <c r="A778" s="6">
        <v>616022601</v>
      </c>
      <c r="B778" s="5" t="s">
        <v>29</v>
      </c>
      <c r="C778" t="s">
        <v>4758</v>
      </c>
      <c r="E778" s="42">
        <f>VALUE(MID(Tabla1[[#This Row],[RUT]],1,LEN(Tabla1[[#This Row],[RUT]])-1))</f>
        <v>61602260</v>
      </c>
      <c r="F778" t="str">
        <f t="shared" si="12"/>
        <v>CN61602260</v>
      </c>
    </row>
    <row r="779" spans="1:6" x14ac:dyDescent="0.25">
      <c r="A779" s="6">
        <v>616022733</v>
      </c>
      <c r="B779" s="5" t="s">
        <v>30</v>
      </c>
      <c r="C779" t="s">
        <v>4758</v>
      </c>
      <c r="E779" s="42">
        <f>VALUE(MID(Tabla1[[#This Row],[RUT]],1,LEN(Tabla1[[#This Row],[RUT]])-1))</f>
        <v>61602273</v>
      </c>
      <c r="F779" t="str">
        <f t="shared" si="12"/>
        <v>CN61602273</v>
      </c>
    </row>
    <row r="780" spans="1:6" x14ac:dyDescent="0.25">
      <c r="A780" s="6">
        <v>616074016</v>
      </c>
      <c r="B780" s="5" t="s">
        <v>48</v>
      </c>
      <c r="C780" t="s">
        <v>4758</v>
      </c>
      <c r="E780" s="42">
        <f>VALUE(MID(Tabla1[[#This Row],[RUT]],1,LEN(Tabla1[[#This Row],[RUT]])-1))</f>
        <v>61607401</v>
      </c>
      <c r="F780" t="str">
        <f t="shared" si="12"/>
        <v>CN61607401</v>
      </c>
    </row>
    <row r="781" spans="1:6" x14ac:dyDescent="0.25">
      <c r="A781" s="3">
        <v>616075020</v>
      </c>
      <c r="B781" s="1" t="s">
        <v>49</v>
      </c>
      <c r="C781" t="s">
        <v>4758</v>
      </c>
      <c r="E781" s="42">
        <f>VALUE(MID(Tabla1[[#This Row],[RUT]],1,LEN(Tabla1[[#This Row],[RUT]])-1))</f>
        <v>61607502</v>
      </c>
      <c r="F781" t="str">
        <f t="shared" si="12"/>
        <v>CN61607502</v>
      </c>
    </row>
    <row r="782" spans="1:6" x14ac:dyDescent="0.25">
      <c r="A782" s="6">
        <v>616075039</v>
      </c>
      <c r="B782" s="5" t="s">
        <v>50</v>
      </c>
      <c r="C782" t="s">
        <v>4758</v>
      </c>
      <c r="E782" s="42">
        <f>VALUE(MID(Tabla1[[#This Row],[RUT]],1,LEN(Tabla1[[#This Row],[RUT]])-1))</f>
        <v>61607503</v>
      </c>
      <c r="F782" t="str">
        <f t="shared" si="12"/>
        <v>CN61607503</v>
      </c>
    </row>
    <row r="783" spans="1:6" x14ac:dyDescent="0.25">
      <c r="A783" s="6">
        <v>619550005</v>
      </c>
      <c r="B783" s="5" t="s">
        <v>65</v>
      </c>
      <c r="C783" t="s">
        <v>4758</v>
      </c>
      <c r="E783" s="42">
        <f>VALUE(MID(Tabla1[[#This Row],[RUT]],1,LEN(Tabla1[[#This Row],[RUT]])-1))</f>
        <v>61955000</v>
      </c>
      <c r="F783" t="str">
        <f t="shared" si="12"/>
        <v>CN61955000</v>
      </c>
    </row>
    <row r="784" spans="1:6" x14ac:dyDescent="0.25">
      <c r="A784" s="6">
        <v>619751000</v>
      </c>
      <c r="B784" s="5" t="s">
        <v>68</v>
      </c>
      <c r="C784" t="s">
        <v>4758</v>
      </c>
      <c r="E784" s="42">
        <f>VALUE(MID(Tabla1[[#This Row],[RUT]],1,LEN(Tabla1[[#This Row],[RUT]])-1))</f>
        <v>61975100</v>
      </c>
      <c r="F784" t="str">
        <f t="shared" si="12"/>
        <v>CN61975100</v>
      </c>
    </row>
    <row r="785" spans="1:10" x14ac:dyDescent="0.25">
      <c r="A785" s="6">
        <v>620008303</v>
      </c>
      <c r="B785" s="5" t="s">
        <v>71</v>
      </c>
      <c r="C785" t="s">
        <v>4758</v>
      </c>
      <c r="E785" s="42">
        <f>VALUE(MID(Tabla1[[#This Row],[RUT]],1,LEN(Tabla1[[#This Row],[RUT]])-1))</f>
        <v>62000830</v>
      </c>
      <c r="F785" t="str">
        <f t="shared" si="12"/>
        <v>CN62000830</v>
      </c>
    </row>
    <row r="786" spans="1:10" x14ac:dyDescent="0.25">
      <c r="A786" s="6">
        <v>653218907</v>
      </c>
      <c r="B786" s="5" t="s">
        <v>73</v>
      </c>
      <c r="C786" t="s">
        <v>4758</v>
      </c>
      <c r="E786" s="42">
        <f>VALUE(MID(Tabla1[[#This Row],[RUT]],1,LEN(Tabla1[[#This Row],[RUT]])-1))</f>
        <v>65321890</v>
      </c>
      <c r="F786" t="str">
        <f t="shared" si="12"/>
        <v>CN65321890</v>
      </c>
    </row>
    <row r="787" spans="1:10" x14ac:dyDescent="0.25">
      <c r="A787" s="6">
        <v>691809005</v>
      </c>
      <c r="B787" s="5" t="s">
        <v>89</v>
      </c>
      <c r="C787" t="s">
        <v>4758</v>
      </c>
      <c r="E787" s="42">
        <f>VALUE(MID(Tabla1[[#This Row],[RUT]],1,LEN(Tabla1[[#This Row],[RUT]])-1))</f>
        <v>69180900</v>
      </c>
      <c r="F787" t="str">
        <f t="shared" si="12"/>
        <v>CN69180900</v>
      </c>
    </row>
    <row r="788" spans="1:10" x14ac:dyDescent="0.25">
      <c r="A788" s="6">
        <v>691901009</v>
      </c>
      <c r="B788" s="5" t="s">
        <v>90</v>
      </c>
      <c r="C788" t="s">
        <v>4758</v>
      </c>
      <c r="E788" s="42">
        <f>VALUE(MID(Tabla1[[#This Row],[RUT]],1,LEN(Tabla1[[#This Row],[RUT]])-1))</f>
        <v>69190100</v>
      </c>
      <c r="F788" t="str">
        <f t="shared" si="12"/>
        <v>CN69190100</v>
      </c>
    </row>
    <row r="789" spans="1:10" x14ac:dyDescent="0.25">
      <c r="A789" s="6">
        <v>691904008</v>
      </c>
      <c r="B789" s="5" t="s">
        <v>91</v>
      </c>
      <c r="C789" t="s">
        <v>4758</v>
      </c>
      <c r="E789" s="42">
        <f>VALUE(MID(Tabla1[[#This Row],[RUT]],1,LEN(Tabla1[[#This Row],[RUT]])-1))</f>
        <v>69190400</v>
      </c>
      <c r="F789" t="str">
        <f t="shared" si="12"/>
        <v>CN69190400</v>
      </c>
    </row>
    <row r="790" spans="1:10" x14ac:dyDescent="0.25">
      <c r="A790" s="6">
        <v>691907007</v>
      </c>
      <c r="B790" s="5" t="s">
        <v>92</v>
      </c>
      <c r="C790" t="s">
        <v>4758</v>
      </c>
      <c r="E790" s="42">
        <f>VALUE(MID(Tabla1[[#This Row],[RUT]],1,LEN(Tabla1[[#This Row],[RUT]])-1))</f>
        <v>69190700</v>
      </c>
      <c r="F790" t="str">
        <f t="shared" si="12"/>
        <v>CN69190700</v>
      </c>
    </row>
    <row r="791" spans="1:10" x14ac:dyDescent="0.25">
      <c r="A791" s="6">
        <v>691913007</v>
      </c>
      <c r="B791" s="5" t="s">
        <v>93</v>
      </c>
      <c r="C791" t="s">
        <v>4758</v>
      </c>
      <c r="E791" s="42">
        <f>VALUE(MID(Tabla1[[#This Row],[RUT]],1,LEN(Tabla1[[#This Row],[RUT]])-1))</f>
        <v>69191300</v>
      </c>
      <c r="F791" t="str">
        <f t="shared" si="12"/>
        <v>CN69191300</v>
      </c>
    </row>
    <row r="792" spans="1:10" x14ac:dyDescent="0.25">
      <c r="A792" s="3">
        <v>691916006</v>
      </c>
      <c r="B792" s="1" t="s">
        <v>94</v>
      </c>
      <c r="C792" t="s">
        <v>4758</v>
      </c>
      <c r="E792" s="42">
        <f>VALUE(MID(Tabla1[[#This Row],[RUT]],1,LEN(Tabla1[[#This Row],[RUT]])-1))</f>
        <v>69191600</v>
      </c>
      <c r="F792" t="str">
        <f t="shared" si="12"/>
        <v>CN69191600</v>
      </c>
    </row>
    <row r="793" spans="1:10" x14ac:dyDescent="0.25">
      <c r="A793" s="3">
        <v>692001001</v>
      </c>
      <c r="B793" s="1" t="s">
        <v>95</v>
      </c>
      <c r="C793" t="s">
        <v>4758</v>
      </c>
      <c r="E793" s="42">
        <f>VALUE(MID(Tabla1[[#This Row],[RUT]],1,LEN(Tabla1[[#This Row],[RUT]])-1))</f>
        <v>69200100</v>
      </c>
      <c r="F793" t="str">
        <f t="shared" si="12"/>
        <v>CN69200100</v>
      </c>
    </row>
    <row r="794" spans="1:10" x14ac:dyDescent="0.25">
      <c r="A794" s="6">
        <v>692008006</v>
      </c>
      <c r="B794" s="5" t="s">
        <v>750</v>
      </c>
      <c r="C794" t="s">
        <v>4758</v>
      </c>
      <c r="E794" s="42">
        <f>VALUE(MID(Tabla1[[#This Row],[RUT]],1,LEN(Tabla1[[#This Row],[RUT]])-1))</f>
        <v>69200800</v>
      </c>
      <c r="F794" t="str">
        <f t="shared" si="12"/>
        <v>CN69200800</v>
      </c>
    </row>
    <row r="795" spans="1:10" x14ac:dyDescent="0.25">
      <c r="A795" s="6">
        <v>692101006</v>
      </c>
      <c r="B795" s="5" t="s">
        <v>96</v>
      </c>
      <c r="C795" t="s">
        <v>4758</v>
      </c>
      <c r="E795" s="42">
        <f>VALUE(MID(Tabla1[[#This Row],[RUT]],1,LEN(Tabla1[[#This Row],[RUT]])-1))</f>
        <v>69210100</v>
      </c>
      <c r="F795" t="str">
        <f t="shared" si="12"/>
        <v>CN69210100</v>
      </c>
    </row>
    <row r="796" spans="1:10" x14ac:dyDescent="0.25">
      <c r="A796" s="6">
        <v>692201000</v>
      </c>
      <c r="B796" s="5" t="s">
        <v>97</v>
      </c>
      <c r="C796" t="s">
        <v>4758</v>
      </c>
      <c r="E796" s="42">
        <f>VALUE(MID(Tabla1[[#This Row],[RUT]],1,LEN(Tabla1[[#This Row],[RUT]])-1))</f>
        <v>69220100</v>
      </c>
      <c r="F796" t="str">
        <f t="shared" si="12"/>
        <v>CN69220100</v>
      </c>
    </row>
    <row r="797" spans="1:10" x14ac:dyDescent="0.25">
      <c r="A797" s="3">
        <v>760871168</v>
      </c>
      <c r="B797" s="1" t="s">
        <v>109</v>
      </c>
      <c r="C797" t="s">
        <v>4758</v>
      </c>
      <c r="E797" s="42">
        <f>VALUE(MID(Tabla1[[#This Row],[RUT]],1,LEN(Tabla1[[#This Row],[RUT]])-1))</f>
        <v>76087116</v>
      </c>
      <c r="F797" t="str">
        <f t="shared" si="12"/>
        <v>CN76087116</v>
      </c>
    </row>
    <row r="798" spans="1:10" x14ac:dyDescent="0.25">
      <c r="A798" s="6">
        <v>764447409</v>
      </c>
      <c r="B798" s="5" t="s">
        <v>114</v>
      </c>
      <c r="C798" t="s">
        <v>4758</v>
      </c>
      <c r="E798" s="42">
        <f>VALUE(MID(Tabla1[[#This Row],[RUT]],1,LEN(Tabla1[[#This Row],[RUT]])-1))</f>
        <v>76444740</v>
      </c>
      <c r="F798" t="str">
        <f t="shared" si="12"/>
        <v>CN76444740</v>
      </c>
    </row>
    <row r="799" spans="1:10" x14ac:dyDescent="0.25">
      <c r="A799" s="3">
        <v>765558700</v>
      </c>
      <c r="B799" s="1" t="s">
        <v>116</v>
      </c>
      <c r="C799" t="s">
        <v>4758</v>
      </c>
      <c r="E799" s="42">
        <f>VALUE(MID(Tabla1[[#This Row],[RUT]],1,LEN(Tabla1[[#This Row],[RUT]])-1))</f>
        <v>76555870</v>
      </c>
      <c r="F799" t="str">
        <f t="shared" si="12"/>
        <v>CN76555870</v>
      </c>
    </row>
    <row r="800" spans="1:10" x14ac:dyDescent="0.25">
      <c r="A800" s="6">
        <v>819491003</v>
      </c>
      <c r="B800" s="5" t="s">
        <v>121</v>
      </c>
      <c r="C800" t="s">
        <v>4758</v>
      </c>
      <c r="E800" s="42">
        <f>VALUE(MID(Tabla1[[#This Row],[RUT]],1,LEN(Tabla1[[#This Row],[RUT]])-1))</f>
        <v>81949100</v>
      </c>
      <c r="F800" t="str">
        <f t="shared" si="12"/>
        <v>CN81949100</v>
      </c>
      <c r="J800" s="32"/>
    </row>
    <row r="801" spans="1:10" x14ac:dyDescent="0.25">
      <c r="A801" s="6">
        <v>966067500</v>
      </c>
      <c r="B801" s="5" t="s">
        <v>129</v>
      </c>
      <c r="C801" t="s">
        <v>4758</v>
      </c>
      <c r="E801" s="42">
        <f>VALUE(MID(Tabla1[[#This Row],[RUT]],1,LEN(Tabla1[[#This Row],[RUT]])-1))</f>
        <v>96606750</v>
      </c>
      <c r="F801" t="str">
        <f t="shared" si="12"/>
        <v>CN96606750</v>
      </c>
      <c r="J801" s="32"/>
    </row>
    <row r="802" spans="1:10" x14ac:dyDescent="0.25">
      <c r="A802" s="6">
        <v>967666408</v>
      </c>
      <c r="B802" s="5" t="s">
        <v>756</v>
      </c>
      <c r="C802" t="s">
        <v>4758</v>
      </c>
      <c r="E802" s="42">
        <f>VALUE(MID(Tabla1[[#This Row],[RUT]],1,LEN(Tabla1[[#This Row],[RUT]])-1))</f>
        <v>96766640</v>
      </c>
      <c r="F802" t="str">
        <f t="shared" si="12"/>
        <v>CN96766640</v>
      </c>
      <c r="J802" s="33"/>
    </row>
    <row r="803" spans="1:10" x14ac:dyDescent="0.25">
      <c r="A803" s="6">
        <v>967745804</v>
      </c>
      <c r="B803" s="5" t="s">
        <v>132</v>
      </c>
      <c r="C803" t="s">
        <v>4758</v>
      </c>
      <c r="E803" s="42">
        <f>VALUE(MID(Tabla1[[#This Row],[RUT]],1,LEN(Tabla1[[#This Row],[RUT]])-1))</f>
        <v>96774580</v>
      </c>
      <c r="F803" t="str">
        <f t="shared" si="12"/>
        <v>CN96774580</v>
      </c>
      <c r="J803" s="32"/>
    </row>
    <row r="804" spans="1:10" x14ac:dyDescent="0.25">
      <c r="A804" s="6" t="s">
        <v>141</v>
      </c>
      <c r="B804" s="5" t="s">
        <v>142</v>
      </c>
      <c r="C804" t="s">
        <v>4758</v>
      </c>
      <c r="E804" s="42">
        <f>VALUE(MID(Tabla1[[#This Row],[RUT]],1,LEN(Tabla1[[#This Row],[RUT]])-1))</f>
        <v>53335808</v>
      </c>
      <c r="F804" t="str">
        <f t="shared" si="12"/>
        <v>CN53335808</v>
      </c>
      <c r="J804" s="32"/>
    </row>
    <row r="805" spans="1:10" x14ac:dyDescent="0.25">
      <c r="A805" s="6" t="s">
        <v>150</v>
      </c>
      <c r="B805" s="5" t="s">
        <v>151</v>
      </c>
      <c r="C805" t="s">
        <v>4758</v>
      </c>
      <c r="E805" s="42">
        <f>VALUE(MID(Tabla1[[#This Row],[RUT]],1,LEN(Tabla1[[#This Row],[RUT]])-1))</f>
        <v>69191500</v>
      </c>
      <c r="F805" t="str">
        <f t="shared" si="12"/>
        <v>CN69191500</v>
      </c>
      <c r="J805" s="32"/>
    </row>
    <row r="806" spans="1:10" x14ac:dyDescent="0.25">
      <c r="A806" s="27">
        <v>610040004</v>
      </c>
      <c r="B806" t="s">
        <v>885</v>
      </c>
      <c r="C806" t="s">
        <v>159</v>
      </c>
      <c r="E806" s="42">
        <f>VALUE(MID(Tabla1[[#This Row],[RUT]],1,LEN(Tabla1[[#This Row],[RUT]])-1))</f>
        <v>61004000</v>
      </c>
      <c r="F806" t="str">
        <f t="shared" si="12"/>
        <v>CN61004000</v>
      </c>
      <c r="J806" s="32"/>
    </row>
    <row r="807" spans="1:10" x14ac:dyDescent="0.25">
      <c r="A807" s="27">
        <v>616022245</v>
      </c>
      <c r="B807" t="s">
        <v>886</v>
      </c>
      <c r="C807" t="s">
        <v>159</v>
      </c>
      <c r="E807" s="42">
        <f>VALUE(MID(Tabla1[[#This Row],[RUT]],1,LEN(Tabla1[[#This Row],[RUT]])-1))</f>
        <v>61602224</v>
      </c>
      <c r="F807" t="str">
        <f t="shared" si="12"/>
        <v>CN61602224</v>
      </c>
      <c r="J807" s="32"/>
    </row>
    <row r="808" spans="1:10" x14ac:dyDescent="0.25">
      <c r="A808" s="27">
        <v>616022741</v>
      </c>
      <c r="B808" t="s">
        <v>887</v>
      </c>
      <c r="C808" t="s">
        <v>159</v>
      </c>
      <c r="E808" s="42">
        <f>VALUE(MID(Tabla1[[#This Row],[RUT]],1,LEN(Tabla1[[#This Row],[RUT]])-1))</f>
        <v>61602274</v>
      </c>
      <c r="F808" t="str">
        <f t="shared" si="12"/>
        <v>CN61602274</v>
      </c>
      <c r="J808" s="33"/>
    </row>
    <row r="809" spans="1:10" x14ac:dyDescent="0.25">
      <c r="A809" s="27">
        <v>616022814</v>
      </c>
      <c r="B809" t="s">
        <v>888</v>
      </c>
      <c r="C809" t="s">
        <v>159</v>
      </c>
      <c r="E809" s="42">
        <f>VALUE(MID(Tabla1[[#This Row],[RUT]],1,LEN(Tabla1[[#This Row],[RUT]])-1))</f>
        <v>61602281</v>
      </c>
      <c r="F809" t="str">
        <f t="shared" si="12"/>
        <v>CN61602281</v>
      </c>
      <c r="J809" s="33"/>
    </row>
    <row r="810" spans="1:10" x14ac:dyDescent="0.25">
      <c r="A810" s="27">
        <v>616023128</v>
      </c>
      <c r="B810" t="s">
        <v>889</v>
      </c>
      <c r="C810" t="s">
        <v>159</v>
      </c>
      <c r="E810" s="42">
        <f>VALUE(MID(Tabla1[[#This Row],[RUT]],1,LEN(Tabla1[[#This Row],[RUT]])-1))</f>
        <v>61602312</v>
      </c>
      <c r="F810" t="str">
        <f t="shared" si="12"/>
        <v>CN61602312</v>
      </c>
      <c r="J810" s="33"/>
    </row>
    <row r="811" spans="1:10" x14ac:dyDescent="0.25">
      <c r="A811" s="27">
        <v>616066072</v>
      </c>
      <c r="B811" t="s">
        <v>890</v>
      </c>
      <c r="C811" t="s">
        <v>159</v>
      </c>
      <c r="E811" s="42">
        <f>VALUE(MID(Tabla1[[#This Row],[RUT]],1,LEN(Tabla1[[#This Row],[RUT]])-1))</f>
        <v>61606607</v>
      </c>
      <c r="F811" t="str">
        <f t="shared" si="12"/>
        <v>CN61606607</v>
      </c>
      <c r="J811" s="32"/>
    </row>
    <row r="812" spans="1:10" x14ac:dyDescent="0.25">
      <c r="A812" s="27">
        <v>616073044</v>
      </c>
      <c r="B812" t="s">
        <v>891</v>
      </c>
      <c r="C812" t="s">
        <v>159</v>
      </c>
      <c r="E812" s="42">
        <f>VALUE(MID(Tabla1[[#This Row],[RUT]],1,LEN(Tabla1[[#This Row],[RUT]])-1))</f>
        <v>61607304</v>
      </c>
      <c r="F812" t="str">
        <f t="shared" si="12"/>
        <v>CN61607304</v>
      </c>
      <c r="J812" s="33"/>
    </row>
    <row r="813" spans="1:10" x14ac:dyDescent="0.25">
      <c r="A813" s="27">
        <v>616075004</v>
      </c>
      <c r="B813" t="s">
        <v>892</v>
      </c>
      <c r="C813" t="s">
        <v>159</v>
      </c>
      <c r="E813" s="42">
        <f>VALUE(MID(Tabla1[[#This Row],[RUT]],1,LEN(Tabla1[[#This Row],[RUT]])-1))</f>
        <v>61607500</v>
      </c>
      <c r="F813" t="str">
        <f t="shared" si="12"/>
        <v>CN61607500</v>
      </c>
      <c r="J813" s="33"/>
    </row>
    <row r="814" spans="1:10" x14ac:dyDescent="0.25">
      <c r="A814" s="27">
        <v>616075055</v>
      </c>
      <c r="B814" t="s">
        <v>893</v>
      </c>
      <c r="C814" t="s">
        <v>159</v>
      </c>
      <c r="E814" s="42">
        <f>VALUE(MID(Tabla1[[#This Row],[RUT]],1,LEN(Tabla1[[#This Row],[RUT]])-1))</f>
        <v>61607505</v>
      </c>
      <c r="F814" t="str">
        <f t="shared" si="12"/>
        <v>CN61607505</v>
      </c>
      <c r="J814" s="33"/>
    </row>
    <row r="815" spans="1:10" x14ac:dyDescent="0.25">
      <c r="A815" s="27">
        <v>619792106</v>
      </c>
      <c r="B815" t="s">
        <v>894</v>
      </c>
      <c r="C815" t="s">
        <v>159</v>
      </c>
      <c r="E815" s="42">
        <f>VALUE(MID(Tabla1[[#This Row],[RUT]],1,LEN(Tabla1[[#This Row],[RUT]])-1))</f>
        <v>61979210</v>
      </c>
      <c r="F815" t="str">
        <f t="shared" si="12"/>
        <v>CN61979210</v>
      </c>
      <c r="J815" s="32"/>
    </row>
    <row r="816" spans="1:10" x14ac:dyDescent="0.25">
      <c r="A816" s="27">
        <v>620006203</v>
      </c>
      <c r="B816" t="s">
        <v>895</v>
      </c>
      <c r="C816" t="s">
        <v>159</v>
      </c>
      <c r="E816" s="42">
        <f>VALUE(MID(Tabla1[[#This Row],[RUT]],1,LEN(Tabla1[[#This Row],[RUT]])-1))</f>
        <v>62000620</v>
      </c>
      <c r="F816" t="str">
        <f t="shared" si="12"/>
        <v>CN62000620</v>
      </c>
      <c r="J816" s="33"/>
    </row>
    <row r="817" spans="1:10" x14ac:dyDescent="0.25">
      <c r="A817" s="27">
        <v>650628438</v>
      </c>
      <c r="B817" t="s">
        <v>896</v>
      </c>
      <c r="C817" t="s">
        <v>159</v>
      </c>
      <c r="E817" s="42">
        <f>VALUE(MID(Tabla1[[#This Row],[RUT]],1,LEN(Tabla1[[#This Row],[RUT]])-1))</f>
        <v>65062843</v>
      </c>
      <c r="F817" t="str">
        <f t="shared" si="12"/>
        <v>CN65062843</v>
      </c>
      <c r="J817" s="33"/>
    </row>
    <row r="818" spans="1:10" x14ac:dyDescent="0.25">
      <c r="A818" s="27">
        <v>690406004</v>
      </c>
      <c r="B818" t="s">
        <v>897</v>
      </c>
      <c r="C818" t="s">
        <v>159</v>
      </c>
      <c r="E818" s="42">
        <f>VALUE(MID(Tabla1[[#This Row],[RUT]],1,LEN(Tabla1[[#This Row],[RUT]])-1))</f>
        <v>69040600</v>
      </c>
      <c r="F818" t="str">
        <f t="shared" si="12"/>
        <v>CN69040600</v>
      </c>
      <c r="J818" s="33"/>
    </row>
    <row r="819" spans="1:10" x14ac:dyDescent="0.25">
      <c r="A819" s="27">
        <v>690414007</v>
      </c>
      <c r="B819" t="s">
        <v>898</v>
      </c>
      <c r="C819" t="s">
        <v>159</v>
      </c>
      <c r="E819" s="42">
        <f>VALUE(MID(Tabla1[[#This Row],[RUT]],1,LEN(Tabla1[[#This Row],[RUT]])-1))</f>
        <v>69041400</v>
      </c>
      <c r="F819" t="str">
        <f t="shared" si="12"/>
        <v>CN69041400</v>
      </c>
      <c r="J819" s="32"/>
    </row>
    <row r="820" spans="1:10" x14ac:dyDescent="0.25">
      <c r="A820" s="27">
        <v>690415003</v>
      </c>
      <c r="B820" t="s">
        <v>899</v>
      </c>
      <c r="C820" t="s">
        <v>159</v>
      </c>
      <c r="E820" s="42">
        <f>VALUE(MID(Tabla1[[#This Row],[RUT]],1,LEN(Tabla1[[#This Row],[RUT]])-1))</f>
        <v>69041500</v>
      </c>
      <c r="F820" t="str">
        <f t="shared" si="12"/>
        <v>CN69041500</v>
      </c>
    </row>
    <row r="821" spans="1:10" x14ac:dyDescent="0.25">
      <c r="A821" s="27">
        <v>690507005</v>
      </c>
      <c r="B821" t="s">
        <v>900</v>
      </c>
      <c r="C821" t="s">
        <v>159</v>
      </c>
      <c r="E821" s="42">
        <f>VALUE(MID(Tabla1[[#This Row],[RUT]],1,LEN(Tabla1[[#This Row],[RUT]])-1))</f>
        <v>69050700</v>
      </c>
      <c r="F821" t="str">
        <f t="shared" si="12"/>
        <v>CN69050700</v>
      </c>
    </row>
    <row r="822" spans="1:10" x14ac:dyDescent="0.25">
      <c r="A822" s="27">
        <v>690508001</v>
      </c>
      <c r="B822" t="s">
        <v>901</v>
      </c>
      <c r="C822" t="s">
        <v>159</v>
      </c>
      <c r="E822" s="42">
        <f>VALUE(MID(Tabla1[[#This Row],[RUT]],1,LEN(Tabla1[[#This Row],[RUT]])-1))</f>
        <v>69050800</v>
      </c>
      <c r="F822" t="str">
        <f t="shared" si="12"/>
        <v>CN69050800</v>
      </c>
    </row>
    <row r="823" spans="1:10" x14ac:dyDescent="0.25">
      <c r="A823" s="27">
        <v>690808005</v>
      </c>
      <c r="B823" t="s">
        <v>902</v>
      </c>
      <c r="C823" t="s">
        <v>159</v>
      </c>
      <c r="E823" s="42">
        <f>VALUE(MID(Tabla1[[#This Row],[RUT]],1,LEN(Tabla1[[#This Row],[RUT]])-1))</f>
        <v>69080800</v>
      </c>
      <c r="F823" t="str">
        <f t="shared" si="12"/>
        <v>CN69080800</v>
      </c>
    </row>
    <row r="824" spans="1:10" x14ac:dyDescent="0.25">
      <c r="A824" s="27">
        <v>690814005</v>
      </c>
      <c r="B824" t="s">
        <v>903</v>
      </c>
      <c r="C824" t="s">
        <v>159</v>
      </c>
      <c r="E824" s="42">
        <f>VALUE(MID(Tabla1[[#This Row],[RUT]],1,LEN(Tabla1[[#This Row],[RUT]])-1))</f>
        <v>69081400</v>
      </c>
      <c r="F824" t="str">
        <f t="shared" si="12"/>
        <v>CN69081400</v>
      </c>
    </row>
    <row r="825" spans="1:10" x14ac:dyDescent="0.25">
      <c r="A825" s="27">
        <v>690905000</v>
      </c>
      <c r="B825" t="s">
        <v>904</v>
      </c>
      <c r="C825" t="s">
        <v>159</v>
      </c>
      <c r="E825" s="42">
        <f>VALUE(MID(Tabla1[[#This Row],[RUT]],1,LEN(Tabla1[[#This Row],[RUT]])-1))</f>
        <v>69090500</v>
      </c>
      <c r="F825" t="str">
        <f t="shared" si="12"/>
        <v>CN69090500</v>
      </c>
    </row>
    <row r="826" spans="1:10" x14ac:dyDescent="0.25">
      <c r="A826" s="27">
        <v>690910004</v>
      </c>
      <c r="B826" t="s">
        <v>905</v>
      </c>
      <c r="C826" t="s">
        <v>159</v>
      </c>
      <c r="E826" s="42">
        <f>VALUE(MID(Tabla1[[#This Row],[RUT]],1,LEN(Tabla1[[#This Row],[RUT]])-1))</f>
        <v>69091000</v>
      </c>
      <c r="F826" t="str">
        <f t="shared" si="12"/>
        <v>CN69091000</v>
      </c>
    </row>
    <row r="827" spans="1:10" x14ac:dyDescent="0.25">
      <c r="A827" s="27">
        <v>691202003</v>
      </c>
      <c r="B827" t="s">
        <v>906</v>
      </c>
      <c r="C827" t="s">
        <v>159</v>
      </c>
      <c r="E827" s="42">
        <f>VALUE(MID(Tabla1[[#This Row],[RUT]],1,LEN(Tabla1[[#This Row],[RUT]])-1))</f>
        <v>69120200</v>
      </c>
      <c r="F827" t="str">
        <f t="shared" si="12"/>
        <v>CN69120200</v>
      </c>
    </row>
    <row r="828" spans="1:10" x14ac:dyDescent="0.25">
      <c r="A828" s="27">
        <v>691402010</v>
      </c>
      <c r="B828" t="s">
        <v>907</v>
      </c>
      <c r="C828" t="s">
        <v>159</v>
      </c>
      <c r="E828" s="42">
        <f>VALUE(MID(Tabla1[[#This Row],[RUT]],1,LEN(Tabla1[[#This Row],[RUT]])-1))</f>
        <v>69140201</v>
      </c>
      <c r="F828" t="str">
        <f t="shared" si="12"/>
        <v>CN69140201</v>
      </c>
    </row>
    <row r="829" spans="1:10" x14ac:dyDescent="0.25">
      <c r="A829" s="27" t="s">
        <v>908</v>
      </c>
      <c r="B829" t="s">
        <v>909</v>
      </c>
      <c r="C829" t="s">
        <v>159</v>
      </c>
      <c r="E829" s="42">
        <f>VALUE(MID(Tabla1[[#This Row],[RUT]],1,LEN(Tabla1[[#This Row],[RUT]])-1))</f>
        <v>69150901</v>
      </c>
      <c r="F829" t="str">
        <f t="shared" si="12"/>
        <v>CN69150901</v>
      </c>
    </row>
    <row r="830" spans="1:10" x14ac:dyDescent="0.25">
      <c r="A830" s="27">
        <v>691514005</v>
      </c>
      <c r="B830" t="s">
        <v>910</v>
      </c>
      <c r="C830" t="s">
        <v>159</v>
      </c>
      <c r="E830" s="42">
        <f>VALUE(MID(Tabla1[[#This Row],[RUT]],1,LEN(Tabla1[[#This Row],[RUT]])-1))</f>
        <v>69151400</v>
      </c>
      <c r="F830" t="str">
        <f t="shared" si="12"/>
        <v>CN69151400</v>
      </c>
    </row>
    <row r="831" spans="1:10" ht="15.75" x14ac:dyDescent="0.25">
      <c r="A831" s="27">
        <v>691605000</v>
      </c>
      <c r="B831" t="s">
        <v>911</v>
      </c>
      <c r="C831" t="s">
        <v>159</v>
      </c>
      <c r="E831" s="42">
        <f>VALUE(MID(Tabla1[[#This Row],[RUT]],1,LEN(Tabla1[[#This Row],[RUT]])-1))</f>
        <v>69160500</v>
      </c>
      <c r="F831" t="str">
        <f t="shared" si="12"/>
        <v>CN69160500</v>
      </c>
      <c r="H831" s="17"/>
    </row>
    <row r="832" spans="1:10" ht="15.75" x14ac:dyDescent="0.25">
      <c r="A832" s="27">
        <v>691703002</v>
      </c>
      <c r="B832" t="s">
        <v>912</v>
      </c>
      <c r="C832" t="s">
        <v>159</v>
      </c>
      <c r="E832" s="42">
        <f>VALUE(MID(Tabla1[[#This Row],[RUT]],1,LEN(Tabla1[[#This Row],[RUT]])-1))</f>
        <v>69170300</v>
      </c>
      <c r="F832" t="str">
        <f t="shared" si="12"/>
        <v>CN69170300</v>
      </c>
      <c r="H832" s="17"/>
    </row>
    <row r="833" spans="1:8" ht="15.75" x14ac:dyDescent="0.25">
      <c r="A833" s="27">
        <v>691807002</v>
      </c>
      <c r="B833" t="s">
        <v>913</v>
      </c>
      <c r="C833" t="s">
        <v>159</v>
      </c>
      <c r="E833" s="42">
        <f>VALUE(MID(Tabla1[[#This Row],[RUT]],1,LEN(Tabla1[[#This Row],[RUT]])-1))</f>
        <v>69180700</v>
      </c>
      <c r="F833" t="str">
        <f t="shared" si="12"/>
        <v>CN69180700</v>
      </c>
      <c r="H833" s="17"/>
    </row>
    <row r="834" spans="1:8" ht="15.75" x14ac:dyDescent="0.25">
      <c r="A834" s="27" t="s">
        <v>914</v>
      </c>
      <c r="B834" t="s">
        <v>915</v>
      </c>
      <c r="C834" t="s">
        <v>159</v>
      </c>
      <c r="E834" s="42">
        <f>VALUE(MID(Tabla1[[#This Row],[RUT]],1,LEN(Tabla1[[#This Row],[RUT]])-1))</f>
        <v>69181100</v>
      </c>
      <c r="F834" t="str">
        <f t="shared" si="12"/>
        <v>CN69181100</v>
      </c>
      <c r="H834" s="17"/>
    </row>
    <row r="835" spans="1:8" ht="15.75" x14ac:dyDescent="0.25">
      <c r="A835" s="27">
        <v>691902005</v>
      </c>
      <c r="B835" t="s">
        <v>916</v>
      </c>
      <c r="C835" t="s">
        <v>159</v>
      </c>
      <c r="E835" s="42">
        <f>VALUE(MID(Tabla1[[#This Row],[RUT]],1,LEN(Tabla1[[#This Row],[RUT]])-1))</f>
        <v>69190200</v>
      </c>
      <c r="F835" t="str">
        <f t="shared" ref="F835:F898" si="13">"CN"&amp;E835</f>
        <v>CN69190200</v>
      </c>
      <c r="H835" s="17"/>
    </row>
    <row r="836" spans="1:8" ht="15.75" x14ac:dyDescent="0.25">
      <c r="A836" s="27" t="s">
        <v>917</v>
      </c>
      <c r="B836" t="s">
        <v>918</v>
      </c>
      <c r="C836" t="s">
        <v>159</v>
      </c>
      <c r="E836" s="42">
        <f>VALUE(MID(Tabla1[[#This Row],[RUT]],1,LEN(Tabla1[[#This Row],[RUT]])-1))</f>
        <v>69220302</v>
      </c>
      <c r="F836" t="str">
        <f t="shared" si="13"/>
        <v>CN69220302</v>
      </c>
      <c r="H836" s="17"/>
    </row>
    <row r="837" spans="1:8" ht="15.75" x14ac:dyDescent="0.25">
      <c r="A837" s="27">
        <v>692205006</v>
      </c>
      <c r="B837" t="s">
        <v>919</v>
      </c>
      <c r="C837" t="s">
        <v>159</v>
      </c>
      <c r="E837" s="42">
        <f>VALUE(MID(Tabla1[[#This Row],[RUT]],1,LEN(Tabla1[[#This Row],[RUT]])-1))</f>
        <v>69220500</v>
      </c>
      <c r="F837" t="str">
        <f t="shared" si="13"/>
        <v>CN69220500</v>
      </c>
      <c r="H837" s="17"/>
    </row>
    <row r="838" spans="1:8" ht="15.75" x14ac:dyDescent="0.25">
      <c r="A838" s="27">
        <v>692311000</v>
      </c>
      <c r="B838" t="s">
        <v>920</v>
      </c>
      <c r="C838" t="s">
        <v>159</v>
      </c>
      <c r="E838" s="42">
        <f>VALUE(MID(Tabla1[[#This Row],[RUT]],1,LEN(Tabla1[[#This Row],[RUT]])-1))</f>
        <v>69231100</v>
      </c>
      <c r="F838" t="str">
        <f t="shared" si="13"/>
        <v>CN69231100</v>
      </c>
      <c r="H838" s="17"/>
    </row>
    <row r="839" spans="1:8" ht="15.75" x14ac:dyDescent="0.25">
      <c r="A839" s="27">
        <v>692508009</v>
      </c>
      <c r="B839" t="s">
        <v>921</v>
      </c>
      <c r="C839" t="s">
        <v>159</v>
      </c>
      <c r="E839" s="42">
        <f>VALUE(MID(Tabla1[[#This Row],[RUT]],1,LEN(Tabla1[[#This Row],[RUT]])-1))</f>
        <v>69250800</v>
      </c>
      <c r="F839" t="str">
        <f t="shared" si="13"/>
        <v>CN69250800</v>
      </c>
      <c r="H839" s="17"/>
    </row>
    <row r="840" spans="1:8" ht="15.75" x14ac:dyDescent="0.25">
      <c r="A840" s="27">
        <v>692515005</v>
      </c>
      <c r="B840" t="s">
        <v>922</v>
      </c>
      <c r="C840" t="s">
        <v>159</v>
      </c>
      <c r="E840" s="42">
        <f>VALUE(MID(Tabla1[[#This Row],[RUT]],1,LEN(Tabla1[[#This Row],[RUT]])-1))</f>
        <v>69251500</v>
      </c>
      <c r="F840" t="str">
        <f t="shared" si="13"/>
        <v>CN69251500</v>
      </c>
      <c r="H840" s="17"/>
    </row>
    <row r="841" spans="1:8" ht="15.75" x14ac:dyDescent="0.25">
      <c r="A841" s="27">
        <v>692525000</v>
      </c>
      <c r="B841" t="s">
        <v>923</v>
      </c>
      <c r="C841" t="s">
        <v>159</v>
      </c>
      <c r="E841" s="42">
        <f>VALUE(MID(Tabla1[[#This Row],[RUT]],1,LEN(Tabla1[[#This Row],[RUT]])-1))</f>
        <v>69252500</v>
      </c>
      <c r="F841" t="str">
        <f t="shared" si="13"/>
        <v>CN69252500</v>
      </c>
      <c r="H841" s="17"/>
    </row>
    <row r="842" spans="1:8" ht="15.75" x14ac:dyDescent="0.25">
      <c r="A842" s="27">
        <v>692538005</v>
      </c>
      <c r="B842" t="s">
        <v>924</v>
      </c>
      <c r="C842" t="s">
        <v>159</v>
      </c>
      <c r="E842" s="42">
        <f>VALUE(MID(Tabla1[[#This Row],[RUT]],1,LEN(Tabla1[[#This Row],[RUT]])-1))</f>
        <v>69253800</v>
      </c>
      <c r="F842" t="str">
        <f t="shared" si="13"/>
        <v>CN69253800</v>
      </c>
      <c r="H842" s="17"/>
    </row>
    <row r="843" spans="1:8" ht="15.75" x14ac:dyDescent="0.25">
      <c r="A843" s="27">
        <v>692543009</v>
      </c>
      <c r="B843" t="s">
        <v>925</v>
      </c>
      <c r="C843" t="s">
        <v>159</v>
      </c>
      <c r="E843" s="42">
        <f>VALUE(MID(Tabla1[[#This Row],[RUT]],1,LEN(Tabla1[[#This Row],[RUT]])-1))</f>
        <v>69254300</v>
      </c>
      <c r="F843" t="str">
        <f t="shared" si="13"/>
        <v>CN69254300</v>
      </c>
      <c r="H843" s="17"/>
    </row>
    <row r="844" spans="1:8" ht="15.75" x14ac:dyDescent="0.25">
      <c r="A844" s="27">
        <v>708352004</v>
      </c>
      <c r="B844" t="s">
        <v>926</v>
      </c>
      <c r="C844" t="s">
        <v>159</v>
      </c>
      <c r="E844" s="42">
        <f>VALUE(MID(Tabla1[[#This Row],[RUT]],1,LEN(Tabla1[[#This Row],[RUT]])-1))</f>
        <v>70835200</v>
      </c>
      <c r="F844" t="str">
        <f t="shared" si="13"/>
        <v>CN70835200</v>
      </c>
      <c r="H844" s="17"/>
    </row>
    <row r="845" spans="1:8" ht="15.75" x14ac:dyDescent="0.25">
      <c r="A845" s="27">
        <v>715401002</v>
      </c>
      <c r="B845" t="s">
        <v>927</v>
      </c>
      <c r="C845" t="s">
        <v>159</v>
      </c>
      <c r="E845" s="42">
        <f>VALUE(MID(Tabla1[[#This Row],[RUT]],1,LEN(Tabla1[[#This Row],[RUT]])-1))</f>
        <v>71540100</v>
      </c>
      <c r="F845" t="str">
        <f t="shared" si="13"/>
        <v>CN71540100</v>
      </c>
      <c r="H845" s="17"/>
    </row>
    <row r="846" spans="1:8" x14ac:dyDescent="0.25">
      <c r="A846" s="27">
        <v>723684005</v>
      </c>
      <c r="B846" t="s">
        <v>928</v>
      </c>
      <c r="C846" t="s">
        <v>159</v>
      </c>
      <c r="E846" s="42">
        <f>VALUE(MID(Tabla1[[#This Row],[RUT]],1,LEN(Tabla1[[#This Row],[RUT]])-1))</f>
        <v>72368400</v>
      </c>
      <c r="F846" t="str">
        <f t="shared" si="13"/>
        <v>CN72368400</v>
      </c>
    </row>
    <row r="847" spans="1:8" x14ac:dyDescent="0.25">
      <c r="A847" s="27">
        <v>740695002</v>
      </c>
      <c r="B847" t="s">
        <v>929</v>
      </c>
      <c r="C847" t="s">
        <v>159</v>
      </c>
      <c r="E847" s="42">
        <f>VALUE(MID(Tabla1[[#This Row],[RUT]],1,LEN(Tabla1[[#This Row],[RUT]])-1))</f>
        <v>74069500</v>
      </c>
      <c r="F847" t="str">
        <f t="shared" si="13"/>
        <v>CN74069500</v>
      </c>
    </row>
    <row r="848" spans="1:8" x14ac:dyDescent="0.25">
      <c r="A848" s="27">
        <v>763072797</v>
      </c>
      <c r="B848" t="s">
        <v>930</v>
      </c>
      <c r="C848" t="s">
        <v>159</v>
      </c>
      <c r="E848" s="42">
        <f>VALUE(MID(Tabla1[[#This Row],[RUT]],1,LEN(Tabla1[[#This Row],[RUT]])-1))</f>
        <v>76307279</v>
      </c>
      <c r="F848" t="str">
        <f t="shared" si="13"/>
        <v>CN76307279</v>
      </c>
    </row>
    <row r="849" spans="1:6" x14ac:dyDescent="0.25">
      <c r="A849" s="27">
        <v>764259122</v>
      </c>
      <c r="B849" t="s">
        <v>931</v>
      </c>
      <c r="C849" t="s">
        <v>159</v>
      </c>
      <c r="E849" s="42">
        <f>VALUE(MID(Tabla1[[#This Row],[RUT]],1,LEN(Tabla1[[#This Row],[RUT]])-1))</f>
        <v>76425912</v>
      </c>
      <c r="F849" t="str">
        <f t="shared" si="13"/>
        <v>CN76425912</v>
      </c>
    </row>
    <row r="850" spans="1:6" x14ac:dyDescent="0.25">
      <c r="A850" s="27">
        <v>764497848</v>
      </c>
      <c r="B850" t="s">
        <v>940</v>
      </c>
      <c r="C850" t="s">
        <v>159</v>
      </c>
      <c r="E850" s="42">
        <f>VALUE(MID(Tabla1[[#This Row],[RUT]],1,LEN(Tabla1[[#This Row],[RUT]])-1))</f>
        <v>76449784</v>
      </c>
      <c r="F850" t="str">
        <f t="shared" si="13"/>
        <v>CN76449784</v>
      </c>
    </row>
    <row r="851" spans="1:6" x14ac:dyDescent="0.25">
      <c r="A851" s="27">
        <v>764797507</v>
      </c>
      <c r="B851" t="s">
        <v>932</v>
      </c>
      <c r="C851" t="s">
        <v>159</v>
      </c>
      <c r="E851" s="42">
        <f>VALUE(MID(Tabla1[[#This Row],[RUT]],1,LEN(Tabla1[[#This Row],[RUT]])-1))</f>
        <v>76479750</v>
      </c>
      <c r="F851" t="str">
        <f t="shared" si="13"/>
        <v>CN76479750</v>
      </c>
    </row>
    <row r="852" spans="1:6" x14ac:dyDescent="0.25">
      <c r="A852" s="27">
        <v>767344848</v>
      </c>
      <c r="B852" t="s">
        <v>933</v>
      </c>
      <c r="C852" t="s">
        <v>159</v>
      </c>
      <c r="E852" s="42">
        <f>VALUE(MID(Tabla1[[#This Row],[RUT]],1,LEN(Tabla1[[#This Row],[RUT]])-1))</f>
        <v>76734484</v>
      </c>
      <c r="F852" t="str">
        <f t="shared" si="13"/>
        <v>CN76734484</v>
      </c>
    </row>
    <row r="853" spans="1:6" x14ac:dyDescent="0.25">
      <c r="A853" s="27" t="s">
        <v>934</v>
      </c>
      <c r="B853" t="s">
        <v>941</v>
      </c>
      <c r="C853" t="s">
        <v>159</v>
      </c>
      <c r="E853" s="42">
        <f>VALUE(MID(Tabla1[[#This Row],[RUT]],1,LEN(Tabla1[[#This Row],[RUT]])-1))</f>
        <v>77035627</v>
      </c>
      <c r="F853" t="str">
        <f t="shared" si="13"/>
        <v>CN77035627</v>
      </c>
    </row>
    <row r="854" spans="1:6" x14ac:dyDescent="0.25">
      <c r="A854" s="27">
        <v>770422620</v>
      </c>
      <c r="B854" t="s">
        <v>935</v>
      </c>
      <c r="C854" t="s">
        <v>159</v>
      </c>
      <c r="E854" s="42">
        <f>VALUE(MID(Tabla1[[#This Row],[RUT]],1,LEN(Tabla1[[#This Row],[RUT]])-1))</f>
        <v>77042262</v>
      </c>
      <c r="F854" t="str">
        <f t="shared" si="13"/>
        <v>CN77042262</v>
      </c>
    </row>
    <row r="855" spans="1:6" x14ac:dyDescent="0.25">
      <c r="A855" s="27">
        <v>772971834</v>
      </c>
      <c r="B855" t="s">
        <v>936</v>
      </c>
      <c r="C855" t="s">
        <v>159</v>
      </c>
      <c r="E855" s="42">
        <f>VALUE(MID(Tabla1[[#This Row],[RUT]],1,LEN(Tabla1[[#This Row],[RUT]])-1))</f>
        <v>77297183</v>
      </c>
      <c r="F855" t="str">
        <f t="shared" si="13"/>
        <v>CN77297183</v>
      </c>
    </row>
    <row r="856" spans="1:6" x14ac:dyDescent="0.25">
      <c r="A856" s="27">
        <v>775462167</v>
      </c>
      <c r="B856" t="s">
        <v>942</v>
      </c>
      <c r="C856" t="s">
        <v>159</v>
      </c>
      <c r="E856" s="42">
        <f>VALUE(MID(Tabla1[[#This Row],[RUT]],1,LEN(Tabla1[[#This Row],[RUT]])-1))</f>
        <v>77546216</v>
      </c>
      <c r="F856" t="str">
        <f t="shared" si="13"/>
        <v>CN77546216</v>
      </c>
    </row>
    <row r="857" spans="1:6" x14ac:dyDescent="0.25">
      <c r="A857" s="27">
        <v>777412035</v>
      </c>
      <c r="B857" t="s">
        <v>943</v>
      </c>
      <c r="C857" t="s">
        <v>159</v>
      </c>
      <c r="E857" s="42">
        <f>VALUE(MID(Tabla1[[#This Row],[RUT]],1,LEN(Tabla1[[#This Row],[RUT]])-1))</f>
        <v>77741203</v>
      </c>
      <c r="F857" t="str">
        <f t="shared" si="13"/>
        <v>CN77741203</v>
      </c>
    </row>
    <row r="858" spans="1:6" x14ac:dyDescent="0.25">
      <c r="A858" s="27">
        <v>777723081</v>
      </c>
      <c r="B858" t="s">
        <v>937</v>
      </c>
      <c r="C858" t="s">
        <v>159</v>
      </c>
      <c r="E858" s="42">
        <f>VALUE(MID(Tabla1[[#This Row],[RUT]],1,LEN(Tabla1[[#This Row],[RUT]])-1))</f>
        <v>77772308</v>
      </c>
      <c r="F858" t="str">
        <f t="shared" si="13"/>
        <v>CN77772308</v>
      </c>
    </row>
    <row r="859" spans="1:6" x14ac:dyDescent="0.25">
      <c r="A859" s="27">
        <v>778068524</v>
      </c>
      <c r="B859" t="s">
        <v>938</v>
      </c>
      <c r="C859" t="s">
        <v>159</v>
      </c>
      <c r="E859" s="42">
        <f>VALUE(MID(Tabla1[[#This Row],[RUT]],1,LEN(Tabla1[[#This Row],[RUT]])-1))</f>
        <v>77806852</v>
      </c>
      <c r="F859" t="str">
        <f t="shared" si="13"/>
        <v>CN77806852</v>
      </c>
    </row>
    <row r="860" spans="1:6" x14ac:dyDescent="0.25">
      <c r="A860" s="27">
        <v>79898783</v>
      </c>
      <c r="B860" t="s">
        <v>939</v>
      </c>
      <c r="C860" t="s">
        <v>159</v>
      </c>
      <c r="E860" s="42">
        <f>VALUE(MID(Tabla1[[#This Row],[RUT]],1,LEN(Tabla1[[#This Row],[RUT]])-1))</f>
        <v>7989878</v>
      </c>
      <c r="F860" t="str">
        <f t="shared" si="13"/>
        <v>CN7989878</v>
      </c>
    </row>
    <row r="861" spans="1:6" x14ac:dyDescent="0.25">
      <c r="A861" s="28">
        <v>610040683</v>
      </c>
      <c r="B861" s="13" t="s">
        <v>944</v>
      </c>
      <c r="C861" t="s">
        <v>159</v>
      </c>
      <c r="E861" s="42">
        <f>VALUE(MID(Tabla1[[#This Row],[RUT]],1,LEN(Tabla1[[#This Row],[RUT]])-1))</f>
        <v>61004068</v>
      </c>
      <c r="F861" t="str">
        <f t="shared" si="13"/>
        <v>CN61004068</v>
      </c>
    </row>
    <row r="862" spans="1:6" x14ac:dyDescent="0.25">
      <c r="A862" s="29">
        <v>775202769</v>
      </c>
      <c r="B862" s="14" t="s">
        <v>945</v>
      </c>
      <c r="C862" t="s">
        <v>159</v>
      </c>
      <c r="E862" s="42">
        <f>VALUE(MID(Tabla1[[#This Row],[RUT]],1,LEN(Tabla1[[#This Row],[RUT]])-1))</f>
        <v>77520276</v>
      </c>
      <c r="F862" t="str">
        <f t="shared" si="13"/>
        <v>CN77520276</v>
      </c>
    </row>
    <row r="863" spans="1:6" x14ac:dyDescent="0.25">
      <c r="A863" s="27" t="s">
        <v>946</v>
      </c>
      <c r="B863" t="s">
        <v>947</v>
      </c>
      <c r="C863" t="s">
        <v>159</v>
      </c>
      <c r="E863" s="42">
        <f>VALUE(MID(Tabla1[[#This Row],[RUT]],1,LEN(Tabla1[[#This Row],[RUT]])-1))</f>
        <v>77436921</v>
      </c>
      <c r="F863" t="str">
        <f t="shared" si="13"/>
        <v>CN77436921</v>
      </c>
    </row>
    <row r="864" spans="1:6" x14ac:dyDescent="0.25">
      <c r="A864" s="29">
        <v>777792954</v>
      </c>
      <c r="B864" s="14" t="s">
        <v>948</v>
      </c>
      <c r="C864" t="s">
        <v>159</v>
      </c>
      <c r="E864" s="42">
        <f>VALUE(MID(Tabla1[[#This Row],[RUT]],1,LEN(Tabla1[[#This Row],[RUT]])-1))</f>
        <v>77779295</v>
      </c>
      <c r="F864" t="str">
        <f t="shared" si="13"/>
        <v>CN77779295</v>
      </c>
    </row>
    <row r="865" spans="1:7" x14ac:dyDescent="0.25">
      <c r="A865" s="30">
        <v>692519000</v>
      </c>
      <c r="B865" s="15" t="s">
        <v>949</v>
      </c>
      <c r="C865" t="s">
        <v>159</v>
      </c>
      <c r="E865" s="42">
        <f>VALUE(MID(Tabla1[[#This Row],[RUT]],1,LEN(Tabla1[[#This Row],[RUT]])-1))</f>
        <v>69251900</v>
      </c>
      <c r="F865" t="str">
        <f t="shared" si="13"/>
        <v>CN69251900</v>
      </c>
    </row>
    <row r="866" spans="1:7" x14ac:dyDescent="0.25">
      <c r="A866" s="30">
        <v>690732009</v>
      </c>
      <c r="B866" s="15" t="s">
        <v>950</v>
      </c>
      <c r="C866" t="s">
        <v>159</v>
      </c>
      <c r="E866" s="42">
        <f>VALUE(MID(Tabla1[[#This Row],[RUT]],1,LEN(Tabla1[[#This Row],[RUT]])-1))</f>
        <v>69073200</v>
      </c>
      <c r="F866" t="str">
        <f t="shared" si="13"/>
        <v>CN69073200</v>
      </c>
    </row>
    <row r="867" spans="1:7" x14ac:dyDescent="0.25">
      <c r="A867" s="31">
        <v>691108007</v>
      </c>
      <c r="B867" s="14" t="s">
        <v>951</v>
      </c>
      <c r="C867" t="s">
        <v>159</v>
      </c>
      <c r="E867" s="42">
        <f>VALUE(MID(Tabla1[[#This Row],[RUT]],1,LEN(Tabla1[[#This Row],[RUT]])-1))</f>
        <v>69110800</v>
      </c>
      <c r="F867" t="str">
        <f t="shared" si="13"/>
        <v>CN69110800</v>
      </c>
    </row>
    <row r="868" spans="1:7" x14ac:dyDescent="0.25">
      <c r="A868" s="27">
        <v>779033414</v>
      </c>
      <c r="B868" t="s">
        <v>952</v>
      </c>
      <c r="C868" t="s">
        <v>159</v>
      </c>
      <c r="E868" s="42">
        <f>VALUE(MID(Tabla1[[#This Row],[RUT]],1,LEN(Tabla1[[#This Row],[RUT]])-1))</f>
        <v>77903341</v>
      </c>
      <c r="F868" t="str">
        <f t="shared" si="13"/>
        <v>CN77903341</v>
      </c>
    </row>
    <row r="869" spans="1:7" x14ac:dyDescent="0.25">
      <c r="A869" s="27">
        <v>616081063</v>
      </c>
      <c r="B869" s="16" t="s">
        <v>953</v>
      </c>
      <c r="C869" t="s">
        <v>159</v>
      </c>
      <c r="E869" s="42">
        <f>VALUE(MID(Tabla1[[#This Row],[RUT]],1,LEN(Tabla1[[#This Row],[RUT]])-1))</f>
        <v>61608106</v>
      </c>
      <c r="F869" t="str">
        <f t="shared" si="13"/>
        <v>CN61608106</v>
      </c>
    </row>
    <row r="870" spans="1:7" x14ac:dyDescent="0.25">
      <c r="A870" s="27" t="s">
        <v>954</v>
      </c>
      <c r="B870" t="s">
        <v>955</v>
      </c>
      <c r="C870" t="s">
        <v>159</v>
      </c>
      <c r="E870" s="42">
        <f>VALUE(MID(Tabla1[[#This Row],[RUT]],1,LEN(Tabla1[[#This Row],[RUT]])-1))</f>
        <v>76768780</v>
      </c>
      <c r="F870" t="str">
        <f t="shared" si="13"/>
        <v>CN76768780</v>
      </c>
    </row>
    <row r="871" spans="1:7" x14ac:dyDescent="0.25">
      <c r="A871" s="27">
        <v>619394003</v>
      </c>
      <c r="B871" s="16" t="s">
        <v>956</v>
      </c>
      <c r="C871" t="s">
        <v>159</v>
      </c>
      <c r="E871" s="42">
        <f>VALUE(MID(Tabla1[[#This Row],[RUT]],1,LEN(Tabla1[[#This Row],[RUT]])-1))</f>
        <v>61939400</v>
      </c>
      <c r="F871" t="str">
        <f t="shared" si="13"/>
        <v>CN61939400</v>
      </c>
      <c r="G871" s="16"/>
    </row>
    <row r="872" spans="1:7" x14ac:dyDescent="0.25">
      <c r="A872" s="27">
        <v>692536002</v>
      </c>
      <c r="B872" t="s">
        <v>957</v>
      </c>
      <c r="C872" t="s">
        <v>159</v>
      </c>
      <c r="E872" s="42">
        <f>VALUE(MID(Tabla1[[#This Row],[RUT]],1,LEN(Tabla1[[#This Row],[RUT]])-1))</f>
        <v>69253600</v>
      </c>
      <c r="F872" t="str">
        <f t="shared" si="13"/>
        <v>CN69253600</v>
      </c>
      <c r="G872" s="16"/>
    </row>
    <row r="873" spans="1:7" x14ac:dyDescent="0.25">
      <c r="A873" s="29">
        <v>616078003</v>
      </c>
      <c r="B873" s="15" t="s">
        <v>958</v>
      </c>
      <c r="C873" t="s">
        <v>159</v>
      </c>
      <c r="E873" s="42">
        <f>VALUE(MID(Tabla1[[#This Row],[RUT]],1,LEN(Tabla1[[#This Row],[RUT]])-1))</f>
        <v>61607800</v>
      </c>
      <c r="F873" t="str">
        <f t="shared" si="13"/>
        <v>CN61607800</v>
      </c>
      <c r="G873" s="16"/>
    </row>
    <row r="874" spans="1:7" x14ac:dyDescent="0.25">
      <c r="A874" s="31">
        <v>763023885</v>
      </c>
      <c r="B874" t="s">
        <v>960</v>
      </c>
      <c r="C874" t="s">
        <v>159</v>
      </c>
      <c r="E874" s="42">
        <f>VALUE(MID(Tabla1[[#This Row],[RUT]],1,LEN(Tabla1[[#This Row],[RUT]])-1))</f>
        <v>76302388</v>
      </c>
      <c r="F874" t="str">
        <f t="shared" si="13"/>
        <v>CN76302388</v>
      </c>
      <c r="G874" s="16"/>
    </row>
    <row r="875" spans="1:7" x14ac:dyDescent="0.25">
      <c r="A875" s="31">
        <v>760181188</v>
      </c>
      <c r="B875" s="15" t="s">
        <v>959</v>
      </c>
      <c r="C875" t="s">
        <v>159</v>
      </c>
      <c r="E875" s="42">
        <f>VALUE(MID(Tabla1[[#This Row],[RUT]],1,LEN(Tabla1[[#This Row],[RUT]])-1))</f>
        <v>76018118</v>
      </c>
      <c r="F875" t="str">
        <f t="shared" si="13"/>
        <v>CN76018118</v>
      </c>
    </row>
    <row r="876" spans="1:7" x14ac:dyDescent="0.25">
      <c r="A876">
        <v>611030215</v>
      </c>
      <c r="B876" t="s">
        <v>962</v>
      </c>
      <c r="C876" t="s">
        <v>159</v>
      </c>
      <c r="E876" s="42">
        <f>VALUE(MID(Tabla1[[#This Row],[RUT]],1,LEN(Tabla1[[#This Row],[RUT]])-1))</f>
        <v>61103021</v>
      </c>
      <c r="F876" t="str">
        <f t="shared" si="13"/>
        <v>CN61103021</v>
      </c>
    </row>
    <row r="877" spans="1:7" x14ac:dyDescent="0.25">
      <c r="A877">
        <v>616067001</v>
      </c>
      <c r="B877" t="s">
        <v>963</v>
      </c>
      <c r="C877" t="s">
        <v>159</v>
      </c>
      <c r="E877" s="42">
        <f>VALUE(MID(Tabla1[[#This Row],[RUT]],1,LEN(Tabla1[[#This Row],[RUT]])-1))</f>
        <v>61606700</v>
      </c>
      <c r="F877" t="str">
        <f t="shared" si="13"/>
        <v>CN61606700</v>
      </c>
      <c r="G877" s="16"/>
    </row>
    <row r="878" spans="1:7" x14ac:dyDescent="0.25">
      <c r="A878">
        <v>620008907</v>
      </c>
      <c r="B878" t="s">
        <v>964</v>
      </c>
      <c r="C878" t="s">
        <v>159</v>
      </c>
      <c r="E878" s="42">
        <f>VALUE(MID(Tabla1[[#This Row],[RUT]],1,LEN(Tabla1[[#This Row],[RUT]])-1))</f>
        <v>62000890</v>
      </c>
      <c r="F878" t="str">
        <f t="shared" si="13"/>
        <v>CN62000890</v>
      </c>
      <c r="G878" s="16"/>
    </row>
    <row r="879" spans="1:7" x14ac:dyDescent="0.25">
      <c r="A879">
        <v>654556504</v>
      </c>
      <c r="B879" t="s">
        <v>965</v>
      </c>
      <c r="C879" t="s">
        <v>159</v>
      </c>
      <c r="E879" s="42">
        <f>VALUE(MID(Tabla1[[#This Row],[RUT]],1,LEN(Tabla1[[#This Row],[RUT]])-1))</f>
        <v>65455650</v>
      </c>
      <c r="F879" t="str">
        <f t="shared" si="13"/>
        <v>CN65455650</v>
      </c>
      <c r="G879" s="16"/>
    </row>
    <row r="880" spans="1:7" x14ac:dyDescent="0.25">
      <c r="A880">
        <v>690401002</v>
      </c>
      <c r="B880" t="s">
        <v>966</v>
      </c>
      <c r="C880" t="s">
        <v>159</v>
      </c>
      <c r="E880" s="42">
        <f>VALUE(MID(Tabla1[[#This Row],[RUT]],1,LEN(Tabla1[[#This Row],[RUT]])-1))</f>
        <v>69040100</v>
      </c>
      <c r="F880" t="str">
        <f t="shared" si="13"/>
        <v>CN69040100</v>
      </c>
      <c r="G880" s="16"/>
    </row>
    <row r="881" spans="1:9" x14ac:dyDescent="0.25">
      <c r="A881">
        <v>691007006</v>
      </c>
      <c r="B881" t="s">
        <v>967</v>
      </c>
      <c r="C881" t="s">
        <v>159</v>
      </c>
      <c r="E881" s="42">
        <f>VALUE(MID(Tabla1[[#This Row],[RUT]],1,LEN(Tabla1[[#This Row],[RUT]])-1))</f>
        <v>69100700</v>
      </c>
      <c r="F881" t="str">
        <f t="shared" si="13"/>
        <v>CN69100700</v>
      </c>
      <c r="G881" s="16"/>
    </row>
    <row r="882" spans="1:9" x14ac:dyDescent="0.25">
      <c r="A882">
        <v>691415007</v>
      </c>
      <c r="B882" t="s">
        <v>968</v>
      </c>
      <c r="C882" t="s">
        <v>159</v>
      </c>
      <c r="E882" s="42">
        <f>VALUE(MID(Tabla1[[#This Row],[RUT]],1,LEN(Tabla1[[#This Row],[RUT]])-1))</f>
        <v>69141500</v>
      </c>
      <c r="F882" t="str">
        <f t="shared" si="13"/>
        <v>CN69141500</v>
      </c>
      <c r="G882" s="16"/>
    </row>
    <row r="883" spans="1:9" x14ac:dyDescent="0.25">
      <c r="A883">
        <v>692532007</v>
      </c>
      <c r="B883" t="s">
        <v>969</v>
      </c>
      <c r="C883" t="s">
        <v>159</v>
      </c>
      <c r="E883" s="42">
        <f>VALUE(MID(Tabla1[[#This Row],[RUT]],1,LEN(Tabla1[[#This Row],[RUT]])-1))</f>
        <v>69253200</v>
      </c>
      <c r="F883" t="str">
        <f t="shared" si="13"/>
        <v>CN69253200</v>
      </c>
    </row>
    <row r="884" spans="1:9" x14ac:dyDescent="0.25">
      <c r="A884">
        <v>707775009</v>
      </c>
      <c r="B884" t="s">
        <v>970</v>
      </c>
      <c r="C884" t="s">
        <v>159</v>
      </c>
      <c r="E884" s="42">
        <f>VALUE(MID(Tabla1[[#This Row],[RUT]],1,LEN(Tabla1[[#This Row],[RUT]])-1))</f>
        <v>70777500</v>
      </c>
      <c r="F884" t="str">
        <f t="shared" si="13"/>
        <v>CN70777500</v>
      </c>
    </row>
    <row r="885" spans="1:9" x14ac:dyDescent="0.25">
      <c r="A885">
        <v>726321000</v>
      </c>
      <c r="B885" t="s">
        <v>971</v>
      </c>
      <c r="C885" t="s">
        <v>159</v>
      </c>
      <c r="E885" s="42">
        <f>VALUE(MID(Tabla1[[#This Row],[RUT]],1,LEN(Tabla1[[#This Row],[RUT]])-1))</f>
        <v>72632100</v>
      </c>
      <c r="F885" t="str">
        <f t="shared" si="13"/>
        <v>CN72632100</v>
      </c>
    </row>
    <row r="886" spans="1:9" x14ac:dyDescent="0.25">
      <c r="A886">
        <v>879129001</v>
      </c>
      <c r="B886" t="s">
        <v>972</v>
      </c>
      <c r="C886" t="s">
        <v>159</v>
      </c>
      <c r="E886" s="42">
        <f>VALUE(MID(Tabla1[[#This Row],[RUT]],1,LEN(Tabla1[[#This Row],[RUT]])-1))</f>
        <v>87912900</v>
      </c>
      <c r="F886" t="str">
        <f t="shared" si="13"/>
        <v>CN87912900</v>
      </c>
    </row>
    <row r="887" spans="1:9" x14ac:dyDescent="0.25">
      <c r="A887" t="s">
        <v>961</v>
      </c>
      <c r="B887" t="s">
        <v>973</v>
      </c>
      <c r="C887" t="s">
        <v>159</v>
      </c>
      <c r="E887" s="42">
        <f>VALUE(MID(Tabla1[[#This Row],[RUT]],1,LEN(Tabla1[[#This Row],[RUT]])-1))</f>
        <v>61102004</v>
      </c>
      <c r="F887" t="str">
        <f t="shared" si="13"/>
        <v>CN61102004</v>
      </c>
      <c r="H887" s="16"/>
      <c r="I887" s="16"/>
    </row>
    <row r="888" spans="1:9" x14ac:dyDescent="0.25">
      <c r="A888" s="27">
        <v>777129597</v>
      </c>
      <c r="B888" t="s">
        <v>974</v>
      </c>
      <c r="C888" t="s">
        <v>159</v>
      </c>
      <c r="E888" s="42">
        <f>VALUE(MID(Tabla1[[#This Row],[RUT]],1,LEN(Tabla1[[#This Row],[RUT]])-1))</f>
        <v>77712959</v>
      </c>
      <c r="F888" t="str">
        <f t="shared" si="13"/>
        <v>CN77712959</v>
      </c>
      <c r="H888" s="16"/>
      <c r="I888" s="16"/>
    </row>
    <row r="889" spans="1:9" x14ac:dyDescent="0.25">
      <c r="A889" s="31">
        <v>801239005</v>
      </c>
      <c r="B889" s="16" t="s">
        <v>975</v>
      </c>
      <c r="C889" t="s">
        <v>159</v>
      </c>
      <c r="E889" s="42">
        <f>VALUE(MID(Tabla1[[#This Row],[RUT]],1,LEN(Tabla1[[#This Row],[RUT]])-1))</f>
        <v>80123900</v>
      </c>
      <c r="F889" t="str">
        <f t="shared" si="13"/>
        <v>CN80123900</v>
      </c>
      <c r="H889" s="16"/>
      <c r="I889" s="16"/>
    </row>
    <row r="890" spans="1:9" x14ac:dyDescent="0.25">
      <c r="A890" s="31">
        <v>769304231</v>
      </c>
      <c r="B890" s="16" t="s">
        <v>976</v>
      </c>
      <c r="C890" t="s">
        <v>159</v>
      </c>
      <c r="E890" s="42">
        <f>VALUE(MID(Tabla1[[#This Row],[RUT]],1,LEN(Tabla1[[#This Row],[RUT]])-1))</f>
        <v>76930423</v>
      </c>
      <c r="F890" t="str">
        <f t="shared" si="13"/>
        <v>CN76930423</v>
      </c>
      <c r="H890" s="16"/>
      <c r="I890" s="16"/>
    </row>
    <row r="891" spans="1:9" x14ac:dyDescent="0.25">
      <c r="A891" s="31">
        <v>691804003</v>
      </c>
      <c r="B891" s="16" t="s">
        <v>977</v>
      </c>
      <c r="C891" t="s">
        <v>159</v>
      </c>
      <c r="E891" s="42">
        <f>VALUE(MID(Tabla1[[#This Row],[RUT]],1,LEN(Tabla1[[#This Row],[RUT]])-1))</f>
        <v>69180400</v>
      </c>
      <c r="F891" t="str">
        <f t="shared" si="13"/>
        <v>CN69180400</v>
      </c>
    </row>
    <row r="892" spans="1:9" x14ac:dyDescent="0.25">
      <c r="A892" s="34">
        <v>762177684</v>
      </c>
      <c r="B892" s="35" t="s">
        <v>111</v>
      </c>
      <c r="C892" t="s">
        <v>159</v>
      </c>
      <c r="E892" s="42">
        <f>VALUE(MID(Tabla1[[#This Row],[RUT]],1,LEN(Tabla1[[#This Row],[RUT]])-1))</f>
        <v>76217768</v>
      </c>
      <c r="F892" t="str">
        <f t="shared" si="13"/>
        <v>CN76217768</v>
      </c>
    </row>
    <row r="893" spans="1:9" x14ac:dyDescent="0.25">
      <c r="A893" s="31" t="s">
        <v>978</v>
      </c>
      <c r="B893" s="15" t="s">
        <v>980</v>
      </c>
      <c r="C893" t="s">
        <v>159</v>
      </c>
      <c r="E893" s="42">
        <f>VALUE(MID(Tabla1[[#This Row],[RUT]],1,LEN(Tabla1[[#This Row],[RUT]])-1))</f>
        <v>77815689</v>
      </c>
      <c r="F893" t="str">
        <f t="shared" si="13"/>
        <v>CN77815689</v>
      </c>
    </row>
    <row r="894" spans="1:9" x14ac:dyDescent="0.25">
      <c r="A894" s="31">
        <v>89055407</v>
      </c>
      <c r="B894" s="15" t="s">
        <v>981</v>
      </c>
      <c r="C894" t="s">
        <v>159</v>
      </c>
      <c r="E894" s="42">
        <f>VALUE(MID(Tabla1[[#This Row],[RUT]],1,LEN(Tabla1[[#This Row],[RUT]])-1))</f>
        <v>8905540</v>
      </c>
      <c r="F894" t="str">
        <f t="shared" si="13"/>
        <v>CN8905540</v>
      </c>
    </row>
    <row r="895" spans="1:9" x14ac:dyDescent="0.25">
      <c r="A895" s="31">
        <v>690104008</v>
      </c>
      <c r="B895" s="15" t="s">
        <v>982</v>
      </c>
      <c r="C895" t="s">
        <v>159</v>
      </c>
      <c r="E895" s="42">
        <f>VALUE(MID(Tabla1[[#This Row],[RUT]],1,LEN(Tabla1[[#This Row],[RUT]])-1))</f>
        <v>69010400</v>
      </c>
      <c r="F895" t="str">
        <f t="shared" si="13"/>
        <v>CN69010400</v>
      </c>
    </row>
    <row r="896" spans="1:9" x14ac:dyDescent="0.25">
      <c r="A896" s="31">
        <v>716186008</v>
      </c>
      <c r="B896" s="15" t="s">
        <v>983</v>
      </c>
      <c r="C896" t="s">
        <v>159</v>
      </c>
      <c r="E896" s="42">
        <f>VALUE(MID(Tabla1[[#This Row],[RUT]],1,LEN(Tabla1[[#This Row],[RUT]])-1))</f>
        <v>71618600</v>
      </c>
      <c r="F896" t="str">
        <f t="shared" si="13"/>
        <v>CN71618600</v>
      </c>
    </row>
    <row r="897" spans="1:13" x14ac:dyDescent="0.25">
      <c r="A897" s="31" t="s">
        <v>979</v>
      </c>
      <c r="B897" s="15" t="s">
        <v>984</v>
      </c>
      <c r="C897" t="s">
        <v>159</v>
      </c>
      <c r="E897" s="42">
        <f>VALUE(MID(Tabla1[[#This Row],[RUT]],1,LEN(Tabla1[[#This Row],[RUT]])-1))</f>
        <v>77249212</v>
      </c>
      <c r="F897" t="str">
        <f t="shared" si="13"/>
        <v>CN77249212</v>
      </c>
    </row>
    <row r="898" spans="1:13" x14ac:dyDescent="0.25">
      <c r="A898" s="31">
        <v>762886111</v>
      </c>
      <c r="B898" s="15" t="s">
        <v>985</v>
      </c>
      <c r="C898" t="s">
        <v>159</v>
      </c>
      <c r="E898" s="42">
        <f>VALUE(MID(Tabla1[[#This Row],[RUT]],1,LEN(Tabla1[[#This Row],[RUT]])-1))</f>
        <v>76288611</v>
      </c>
      <c r="F898" t="str">
        <f t="shared" si="13"/>
        <v>CN76288611</v>
      </c>
    </row>
    <row r="899" spans="1:13" x14ac:dyDescent="0.25">
      <c r="A899" s="31">
        <v>773729751</v>
      </c>
      <c r="B899" s="15" t="s">
        <v>986</v>
      </c>
      <c r="C899" t="s">
        <v>159</v>
      </c>
      <c r="E899" s="42">
        <f>VALUE(MID(Tabla1[[#This Row],[RUT]],1,LEN(Tabla1[[#This Row],[RUT]])-1))</f>
        <v>77372975</v>
      </c>
      <c r="F899" t="str">
        <f t="shared" ref="F899:F962" si="14">"CN"&amp;E899</f>
        <v>CN77372975</v>
      </c>
    </row>
    <row r="900" spans="1:13" x14ac:dyDescent="0.25">
      <c r="A900" s="27">
        <v>691914003</v>
      </c>
      <c r="B900" t="s">
        <v>987</v>
      </c>
      <c r="C900" t="s">
        <v>159</v>
      </c>
      <c r="E900" s="42">
        <f>VALUE(MID(Tabla1[[#This Row],[RUT]],1,LEN(Tabla1[[#This Row],[RUT]])-1))</f>
        <v>69191400</v>
      </c>
      <c r="F900" t="str">
        <f t="shared" si="14"/>
        <v>CN69191400</v>
      </c>
    </row>
    <row r="901" spans="1:13" x14ac:dyDescent="0.25">
      <c r="A901" s="31">
        <v>773717435</v>
      </c>
      <c r="B901" s="15" t="s">
        <v>988</v>
      </c>
      <c r="C901" t="s">
        <v>159</v>
      </c>
      <c r="E901" s="42">
        <f>VALUE(MID(Tabla1[[#This Row],[RUT]],1,LEN(Tabla1[[#This Row],[RUT]])-1))</f>
        <v>77371743</v>
      </c>
      <c r="F901" t="str">
        <f t="shared" si="14"/>
        <v>CN77371743</v>
      </c>
      <c r="H901" s="16"/>
      <c r="I901" s="16"/>
    </row>
    <row r="902" spans="1:13" x14ac:dyDescent="0.25">
      <c r="A902" s="27">
        <v>613130004</v>
      </c>
      <c r="B902" t="s">
        <v>989</v>
      </c>
      <c r="C902" t="s">
        <v>159</v>
      </c>
      <c r="E902" s="42">
        <f>VALUE(MID(Tabla1[[#This Row],[RUT]],1,LEN(Tabla1[[#This Row],[RUT]])-1))</f>
        <v>61313000</v>
      </c>
      <c r="F902" t="str">
        <f t="shared" si="14"/>
        <v>CN61313000</v>
      </c>
      <c r="H902" s="16"/>
      <c r="I902" s="16"/>
    </row>
    <row r="903" spans="1:13" x14ac:dyDescent="0.25">
      <c r="A903" s="31">
        <v>774393307</v>
      </c>
      <c r="B903" s="15" t="s">
        <v>990</v>
      </c>
      <c r="C903" t="s">
        <v>159</v>
      </c>
      <c r="E903" s="42">
        <f>VALUE(MID(Tabla1[[#This Row],[RUT]],1,LEN(Tabla1[[#This Row],[RUT]])-1))</f>
        <v>77439330</v>
      </c>
      <c r="F903" t="str">
        <f t="shared" si="14"/>
        <v>CN77439330</v>
      </c>
      <c r="H903" s="16"/>
      <c r="I903" s="16"/>
    </row>
    <row r="904" spans="1:13" x14ac:dyDescent="0.25">
      <c r="A904" s="27">
        <v>692628004</v>
      </c>
      <c r="B904" t="s">
        <v>991</v>
      </c>
      <c r="C904" t="s">
        <v>159</v>
      </c>
      <c r="E904" s="42">
        <f>VALUE(MID(Tabla1[[#This Row],[RUT]],1,LEN(Tabla1[[#This Row],[RUT]])-1))</f>
        <v>69262800</v>
      </c>
      <c r="F904" t="str">
        <f t="shared" si="14"/>
        <v>CN69262800</v>
      </c>
      <c r="H904" s="16"/>
      <c r="I904" s="16"/>
    </row>
    <row r="905" spans="1:13" x14ac:dyDescent="0.25">
      <c r="A905" s="31">
        <v>969825201</v>
      </c>
      <c r="B905" s="15" t="s">
        <v>992</v>
      </c>
      <c r="C905" t="s">
        <v>159</v>
      </c>
      <c r="E905" s="42">
        <f>VALUE(MID(Tabla1[[#This Row],[RUT]],1,LEN(Tabla1[[#This Row],[RUT]])-1))</f>
        <v>96982520</v>
      </c>
      <c r="F905" t="str">
        <f t="shared" si="14"/>
        <v>CN96982520</v>
      </c>
      <c r="H905" s="16"/>
      <c r="I905" s="16"/>
    </row>
    <row r="906" spans="1:13" x14ac:dyDescent="0.25">
      <c r="A906" s="27" t="s">
        <v>997</v>
      </c>
      <c r="B906" t="s">
        <v>993</v>
      </c>
      <c r="C906" t="s">
        <v>159</v>
      </c>
      <c r="E906" s="42">
        <f>VALUE(MID(Tabla1[[#This Row],[RUT]],1,LEN(Tabla1[[#This Row],[RUT]])-1))</f>
        <v>69020200</v>
      </c>
      <c r="F906" t="str">
        <f t="shared" si="14"/>
        <v>CN69020200</v>
      </c>
      <c r="H906" s="16"/>
      <c r="I906" s="16"/>
      <c r="M906" s="16"/>
    </row>
    <row r="907" spans="1:13" x14ac:dyDescent="0.25">
      <c r="A907" s="31">
        <v>690911000</v>
      </c>
      <c r="B907" s="15" t="s">
        <v>994</v>
      </c>
      <c r="C907" t="s">
        <v>159</v>
      </c>
      <c r="E907" s="42">
        <f>VALUE(MID(Tabla1[[#This Row],[RUT]],1,LEN(Tabla1[[#This Row],[RUT]])-1))</f>
        <v>69091100</v>
      </c>
      <c r="F907" t="str">
        <f t="shared" si="14"/>
        <v>CN69091100</v>
      </c>
      <c r="M907" s="16"/>
    </row>
    <row r="908" spans="1:13" x14ac:dyDescent="0.25">
      <c r="A908" s="27">
        <v>768144222</v>
      </c>
      <c r="B908" t="s">
        <v>995</v>
      </c>
      <c r="C908" t="s">
        <v>159</v>
      </c>
      <c r="E908" s="42">
        <f>VALUE(MID(Tabla1[[#This Row],[RUT]],1,LEN(Tabla1[[#This Row],[RUT]])-1))</f>
        <v>76814422</v>
      </c>
      <c r="F908" t="str">
        <f t="shared" si="14"/>
        <v>CN76814422</v>
      </c>
      <c r="M908" s="16"/>
    </row>
    <row r="909" spans="1:13" x14ac:dyDescent="0.25">
      <c r="A909" s="31">
        <v>652730205</v>
      </c>
      <c r="B909" s="15" t="s">
        <v>996</v>
      </c>
      <c r="C909" t="s">
        <v>159</v>
      </c>
      <c r="E909" s="42">
        <f>VALUE(MID(Tabla1[[#This Row],[RUT]],1,LEN(Tabla1[[#This Row],[RUT]])-1))</f>
        <v>65273020</v>
      </c>
      <c r="F909" t="str">
        <f t="shared" si="14"/>
        <v>CN65273020</v>
      </c>
      <c r="M909" s="16"/>
    </row>
    <row r="910" spans="1:13" x14ac:dyDescent="0.25">
      <c r="A910" s="27">
        <v>619805305</v>
      </c>
      <c r="B910" t="s">
        <v>998</v>
      </c>
      <c r="C910" t="s">
        <v>159</v>
      </c>
      <c r="E910" s="42">
        <f>VALUE(MID(Tabla1[[#This Row],[RUT]],1,LEN(Tabla1[[#This Row],[RUT]])-1))</f>
        <v>61980530</v>
      </c>
      <c r="F910" t="str">
        <f t="shared" si="14"/>
        <v>CN61980530</v>
      </c>
    </row>
    <row r="911" spans="1:13" x14ac:dyDescent="0.25">
      <c r="A911" s="31">
        <v>712652004</v>
      </c>
      <c r="B911" s="15" t="s">
        <v>999</v>
      </c>
      <c r="C911" t="s">
        <v>159</v>
      </c>
      <c r="E911" s="42">
        <f>VALUE(MID(Tabla1[[#This Row],[RUT]],1,LEN(Tabla1[[#This Row],[RUT]])-1))</f>
        <v>71265200</v>
      </c>
      <c r="F911" t="str">
        <f t="shared" si="14"/>
        <v>CN71265200</v>
      </c>
    </row>
    <row r="912" spans="1:13" x14ac:dyDescent="0.25">
      <c r="A912" s="27">
        <v>611030355</v>
      </c>
      <c r="B912" t="s">
        <v>1000</v>
      </c>
      <c r="C912" t="s">
        <v>159</v>
      </c>
      <c r="E912" s="42">
        <f>VALUE(MID(Tabla1[[#This Row],[RUT]],1,LEN(Tabla1[[#This Row],[RUT]])-1))</f>
        <v>61103035</v>
      </c>
      <c r="F912" t="str">
        <f t="shared" si="14"/>
        <v>CN61103035</v>
      </c>
    </row>
    <row r="913" spans="1:29" x14ac:dyDescent="0.25">
      <c r="A913" s="31">
        <v>774193332</v>
      </c>
      <c r="B913" s="15" t="s">
        <v>1001</v>
      </c>
      <c r="C913" t="s">
        <v>159</v>
      </c>
      <c r="E913" s="42">
        <f>VALUE(MID(Tabla1[[#This Row],[RUT]],1,LEN(Tabla1[[#This Row],[RUT]])-1))</f>
        <v>77419333</v>
      </c>
      <c r="F913" t="str">
        <f t="shared" si="14"/>
        <v>CN77419333</v>
      </c>
      <c r="G913" s="16"/>
      <c r="H913" s="16"/>
    </row>
    <row r="914" spans="1:29" x14ac:dyDescent="0.25">
      <c r="A914" s="27">
        <v>707918004</v>
      </c>
      <c r="B914" t="s">
        <v>1002</v>
      </c>
      <c r="C914" t="s">
        <v>159</v>
      </c>
      <c r="E914" s="42">
        <f>VALUE(MID(Tabla1[[#This Row],[RUT]],1,LEN(Tabla1[[#This Row],[RUT]])-1))</f>
        <v>70791800</v>
      </c>
      <c r="F914" t="str">
        <f t="shared" si="14"/>
        <v>CN70791800</v>
      </c>
      <c r="G914" s="16"/>
      <c r="H914" s="16"/>
    </row>
    <row r="915" spans="1:29" x14ac:dyDescent="0.25">
      <c r="A915" s="31">
        <v>766878997</v>
      </c>
      <c r="B915" s="15" t="s">
        <v>1003</v>
      </c>
      <c r="C915" t="s">
        <v>159</v>
      </c>
      <c r="E915" s="42">
        <f>VALUE(MID(Tabla1[[#This Row],[RUT]],1,LEN(Tabla1[[#This Row],[RUT]])-1))</f>
        <v>76687899</v>
      </c>
      <c r="F915" t="str">
        <f t="shared" si="14"/>
        <v>CN76687899</v>
      </c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</row>
    <row r="916" spans="1:29" x14ac:dyDescent="0.25">
      <c r="A916" s="27">
        <v>770264847</v>
      </c>
      <c r="B916" t="s">
        <v>1004</v>
      </c>
      <c r="C916" t="s">
        <v>159</v>
      </c>
      <c r="E916" s="42">
        <f>VALUE(MID(Tabla1[[#This Row],[RUT]],1,LEN(Tabla1[[#This Row],[RUT]])-1))</f>
        <v>77026484</v>
      </c>
      <c r="F916" t="str">
        <f t="shared" si="14"/>
        <v>CN77026484</v>
      </c>
      <c r="G916" s="16"/>
      <c r="H916" s="16"/>
      <c r="I916" s="36"/>
      <c r="J916" s="16"/>
      <c r="K916" s="16"/>
      <c r="L916" s="37"/>
      <c r="M916" s="16"/>
      <c r="N916" s="16"/>
      <c r="O916" s="36"/>
      <c r="P916" s="16"/>
      <c r="Q916" s="36"/>
      <c r="R916" s="16"/>
      <c r="S916" s="16"/>
      <c r="T916" s="36"/>
      <c r="U916" s="36"/>
      <c r="V916" s="38"/>
      <c r="W916" s="38"/>
      <c r="X916" s="39"/>
      <c r="Y916" s="16"/>
      <c r="Z916" s="40"/>
      <c r="AA916" s="16"/>
      <c r="AB916" s="16"/>
      <c r="AC916" s="16"/>
    </row>
    <row r="917" spans="1:29" x14ac:dyDescent="0.25">
      <c r="A917" s="31" t="s">
        <v>1005</v>
      </c>
      <c r="B917" s="15" t="s">
        <v>1006</v>
      </c>
      <c r="C917" t="s">
        <v>159</v>
      </c>
      <c r="E917" s="42">
        <f>VALUE(MID(Tabla1[[#This Row],[RUT]],1,LEN(Tabla1[[#This Row],[RUT]])-1))</f>
        <v>77490090</v>
      </c>
      <c r="F917" t="str">
        <f t="shared" si="14"/>
        <v>CN77490090</v>
      </c>
      <c r="G917" s="16"/>
      <c r="H917" s="16"/>
      <c r="I917" s="36"/>
      <c r="J917" s="16"/>
      <c r="K917" s="16"/>
      <c r="L917" s="37"/>
      <c r="M917" s="16"/>
      <c r="N917" s="16"/>
      <c r="O917" s="36"/>
      <c r="P917" s="16"/>
      <c r="Q917" s="36"/>
      <c r="R917" s="16"/>
      <c r="S917" s="16"/>
      <c r="T917" s="36"/>
      <c r="U917" s="36"/>
      <c r="V917" s="38"/>
      <c r="W917" s="38"/>
      <c r="X917" s="39"/>
      <c r="Y917" s="16"/>
      <c r="Z917" s="40"/>
      <c r="AA917" s="16"/>
      <c r="AB917" s="16"/>
      <c r="AC917" s="16"/>
    </row>
    <row r="918" spans="1:29" x14ac:dyDescent="0.25">
      <c r="A918" s="27" t="s">
        <v>1007</v>
      </c>
      <c r="B918" t="s">
        <v>1008</v>
      </c>
      <c r="C918" t="s">
        <v>159</v>
      </c>
      <c r="E918" s="42">
        <f>VALUE(MID(Tabla1[[#This Row],[RUT]],1,LEN(Tabla1[[#This Row],[RUT]])-1))</f>
        <v>59106780</v>
      </c>
      <c r="F918" t="str">
        <f t="shared" si="14"/>
        <v>CN59106780</v>
      </c>
      <c r="I918" s="36"/>
      <c r="J918" s="16"/>
      <c r="K918" s="16"/>
      <c r="L918" s="37"/>
      <c r="M918" s="16"/>
      <c r="N918" s="16"/>
      <c r="O918" s="36"/>
      <c r="P918" s="16"/>
      <c r="Q918" s="36"/>
      <c r="R918" s="16"/>
      <c r="S918" s="16"/>
      <c r="T918" s="36"/>
      <c r="U918" s="36"/>
      <c r="V918" s="38"/>
      <c r="W918" s="38"/>
      <c r="X918" s="39"/>
      <c r="Y918" s="16"/>
      <c r="Z918" s="40"/>
      <c r="AA918" s="16"/>
      <c r="AB918" s="16"/>
      <c r="AC918" s="16"/>
    </row>
    <row r="919" spans="1:29" x14ac:dyDescent="0.25">
      <c r="A919" s="45">
        <v>771563767</v>
      </c>
      <c r="B919" s="46" t="s">
        <v>1009</v>
      </c>
      <c r="C919" t="s">
        <v>159</v>
      </c>
      <c r="E919" s="42">
        <f>VALUE(MID(Tabla1[[#This Row],[RUT]],1,LEN(Tabla1[[#This Row],[RUT]])-1))</f>
        <v>77156376</v>
      </c>
      <c r="F919" t="str">
        <f t="shared" si="14"/>
        <v>CN77156376</v>
      </c>
      <c r="I919" s="36"/>
      <c r="J919" s="16"/>
      <c r="K919" s="16"/>
      <c r="L919" s="37"/>
      <c r="M919" s="16"/>
      <c r="N919" s="16"/>
      <c r="O919" s="36"/>
      <c r="P919" s="16"/>
      <c r="Q919" s="36"/>
      <c r="R919" s="16"/>
      <c r="S919" s="16"/>
      <c r="T919" s="36"/>
      <c r="U919" s="36"/>
      <c r="V919" s="38"/>
      <c r="W919" s="38"/>
      <c r="X919" s="39"/>
      <c r="Y919" s="16"/>
      <c r="Z919" s="40"/>
      <c r="AA919" s="16"/>
      <c r="AB919" s="16"/>
      <c r="AC919" s="16"/>
    </row>
    <row r="920" spans="1:29" x14ac:dyDescent="0.25">
      <c r="A920" s="29">
        <v>779682609</v>
      </c>
      <c r="B920" s="14" t="s">
        <v>1010</v>
      </c>
      <c r="C920" t="s">
        <v>159</v>
      </c>
      <c r="E920" s="42">
        <f>VALUE(MID(Tabla1[[#This Row],[RUT]],1,LEN(Tabla1[[#This Row],[RUT]])-1))</f>
        <v>77968260</v>
      </c>
      <c r="F920" t="str">
        <f t="shared" si="14"/>
        <v>CN77968260</v>
      </c>
      <c r="I920" s="36"/>
      <c r="J920" s="16"/>
      <c r="K920" s="16"/>
      <c r="L920" s="37"/>
      <c r="M920" s="16"/>
      <c r="N920" s="16"/>
      <c r="O920" s="36"/>
      <c r="P920" s="16"/>
      <c r="Q920" s="36"/>
      <c r="R920" s="16"/>
      <c r="S920" s="16"/>
      <c r="T920" s="36"/>
      <c r="U920" s="36"/>
      <c r="V920" s="38"/>
      <c r="W920" s="38"/>
      <c r="X920" s="39"/>
      <c r="Y920" s="16"/>
      <c r="Z920" s="40"/>
      <c r="AA920" s="16"/>
      <c r="AB920" s="16"/>
      <c r="AC920" s="16"/>
    </row>
    <row r="921" spans="1:29" x14ac:dyDescent="0.25">
      <c r="A921" s="27">
        <v>762787458</v>
      </c>
      <c r="B921" t="s">
        <v>1011</v>
      </c>
      <c r="C921" t="s">
        <v>159</v>
      </c>
      <c r="E921" s="42">
        <f>VALUE(MID(Tabla1[[#This Row],[RUT]],1,LEN(Tabla1[[#This Row],[RUT]])-1))</f>
        <v>76278745</v>
      </c>
      <c r="F921" t="str">
        <f t="shared" si="14"/>
        <v>CN76278745</v>
      </c>
      <c r="I921" s="36"/>
      <c r="J921" s="16"/>
      <c r="K921" s="16"/>
      <c r="L921" s="37"/>
      <c r="M921" s="16"/>
      <c r="N921" s="16"/>
      <c r="O921" s="36"/>
      <c r="P921" s="16"/>
      <c r="Q921" s="36"/>
      <c r="R921" s="16"/>
      <c r="S921" s="16"/>
      <c r="T921" s="36"/>
      <c r="U921" s="36"/>
      <c r="V921" s="38"/>
      <c r="W921" s="38"/>
      <c r="X921" s="39"/>
      <c r="Y921" s="16"/>
      <c r="Z921" s="40"/>
      <c r="AA921" s="16"/>
      <c r="AB921" s="16"/>
      <c r="AC921" s="16"/>
    </row>
    <row r="922" spans="1:29" x14ac:dyDescent="0.25">
      <c r="A922" s="27">
        <v>765944619</v>
      </c>
      <c r="B922" t="s">
        <v>1012</v>
      </c>
      <c r="C922" t="s">
        <v>159</v>
      </c>
      <c r="E922" s="42">
        <f>VALUE(MID(Tabla1[[#This Row],[RUT]],1,LEN(Tabla1[[#This Row],[RUT]])-1))</f>
        <v>76594461</v>
      </c>
      <c r="F922" t="str">
        <f t="shared" si="14"/>
        <v>CN76594461</v>
      </c>
      <c r="I922" s="36"/>
      <c r="J922" s="16"/>
      <c r="K922" s="16"/>
      <c r="L922" s="37"/>
      <c r="M922" s="16"/>
      <c r="N922" s="16"/>
      <c r="O922" s="36"/>
      <c r="P922" s="16"/>
      <c r="Q922" s="36"/>
      <c r="R922" s="16"/>
      <c r="S922" s="16"/>
      <c r="T922" s="36"/>
      <c r="U922" s="36"/>
      <c r="V922" s="38"/>
      <c r="W922" s="38"/>
      <c r="X922" s="39"/>
      <c r="Y922" s="16"/>
      <c r="Z922" s="40"/>
      <c r="AA922" s="16"/>
      <c r="AB922" s="16"/>
      <c r="AC922" s="16"/>
    </row>
    <row r="923" spans="1:29" x14ac:dyDescent="0.25">
      <c r="A923" s="27">
        <v>774432280</v>
      </c>
      <c r="B923" t="s">
        <v>1013</v>
      </c>
      <c r="C923" t="s">
        <v>159</v>
      </c>
      <c r="E923" s="42">
        <f>VALUE(MID(Tabla1[[#This Row],[RUT]],1,LEN(Tabla1[[#This Row],[RUT]])-1))</f>
        <v>77443228</v>
      </c>
      <c r="F923" t="str">
        <f t="shared" si="14"/>
        <v>CN77443228</v>
      </c>
      <c r="I923" s="36"/>
      <c r="J923" s="16"/>
      <c r="K923" s="16"/>
      <c r="L923" s="37"/>
      <c r="M923" s="16"/>
      <c r="N923" s="16"/>
      <c r="O923" s="36"/>
      <c r="P923" s="16"/>
      <c r="Q923" s="36"/>
      <c r="R923" s="16"/>
      <c r="S923" s="16"/>
      <c r="T923" s="36"/>
      <c r="U923" s="36"/>
      <c r="V923" s="38"/>
      <c r="W923" s="38"/>
      <c r="X923" s="39"/>
      <c r="Y923" s="16"/>
      <c r="Z923" s="40"/>
      <c r="AA923" s="16"/>
      <c r="AB923" s="16"/>
      <c r="AC923" s="16"/>
    </row>
    <row r="924" spans="1:29" x14ac:dyDescent="0.25">
      <c r="A924" s="27">
        <v>769729186</v>
      </c>
      <c r="B924" t="s">
        <v>1014</v>
      </c>
      <c r="C924" t="s">
        <v>159</v>
      </c>
      <c r="E924" s="42">
        <f>VALUE(MID(Tabla1[[#This Row],[RUT]],1,LEN(Tabla1[[#This Row],[RUT]])-1))</f>
        <v>76972918</v>
      </c>
      <c r="F924" t="str">
        <f t="shared" si="14"/>
        <v>CN76972918</v>
      </c>
      <c r="I924" s="36"/>
      <c r="J924" s="16"/>
      <c r="K924" s="16"/>
      <c r="L924" s="37"/>
      <c r="M924" s="16"/>
      <c r="N924" s="16"/>
      <c r="O924" s="36"/>
      <c r="P924" s="16"/>
      <c r="Q924" s="36"/>
      <c r="R924" s="16"/>
      <c r="S924" s="16"/>
      <c r="T924" s="36"/>
      <c r="U924" s="36"/>
      <c r="V924" s="38"/>
      <c r="W924" s="38"/>
      <c r="X924" s="39"/>
      <c r="Y924" s="16"/>
      <c r="Z924" s="40"/>
      <c r="AA924" s="16"/>
      <c r="AB924" s="16"/>
      <c r="AC924" s="16"/>
    </row>
    <row r="925" spans="1:29" x14ac:dyDescent="0.25">
      <c r="A925" s="27">
        <v>765501296</v>
      </c>
      <c r="B925" t="s">
        <v>1015</v>
      </c>
      <c r="C925" t="s">
        <v>159</v>
      </c>
      <c r="E925" s="42">
        <f>VALUE(MID(Tabla1[[#This Row],[RUT]],1,LEN(Tabla1[[#This Row],[RUT]])-1))</f>
        <v>76550129</v>
      </c>
      <c r="F925" t="str">
        <f t="shared" si="14"/>
        <v>CN76550129</v>
      </c>
      <c r="I925" s="36"/>
      <c r="J925" s="16"/>
      <c r="K925" s="16"/>
      <c r="L925" s="37"/>
      <c r="M925" s="16"/>
      <c r="N925" s="16"/>
      <c r="O925" s="36"/>
      <c r="P925" s="16"/>
      <c r="Q925" s="36"/>
      <c r="R925" s="16"/>
      <c r="S925" s="16"/>
      <c r="T925" s="36"/>
      <c r="U925" s="36"/>
      <c r="V925" s="38"/>
      <c r="W925" s="38"/>
      <c r="X925" s="39"/>
      <c r="Y925" s="16"/>
      <c r="Z925" s="40"/>
      <c r="AA925" s="16"/>
      <c r="AB925" s="16"/>
      <c r="AC925" s="16"/>
    </row>
    <row r="926" spans="1:29" x14ac:dyDescent="0.25">
      <c r="A926" s="27">
        <v>778997223</v>
      </c>
      <c r="B926" t="s">
        <v>1016</v>
      </c>
      <c r="C926" t="s">
        <v>159</v>
      </c>
      <c r="E926" s="42">
        <f>VALUE(MID(Tabla1[[#This Row],[RUT]],1,LEN(Tabla1[[#This Row],[RUT]])-1))</f>
        <v>77899722</v>
      </c>
      <c r="F926" t="str">
        <f t="shared" si="14"/>
        <v>CN77899722</v>
      </c>
      <c r="I926" s="36"/>
      <c r="J926" s="16"/>
      <c r="K926" s="16"/>
      <c r="L926" s="37"/>
      <c r="M926" s="16"/>
      <c r="N926" s="16"/>
      <c r="O926" s="36"/>
      <c r="P926" s="16"/>
      <c r="Q926" s="36"/>
      <c r="R926" s="16"/>
      <c r="S926" s="16"/>
      <c r="T926" s="36"/>
      <c r="U926" s="36"/>
      <c r="V926" s="38"/>
      <c r="W926" s="38"/>
      <c r="X926" s="39"/>
      <c r="Y926" s="16"/>
      <c r="Z926" s="40"/>
      <c r="AA926" s="16"/>
      <c r="AB926" s="16"/>
      <c r="AC926" s="16"/>
    </row>
    <row r="927" spans="1:29" x14ac:dyDescent="0.25">
      <c r="A927" s="27">
        <v>610040128</v>
      </c>
      <c r="B927" t="s">
        <v>1017</v>
      </c>
      <c r="C927" t="s">
        <v>159</v>
      </c>
      <c r="E927" s="42">
        <f>VALUE(MID(Tabla1[[#This Row],[RUT]],1,LEN(Tabla1[[#This Row],[RUT]])-1))</f>
        <v>61004012</v>
      </c>
      <c r="F927" t="str">
        <f t="shared" si="14"/>
        <v>CN61004012</v>
      </c>
      <c r="I927" s="36"/>
      <c r="J927" s="16"/>
      <c r="K927" s="16"/>
      <c r="L927" s="37"/>
      <c r="M927" s="16"/>
      <c r="N927" s="16"/>
      <c r="O927" s="36"/>
      <c r="P927" s="16"/>
      <c r="Q927" s="36"/>
      <c r="R927" s="16"/>
      <c r="S927" s="16"/>
      <c r="T927" s="36"/>
      <c r="U927" s="36"/>
      <c r="V927" s="38"/>
      <c r="W927" s="38"/>
      <c r="X927" s="39"/>
      <c r="Y927" s="16"/>
      <c r="Z927" s="40"/>
      <c r="AA927" s="16"/>
      <c r="AB927" s="16"/>
      <c r="AC927" s="16"/>
    </row>
    <row r="928" spans="1:29" x14ac:dyDescent="0.25">
      <c r="A928" s="27">
        <v>605055230</v>
      </c>
      <c r="B928" s="15" t="s">
        <v>1018</v>
      </c>
      <c r="C928" t="s">
        <v>159</v>
      </c>
      <c r="E928" s="42">
        <f>VALUE(MID(Tabla1[[#This Row],[RUT]],1,LEN(Tabla1[[#This Row],[RUT]])-1))</f>
        <v>60505523</v>
      </c>
      <c r="F928" t="str">
        <f t="shared" si="14"/>
        <v>CN60505523</v>
      </c>
    </row>
    <row r="929" spans="1:6" x14ac:dyDescent="0.25">
      <c r="A929" s="27" t="s">
        <v>1019</v>
      </c>
      <c r="B929" t="s">
        <v>1020</v>
      </c>
      <c r="C929" t="s">
        <v>159</v>
      </c>
      <c r="E929" s="42">
        <f>VALUE(MID(Tabla1[[#This Row],[RUT]],1,LEN(Tabla1[[#This Row],[RUT]])-1))</f>
        <v>99554220</v>
      </c>
      <c r="F929" t="str">
        <f t="shared" si="14"/>
        <v>CN99554220</v>
      </c>
    </row>
    <row r="930" spans="1:6" x14ac:dyDescent="0.25">
      <c r="A930" s="27">
        <v>611030061</v>
      </c>
      <c r="B930" t="s">
        <v>1021</v>
      </c>
      <c r="C930" t="s">
        <v>4</v>
      </c>
      <c r="E930" s="42">
        <f>VALUE(MID(Tabla1[[#This Row],[RUT]],1,LEN(Tabla1[[#This Row],[RUT]])-1))</f>
        <v>61103006</v>
      </c>
      <c r="F930" t="str">
        <f t="shared" si="14"/>
        <v>CN61103006</v>
      </c>
    </row>
    <row r="931" spans="1:6" x14ac:dyDescent="0.25">
      <c r="A931" s="27">
        <v>967599107</v>
      </c>
      <c r="B931" t="s">
        <v>1022</v>
      </c>
      <c r="C931" t="s">
        <v>159</v>
      </c>
      <c r="E931" s="42">
        <f>VALUE(MID(Tabla1[[#This Row],[RUT]],1,LEN(Tabla1[[#This Row],[RUT]])-1))</f>
        <v>96759910</v>
      </c>
      <c r="F931" t="str">
        <f t="shared" si="14"/>
        <v>CN96759910</v>
      </c>
    </row>
    <row r="932" spans="1:6" x14ac:dyDescent="0.25">
      <c r="A932" s="27" t="s">
        <v>1023</v>
      </c>
      <c r="B932" t="s">
        <v>1024</v>
      </c>
      <c r="C932" t="s">
        <v>159</v>
      </c>
      <c r="E932" s="42">
        <f>VALUE(MID(Tabla1[[#This Row],[RUT]],1,LEN(Tabla1[[#This Row],[RUT]])-1))</f>
        <v>69151000</v>
      </c>
      <c r="F932" t="str">
        <f t="shared" si="14"/>
        <v>CN69151000</v>
      </c>
    </row>
    <row r="933" spans="1:6" x14ac:dyDescent="0.25">
      <c r="A933" s="29" t="s">
        <v>1025</v>
      </c>
      <c r="B933" s="14" t="s">
        <v>1026</v>
      </c>
      <c r="C933" t="s">
        <v>159</v>
      </c>
      <c r="E933" s="42">
        <f>VALUE(MID(Tabla1[[#This Row],[RUT]],1,LEN(Tabla1[[#This Row],[RUT]])-1))</f>
        <v>61978510</v>
      </c>
      <c r="F933" t="str">
        <f t="shared" si="14"/>
        <v>CN61978510</v>
      </c>
    </row>
    <row r="934" spans="1:6" x14ac:dyDescent="0.25">
      <c r="A934" s="29">
        <v>707547006</v>
      </c>
      <c r="B934" s="14" t="s">
        <v>1027</v>
      </c>
      <c r="C934" t="s">
        <v>159</v>
      </c>
      <c r="E934" s="42">
        <f>VALUE(MID(Tabla1[[#This Row],[RUT]],1,LEN(Tabla1[[#This Row],[RUT]])-1))</f>
        <v>70754700</v>
      </c>
      <c r="F934" t="str">
        <f t="shared" si="14"/>
        <v>CN70754700</v>
      </c>
    </row>
    <row r="935" spans="1:6" x14ac:dyDescent="0.25">
      <c r="A935" s="29">
        <v>969860503</v>
      </c>
      <c r="B935" s="14" t="s">
        <v>1028</v>
      </c>
      <c r="C935" t="s">
        <v>4</v>
      </c>
      <c r="E935" s="42">
        <f>VALUE(MID(Tabla1[[#This Row],[RUT]],1,LEN(Tabla1[[#This Row],[RUT]])-1))</f>
        <v>96986050</v>
      </c>
      <c r="F935" t="str">
        <f t="shared" si="14"/>
        <v>CN96986050</v>
      </c>
    </row>
    <row r="936" spans="1:6" x14ac:dyDescent="0.25">
      <c r="A936" s="29">
        <v>965884009</v>
      </c>
      <c r="B936" s="14" t="s">
        <v>1029</v>
      </c>
      <c r="C936" t="s">
        <v>159</v>
      </c>
      <c r="E936" s="42">
        <f>VALUE(MID(Tabla1[[#This Row],[RUT]],1,LEN(Tabla1[[#This Row],[RUT]])-1))</f>
        <v>96588400</v>
      </c>
      <c r="F936" t="str">
        <f t="shared" si="14"/>
        <v>CN96588400</v>
      </c>
    </row>
    <row r="937" spans="1:6" x14ac:dyDescent="0.25">
      <c r="A937" s="27">
        <v>619790200</v>
      </c>
      <c r="B937" t="s">
        <v>1030</v>
      </c>
      <c r="C937" t="s">
        <v>159</v>
      </c>
      <c r="E937" s="42">
        <f>VALUE(MID(Tabla1[[#This Row],[RUT]],1,LEN(Tabla1[[#This Row],[RUT]])-1))</f>
        <v>61979020</v>
      </c>
      <c r="F937" t="str">
        <f t="shared" si="14"/>
        <v>CN61979020</v>
      </c>
    </row>
    <row r="938" spans="1:6" x14ac:dyDescent="0.25">
      <c r="A938" s="27">
        <v>690405008</v>
      </c>
      <c r="B938" t="s">
        <v>1031</v>
      </c>
      <c r="C938" t="s">
        <v>159</v>
      </c>
      <c r="E938" s="42">
        <f>VALUE(MID(Tabla1[[#This Row],[RUT]],1,LEN(Tabla1[[#This Row],[RUT]])-1))</f>
        <v>69040500</v>
      </c>
      <c r="F938" t="str">
        <f t="shared" si="14"/>
        <v>CN69040500</v>
      </c>
    </row>
    <row r="939" spans="1:6" x14ac:dyDescent="0.25">
      <c r="A939" s="27">
        <v>765184304</v>
      </c>
      <c r="B939" t="s">
        <v>1032</v>
      </c>
      <c r="C939" t="s">
        <v>159</v>
      </c>
      <c r="E939" s="42">
        <f>VALUE(MID(Tabla1[[#This Row],[RUT]],1,LEN(Tabla1[[#This Row],[RUT]])-1))</f>
        <v>76518430</v>
      </c>
      <c r="F939" t="str">
        <f t="shared" si="14"/>
        <v>CN76518430</v>
      </c>
    </row>
    <row r="940" spans="1:6" x14ac:dyDescent="0.25">
      <c r="A940" s="27">
        <v>620005703</v>
      </c>
      <c r="B940" t="s">
        <v>1033</v>
      </c>
      <c r="C940" t="s">
        <v>159</v>
      </c>
      <c r="E940" s="42">
        <f>VALUE(MID(Tabla1[[#This Row],[RUT]],1,LEN(Tabla1[[#This Row],[RUT]])-1))</f>
        <v>62000570</v>
      </c>
      <c r="F940" t="str">
        <f t="shared" si="14"/>
        <v>CN62000570</v>
      </c>
    </row>
    <row r="941" spans="1:6" x14ac:dyDescent="0.25">
      <c r="A941" s="27">
        <v>776190853</v>
      </c>
      <c r="B941" t="s">
        <v>1034</v>
      </c>
      <c r="C941" t="s">
        <v>159</v>
      </c>
      <c r="E941" s="42">
        <f>VALUE(MID(Tabla1[[#This Row],[RUT]],1,LEN(Tabla1[[#This Row],[RUT]])-1))</f>
        <v>77619085</v>
      </c>
      <c r="F941" t="str">
        <f t="shared" si="14"/>
        <v>CN77619085</v>
      </c>
    </row>
    <row r="942" spans="1:6" x14ac:dyDescent="0.25">
      <c r="A942" s="27">
        <v>767495641</v>
      </c>
      <c r="B942" t="s">
        <v>1035</v>
      </c>
      <c r="C942" t="s">
        <v>159</v>
      </c>
      <c r="E942" s="42">
        <f>VALUE(MID(Tabla1[[#This Row],[RUT]],1,LEN(Tabla1[[#This Row],[RUT]])-1))</f>
        <v>76749564</v>
      </c>
      <c r="F942" t="str">
        <f t="shared" si="14"/>
        <v>CN76749564</v>
      </c>
    </row>
    <row r="943" spans="1:6" x14ac:dyDescent="0.25">
      <c r="A943" s="27">
        <v>777746138</v>
      </c>
      <c r="B943" t="s">
        <v>1036</v>
      </c>
      <c r="C943" t="s">
        <v>159</v>
      </c>
      <c r="E943" s="42">
        <f>VALUE(MID(Tabla1[[#This Row],[RUT]],1,LEN(Tabla1[[#This Row],[RUT]])-1))</f>
        <v>77774613</v>
      </c>
      <c r="F943" t="str">
        <f t="shared" si="14"/>
        <v>CN77774613</v>
      </c>
    </row>
    <row r="944" spans="1:6" x14ac:dyDescent="0.25">
      <c r="A944" s="27">
        <v>690103001</v>
      </c>
      <c r="B944" t="s">
        <v>1037</v>
      </c>
      <c r="C944" t="s">
        <v>4</v>
      </c>
      <c r="E944" s="42">
        <f>VALUE(MID(Tabla1[[#This Row],[RUT]],1,LEN(Tabla1[[#This Row],[RUT]])-1))</f>
        <v>69010300</v>
      </c>
      <c r="F944" t="str">
        <f t="shared" si="14"/>
        <v>CN69010300</v>
      </c>
    </row>
    <row r="945" spans="1:6" x14ac:dyDescent="0.25">
      <c r="A945" s="27">
        <v>771907199</v>
      </c>
      <c r="B945" t="s">
        <v>1038</v>
      </c>
      <c r="C945" t="s">
        <v>159</v>
      </c>
      <c r="E945" s="42">
        <f>VALUE(MID(Tabla1[[#This Row],[RUT]],1,LEN(Tabla1[[#This Row],[RUT]])-1))</f>
        <v>77190719</v>
      </c>
      <c r="F945" t="str">
        <f t="shared" si="14"/>
        <v>CN77190719</v>
      </c>
    </row>
    <row r="946" spans="1:6" x14ac:dyDescent="0.25">
      <c r="A946" s="47">
        <v>995240300</v>
      </c>
      <c r="B946" s="48" t="s">
        <v>1039</v>
      </c>
      <c r="C946" t="s">
        <v>159</v>
      </c>
      <c r="E946" s="42">
        <f>VALUE(MID(Tabla1[[#This Row],[RUT]],1,LEN(Tabla1[[#This Row],[RUT]])-1))</f>
        <v>99524030</v>
      </c>
      <c r="F946" t="str">
        <f t="shared" si="14"/>
        <v>CN99524030</v>
      </c>
    </row>
    <row r="947" spans="1:6" x14ac:dyDescent="0.25">
      <c r="A947" s="49">
        <v>764898419</v>
      </c>
      <c r="B947" s="48" t="s">
        <v>1040</v>
      </c>
      <c r="C947" t="s">
        <v>159</v>
      </c>
      <c r="E947" s="42">
        <f>VALUE(MID(Tabla1[[#This Row],[RUT]],1,LEN(Tabla1[[#This Row],[RUT]])-1))</f>
        <v>76489841</v>
      </c>
      <c r="F947" t="str">
        <f t="shared" si="14"/>
        <v>CN76489841</v>
      </c>
    </row>
    <row r="948" spans="1:6" x14ac:dyDescent="0.25">
      <c r="A948" s="49">
        <v>762977079</v>
      </c>
      <c r="B948" s="48" t="s">
        <v>1041</v>
      </c>
      <c r="C948" t="s">
        <v>159</v>
      </c>
      <c r="E948" s="42">
        <f>VALUE(MID(Tabla1[[#This Row],[RUT]],1,LEN(Tabla1[[#This Row],[RUT]])-1))</f>
        <v>76297707</v>
      </c>
      <c r="F948" t="str">
        <f t="shared" si="14"/>
        <v>CN76297707</v>
      </c>
    </row>
    <row r="949" spans="1:6" x14ac:dyDescent="0.25">
      <c r="A949" s="49" t="s">
        <v>1042</v>
      </c>
      <c r="B949" s="48" t="s">
        <v>570</v>
      </c>
      <c r="C949" t="s">
        <v>159</v>
      </c>
      <c r="E949" s="42">
        <f>VALUE(MID(Tabla1[[#This Row],[RUT]],1,LEN(Tabla1[[#This Row],[RUT]])-1))</f>
        <v>777492101</v>
      </c>
      <c r="F949" t="str">
        <f t="shared" si="14"/>
        <v>CN777492101</v>
      </c>
    </row>
    <row r="950" spans="1:6" x14ac:dyDescent="0.25">
      <c r="A950" s="49">
        <v>762342960</v>
      </c>
      <c r="B950" s="48" t="s">
        <v>1043</v>
      </c>
      <c r="C950" t="s">
        <v>159</v>
      </c>
      <c r="E950" s="42">
        <f>VALUE(MID(Tabla1[[#This Row],[RUT]],1,LEN(Tabla1[[#This Row],[RUT]])-1))</f>
        <v>76234296</v>
      </c>
      <c r="F950" t="str">
        <f t="shared" si="14"/>
        <v>CN76234296</v>
      </c>
    </row>
    <row r="951" spans="1:6" x14ac:dyDescent="0.25">
      <c r="A951" s="49">
        <v>779778207</v>
      </c>
      <c r="B951" s="48" t="s">
        <v>1044</v>
      </c>
      <c r="C951" t="s">
        <v>159</v>
      </c>
      <c r="E951" s="42">
        <f>VALUE(MID(Tabla1[[#This Row],[RUT]],1,LEN(Tabla1[[#This Row],[RUT]])-1))</f>
        <v>77977820</v>
      </c>
      <c r="F951" t="str">
        <f t="shared" si="14"/>
        <v>CN77977820</v>
      </c>
    </row>
    <row r="952" spans="1:6" x14ac:dyDescent="0.25">
      <c r="A952" s="49">
        <v>764606418</v>
      </c>
      <c r="B952" s="48" t="s">
        <v>1045</v>
      </c>
      <c r="C952" t="s">
        <v>159</v>
      </c>
      <c r="E952" s="42">
        <f>VALUE(MID(Tabla1[[#This Row],[RUT]],1,LEN(Tabla1[[#This Row],[RUT]])-1))</f>
        <v>76460641</v>
      </c>
      <c r="F952" t="str">
        <f t="shared" si="14"/>
        <v>CN76460641</v>
      </c>
    </row>
    <row r="953" spans="1:6" x14ac:dyDescent="0.25">
      <c r="A953" s="49" t="s">
        <v>1046</v>
      </c>
      <c r="B953" s="48" t="s">
        <v>1047</v>
      </c>
      <c r="C953" t="s">
        <v>159</v>
      </c>
      <c r="E953" s="42">
        <f>VALUE(MID(Tabla1[[#This Row],[RUT]],1,LEN(Tabla1[[#This Row],[RUT]])-1))</f>
        <v>78464300</v>
      </c>
      <c r="F953" t="str">
        <f t="shared" si="14"/>
        <v>CN78464300</v>
      </c>
    </row>
    <row r="954" spans="1:6" x14ac:dyDescent="0.25">
      <c r="A954" s="49">
        <v>969102803</v>
      </c>
      <c r="B954" s="48" t="s">
        <v>1048</v>
      </c>
      <c r="C954" t="s">
        <v>159</v>
      </c>
      <c r="E954" s="42">
        <f>VALUE(MID(Tabla1[[#This Row],[RUT]],1,LEN(Tabla1[[#This Row],[RUT]])-1))</f>
        <v>96910280</v>
      </c>
      <c r="F954" t="str">
        <f t="shared" si="14"/>
        <v>CN96910280</v>
      </c>
    </row>
    <row r="955" spans="1:6" x14ac:dyDescent="0.25">
      <c r="A955" s="49">
        <v>610080006</v>
      </c>
      <c r="B955" s="48" t="s">
        <v>1049</v>
      </c>
      <c r="C955" t="s">
        <v>159</v>
      </c>
      <c r="E955" s="42">
        <f>VALUE(MID(Tabla1[[#This Row],[RUT]],1,LEN(Tabla1[[#This Row],[RUT]])-1))</f>
        <v>61008000</v>
      </c>
      <c r="F955" t="str">
        <f t="shared" si="14"/>
        <v>CN61008000</v>
      </c>
    </row>
    <row r="956" spans="1:6" x14ac:dyDescent="0.25">
      <c r="A956" s="49">
        <v>880566008</v>
      </c>
      <c r="B956" s="48" t="s">
        <v>1050</v>
      </c>
      <c r="C956" t="s">
        <v>159</v>
      </c>
      <c r="E956" s="42">
        <f>VALUE(MID(Tabla1[[#This Row],[RUT]],1,LEN(Tabla1[[#This Row],[RUT]])-1))</f>
        <v>88056600</v>
      </c>
      <c r="F956" t="str">
        <f t="shared" si="14"/>
        <v>CN88056600</v>
      </c>
    </row>
    <row r="957" spans="1:6" x14ac:dyDescent="0.25">
      <c r="A957" s="49">
        <v>761495240</v>
      </c>
      <c r="B957" s="48" t="s">
        <v>1051</v>
      </c>
      <c r="C957" t="s">
        <v>159</v>
      </c>
      <c r="E957" s="42">
        <f>VALUE(MID(Tabla1[[#This Row],[RUT]],1,LEN(Tabla1[[#This Row],[RUT]])-1))</f>
        <v>76149524</v>
      </c>
      <c r="F957" t="str">
        <f t="shared" si="14"/>
        <v>CN76149524</v>
      </c>
    </row>
    <row r="958" spans="1:6" x14ac:dyDescent="0.25">
      <c r="A958" s="49">
        <v>767974698</v>
      </c>
      <c r="B958" s="48" t="s">
        <v>1052</v>
      </c>
      <c r="C958" t="s">
        <v>159</v>
      </c>
      <c r="E958" s="42">
        <f>VALUE(MID(Tabla1[[#This Row],[RUT]],1,LEN(Tabla1[[#This Row],[RUT]])-1))</f>
        <v>76797469</v>
      </c>
      <c r="F958" t="str">
        <f t="shared" si="14"/>
        <v>CN76797469</v>
      </c>
    </row>
    <row r="959" spans="1:6" x14ac:dyDescent="0.25">
      <c r="A959" s="49">
        <v>611021275</v>
      </c>
      <c r="B959" s="48" t="s">
        <v>1053</v>
      </c>
      <c r="C959" t="s">
        <v>159</v>
      </c>
      <c r="E959" s="42">
        <f>VALUE(MID(Tabla1[[#This Row],[RUT]],1,LEN(Tabla1[[#This Row],[RUT]])-1))</f>
        <v>61102127</v>
      </c>
      <c r="F959" t="str">
        <f t="shared" si="14"/>
        <v>CN61102127</v>
      </c>
    </row>
    <row r="960" spans="1:6" x14ac:dyDescent="0.25">
      <c r="A960" s="49">
        <v>763376826</v>
      </c>
      <c r="B960" s="48" t="s">
        <v>1054</v>
      </c>
      <c r="C960" t="s">
        <v>159</v>
      </c>
      <c r="E960" s="42">
        <f>VALUE(MID(Tabla1[[#This Row],[RUT]],1,LEN(Tabla1[[#This Row],[RUT]])-1))</f>
        <v>76337682</v>
      </c>
      <c r="F960" t="str">
        <f t="shared" si="14"/>
        <v>CN76337682</v>
      </c>
    </row>
    <row r="961" spans="1:6" x14ac:dyDescent="0.25">
      <c r="A961" s="49">
        <v>796490608</v>
      </c>
      <c r="B961" s="48" t="s">
        <v>1055</v>
      </c>
      <c r="C961" t="s">
        <v>159</v>
      </c>
      <c r="E961" s="42">
        <f>VALUE(MID(Tabla1[[#This Row],[RUT]],1,LEN(Tabla1[[#This Row],[RUT]])-1))</f>
        <v>79649060</v>
      </c>
      <c r="F961" t="str">
        <f t="shared" si="14"/>
        <v>CN79649060</v>
      </c>
    </row>
    <row r="962" spans="1:6" x14ac:dyDescent="0.25">
      <c r="A962" s="49">
        <v>616087002</v>
      </c>
      <c r="B962" s="48" t="s">
        <v>1056</v>
      </c>
      <c r="C962" t="s">
        <v>159</v>
      </c>
      <c r="E962" s="42">
        <f>VALUE(MID(Tabla1[[#This Row],[RUT]],1,LEN(Tabla1[[#This Row],[RUT]])-1))</f>
        <v>61608700</v>
      </c>
      <c r="F962" t="str">
        <f t="shared" si="14"/>
        <v>CN61608700</v>
      </c>
    </row>
    <row r="963" spans="1:6" x14ac:dyDescent="0.25">
      <c r="A963" s="49">
        <v>45008673</v>
      </c>
      <c r="B963" s="48" t="s">
        <v>1057</v>
      </c>
      <c r="C963" t="s">
        <v>159</v>
      </c>
      <c r="E963" s="42">
        <f>VALUE(MID(Tabla1[[#This Row],[RUT]],1,LEN(Tabla1[[#This Row],[RUT]])-1))</f>
        <v>4500867</v>
      </c>
      <c r="F963" t="str">
        <f t="shared" ref="F963:F1017" si="15">"CN"&amp;E963</f>
        <v>CN4500867</v>
      </c>
    </row>
    <row r="964" spans="1:6" x14ac:dyDescent="0.25">
      <c r="A964" s="49">
        <v>619742001</v>
      </c>
      <c r="B964" s="48" t="s">
        <v>1058</v>
      </c>
      <c r="C964" t="s">
        <v>159</v>
      </c>
      <c r="E964" s="42">
        <f>VALUE(MID(Tabla1[[#This Row],[RUT]],1,LEN(Tabla1[[#This Row],[RUT]])-1))</f>
        <v>61974200</v>
      </c>
      <c r="F964" t="str">
        <f t="shared" si="15"/>
        <v>CN61974200</v>
      </c>
    </row>
    <row r="965" spans="1:6" x14ac:dyDescent="0.25">
      <c r="A965" s="49">
        <v>765599164</v>
      </c>
      <c r="B965" s="48" t="s">
        <v>1059</v>
      </c>
      <c r="C965" t="s">
        <v>159</v>
      </c>
      <c r="E965" s="42">
        <f>VALUE(MID(Tabla1[[#This Row],[RUT]],1,LEN(Tabla1[[#This Row],[RUT]])-1))</f>
        <v>76559916</v>
      </c>
      <c r="F965" t="str">
        <f t="shared" si="15"/>
        <v>CN76559916</v>
      </c>
    </row>
    <row r="966" spans="1:6" x14ac:dyDescent="0.25">
      <c r="A966" s="49" t="s">
        <v>1060</v>
      </c>
      <c r="B966" s="48" t="s">
        <v>1061</v>
      </c>
      <c r="C966" t="s">
        <v>159</v>
      </c>
      <c r="E966" s="42">
        <f>VALUE(MID(Tabla1[[#This Row],[RUT]],1,LEN(Tabla1[[#This Row],[RUT]])-1))</f>
        <v>77849650</v>
      </c>
      <c r="F966" t="str">
        <f t="shared" si="15"/>
        <v>CN77849650</v>
      </c>
    </row>
    <row r="967" spans="1:6" x14ac:dyDescent="0.25">
      <c r="A967" s="49">
        <v>651543983</v>
      </c>
      <c r="B967" s="48" t="s">
        <v>1062</v>
      </c>
      <c r="C967" t="s">
        <v>159</v>
      </c>
      <c r="E967" s="42">
        <f>VALUE(MID(Tabla1[[#This Row],[RUT]],1,LEN(Tabla1[[#This Row],[RUT]])-1))</f>
        <v>65154398</v>
      </c>
      <c r="F967" t="str">
        <f t="shared" si="15"/>
        <v>CN65154398</v>
      </c>
    </row>
    <row r="968" spans="1:6" x14ac:dyDescent="0.25">
      <c r="A968" s="49">
        <v>778063905</v>
      </c>
      <c r="B968" s="48" t="s">
        <v>1063</v>
      </c>
      <c r="C968" t="s">
        <v>159</v>
      </c>
      <c r="E968" s="42">
        <f>VALUE(MID(Tabla1[[#This Row],[RUT]],1,LEN(Tabla1[[#This Row],[RUT]])-1))</f>
        <v>77806390</v>
      </c>
      <c r="F968" t="str">
        <f t="shared" si="15"/>
        <v>CN77806390</v>
      </c>
    </row>
    <row r="969" spans="1:6" x14ac:dyDescent="0.25">
      <c r="A969" s="49">
        <v>761111132</v>
      </c>
      <c r="B969" s="48" t="s">
        <v>1064</v>
      </c>
      <c r="C969" t="s">
        <v>159</v>
      </c>
      <c r="E969" s="42">
        <f>VALUE(MID(Tabla1[[#This Row],[RUT]],1,LEN(Tabla1[[#This Row],[RUT]])-1))</f>
        <v>76111113</v>
      </c>
      <c r="F969" t="str">
        <f t="shared" si="15"/>
        <v>CN76111113</v>
      </c>
    </row>
    <row r="970" spans="1:6" x14ac:dyDescent="0.25">
      <c r="A970" s="49">
        <v>809329003</v>
      </c>
      <c r="B970" s="48" t="s">
        <v>1065</v>
      </c>
      <c r="C970" t="s">
        <v>159</v>
      </c>
      <c r="E970" s="42">
        <f>VALUE(MID(Tabla1[[#This Row],[RUT]],1,LEN(Tabla1[[#This Row],[RUT]])-1))</f>
        <v>80932900</v>
      </c>
      <c r="F970" t="str">
        <f t="shared" si="15"/>
        <v>CN80932900</v>
      </c>
    </row>
    <row r="971" spans="1:6" x14ac:dyDescent="0.25">
      <c r="A971" s="47">
        <v>769744002</v>
      </c>
      <c r="B971" s="48" t="s">
        <v>1066</v>
      </c>
      <c r="C971" t="s">
        <v>159</v>
      </c>
      <c r="E971" s="42">
        <f>VALUE(MID(Tabla1[[#This Row],[RUT]],1,LEN(Tabla1[[#This Row],[RUT]])-1))</f>
        <v>76974400</v>
      </c>
      <c r="F971" t="str">
        <f t="shared" si="15"/>
        <v>CN76974400</v>
      </c>
    </row>
    <row r="972" spans="1:6" x14ac:dyDescent="0.25">
      <c r="A972" s="47">
        <v>651654114</v>
      </c>
      <c r="B972" s="48" t="s">
        <v>1067</v>
      </c>
      <c r="C972" t="s">
        <v>159</v>
      </c>
      <c r="E972" s="42">
        <f>VALUE(MID(Tabla1[[#This Row],[RUT]],1,LEN(Tabla1[[#This Row],[RUT]])-1))</f>
        <v>65165411</v>
      </c>
      <c r="F972" t="str">
        <f t="shared" si="15"/>
        <v>CN65165411</v>
      </c>
    </row>
    <row r="973" spans="1:6" x14ac:dyDescent="0.25">
      <c r="A973" s="47">
        <v>771651240</v>
      </c>
      <c r="B973" s="48" t="s">
        <v>1068</v>
      </c>
      <c r="C973" t="s">
        <v>159</v>
      </c>
      <c r="E973" s="42">
        <f>VALUE(MID(Tabla1[[#This Row],[RUT]],1,LEN(Tabla1[[#This Row],[RUT]])-1))</f>
        <v>77165124</v>
      </c>
      <c r="F973" t="str">
        <f t="shared" si="15"/>
        <v>CN77165124</v>
      </c>
    </row>
    <row r="974" spans="1:6" x14ac:dyDescent="0.25">
      <c r="A974" s="47">
        <v>760243876</v>
      </c>
      <c r="B974" s="48" t="s">
        <v>1069</v>
      </c>
      <c r="C974" t="s">
        <v>159</v>
      </c>
      <c r="E974" s="42">
        <f>VALUE(MID(Tabla1[[#This Row],[RUT]],1,LEN(Tabla1[[#This Row],[RUT]])-1))</f>
        <v>76024387</v>
      </c>
      <c r="F974" t="str">
        <f t="shared" si="15"/>
        <v>CN76024387</v>
      </c>
    </row>
    <row r="975" spans="1:6" x14ac:dyDescent="0.25">
      <c r="A975" s="47" t="s">
        <v>1070</v>
      </c>
      <c r="B975" s="48" t="s">
        <v>1071</v>
      </c>
      <c r="C975" t="s">
        <v>159</v>
      </c>
      <c r="E975" s="42">
        <f>VALUE(MID(Tabla1[[#This Row],[RUT]],1,LEN(Tabla1[[#This Row],[RUT]])-1))</f>
        <v>77326113</v>
      </c>
      <c r="F975" t="str">
        <f t="shared" si="15"/>
        <v>CN77326113</v>
      </c>
    </row>
    <row r="976" spans="1:6" x14ac:dyDescent="0.25">
      <c r="A976" s="50">
        <v>118464397</v>
      </c>
      <c r="B976" s="48" t="s">
        <v>1072</v>
      </c>
      <c r="C976" t="s">
        <v>159</v>
      </c>
      <c r="E976" s="42">
        <f>VALUE(MID(Tabla1[[#This Row],[RUT]],1,LEN(Tabla1[[#This Row],[RUT]])-1))</f>
        <v>11846439</v>
      </c>
      <c r="F976" t="str">
        <f t="shared" si="15"/>
        <v>CN11846439</v>
      </c>
    </row>
    <row r="977" spans="1:6" x14ac:dyDescent="0.25">
      <c r="A977" s="47">
        <v>619992806</v>
      </c>
      <c r="B977" s="48" t="s">
        <v>1073</v>
      </c>
      <c r="C977" t="s">
        <v>159</v>
      </c>
      <c r="E977" s="42">
        <f>VALUE(MID(Tabla1[[#This Row],[RUT]],1,LEN(Tabla1[[#This Row],[RUT]])-1))</f>
        <v>61999280</v>
      </c>
      <c r="F977" t="str">
        <f t="shared" si="15"/>
        <v>CN61999280</v>
      </c>
    </row>
    <row r="978" spans="1:6" x14ac:dyDescent="0.25">
      <c r="A978" s="47">
        <v>651455669</v>
      </c>
      <c r="B978" s="48" t="s">
        <v>1074</v>
      </c>
      <c r="C978" t="s">
        <v>159</v>
      </c>
      <c r="E978" s="42">
        <f>VALUE(MID(Tabla1[[#This Row],[RUT]],1,LEN(Tabla1[[#This Row],[RUT]])-1))</f>
        <v>65145566</v>
      </c>
      <c r="F978" t="str">
        <f t="shared" si="15"/>
        <v>CN65145566</v>
      </c>
    </row>
    <row r="979" spans="1:6" x14ac:dyDescent="0.25">
      <c r="A979" s="51">
        <v>602020002</v>
      </c>
      <c r="B979" s="48" t="s">
        <v>1075</v>
      </c>
      <c r="C979" t="s">
        <v>159</v>
      </c>
      <c r="E979" s="42">
        <f>VALUE(MID(Tabla1[[#This Row],[RUT]],1,LEN(Tabla1[[#This Row],[RUT]])-1))</f>
        <v>60202000</v>
      </c>
      <c r="F979" t="str">
        <f t="shared" si="15"/>
        <v>CN60202000</v>
      </c>
    </row>
    <row r="980" spans="1:6" x14ac:dyDescent="0.25">
      <c r="A980" s="49">
        <v>762641380</v>
      </c>
      <c r="B980" s="48" t="s">
        <v>1076</v>
      </c>
      <c r="C980" t="s">
        <v>159</v>
      </c>
      <c r="E980" s="42">
        <f>VALUE(MID(Tabla1[[#This Row],[RUT]],1,LEN(Tabla1[[#This Row],[RUT]])-1))</f>
        <v>76264138</v>
      </c>
      <c r="F980" t="str">
        <f t="shared" si="15"/>
        <v>CN76264138</v>
      </c>
    </row>
    <row r="981" spans="1:6" x14ac:dyDescent="0.25">
      <c r="A981" s="49">
        <v>773533776</v>
      </c>
      <c r="B981" s="48" t="s">
        <v>1077</v>
      </c>
      <c r="C981" t="s">
        <v>159</v>
      </c>
      <c r="E981" s="42">
        <f>VALUE(MID(Tabla1[[#This Row],[RUT]],1,LEN(Tabla1[[#This Row],[RUT]])-1))</f>
        <v>77353377</v>
      </c>
      <c r="F981" t="str">
        <f t="shared" si="15"/>
        <v>CN77353377</v>
      </c>
    </row>
    <row r="982" spans="1:6" x14ac:dyDescent="0.25">
      <c r="A982" s="49">
        <v>774020101</v>
      </c>
      <c r="B982" s="48" t="s">
        <v>1078</v>
      </c>
      <c r="C982" t="s">
        <v>159</v>
      </c>
      <c r="E982" s="42">
        <f>VALUE(MID(Tabla1[[#This Row],[RUT]],1,LEN(Tabla1[[#This Row],[RUT]])-1))</f>
        <v>77402010</v>
      </c>
      <c r="F982" t="str">
        <f t="shared" si="15"/>
        <v>CN77402010</v>
      </c>
    </row>
    <row r="983" spans="1:6" x14ac:dyDescent="0.25">
      <c r="A983" s="51">
        <v>772445202</v>
      </c>
      <c r="B983" s="48" t="s">
        <v>1079</v>
      </c>
      <c r="C983" t="s">
        <v>159</v>
      </c>
      <c r="E983" s="42">
        <f>VALUE(MID(Tabla1[[#This Row],[RUT]],1,LEN(Tabla1[[#This Row],[RUT]])-1))</f>
        <v>77244520</v>
      </c>
      <c r="F983" t="str">
        <f t="shared" si="15"/>
        <v>CN77244520</v>
      </c>
    </row>
    <row r="984" spans="1:6" x14ac:dyDescent="0.25">
      <c r="A984" s="49">
        <v>762522500</v>
      </c>
      <c r="B984" s="48" t="s">
        <v>1080</v>
      </c>
      <c r="C984" t="s">
        <v>159</v>
      </c>
      <c r="E984" s="42">
        <f>VALUE(MID(Tabla1[[#This Row],[RUT]],1,LEN(Tabla1[[#This Row],[RUT]])-1))</f>
        <v>76252250</v>
      </c>
      <c r="F984" t="str">
        <f t="shared" si="15"/>
        <v>CN76252250</v>
      </c>
    </row>
    <row r="985" spans="1:6" x14ac:dyDescent="0.25">
      <c r="A985" s="51">
        <v>765255600</v>
      </c>
      <c r="B985" s="48" t="s">
        <v>1081</v>
      </c>
      <c r="C985" t="s">
        <v>159</v>
      </c>
      <c r="E985" s="42">
        <f>VALUE(MID(Tabla1[[#This Row],[RUT]],1,LEN(Tabla1[[#This Row],[RUT]])-1))</f>
        <v>76525560</v>
      </c>
      <c r="F985" t="str">
        <f t="shared" si="15"/>
        <v>CN76525560</v>
      </c>
    </row>
    <row r="986" spans="1:6" x14ac:dyDescent="0.25">
      <c r="A986" s="51">
        <v>770834589</v>
      </c>
      <c r="B986" s="48" t="s">
        <v>1082</v>
      </c>
      <c r="C986" t="s">
        <v>159</v>
      </c>
      <c r="E986" s="42">
        <f>VALUE(MID(Tabla1[[#This Row],[RUT]],1,LEN(Tabla1[[#This Row],[RUT]])-1))</f>
        <v>77083458</v>
      </c>
      <c r="F986" t="str">
        <f t="shared" si="15"/>
        <v>CN77083458</v>
      </c>
    </row>
    <row r="987" spans="1:6" x14ac:dyDescent="0.25">
      <c r="A987" s="27">
        <v>651389259</v>
      </c>
      <c r="B987" t="s">
        <v>1083</v>
      </c>
      <c r="C987" t="s">
        <v>159</v>
      </c>
      <c r="E987" s="42">
        <f>VALUE(MID(Tabla1[[#This Row],[RUT]],1,LEN(Tabla1[[#This Row],[RUT]])-1))</f>
        <v>65138925</v>
      </c>
      <c r="F987" t="str">
        <f t="shared" si="15"/>
        <v>CN65138925</v>
      </c>
    </row>
    <row r="988" spans="1:6" x14ac:dyDescent="0.25">
      <c r="A988" s="27">
        <v>778058294</v>
      </c>
      <c r="B988" t="s">
        <v>1084</v>
      </c>
      <c r="C988" t="s">
        <v>159</v>
      </c>
      <c r="E988" s="42">
        <f>VALUE(MID(Tabla1[[#This Row],[RUT]],1,LEN(Tabla1[[#This Row],[RUT]])-1))</f>
        <v>77805829</v>
      </c>
      <c r="F988" t="str">
        <f t="shared" si="15"/>
        <v>CN77805829</v>
      </c>
    </row>
    <row r="989" spans="1:6" x14ac:dyDescent="0.25">
      <c r="A989" s="27">
        <v>775208740</v>
      </c>
      <c r="B989" t="s">
        <v>1085</v>
      </c>
      <c r="C989" t="s">
        <v>159</v>
      </c>
      <c r="E989" s="42">
        <f>VALUE(MID(Tabla1[[#This Row],[RUT]],1,LEN(Tabla1[[#This Row],[RUT]])-1))</f>
        <v>77520874</v>
      </c>
      <c r="F989" t="str">
        <f t="shared" si="15"/>
        <v>CN77520874</v>
      </c>
    </row>
    <row r="990" spans="1:6" x14ac:dyDescent="0.25">
      <c r="A990" s="29">
        <v>692404009</v>
      </c>
      <c r="B990" s="14" t="s">
        <v>1086</v>
      </c>
      <c r="C990" t="s">
        <v>159</v>
      </c>
      <c r="E990" s="42">
        <f>VALUE(MID(Tabla1[[#This Row],[RUT]],1,LEN(Tabla1[[#This Row],[RUT]])-1))</f>
        <v>69240400</v>
      </c>
      <c r="F990" t="str">
        <f t="shared" si="15"/>
        <v>CN69240400</v>
      </c>
    </row>
    <row r="991" spans="1:6" x14ac:dyDescent="0.25">
      <c r="A991" s="29">
        <v>772442858</v>
      </c>
      <c r="B991" s="14" t="s">
        <v>1087</v>
      </c>
      <c r="C991" t="s">
        <v>159</v>
      </c>
      <c r="E991" s="42">
        <f>VALUE(MID(Tabla1[[#This Row],[RUT]],1,LEN(Tabla1[[#This Row],[RUT]])-1))</f>
        <v>77244285</v>
      </c>
      <c r="F991" t="str">
        <f t="shared" si="15"/>
        <v>CN77244285</v>
      </c>
    </row>
    <row r="992" spans="1:6" x14ac:dyDescent="0.25">
      <c r="A992" s="27">
        <v>776326887</v>
      </c>
      <c r="B992" t="s">
        <v>1088</v>
      </c>
      <c r="C992" t="s">
        <v>159</v>
      </c>
      <c r="E992" s="42">
        <f>VALUE(MID(Tabla1[[#This Row],[RUT]],1,LEN(Tabla1[[#This Row],[RUT]])-1))</f>
        <v>77632688</v>
      </c>
      <c r="F992" t="str">
        <f t="shared" si="15"/>
        <v>CN77632688</v>
      </c>
    </row>
    <row r="993" spans="1:6" x14ac:dyDescent="0.25">
      <c r="A993" s="27">
        <v>780101806</v>
      </c>
      <c r="B993" t="s">
        <v>1089</v>
      </c>
      <c r="C993" t="s">
        <v>159</v>
      </c>
      <c r="E993" s="42">
        <f>VALUE(MID(Tabla1[[#This Row],[RUT]],1,LEN(Tabla1[[#This Row],[RUT]])-1))</f>
        <v>78010180</v>
      </c>
      <c r="F993" t="str">
        <f t="shared" si="15"/>
        <v>CN78010180</v>
      </c>
    </row>
    <row r="994" spans="1:6" x14ac:dyDescent="0.25">
      <c r="A994" s="27">
        <v>777691309</v>
      </c>
      <c r="B994" t="s">
        <v>1090</v>
      </c>
      <c r="C994" t="s">
        <v>159</v>
      </c>
      <c r="E994" s="42">
        <f>VALUE(MID(Tabla1[[#This Row],[RUT]],1,LEN(Tabla1[[#This Row],[RUT]])-1))</f>
        <v>77769130</v>
      </c>
      <c r="F994" t="str">
        <f t="shared" si="15"/>
        <v>CN77769130</v>
      </c>
    </row>
    <row r="995" spans="1:6" x14ac:dyDescent="0.25">
      <c r="A995" s="27">
        <v>773262896</v>
      </c>
      <c r="B995" t="s">
        <v>1092</v>
      </c>
      <c r="C995" t="s">
        <v>159</v>
      </c>
      <c r="E995" s="42">
        <f>VALUE(MID(Tabla1[[#This Row],[RUT]],1,LEN(Tabla1[[#This Row],[RUT]])-1))</f>
        <v>77326289</v>
      </c>
      <c r="F995" t="str">
        <f t="shared" si="15"/>
        <v>CN77326289</v>
      </c>
    </row>
    <row r="996" spans="1:6" x14ac:dyDescent="0.25">
      <c r="A996" s="27">
        <v>929990005</v>
      </c>
      <c r="B996" t="s">
        <v>1091</v>
      </c>
      <c r="C996" t="s">
        <v>159</v>
      </c>
      <c r="E996" s="42">
        <f>VALUE(MID(Tabla1[[#This Row],[RUT]],1,LEN(Tabla1[[#This Row],[RUT]])-1))</f>
        <v>92999000</v>
      </c>
      <c r="F996" t="str">
        <f t="shared" si="15"/>
        <v>CN92999000</v>
      </c>
    </row>
    <row r="997" spans="1:6" x14ac:dyDescent="0.25">
      <c r="A997" s="27">
        <v>767839332</v>
      </c>
      <c r="B997" t="s">
        <v>1093</v>
      </c>
      <c r="C997" t="s">
        <v>159</v>
      </c>
      <c r="E997" s="42">
        <f>VALUE(MID(Tabla1[[#This Row],[RUT]],1,LEN(Tabla1[[#This Row],[RUT]])-1))</f>
        <v>76783933</v>
      </c>
      <c r="F997" t="str">
        <f t="shared" si="15"/>
        <v>CN76783933</v>
      </c>
    </row>
    <row r="998" spans="1:6" x14ac:dyDescent="0.25">
      <c r="A998" s="27">
        <v>764520084</v>
      </c>
      <c r="B998" t="s">
        <v>1094</v>
      </c>
      <c r="C998" t="s">
        <v>159</v>
      </c>
      <c r="E998" s="42">
        <f>VALUE(MID(Tabla1[[#This Row],[RUT]],1,LEN(Tabla1[[#This Row],[RUT]])-1))</f>
        <v>76452008</v>
      </c>
      <c r="F998" t="str">
        <f t="shared" si="15"/>
        <v>CN76452008</v>
      </c>
    </row>
    <row r="999" spans="1:6" x14ac:dyDescent="0.25">
      <c r="A999" s="27">
        <v>778744848</v>
      </c>
      <c r="B999" t="s">
        <v>1095</v>
      </c>
      <c r="C999" t="s">
        <v>159</v>
      </c>
      <c r="E999" s="42">
        <f>VALUE(MID(Tabla1[[#This Row],[RUT]],1,LEN(Tabla1[[#This Row],[RUT]])-1))</f>
        <v>77874484</v>
      </c>
      <c r="F999" t="str">
        <f t="shared" si="15"/>
        <v>CN77874484</v>
      </c>
    </row>
    <row r="1000" spans="1:6" x14ac:dyDescent="0.25">
      <c r="A1000" s="52">
        <v>652243002</v>
      </c>
      <c r="B1000" s="53" t="s">
        <v>1096</v>
      </c>
      <c r="C1000" t="s">
        <v>159</v>
      </c>
      <c r="E1000" s="42">
        <f>VALUE(MID(Tabla1[[#This Row],[RUT]],1,LEN(Tabla1[[#This Row],[RUT]])-1))</f>
        <v>65224300</v>
      </c>
      <c r="F1000" t="str">
        <f t="shared" si="15"/>
        <v>CN65224300</v>
      </c>
    </row>
    <row r="1001" spans="1:6" x14ac:dyDescent="0.25">
      <c r="A1001" s="27">
        <v>770342554</v>
      </c>
      <c r="B1001" t="s">
        <v>1097</v>
      </c>
      <c r="C1001" t="s">
        <v>159</v>
      </c>
      <c r="E1001" s="42">
        <f>VALUE(MID(Tabla1[[#This Row],[RUT]],1,LEN(Tabla1[[#This Row],[RUT]])-1))</f>
        <v>77034255</v>
      </c>
      <c r="F1001" t="str">
        <f t="shared" si="15"/>
        <v>CN77034255</v>
      </c>
    </row>
    <row r="1002" spans="1:6" x14ac:dyDescent="0.25">
      <c r="A1002" s="27">
        <v>777653768</v>
      </c>
      <c r="B1002" t="s">
        <v>1098</v>
      </c>
      <c r="C1002" t="s">
        <v>159</v>
      </c>
      <c r="E1002" s="42">
        <f>VALUE(MID(Tabla1[[#This Row],[RUT]],1,LEN(Tabla1[[#This Row],[RUT]])-1))</f>
        <v>77765376</v>
      </c>
      <c r="F1002" t="str">
        <f t="shared" si="15"/>
        <v>CN77765376</v>
      </c>
    </row>
    <row r="1003" spans="1:6" x14ac:dyDescent="0.25">
      <c r="A1003" s="27">
        <v>776670855</v>
      </c>
      <c r="B1003" t="s">
        <v>1099</v>
      </c>
      <c r="C1003" t="s">
        <v>159</v>
      </c>
      <c r="E1003" s="42">
        <f>VALUE(MID(Tabla1[[#This Row],[RUT]],1,LEN(Tabla1[[#This Row],[RUT]])-1))</f>
        <v>77667085</v>
      </c>
      <c r="F1003" t="str">
        <f t="shared" si="15"/>
        <v>CN77667085</v>
      </c>
    </row>
    <row r="1004" spans="1:6" x14ac:dyDescent="0.25">
      <c r="A1004" s="27">
        <v>778830833</v>
      </c>
      <c r="B1004" t="s">
        <v>1101</v>
      </c>
      <c r="C1004" t="s">
        <v>159</v>
      </c>
      <c r="E1004" s="42">
        <f>VALUE(MID(Tabla1[[#This Row],[RUT]],1,LEN(Tabla1[[#This Row],[RUT]])-1))</f>
        <v>77883083</v>
      </c>
      <c r="F1004" t="str">
        <f t="shared" si="15"/>
        <v>CN77883083</v>
      </c>
    </row>
    <row r="1005" spans="1:6" x14ac:dyDescent="0.25">
      <c r="A1005" s="27">
        <v>779049493</v>
      </c>
      <c r="B1005" t="s">
        <v>1102</v>
      </c>
      <c r="C1005" t="s">
        <v>159</v>
      </c>
      <c r="E1005" s="42">
        <f>VALUE(MID(Tabla1[[#This Row],[RUT]],1,LEN(Tabla1[[#This Row],[RUT]])-1))</f>
        <v>77904949</v>
      </c>
      <c r="F1005" t="str">
        <f t="shared" si="15"/>
        <v>CN77904949</v>
      </c>
    </row>
    <row r="1006" spans="1:6" x14ac:dyDescent="0.25">
      <c r="A1006" s="27" t="s">
        <v>1100</v>
      </c>
      <c r="B1006" t="s">
        <v>1103</v>
      </c>
      <c r="C1006" t="s">
        <v>159</v>
      </c>
      <c r="E1006" s="42">
        <f>VALUE(MID(Tabla1[[#This Row],[RUT]],1,LEN(Tabla1[[#This Row],[RUT]])-1))</f>
        <v>83733800</v>
      </c>
      <c r="F1006" t="str">
        <f t="shared" si="15"/>
        <v>CN83733800</v>
      </c>
    </row>
    <row r="1007" spans="1:6" x14ac:dyDescent="0.25">
      <c r="A1007" s="27">
        <v>700726002</v>
      </c>
      <c r="B1007" t="s">
        <v>1104</v>
      </c>
      <c r="C1007" t="s">
        <v>159</v>
      </c>
      <c r="E1007" s="42">
        <f>VALUE(MID(Tabla1[[#This Row],[RUT]],1,LEN(Tabla1[[#This Row],[RUT]])-1))</f>
        <v>70072600</v>
      </c>
      <c r="F1007" t="str">
        <f t="shared" si="15"/>
        <v>CN70072600</v>
      </c>
    </row>
    <row r="1008" spans="1:6" x14ac:dyDescent="0.25">
      <c r="A1008" s="27">
        <v>776267783</v>
      </c>
      <c r="B1008" t="s">
        <v>3694</v>
      </c>
      <c r="C1008" t="s">
        <v>159</v>
      </c>
      <c r="D1008" s="54"/>
      <c r="E1008" s="42">
        <f>VALUE(MID(Tabla1[[#This Row],[RUT]],1,LEN(Tabla1[[#This Row],[RUT]])-1))</f>
        <v>77626778</v>
      </c>
      <c r="F1008" t="str">
        <f t="shared" si="15"/>
        <v>CN77626778</v>
      </c>
    </row>
    <row r="1009" spans="1:6" x14ac:dyDescent="0.25">
      <c r="A1009" s="27">
        <v>690913003</v>
      </c>
      <c r="B1009" t="s">
        <v>4417</v>
      </c>
      <c r="C1009" t="s">
        <v>159</v>
      </c>
      <c r="D1009" s="54"/>
      <c r="E1009" s="42">
        <f>VALUE(MID(Tabla1[[#This Row],[RUT]],1,LEN(Tabla1[[#This Row],[RUT]])-1))</f>
        <v>69091300</v>
      </c>
      <c r="F1009" t="str">
        <f t="shared" si="15"/>
        <v>CN69091300</v>
      </c>
    </row>
    <row r="1010" spans="1:6" x14ac:dyDescent="0.25">
      <c r="A1010" s="27">
        <v>58921203</v>
      </c>
      <c r="B1010" t="s">
        <v>4418</v>
      </c>
      <c r="C1010" t="s">
        <v>159</v>
      </c>
      <c r="D1010" s="54"/>
      <c r="E1010" s="42">
        <f>VALUE(MID(Tabla1[[#This Row],[RUT]],1,LEN(Tabla1[[#This Row],[RUT]])-1))</f>
        <v>5892120</v>
      </c>
      <c r="F1010" t="str">
        <f t="shared" si="15"/>
        <v>CN5892120</v>
      </c>
    </row>
    <row r="1011" spans="1:6" x14ac:dyDescent="0.25">
      <c r="A1011" s="29">
        <v>774904492</v>
      </c>
      <c r="B1011" s="14" t="s">
        <v>2693</v>
      </c>
      <c r="C1011" t="s">
        <v>159</v>
      </c>
      <c r="D1011" s="54"/>
      <c r="E1011" s="42">
        <f>VALUE(MID(Tabla1[[#This Row],[RUT]],1,LEN(Tabla1[[#This Row],[RUT]])-1))</f>
        <v>77490449</v>
      </c>
      <c r="F1011" t="str">
        <f t="shared" si="15"/>
        <v>CN77490449</v>
      </c>
    </row>
    <row r="1012" spans="1:6" x14ac:dyDescent="0.25">
      <c r="A1012" s="27">
        <v>690413000</v>
      </c>
      <c r="B1012" t="s">
        <v>4420</v>
      </c>
      <c r="C1012" t="s">
        <v>159</v>
      </c>
      <c r="D1012" s="54"/>
      <c r="E1012" s="42">
        <f>VALUE(MID(Tabla1[[#This Row],[RUT]],1,LEN(Tabla1[[#This Row],[RUT]])-1))</f>
        <v>69041300</v>
      </c>
      <c r="F1012" t="str">
        <f t="shared" si="15"/>
        <v>CN69041300</v>
      </c>
    </row>
    <row r="1013" spans="1:6" x14ac:dyDescent="0.25">
      <c r="A1013" t="s">
        <v>4421</v>
      </c>
      <c r="B1013" t="s">
        <v>4422</v>
      </c>
      <c r="C1013" t="s">
        <v>159</v>
      </c>
      <c r="D1013" s="54"/>
      <c r="E1013" s="42">
        <f>VALUE(MID(Tabla1[[#This Row],[RUT]],1,LEN(Tabla1[[#This Row],[RUT]])-1))</f>
        <v>61978670</v>
      </c>
      <c r="F1013" t="str">
        <f t="shared" si="15"/>
        <v>CN61978670</v>
      </c>
    </row>
    <row r="1014" spans="1:6" x14ac:dyDescent="0.25">
      <c r="A1014" s="27" t="s">
        <v>4423</v>
      </c>
      <c r="B1014" t="s">
        <v>4424</v>
      </c>
      <c r="C1014" t="s">
        <v>159</v>
      </c>
      <c r="D1014" s="54"/>
      <c r="E1014" s="42">
        <f>VALUE(MID(Tabla1[[#This Row],[RUT]],1,LEN(Tabla1[[#This Row],[RUT]])-1))</f>
        <v>78039272</v>
      </c>
      <c r="F1014" t="str">
        <f t="shared" si="15"/>
        <v>CN78039272</v>
      </c>
    </row>
    <row r="1015" spans="1:6" x14ac:dyDescent="0.25">
      <c r="A1015" s="27" t="s">
        <v>4425</v>
      </c>
      <c r="B1015" t="s">
        <v>2453</v>
      </c>
      <c r="C1015" t="s">
        <v>159</v>
      </c>
      <c r="D1015" s="54"/>
      <c r="E1015" s="42">
        <f>VALUE(MID(Tabla1[[#This Row],[RUT]],1,LEN(Tabla1[[#This Row],[RUT]])-1))</f>
        <v>76057158</v>
      </c>
      <c r="F1015" t="str">
        <f t="shared" si="15"/>
        <v>CN76057158</v>
      </c>
    </row>
    <row r="1016" spans="1:6" x14ac:dyDescent="0.25">
      <c r="A1016" s="27" t="s">
        <v>4426</v>
      </c>
      <c r="B1016" t="s">
        <v>4427</v>
      </c>
      <c r="C1016" t="s">
        <v>159</v>
      </c>
      <c r="D1016" s="54"/>
      <c r="E1016" s="42">
        <f>VALUE(MID(Tabla1[[#This Row],[RUT]],1,LEN(Tabla1[[#This Row],[RUT]])-1))</f>
        <v>96636310</v>
      </c>
      <c r="F1016" t="str">
        <f t="shared" si="15"/>
        <v>CN96636310</v>
      </c>
    </row>
    <row r="1017" spans="1:6" x14ac:dyDescent="0.25">
      <c r="A1017" s="27">
        <v>616020404</v>
      </c>
      <c r="B1017" t="s">
        <v>4428</v>
      </c>
      <c r="C1017" t="s">
        <v>159</v>
      </c>
      <c r="D1017" s="54"/>
      <c r="E1017" s="42">
        <f>VALUE(MID(Tabla1[[#This Row],[RUT]],1,LEN(Tabla1[[#This Row],[RUT]])-1))</f>
        <v>61602040</v>
      </c>
      <c r="F1017" t="str">
        <f t="shared" si="15"/>
        <v>CN61602040</v>
      </c>
    </row>
    <row r="1018" spans="1:6" x14ac:dyDescent="0.25">
      <c r="A1018" s="27">
        <v>692202007</v>
      </c>
      <c r="B1018" t="s">
        <v>1981</v>
      </c>
      <c r="C1018" t="s">
        <v>159</v>
      </c>
      <c r="D1018" s="54"/>
      <c r="E1018" s="42">
        <f>VALUE(MID(Tabla1[[#This Row],[RUT]],1,LEN(Tabla1[[#This Row],[RUT]])-1))</f>
        <v>69220200</v>
      </c>
      <c r="F1018" t="str">
        <f t="shared" ref="F1018:F1020" si="16">"CN"&amp;E1018</f>
        <v>CN69220200</v>
      </c>
    </row>
    <row r="1019" spans="1:6" x14ac:dyDescent="0.25">
      <c r="A1019" s="27">
        <v>774284893</v>
      </c>
      <c r="B1019" t="s">
        <v>4429</v>
      </c>
      <c r="C1019" t="s">
        <v>159</v>
      </c>
      <c r="D1019" s="54"/>
      <c r="E1019" s="42">
        <f>VALUE(MID(Tabla1[[#This Row],[RUT]],1,LEN(Tabla1[[#This Row],[RUT]])-1))</f>
        <v>77428489</v>
      </c>
      <c r="F1019" t="str">
        <f t="shared" si="16"/>
        <v>CN77428489</v>
      </c>
    </row>
    <row r="1020" spans="1:6" x14ac:dyDescent="0.25">
      <c r="A1020" s="27">
        <v>620007609</v>
      </c>
      <c r="B1020" s="14" t="s">
        <v>4430</v>
      </c>
      <c r="C1020" t="s">
        <v>159</v>
      </c>
      <c r="D1020" s="54"/>
      <c r="E1020" s="42">
        <f>VALUE(MID(Tabla1[[#This Row],[RUT]],1,LEN(Tabla1[[#This Row],[RUT]])-1))</f>
        <v>62000760</v>
      </c>
      <c r="F1020" t="str">
        <f t="shared" si="16"/>
        <v>CN62000760</v>
      </c>
    </row>
    <row r="1021" spans="1:6" x14ac:dyDescent="0.25">
      <c r="A1021" s="27">
        <v>775571128</v>
      </c>
      <c r="B1021" t="s">
        <v>4431</v>
      </c>
      <c r="C1021" t="s">
        <v>159</v>
      </c>
      <c r="D1021" s="54"/>
      <c r="E1021" s="42">
        <f>VALUE(MID(Tabla1[[#This Row],[RUT]],1,LEN(Tabla1[[#This Row],[RUT]])-1))</f>
        <v>77557112</v>
      </c>
      <c r="F1021" t="str">
        <f t="shared" ref="F1021" si="17">"CN"&amp;E1021</f>
        <v>CN77557112</v>
      </c>
    </row>
    <row r="1022" spans="1:6" x14ac:dyDescent="0.25">
      <c r="A1022" s="27">
        <v>652286941</v>
      </c>
      <c r="B1022" t="s">
        <v>4432</v>
      </c>
      <c r="C1022" t="s">
        <v>4</v>
      </c>
      <c r="D1022" s="54"/>
      <c r="E1022" s="42">
        <f>VALUE(MID(Tabla1[[#This Row],[RUT]],1,LEN(Tabla1[[#This Row],[RUT]])-1))</f>
        <v>65228694</v>
      </c>
      <c r="F1022" t="str">
        <f t="shared" ref="F1022:F1023" si="18">"CN"&amp;E1022</f>
        <v>CN65228694</v>
      </c>
    </row>
    <row r="1023" spans="1:6" x14ac:dyDescent="0.25">
      <c r="A1023" s="27">
        <v>690611007</v>
      </c>
      <c r="B1023" t="s">
        <v>1683</v>
      </c>
      <c r="C1023" t="s">
        <v>159</v>
      </c>
      <c r="D1023" s="54"/>
      <c r="E1023" s="42">
        <f>VALUE(MID(Tabla1[[#This Row],[RUT]],1,LEN(Tabla1[[#This Row],[RUT]])-1))</f>
        <v>69061100</v>
      </c>
      <c r="F1023" t="str">
        <f t="shared" si="18"/>
        <v>CN69061100</v>
      </c>
    </row>
    <row r="1024" spans="1:6" x14ac:dyDescent="0.25">
      <c r="A1024" s="46">
        <v>771711480</v>
      </c>
      <c r="B1024" s="55" t="s">
        <v>4433</v>
      </c>
      <c r="C1024" t="s">
        <v>159</v>
      </c>
      <c r="D1024" s="54"/>
      <c r="E1024" s="42">
        <f>VALUE(MID(Tabla1[[#This Row],[RUT]],1,LEN(Tabla1[[#This Row],[RUT]])-1))</f>
        <v>77171148</v>
      </c>
      <c r="F1024" t="str">
        <f t="shared" ref="F1024" si="19">"CN"&amp;E1024</f>
        <v>CN77171148</v>
      </c>
    </row>
    <row r="1025" spans="1:6" x14ac:dyDescent="0.25">
      <c r="A1025" s="27">
        <v>654787603</v>
      </c>
      <c r="B1025" t="s">
        <v>4434</v>
      </c>
      <c r="C1025" t="s">
        <v>159</v>
      </c>
      <c r="D1025" s="54"/>
      <c r="E1025" s="42">
        <f>VALUE(MID(Tabla1[[#This Row],[RUT]],1,LEN(Tabla1[[#This Row],[RUT]])-1))</f>
        <v>65478760</v>
      </c>
      <c r="F1025" t="str">
        <f t="shared" ref="F1025" si="20">"CN"&amp;E1025</f>
        <v>CN65478760</v>
      </c>
    </row>
    <row r="1026" spans="1:6" x14ac:dyDescent="0.25">
      <c r="A1026" s="27">
        <v>767542968</v>
      </c>
      <c r="B1026" t="s">
        <v>2711</v>
      </c>
      <c r="C1026" t="s">
        <v>159</v>
      </c>
      <c r="D1026" s="54"/>
      <c r="E1026" s="42">
        <f>VALUE(MID(Tabla1[[#This Row],[RUT]],1,LEN(Tabla1[[#This Row],[RUT]])-1))</f>
        <v>76754296</v>
      </c>
      <c r="F1026" t="str">
        <f t="shared" ref="F1026:F1027" si="21">"CN"&amp;E1026</f>
        <v>CN76754296</v>
      </c>
    </row>
    <row r="1027" spans="1:6" x14ac:dyDescent="0.25">
      <c r="A1027" s="27">
        <v>783504405</v>
      </c>
      <c r="B1027" t="s">
        <v>4435</v>
      </c>
      <c r="C1027" t="s">
        <v>159</v>
      </c>
      <c r="D1027" s="54"/>
      <c r="E1027" s="42">
        <f>VALUE(MID(Tabla1[[#This Row],[RUT]],1,LEN(Tabla1[[#This Row],[RUT]])-1))</f>
        <v>78350440</v>
      </c>
      <c r="F1027" t="str">
        <f t="shared" si="21"/>
        <v>CN78350440</v>
      </c>
    </row>
    <row r="1028" spans="1:6" x14ac:dyDescent="0.25">
      <c r="A1028" s="27">
        <v>690809001</v>
      </c>
      <c r="B1028" t="s">
        <v>1747</v>
      </c>
      <c r="C1028" t="s">
        <v>159</v>
      </c>
      <c r="D1028" s="54"/>
      <c r="E1028" s="42">
        <f>VALUE(MID(Tabla1[[#This Row],[RUT]],1,LEN(Tabla1[[#This Row],[RUT]])-1))</f>
        <v>69080900</v>
      </c>
      <c r="F1028" t="str">
        <f t="shared" ref="F1028" si="22">"CN"&amp;E1028</f>
        <v>CN69080900</v>
      </c>
    </row>
    <row r="1029" spans="1:6" x14ac:dyDescent="0.25">
      <c r="A1029" s="27">
        <v>995808307</v>
      </c>
      <c r="B1029" t="s">
        <v>4437</v>
      </c>
      <c r="C1029" t="s">
        <v>159</v>
      </c>
      <c r="D1029" s="54"/>
      <c r="E1029" s="42">
        <f>VALUE(MID(Tabla1[[#This Row],[RUT]],1,LEN(Tabla1[[#This Row],[RUT]])-1))</f>
        <v>99580830</v>
      </c>
      <c r="F1029" t="str">
        <f t="shared" ref="F1029" si="23">"CN"&amp;E1029</f>
        <v>CN99580830</v>
      </c>
    </row>
    <row r="1030" spans="1:6" x14ac:dyDescent="0.25">
      <c r="A1030" s="27">
        <v>779315088</v>
      </c>
      <c r="B1030" t="s">
        <v>4438</v>
      </c>
      <c r="C1030" t="s">
        <v>159</v>
      </c>
      <c r="D1030" s="54"/>
      <c r="E1030" s="42">
        <f>VALUE(MID(Tabla1[[#This Row],[RUT]],1,LEN(Tabla1[[#This Row],[RUT]])-1))</f>
        <v>77931508</v>
      </c>
      <c r="F1030" t="str">
        <f t="shared" ref="F1030" si="24">"CN"&amp;E1030</f>
        <v>CN77931508</v>
      </c>
    </row>
    <row r="1031" spans="1:6" x14ac:dyDescent="0.25">
      <c r="A1031" s="27">
        <v>761991272</v>
      </c>
      <c r="B1031" t="s">
        <v>4439</v>
      </c>
      <c r="C1031" t="s">
        <v>159</v>
      </c>
      <c r="D1031" s="54"/>
      <c r="E1031" s="42">
        <f>VALUE(MID(Tabla1[[#This Row],[RUT]],1,LEN(Tabla1[[#This Row],[RUT]])-1))</f>
        <v>76199127</v>
      </c>
      <c r="F1031" t="str">
        <f t="shared" ref="F1031" si="25">"CN"&amp;E1031</f>
        <v>CN76199127</v>
      </c>
    </row>
    <row r="1032" spans="1:6" x14ac:dyDescent="0.25">
      <c r="A1032" s="27">
        <v>762090155</v>
      </c>
      <c r="B1032" t="s">
        <v>4440</v>
      </c>
      <c r="C1032" t="s">
        <v>159</v>
      </c>
      <c r="D1032" s="54"/>
      <c r="E1032" s="42">
        <f>VALUE(MID(Tabla1[[#This Row],[RUT]],1,LEN(Tabla1[[#This Row],[RUT]])-1))</f>
        <v>76209015</v>
      </c>
      <c r="F1032" t="str">
        <f t="shared" ref="F1032" si="26">"CN"&amp;E1032</f>
        <v>CN76209015</v>
      </c>
    </row>
    <row r="1033" spans="1:6" x14ac:dyDescent="0.25">
      <c r="A1033" s="27" t="s">
        <v>4441</v>
      </c>
      <c r="B1033" t="s">
        <v>4442</v>
      </c>
      <c r="C1033" t="s">
        <v>159</v>
      </c>
      <c r="D1033" s="54"/>
      <c r="E1033" s="42">
        <f>VALUE(MID(Tabla1[[#This Row],[RUT]],1,LEN(Tabla1[[#This Row],[RUT]])-1))</f>
        <v>77689477</v>
      </c>
      <c r="F1033" t="str">
        <f t="shared" ref="F1033" si="27">"CN"&amp;E1033</f>
        <v>CN77689477</v>
      </c>
    </row>
    <row r="1034" spans="1:6" x14ac:dyDescent="0.25">
      <c r="A1034" s="27">
        <v>772638388</v>
      </c>
      <c r="B1034" t="s">
        <v>4443</v>
      </c>
      <c r="C1034" t="s">
        <v>159</v>
      </c>
      <c r="D1034" s="54"/>
      <c r="E1034" s="42">
        <f>VALUE(MID(Tabla1[[#This Row],[RUT]],1,LEN(Tabla1[[#This Row],[RUT]])-1))</f>
        <v>77263838</v>
      </c>
      <c r="F1034" t="str">
        <f t="shared" ref="F1034" si="28">"CN"&amp;E1034</f>
        <v>CN77263838</v>
      </c>
    </row>
    <row r="1035" spans="1:6" x14ac:dyDescent="0.25">
      <c r="A1035" s="27">
        <v>773121702</v>
      </c>
      <c r="B1035" t="s">
        <v>3293</v>
      </c>
      <c r="C1035" t="s">
        <v>159</v>
      </c>
      <c r="D1035" s="54"/>
      <c r="E1035" s="42">
        <f>VALUE(MID(Tabla1[[#This Row],[RUT]],1,LEN(Tabla1[[#This Row],[RUT]])-1))</f>
        <v>77312170</v>
      </c>
      <c r="F1035" t="str">
        <f t="shared" ref="F1035" si="29">"CN"&amp;E1035</f>
        <v>CN77312170</v>
      </c>
    </row>
    <row r="1036" spans="1:6" x14ac:dyDescent="0.25">
      <c r="A1036" s="27">
        <v>762152606</v>
      </c>
      <c r="B1036" t="s">
        <v>4747</v>
      </c>
      <c r="C1036" t="s">
        <v>159</v>
      </c>
      <c r="D1036" s="54"/>
      <c r="E1036" s="42">
        <f>VALUE(MID(Tabla1[[#This Row],[RUT]],1,LEN(Tabla1[[#This Row],[RUT]])-1))</f>
        <v>76215260</v>
      </c>
      <c r="F1036" t="str">
        <f t="shared" ref="F1036:F1039" si="30">"CN"&amp;E1036</f>
        <v>CN76215260</v>
      </c>
    </row>
    <row r="1037" spans="1:6" x14ac:dyDescent="0.25">
      <c r="A1037" s="27">
        <v>690402009</v>
      </c>
      <c r="B1037" t="s">
        <v>4517</v>
      </c>
      <c r="C1037" t="s">
        <v>159</v>
      </c>
      <c r="D1037" s="54"/>
      <c r="E1037" s="42">
        <f>VALUE(MID(Tabla1[[#This Row],[RUT]],1,LEN(Tabla1[[#This Row],[RUT]])-1))</f>
        <v>69040200</v>
      </c>
      <c r="F1037" t="str">
        <f t="shared" si="30"/>
        <v>CN69040200</v>
      </c>
    </row>
    <row r="1038" spans="1:6" x14ac:dyDescent="0.25">
      <c r="A1038" s="73">
        <v>771736238</v>
      </c>
      <c r="B1038" s="74" t="s">
        <v>4583</v>
      </c>
      <c r="C1038" t="s">
        <v>159</v>
      </c>
      <c r="D1038" s="54"/>
      <c r="E1038" s="42">
        <f>VALUE(MID(Tabla1[[#This Row],[RUT]],1,LEN(Tabla1[[#This Row],[RUT]])-1))</f>
        <v>77173623</v>
      </c>
      <c r="F1038" t="str">
        <f t="shared" si="30"/>
        <v>CN77173623</v>
      </c>
    </row>
    <row r="1039" spans="1:6" x14ac:dyDescent="0.25">
      <c r="A1039" s="27" t="s">
        <v>4748</v>
      </c>
      <c r="B1039" t="s">
        <v>4749</v>
      </c>
      <c r="C1039" t="s">
        <v>159</v>
      </c>
      <c r="D1039" s="54"/>
      <c r="E1039" s="42">
        <f>VALUE(MID(Tabla1[[#This Row],[RUT]],1,LEN(Tabla1[[#This Row],[RUT]])-1))</f>
        <v>69120300</v>
      </c>
      <c r="F1039" t="str">
        <f t="shared" si="30"/>
        <v>CN69120300</v>
      </c>
    </row>
    <row r="1040" spans="1:6" x14ac:dyDescent="0.25">
      <c r="A1040" s="41">
        <v>779499839</v>
      </c>
      <c r="B1040" t="s">
        <v>4603</v>
      </c>
      <c r="C1040" s="1" t="s">
        <v>159</v>
      </c>
      <c r="E1040" s="42">
        <f>VALUE(MID(Tabla1[[#This Row],[RUT]],1,LEN(Tabla1[[#This Row],[RUT]])-1))</f>
        <v>77949983</v>
      </c>
      <c r="F1040" t="str">
        <f t="shared" ref="F1040:F1043" si="31">"CN"&amp;E1040</f>
        <v>CN77949983</v>
      </c>
    </row>
    <row r="1041" spans="1:6" x14ac:dyDescent="0.25">
      <c r="A1041" s="27">
        <v>692312007</v>
      </c>
      <c r="B1041" t="s">
        <v>4751</v>
      </c>
      <c r="C1041" s="1" t="s">
        <v>159</v>
      </c>
      <c r="E1041" s="42">
        <f>VALUE(MID(Tabla1[[#This Row],[RUT]],1,LEN(Tabla1[[#This Row],[RUT]])-1))</f>
        <v>69231200</v>
      </c>
      <c r="F1041" t="str">
        <f t="shared" si="31"/>
        <v>CN69231200</v>
      </c>
    </row>
    <row r="1042" spans="1:6" x14ac:dyDescent="0.25">
      <c r="A1042" s="27">
        <v>770634911</v>
      </c>
      <c r="B1042" t="s">
        <v>4752</v>
      </c>
      <c r="C1042" s="1" t="s">
        <v>159</v>
      </c>
      <c r="E1042" s="42">
        <f>VALUE(MID(Tabla1[[#This Row],[RUT]],1,LEN(Tabla1[[#This Row],[RUT]])-1))</f>
        <v>77063491</v>
      </c>
      <c r="F1042" t="str">
        <f t="shared" si="31"/>
        <v>CN77063491</v>
      </c>
    </row>
    <row r="1043" spans="1:6" x14ac:dyDescent="0.25">
      <c r="A1043" s="27">
        <v>780722045</v>
      </c>
      <c r="B1043" t="s">
        <v>4753</v>
      </c>
      <c r="C1043" s="1" t="s">
        <v>159</v>
      </c>
      <c r="E1043" s="42">
        <f>VALUE(MID(Tabla1[[#This Row],[RUT]],1,LEN(Tabla1[[#This Row],[RUT]])-1))</f>
        <v>78072204</v>
      </c>
      <c r="F1043" t="str">
        <f t="shared" si="31"/>
        <v>CN78072204</v>
      </c>
    </row>
    <row r="1044" spans="1:6" x14ac:dyDescent="0.25">
      <c r="A1044" s="27">
        <v>776495999</v>
      </c>
      <c r="B1044" t="s">
        <v>3081</v>
      </c>
      <c r="C1044" s="1" t="s">
        <v>159</v>
      </c>
      <c r="E1044" s="42">
        <f>VALUE(MID(Tabla1[[#This Row],[RUT]],1,LEN(Tabla1[[#This Row],[RUT]])-1))</f>
        <v>77649599</v>
      </c>
      <c r="F1044" t="str">
        <f t="shared" ref="F1044" si="32">"CN"&amp;E1044</f>
        <v>CN77649599</v>
      </c>
    </row>
    <row r="1045" spans="1:6" x14ac:dyDescent="0.25">
      <c r="A1045" s="76">
        <v>761102370</v>
      </c>
      <c r="B1045" t="s">
        <v>4754</v>
      </c>
      <c r="C1045" s="1" t="s">
        <v>159</v>
      </c>
      <c r="E1045" s="42">
        <f>VALUE(MID(Tabla1[[#This Row],[RUT]],1,LEN(Tabla1[[#This Row],[RUT]])-1))</f>
        <v>76110237</v>
      </c>
      <c r="F1045" t="str">
        <f t="shared" ref="F1045" si="33">"CN"&amp;E1045</f>
        <v>CN76110237</v>
      </c>
    </row>
    <row r="1046" spans="1:6" x14ac:dyDescent="0.25">
      <c r="A1046" s="77" t="s">
        <v>4755</v>
      </c>
      <c r="B1046" t="s">
        <v>4756</v>
      </c>
      <c r="C1046" s="1" t="s">
        <v>159</v>
      </c>
      <c r="E1046" s="42">
        <f>VALUE(MID(Tabla1[[#This Row],[RUT]],1,LEN(Tabla1[[#This Row],[RUT]])-1))</f>
        <v>70990700</v>
      </c>
      <c r="F1046" t="str">
        <f t="shared" ref="F1046" si="34">"CN"&amp;E1046</f>
        <v>CN70990700</v>
      </c>
    </row>
    <row r="1047" spans="1:6" x14ac:dyDescent="0.25">
      <c r="A1047" s="27"/>
      <c r="B1047"/>
    </row>
    <row r="1048" spans="1:6" x14ac:dyDescent="0.25">
      <c r="A1048" s="27"/>
      <c r="B1048"/>
    </row>
    <row r="1049" spans="1:6" x14ac:dyDescent="0.25">
      <c r="A1049" s="27"/>
      <c r="B1049"/>
    </row>
    <row r="1050" spans="1:6" x14ac:dyDescent="0.25">
      <c r="A1050" s="27"/>
      <c r="B1050"/>
    </row>
    <row r="1051" spans="1:6" x14ac:dyDescent="0.25">
      <c r="A1051" s="27"/>
      <c r="B1051"/>
    </row>
    <row r="1052" spans="1:6" x14ac:dyDescent="0.25">
      <c r="A1052" s="27"/>
      <c r="B1052"/>
    </row>
    <row r="1053" spans="1:6" x14ac:dyDescent="0.25">
      <c r="A1053" s="27"/>
      <c r="B1053"/>
    </row>
    <row r="1054" spans="1:6" x14ac:dyDescent="0.25">
      <c r="A1054" s="27"/>
      <c r="B1054"/>
    </row>
    <row r="1055" spans="1:6" x14ac:dyDescent="0.25">
      <c r="A1055" s="27"/>
      <c r="B1055"/>
    </row>
    <row r="1056" spans="1:6" x14ac:dyDescent="0.25">
      <c r="A1056" s="27"/>
      <c r="B1056"/>
    </row>
    <row r="1057" spans="1:2" x14ac:dyDescent="0.25">
      <c r="A1057" s="27"/>
      <c r="B1057"/>
    </row>
    <row r="1058" spans="1:2" x14ac:dyDescent="0.25">
      <c r="A1058" s="27"/>
      <c r="B1058"/>
    </row>
    <row r="1059" spans="1:2" x14ac:dyDescent="0.25">
      <c r="A1059" s="27"/>
      <c r="B1059"/>
    </row>
    <row r="1060" spans="1:2" x14ac:dyDescent="0.25">
      <c r="A1060" s="27"/>
      <c r="B1060"/>
    </row>
    <row r="1061" spans="1:2" x14ac:dyDescent="0.25">
      <c r="A1061" s="27"/>
      <c r="B1061"/>
    </row>
    <row r="1062" spans="1:2" x14ac:dyDescent="0.25">
      <c r="A1062" s="27"/>
      <c r="B1062"/>
    </row>
    <row r="1063" spans="1:2" x14ac:dyDescent="0.25">
      <c r="A1063" s="27"/>
      <c r="B1063"/>
    </row>
    <row r="1064" spans="1:2" x14ac:dyDescent="0.25">
      <c r="A1064" s="27"/>
      <c r="B1064"/>
    </row>
    <row r="1065" spans="1:2" x14ac:dyDescent="0.25">
      <c r="A1065" s="27"/>
      <c r="B1065"/>
    </row>
    <row r="1066" spans="1:2" x14ac:dyDescent="0.25">
      <c r="A1066" s="27"/>
      <c r="B1066"/>
    </row>
    <row r="1067" spans="1:2" x14ac:dyDescent="0.25">
      <c r="A1067" s="27"/>
      <c r="B1067"/>
    </row>
    <row r="1068" spans="1:2" x14ac:dyDescent="0.25">
      <c r="A1068" s="27"/>
      <c r="B1068"/>
    </row>
    <row r="1069" spans="1:2" x14ac:dyDescent="0.25">
      <c r="A1069" s="27"/>
      <c r="B1069"/>
    </row>
    <row r="1070" spans="1:2" x14ac:dyDescent="0.25">
      <c r="A1070" s="27"/>
      <c r="B1070"/>
    </row>
    <row r="1071" spans="1:2" x14ac:dyDescent="0.25">
      <c r="A1071" s="27"/>
      <c r="B1071"/>
    </row>
    <row r="1072" spans="1:2" x14ac:dyDescent="0.25">
      <c r="A1072" s="27"/>
      <c r="B1072"/>
    </row>
    <row r="1073" spans="1:2" x14ac:dyDescent="0.25">
      <c r="A1073" s="27"/>
      <c r="B1073"/>
    </row>
    <row r="1074" spans="1:2" x14ac:dyDescent="0.25">
      <c r="A1074" s="27"/>
      <c r="B1074"/>
    </row>
    <row r="1075" spans="1:2" x14ac:dyDescent="0.25">
      <c r="A1075" s="27"/>
      <c r="B1075"/>
    </row>
    <row r="1076" spans="1:2" x14ac:dyDescent="0.25">
      <c r="A1076" s="27"/>
      <c r="B1076"/>
    </row>
    <row r="1077" spans="1:2" x14ac:dyDescent="0.25">
      <c r="A1077" s="27"/>
      <c r="B1077"/>
    </row>
    <row r="1078" spans="1:2" x14ac:dyDescent="0.25">
      <c r="A1078" s="27"/>
      <c r="B1078"/>
    </row>
    <row r="1079" spans="1:2" x14ac:dyDescent="0.25">
      <c r="A1079" s="27"/>
      <c r="B1079"/>
    </row>
    <row r="1080" spans="1:2" x14ac:dyDescent="0.25">
      <c r="A1080" s="27"/>
      <c r="B1080"/>
    </row>
    <row r="1081" spans="1:2" x14ac:dyDescent="0.25">
      <c r="A1081" s="27"/>
      <c r="B1081"/>
    </row>
    <row r="1082" spans="1:2" x14ac:dyDescent="0.25">
      <c r="A1082" s="27"/>
      <c r="B1082"/>
    </row>
    <row r="1083" spans="1:2" x14ac:dyDescent="0.25">
      <c r="A1083" s="27"/>
      <c r="B1083"/>
    </row>
    <row r="1084" spans="1:2" x14ac:dyDescent="0.25">
      <c r="A1084" s="27"/>
      <c r="B1084"/>
    </row>
    <row r="1085" spans="1:2" x14ac:dyDescent="0.25">
      <c r="A1085" s="27"/>
      <c r="B1085"/>
    </row>
    <row r="1086" spans="1:2" x14ac:dyDescent="0.25">
      <c r="A1086" s="27"/>
      <c r="B1086"/>
    </row>
    <row r="1087" spans="1:2" x14ac:dyDescent="0.25">
      <c r="A1087" s="27"/>
      <c r="B1087"/>
    </row>
    <row r="1088" spans="1:2" x14ac:dyDescent="0.25">
      <c r="A1088" s="27"/>
      <c r="B1088"/>
    </row>
    <row r="1089" spans="1:2" x14ac:dyDescent="0.25">
      <c r="A1089" s="27"/>
      <c r="B1089"/>
    </row>
    <row r="1090" spans="1:2" x14ac:dyDescent="0.25">
      <c r="A1090" s="27"/>
      <c r="B1090"/>
    </row>
    <row r="1091" spans="1:2" x14ac:dyDescent="0.25">
      <c r="A1091" s="27"/>
      <c r="B1091"/>
    </row>
    <row r="1092" spans="1:2" x14ac:dyDescent="0.25">
      <c r="A1092" s="27"/>
      <c r="B1092"/>
    </row>
    <row r="1093" spans="1:2" x14ac:dyDescent="0.25">
      <c r="A1093" s="27"/>
      <c r="B1093"/>
    </row>
    <row r="1094" spans="1:2" x14ac:dyDescent="0.25">
      <c r="A1094" s="27"/>
      <c r="B1094"/>
    </row>
    <row r="1095" spans="1:2" x14ac:dyDescent="0.25">
      <c r="A1095" s="27"/>
      <c r="B1095"/>
    </row>
    <row r="1096" spans="1:2" x14ac:dyDescent="0.25">
      <c r="A1096" s="27"/>
      <c r="B1096"/>
    </row>
    <row r="1097" spans="1:2" x14ac:dyDescent="0.25">
      <c r="A1097" s="27"/>
      <c r="B1097"/>
    </row>
    <row r="1098" spans="1:2" x14ac:dyDescent="0.25">
      <c r="A1098" s="27"/>
      <c r="B1098"/>
    </row>
    <row r="1099" spans="1:2" x14ac:dyDescent="0.25">
      <c r="A1099" s="27"/>
      <c r="B1099"/>
    </row>
    <row r="1100" spans="1:2" x14ac:dyDescent="0.25">
      <c r="A1100" s="27"/>
      <c r="B1100"/>
    </row>
    <row r="1101" spans="1:2" x14ac:dyDescent="0.25">
      <c r="A1101" s="27"/>
      <c r="B1101"/>
    </row>
    <row r="1102" spans="1:2" x14ac:dyDescent="0.25">
      <c r="A1102" s="27"/>
      <c r="B1102"/>
    </row>
    <row r="1103" spans="1:2" x14ac:dyDescent="0.25">
      <c r="A1103" s="27"/>
      <c r="B1103"/>
    </row>
    <row r="1104" spans="1:2" x14ac:dyDescent="0.25">
      <c r="A1104" s="27"/>
      <c r="B1104"/>
    </row>
    <row r="1105" spans="1:2" x14ac:dyDescent="0.25">
      <c r="A1105" s="27"/>
      <c r="B1105"/>
    </row>
    <row r="1106" spans="1:2" x14ac:dyDescent="0.25">
      <c r="A1106" s="27"/>
      <c r="B1106"/>
    </row>
    <row r="1107" spans="1:2" x14ac:dyDescent="0.25">
      <c r="A1107" s="27"/>
      <c r="B1107"/>
    </row>
    <row r="1108" spans="1:2" x14ac:dyDescent="0.25">
      <c r="A1108" s="27"/>
      <c r="B1108"/>
    </row>
    <row r="1109" spans="1:2" x14ac:dyDescent="0.25">
      <c r="A1109" s="27"/>
      <c r="B1109"/>
    </row>
    <row r="1110" spans="1:2" x14ac:dyDescent="0.25">
      <c r="A1110" s="27"/>
      <c r="B1110"/>
    </row>
    <row r="1111" spans="1:2" x14ac:dyDescent="0.25">
      <c r="A1111" s="27"/>
      <c r="B1111"/>
    </row>
    <row r="1112" spans="1:2" x14ac:dyDescent="0.25">
      <c r="A1112" s="27"/>
      <c r="B1112"/>
    </row>
    <row r="1113" spans="1:2" x14ac:dyDescent="0.25">
      <c r="A1113" s="27"/>
      <c r="B1113"/>
    </row>
    <row r="1114" spans="1:2" x14ac:dyDescent="0.25">
      <c r="A1114" s="27"/>
      <c r="B1114"/>
    </row>
    <row r="1115" spans="1:2" x14ac:dyDescent="0.25">
      <c r="A1115" s="27"/>
      <c r="B1115"/>
    </row>
    <row r="1116" spans="1:2" x14ac:dyDescent="0.25">
      <c r="A1116" s="27"/>
      <c r="B1116"/>
    </row>
    <row r="1117" spans="1:2" x14ac:dyDescent="0.25">
      <c r="A1117" s="27"/>
      <c r="B1117"/>
    </row>
    <row r="1118" spans="1:2" x14ac:dyDescent="0.25">
      <c r="A1118" s="27"/>
      <c r="B1118"/>
    </row>
    <row r="1119" spans="1:2" x14ac:dyDescent="0.25">
      <c r="A1119" s="27"/>
      <c r="B1119"/>
    </row>
    <row r="1120" spans="1:2" x14ac:dyDescent="0.25">
      <c r="A1120" s="27"/>
      <c r="B1120"/>
    </row>
    <row r="1121" spans="1:2" x14ac:dyDescent="0.25">
      <c r="A1121" s="27"/>
      <c r="B1121"/>
    </row>
    <row r="1122" spans="1:2" x14ac:dyDescent="0.25">
      <c r="A1122" s="27"/>
      <c r="B1122"/>
    </row>
    <row r="1123" spans="1:2" x14ac:dyDescent="0.25">
      <c r="A1123" s="27"/>
      <c r="B1123"/>
    </row>
    <row r="1124" spans="1:2" x14ac:dyDescent="0.25">
      <c r="A1124" s="27"/>
      <c r="B1124"/>
    </row>
    <row r="1125" spans="1:2" x14ac:dyDescent="0.25">
      <c r="A1125" s="27"/>
      <c r="B1125"/>
    </row>
    <row r="1126" spans="1:2" x14ac:dyDescent="0.25">
      <c r="A1126" s="27"/>
      <c r="B1126"/>
    </row>
    <row r="1127" spans="1:2" x14ac:dyDescent="0.25">
      <c r="A1127" s="27"/>
      <c r="B1127"/>
    </row>
    <row r="1128" spans="1:2" x14ac:dyDescent="0.25">
      <c r="A1128" s="27"/>
      <c r="B1128"/>
    </row>
    <row r="1129" spans="1:2" x14ac:dyDescent="0.25">
      <c r="A1129" s="27"/>
      <c r="B1129"/>
    </row>
    <row r="1130" spans="1:2" x14ac:dyDescent="0.25">
      <c r="A1130" s="27"/>
      <c r="B1130"/>
    </row>
    <row r="1131" spans="1:2" x14ac:dyDescent="0.25">
      <c r="A1131" s="27"/>
      <c r="B1131"/>
    </row>
    <row r="1132" spans="1:2" x14ac:dyDescent="0.25">
      <c r="A1132" s="27"/>
      <c r="B1132"/>
    </row>
    <row r="1133" spans="1:2" x14ac:dyDescent="0.25">
      <c r="A1133" s="27"/>
      <c r="B1133"/>
    </row>
    <row r="1134" spans="1:2" x14ac:dyDescent="0.25">
      <c r="A1134" s="27"/>
      <c r="B1134"/>
    </row>
    <row r="1135" spans="1:2" x14ac:dyDescent="0.25">
      <c r="A1135" s="27"/>
      <c r="B1135"/>
    </row>
    <row r="1136" spans="1:2" x14ac:dyDescent="0.25">
      <c r="A1136" s="27"/>
      <c r="B1136"/>
    </row>
    <row r="1137" spans="1:2" x14ac:dyDescent="0.25">
      <c r="A1137" s="27"/>
      <c r="B1137"/>
    </row>
    <row r="1138" spans="1:2" x14ac:dyDescent="0.25">
      <c r="A1138" s="27"/>
      <c r="B1138"/>
    </row>
    <row r="1139" spans="1:2" x14ac:dyDescent="0.25">
      <c r="A1139" s="27"/>
      <c r="B1139"/>
    </row>
    <row r="1140" spans="1:2" x14ac:dyDescent="0.25">
      <c r="A1140" s="27"/>
      <c r="B1140"/>
    </row>
    <row r="1141" spans="1:2" x14ac:dyDescent="0.25">
      <c r="A1141" s="27"/>
      <c r="B1141"/>
    </row>
    <row r="1142" spans="1:2" x14ac:dyDescent="0.25">
      <c r="A1142" s="27"/>
      <c r="B1142"/>
    </row>
    <row r="1143" spans="1:2" x14ac:dyDescent="0.25">
      <c r="A1143" s="27"/>
      <c r="B1143"/>
    </row>
    <row r="1144" spans="1:2" x14ac:dyDescent="0.25">
      <c r="A1144" s="27"/>
      <c r="B1144"/>
    </row>
    <row r="1145" spans="1:2" x14ac:dyDescent="0.25">
      <c r="A1145" s="27"/>
      <c r="B1145"/>
    </row>
    <row r="1146" spans="1:2" x14ac:dyDescent="0.25">
      <c r="A1146" s="27"/>
      <c r="B1146"/>
    </row>
    <row r="1147" spans="1:2" x14ac:dyDescent="0.25">
      <c r="A1147" s="27"/>
      <c r="B1147"/>
    </row>
    <row r="1148" spans="1:2" x14ac:dyDescent="0.25">
      <c r="A1148" s="27"/>
      <c r="B1148"/>
    </row>
    <row r="1149" spans="1:2" x14ac:dyDescent="0.25">
      <c r="A1149" s="27"/>
      <c r="B1149"/>
    </row>
    <row r="1150" spans="1:2" x14ac:dyDescent="0.25">
      <c r="A1150" s="27"/>
      <c r="B1150"/>
    </row>
    <row r="1151" spans="1:2" x14ac:dyDescent="0.25">
      <c r="A1151" s="27"/>
      <c r="B1151"/>
    </row>
    <row r="1152" spans="1:2" x14ac:dyDescent="0.25">
      <c r="A1152" s="27"/>
      <c r="B1152"/>
    </row>
    <row r="1153" spans="1:2" x14ac:dyDescent="0.25">
      <c r="A1153" s="27"/>
      <c r="B1153"/>
    </row>
    <row r="1154" spans="1:2" x14ac:dyDescent="0.25">
      <c r="A1154" s="27"/>
      <c r="B1154"/>
    </row>
    <row r="1155" spans="1:2" x14ac:dyDescent="0.25">
      <c r="A1155" s="27"/>
      <c r="B1155"/>
    </row>
    <row r="1156" spans="1:2" x14ac:dyDescent="0.25">
      <c r="A1156" s="27"/>
      <c r="B1156"/>
    </row>
    <row r="1157" spans="1:2" x14ac:dyDescent="0.25">
      <c r="A1157" s="27"/>
      <c r="B1157"/>
    </row>
    <row r="1158" spans="1:2" x14ac:dyDescent="0.25">
      <c r="A1158" s="27"/>
      <c r="B1158"/>
    </row>
    <row r="1159" spans="1:2" x14ac:dyDescent="0.25">
      <c r="A1159" s="27"/>
      <c r="B1159"/>
    </row>
    <row r="1160" spans="1:2" x14ac:dyDescent="0.25">
      <c r="A1160" s="27"/>
      <c r="B1160"/>
    </row>
    <row r="1161" spans="1:2" x14ac:dyDescent="0.25">
      <c r="A1161" s="27"/>
      <c r="B1161"/>
    </row>
    <row r="1162" spans="1:2" x14ac:dyDescent="0.25">
      <c r="A1162" s="27"/>
      <c r="B1162"/>
    </row>
    <row r="1163" spans="1:2" x14ac:dyDescent="0.25">
      <c r="A1163" s="27"/>
      <c r="B1163"/>
    </row>
    <row r="1164" spans="1:2" x14ac:dyDescent="0.25">
      <c r="A1164" s="27"/>
      <c r="B1164"/>
    </row>
    <row r="1165" spans="1:2" x14ac:dyDescent="0.25">
      <c r="A1165" s="27"/>
      <c r="B1165"/>
    </row>
    <row r="1166" spans="1:2" x14ac:dyDescent="0.25">
      <c r="A1166" s="27"/>
      <c r="B1166"/>
    </row>
    <row r="1167" spans="1:2" x14ac:dyDescent="0.25">
      <c r="A1167" s="27"/>
      <c r="B1167"/>
    </row>
    <row r="1168" spans="1:2" x14ac:dyDescent="0.25">
      <c r="A1168" s="27"/>
      <c r="B1168"/>
    </row>
    <row r="1169" spans="1:2" x14ac:dyDescent="0.25">
      <c r="A1169" s="27"/>
      <c r="B1169"/>
    </row>
    <row r="1170" spans="1:2" x14ac:dyDescent="0.25">
      <c r="A1170" s="27"/>
      <c r="B1170"/>
    </row>
    <row r="1171" spans="1:2" x14ac:dyDescent="0.25">
      <c r="A1171" s="27"/>
      <c r="B1171"/>
    </row>
    <row r="1172" spans="1:2" x14ac:dyDescent="0.25">
      <c r="A1172" s="27"/>
      <c r="B1172"/>
    </row>
    <row r="1173" spans="1:2" x14ac:dyDescent="0.25">
      <c r="A1173" s="27"/>
      <c r="B1173"/>
    </row>
    <row r="1174" spans="1:2" x14ac:dyDescent="0.25">
      <c r="A1174" s="27"/>
      <c r="B1174"/>
    </row>
    <row r="1175" spans="1:2" x14ac:dyDescent="0.25">
      <c r="A1175" s="27"/>
      <c r="B1175"/>
    </row>
    <row r="1176" spans="1:2" x14ac:dyDescent="0.25">
      <c r="A1176" s="27"/>
      <c r="B1176"/>
    </row>
    <row r="1177" spans="1:2" x14ac:dyDescent="0.25">
      <c r="A1177" s="27"/>
      <c r="B1177"/>
    </row>
    <row r="1178" spans="1:2" x14ac:dyDescent="0.25">
      <c r="A1178" s="27"/>
      <c r="B1178"/>
    </row>
    <row r="1179" spans="1:2" x14ac:dyDescent="0.25">
      <c r="A1179" s="27"/>
      <c r="B1179"/>
    </row>
    <row r="1180" spans="1:2" x14ac:dyDescent="0.25">
      <c r="A1180" s="27"/>
      <c r="B1180"/>
    </row>
    <row r="1181" spans="1:2" x14ac:dyDescent="0.25">
      <c r="A1181" s="27"/>
      <c r="B1181"/>
    </row>
    <row r="1182" spans="1:2" x14ac:dyDescent="0.25">
      <c r="A1182" s="27"/>
      <c r="B1182"/>
    </row>
    <row r="1183" spans="1:2" x14ac:dyDescent="0.25">
      <c r="A1183" s="27"/>
      <c r="B1183"/>
    </row>
    <row r="1184" spans="1:2" x14ac:dyDescent="0.25">
      <c r="A1184" s="27"/>
      <c r="B1184"/>
    </row>
    <row r="1185" spans="1:2" x14ac:dyDescent="0.25">
      <c r="A1185" s="27"/>
      <c r="B1185"/>
    </row>
    <row r="1186" spans="1:2" x14ac:dyDescent="0.25">
      <c r="A1186" s="27"/>
      <c r="B1186"/>
    </row>
    <row r="1187" spans="1:2" x14ac:dyDescent="0.25">
      <c r="A1187" s="27"/>
      <c r="B1187"/>
    </row>
    <row r="1188" spans="1:2" x14ac:dyDescent="0.25">
      <c r="A1188" s="27"/>
      <c r="B1188"/>
    </row>
    <row r="1189" spans="1:2" x14ac:dyDescent="0.25">
      <c r="A1189" s="27"/>
      <c r="B1189"/>
    </row>
    <row r="1190" spans="1:2" x14ac:dyDescent="0.25">
      <c r="A1190" s="27"/>
      <c r="B1190"/>
    </row>
    <row r="1191" spans="1:2" x14ac:dyDescent="0.25">
      <c r="A1191" s="27"/>
      <c r="B1191"/>
    </row>
    <row r="1192" spans="1:2" x14ac:dyDescent="0.25">
      <c r="A1192" s="27"/>
      <c r="B1192"/>
    </row>
    <row r="1193" spans="1:2" x14ac:dyDescent="0.25">
      <c r="A1193" s="27"/>
      <c r="B1193"/>
    </row>
    <row r="1194" spans="1:2" x14ac:dyDescent="0.25">
      <c r="A1194" s="27"/>
      <c r="B1194"/>
    </row>
    <row r="1195" spans="1:2" x14ac:dyDescent="0.25">
      <c r="A1195" s="27"/>
      <c r="B1195"/>
    </row>
    <row r="1196" spans="1:2" x14ac:dyDescent="0.25">
      <c r="A1196" s="27"/>
      <c r="B1196"/>
    </row>
    <row r="1197" spans="1:2" x14ac:dyDescent="0.25">
      <c r="A1197" s="27"/>
      <c r="B1197"/>
    </row>
    <row r="1198" spans="1:2" x14ac:dyDescent="0.25">
      <c r="A1198" s="27"/>
      <c r="B1198"/>
    </row>
    <row r="1199" spans="1:2" x14ac:dyDescent="0.25">
      <c r="A1199" s="27"/>
      <c r="B1199"/>
    </row>
    <row r="1200" spans="1:2" x14ac:dyDescent="0.25">
      <c r="A1200" s="27"/>
      <c r="B1200"/>
    </row>
    <row r="1201" spans="1:2" x14ac:dyDescent="0.25">
      <c r="A1201" s="27"/>
      <c r="B1201"/>
    </row>
    <row r="1202" spans="1:2" x14ac:dyDescent="0.25">
      <c r="A1202" s="27"/>
      <c r="B1202"/>
    </row>
    <row r="1203" spans="1:2" x14ac:dyDescent="0.25">
      <c r="A1203" s="27"/>
      <c r="B1203"/>
    </row>
    <row r="1204" spans="1:2" x14ac:dyDescent="0.25">
      <c r="A1204" s="27"/>
      <c r="B1204"/>
    </row>
    <row r="1205" spans="1:2" x14ac:dyDescent="0.25">
      <c r="A1205" s="27"/>
      <c r="B1205"/>
    </row>
    <row r="1206" spans="1:2" x14ac:dyDescent="0.25">
      <c r="A1206" s="27"/>
      <c r="B1206"/>
    </row>
    <row r="1207" spans="1:2" x14ac:dyDescent="0.25">
      <c r="A1207" s="27"/>
      <c r="B1207"/>
    </row>
    <row r="1208" spans="1:2" x14ac:dyDescent="0.25">
      <c r="A1208" s="27"/>
      <c r="B1208"/>
    </row>
    <row r="1209" spans="1:2" x14ac:dyDescent="0.25">
      <c r="A1209" s="27"/>
      <c r="B1209"/>
    </row>
    <row r="1210" spans="1:2" x14ac:dyDescent="0.25">
      <c r="A1210" s="27"/>
      <c r="B1210"/>
    </row>
    <row r="1211" spans="1:2" x14ac:dyDescent="0.25">
      <c r="A1211" s="27"/>
      <c r="B1211"/>
    </row>
    <row r="1212" spans="1:2" x14ac:dyDescent="0.25">
      <c r="A1212" s="27"/>
      <c r="B1212"/>
    </row>
    <row r="1213" spans="1:2" x14ac:dyDescent="0.25">
      <c r="A1213" s="27"/>
      <c r="B1213"/>
    </row>
    <row r="1214" spans="1:2" x14ac:dyDescent="0.25">
      <c r="A1214" s="27"/>
      <c r="B1214"/>
    </row>
    <row r="1215" spans="1:2" x14ac:dyDescent="0.25">
      <c r="A1215" s="27"/>
      <c r="B1215"/>
    </row>
    <row r="1216" spans="1:2" x14ac:dyDescent="0.25">
      <c r="A1216" s="27"/>
      <c r="B1216"/>
    </row>
    <row r="1217" spans="1:2" x14ac:dyDescent="0.25">
      <c r="A1217" s="27"/>
      <c r="B1217"/>
    </row>
    <row r="1218" spans="1:2" x14ac:dyDescent="0.25">
      <c r="A1218" s="27"/>
      <c r="B1218"/>
    </row>
    <row r="1219" spans="1:2" x14ac:dyDescent="0.25">
      <c r="A1219" s="27"/>
      <c r="B1219"/>
    </row>
    <row r="1220" spans="1:2" x14ac:dyDescent="0.25">
      <c r="A1220" s="27"/>
      <c r="B1220"/>
    </row>
    <row r="1221" spans="1:2" x14ac:dyDescent="0.25">
      <c r="A1221" s="27"/>
      <c r="B1221"/>
    </row>
    <row r="1222" spans="1:2" x14ac:dyDescent="0.25">
      <c r="A1222" s="27"/>
      <c r="B1222"/>
    </row>
    <row r="1223" spans="1:2" x14ac:dyDescent="0.25">
      <c r="A1223" s="27"/>
      <c r="B1223"/>
    </row>
    <row r="1224" spans="1:2" x14ac:dyDescent="0.25">
      <c r="A1224" s="27"/>
      <c r="B1224"/>
    </row>
    <row r="1225" spans="1:2" x14ac:dyDescent="0.25">
      <c r="A1225" s="27"/>
      <c r="B1225"/>
    </row>
    <row r="1226" spans="1:2" x14ac:dyDescent="0.25">
      <c r="A1226" s="27"/>
      <c r="B1226"/>
    </row>
    <row r="1227" spans="1:2" x14ac:dyDescent="0.25">
      <c r="A1227" s="27"/>
      <c r="B1227"/>
    </row>
    <row r="1228" spans="1:2" x14ac:dyDescent="0.25">
      <c r="A1228" s="27"/>
      <c r="B1228"/>
    </row>
    <row r="1229" spans="1:2" x14ac:dyDescent="0.25">
      <c r="A1229" s="27"/>
      <c r="B1229"/>
    </row>
    <row r="1230" spans="1:2" x14ac:dyDescent="0.25">
      <c r="A1230" s="27"/>
      <c r="B1230"/>
    </row>
    <row r="1231" spans="1:2" x14ac:dyDescent="0.25">
      <c r="A1231" s="27"/>
      <c r="B1231"/>
    </row>
    <row r="1232" spans="1:2" x14ac:dyDescent="0.25">
      <c r="A1232" s="27"/>
      <c r="B1232"/>
    </row>
    <row r="1233" spans="1:2" x14ac:dyDescent="0.25">
      <c r="A1233" s="27"/>
      <c r="B1233"/>
    </row>
    <row r="1234" spans="1:2" x14ac:dyDescent="0.25">
      <c r="A1234" s="27"/>
      <c r="B1234"/>
    </row>
    <row r="1235" spans="1:2" x14ac:dyDescent="0.25">
      <c r="A1235" s="27"/>
      <c r="B1235"/>
    </row>
    <row r="1236" spans="1:2" x14ac:dyDescent="0.25">
      <c r="A1236" s="27"/>
      <c r="B1236"/>
    </row>
    <row r="1237" spans="1:2" x14ac:dyDescent="0.25">
      <c r="A1237" s="27"/>
      <c r="B1237"/>
    </row>
    <row r="1238" spans="1:2" x14ac:dyDescent="0.25">
      <c r="A1238" s="27"/>
      <c r="B1238"/>
    </row>
    <row r="1239" spans="1:2" x14ac:dyDescent="0.25">
      <c r="A1239" s="27"/>
      <c r="B1239"/>
    </row>
    <row r="1240" spans="1:2" x14ac:dyDescent="0.25">
      <c r="A1240" s="27"/>
      <c r="B1240"/>
    </row>
    <row r="1241" spans="1:2" x14ac:dyDescent="0.25">
      <c r="A1241" s="27"/>
      <c r="B1241"/>
    </row>
    <row r="1242" spans="1:2" x14ac:dyDescent="0.25">
      <c r="A1242" s="27"/>
      <c r="B1242"/>
    </row>
    <row r="1243" spans="1:2" x14ac:dyDescent="0.25">
      <c r="A1243" s="27"/>
      <c r="B1243"/>
    </row>
    <row r="1244" spans="1:2" x14ac:dyDescent="0.25">
      <c r="A1244" s="27"/>
      <c r="B1244"/>
    </row>
    <row r="1245" spans="1:2" x14ac:dyDescent="0.25">
      <c r="A1245" s="27"/>
      <c r="B1245"/>
    </row>
    <row r="1246" spans="1:2" x14ac:dyDescent="0.25">
      <c r="A1246" s="27"/>
      <c r="B1246"/>
    </row>
    <row r="1247" spans="1:2" x14ac:dyDescent="0.25">
      <c r="A1247" s="27"/>
      <c r="B1247"/>
    </row>
    <row r="1248" spans="1:2" x14ac:dyDescent="0.25">
      <c r="A1248" s="27"/>
      <c r="B1248"/>
    </row>
    <row r="1249" spans="1:2" x14ac:dyDescent="0.25">
      <c r="A1249" s="27"/>
      <c r="B1249"/>
    </row>
    <row r="1250" spans="1:2" x14ac:dyDescent="0.25">
      <c r="A1250" s="27"/>
      <c r="B1250"/>
    </row>
    <row r="1251" spans="1:2" x14ac:dyDescent="0.25">
      <c r="A1251" s="27"/>
      <c r="B1251"/>
    </row>
    <row r="1252" spans="1:2" x14ac:dyDescent="0.25">
      <c r="A1252" s="27"/>
      <c r="B1252"/>
    </row>
    <row r="1253" spans="1:2" x14ac:dyDescent="0.25">
      <c r="A1253" s="27"/>
      <c r="B1253"/>
    </row>
    <row r="1254" spans="1:2" x14ac:dyDescent="0.25">
      <c r="A1254" s="27"/>
      <c r="B1254"/>
    </row>
    <row r="1255" spans="1:2" x14ac:dyDescent="0.25">
      <c r="A1255" s="27"/>
      <c r="B1255"/>
    </row>
    <row r="1256" spans="1:2" x14ac:dyDescent="0.25">
      <c r="A1256" s="27"/>
      <c r="B1256"/>
    </row>
    <row r="1257" spans="1:2" x14ac:dyDescent="0.25">
      <c r="A1257" s="27"/>
      <c r="B1257"/>
    </row>
    <row r="1258" spans="1:2" x14ac:dyDescent="0.25">
      <c r="A1258" s="27"/>
      <c r="B1258"/>
    </row>
    <row r="1259" spans="1:2" x14ac:dyDescent="0.25">
      <c r="A1259" s="27"/>
      <c r="B1259"/>
    </row>
    <row r="1260" spans="1:2" x14ac:dyDescent="0.25">
      <c r="A1260" s="27"/>
      <c r="B1260"/>
    </row>
    <row r="1261" spans="1:2" x14ac:dyDescent="0.25">
      <c r="A1261" s="27"/>
      <c r="B1261"/>
    </row>
    <row r="1262" spans="1:2" x14ac:dyDescent="0.25">
      <c r="A1262" s="27"/>
      <c r="B1262"/>
    </row>
    <row r="1263" spans="1:2" x14ac:dyDescent="0.25">
      <c r="A1263" s="27"/>
      <c r="B1263"/>
    </row>
    <row r="1264" spans="1:2" x14ac:dyDescent="0.25">
      <c r="A1264" s="27"/>
      <c r="B1264"/>
    </row>
    <row r="1265" spans="1:2" x14ac:dyDescent="0.25">
      <c r="A1265" s="27"/>
      <c r="B1265"/>
    </row>
    <row r="1266" spans="1:2" x14ac:dyDescent="0.25">
      <c r="A1266" s="27"/>
      <c r="B1266"/>
    </row>
    <row r="1267" spans="1:2" x14ac:dyDescent="0.25">
      <c r="A1267" s="27"/>
      <c r="B1267"/>
    </row>
    <row r="1268" spans="1:2" x14ac:dyDescent="0.25">
      <c r="A1268" s="27"/>
      <c r="B1268"/>
    </row>
    <row r="1269" spans="1:2" x14ac:dyDescent="0.25">
      <c r="A1269" s="27"/>
      <c r="B1269"/>
    </row>
    <row r="1270" spans="1:2" x14ac:dyDescent="0.25">
      <c r="A1270" s="27"/>
      <c r="B1270"/>
    </row>
    <row r="1271" spans="1:2" x14ac:dyDescent="0.25">
      <c r="A1271" s="27"/>
      <c r="B1271"/>
    </row>
    <row r="1272" spans="1:2" x14ac:dyDescent="0.25">
      <c r="A1272" s="27"/>
      <c r="B1272"/>
    </row>
    <row r="1273" spans="1:2" x14ac:dyDescent="0.25">
      <c r="A1273" s="27"/>
      <c r="B1273"/>
    </row>
    <row r="1274" spans="1:2" x14ac:dyDescent="0.25">
      <c r="A1274" s="27"/>
      <c r="B1274"/>
    </row>
    <row r="1275" spans="1:2" x14ac:dyDescent="0.25">
      <c r="A1275" s="27"/>
      <c r="B1275"/>
    </row>
    <row r="1276" spans="1:2" x14ac:dyDescent="0.25">
      <c r="A1276" s="27"/>
      <c r="B1276"/>
    </row>
    <row r="1277" spans="1:2" x14ac:dyDescent="0.25">
      <c r="A1277" s="27"/>
      <c r="B1277"/>
    </row>
    <row r="1278" spans="1:2" x14ac:dyDescent="0.25">
      <c r="A1278" s="27"/>
      <c r="B1278"/>
    </row>
    <row r="1279" spans="1:2" x14ac:dyDescent="0.25">
      <c r="A1279" s="27"/>
      <c r="B1279"/>
    </row>
    <row r="1280" spans="1:2" x14ac:dyDescent="0.25">
      <c r="A1280" s="27"/>
      <c r="B1280"/>
    </row>
    <row r="1281" spans="1:2" x14ac:dyDescent="0.25">
      <c r="A1281" s="27"/>
      <c r="B1281"/>
    </row>
    <row r="1282" spans="1:2" x14ac:dyDescent="0.25">
      <c r="A1282" s="27"/>
      <c r="B1282"/>
    </row>
    <row r="1283" spans="1:2" x14ac:dyDescent="0.25">
      <c r="A1283" s="27"/>
      <c r="B1283"/>
    </row>
    <row r="1284" spans="1:2" x14ac:dyDescent="0.25">
      <c r="A1284" s="27"/>
      <c r="B1284"/>
    </row>
    <row r="1285" spans="1:2" x14ac:dyDescent="0.25">
      <c r="A1285" s="27"/>
      <c r="B1285"/>
    </row>
    <row r="1286" spans="1:2" x14ac:dyDescent="0.25">
      <c r="A1286" s="27"/>
      <c r="B1286"/>
    </row>
    <row r="1287" spans="1:2" x14ac:dyDescent="0.25">
      <c r="A1287" s="27"/>
      <c r="B1287"/>
    </row>
    <row r="1288" spans="1:2" x14ac:dyDescent="0.25">
      <c r="A1288" s="27"/>
      <c r="B1288"/>
    </row>
    <row r="1289" spans="1:2" x14ac:dyDescent="0.25">
      <c r="A1289" s="27"/>
      <c r="B1289"/>
    </row>
    <row r="1290" spans="1:2" x14ac:dyDescent="0.25">
      <c r="A1290" s="27"/>
      <c r="B1290"/>
    </row>
    <row r="1291" spans="1:2" x14ac:dyDescent="0.25">
      <c r="A1291" s="27"/>
      <c r="B1291"/>
    </row>
    <row r="1292" spans="1:2" x14ac:dyDescent="0.25">
      <c r="A1292" s="27"/>
      <c r="B1292"/>
    </row>
    <row r="1293" spans="1:2" x14ac:dyDescent="0.25">
      <c r="A1293" s="27"/>
      <c r="B1293"/>
    </row>
    <row r="1294" spans="1:2" x14ac:dyDescent="0.25">
      <c r="A1294" s="27"/>
      <c r="B1294"/>
    </row>
    <row r="1295" spans="1:2" x14ac:dyDescent="0.25">
      <c r="A1295" s="27"/>
      <c r="B1295"/>
    </row>
    <row r="1296" spans="1:2" x14ac:dyDescent="0.25">
      <c r="A1296" s="27"/>
      <c r="B1296"/>
    </row>
    <row r="1297" spans="1:2" x14ac:dyDescent="0.25">
      <c r="A1297" s="27"/>
      <c r="B1297"/>
    </row>
    <row r="1298" spans="1:2" x14ac:dyDescent="0.25">
      <c r="A1298" s="27"/>
      <c r="B1298"/>
    </row>
    <row r="1299" spans="1:2" x14ac:dyDescent="0.25">
      <c r="A1299" s="27"/>
      <c r="B1299"/>
    </row>
    <row r="1300" spans="1:2" x14ac:dyDescent="0.25">
      <c r="A1300" s="27"/>
      <c r="B1300"/>
    </row>
    <row r="1301" spans="1:2" x14ac:dyDescent="0.25">
      <c r="A1301" s="27"/>
      <c r="B1301"/>
    </row>
    <row r="1302" spans="1:2" x14ac:dyDescent="0.25">
      <c r="A1302" s="27"/>
      <c r="B1302"/>
    </row>
    <row r="1303" spans="1:2" x14ac:dyDescent="0.25">
      <c r="A1303" s="27"/>
      <c r="B1303"/>
    </row>
    <row r="1304" spans="1:2" x14ac:dyDescent="0.25">
      <c r="A1304" s="27"/>
      <c r="B1304"/>
    </row>
    <row r="1305" spans="1:2" x14ac:dyDescent="0.25">
      <c r="A1305" s="27"/>
      <c r="B1305"/>
    </row>
    <row r="1306" spans="1:2" x14ac:dyDescent="0.25">
      <c r="A1306" s="27"/>
      <c r="B1306"/>
    </row>
    <row r="1307" spans="1:2" x14ac:dyDescent="0.25">
      <c r="A1307" s="27"/>
      <c r="B1307"/>
    </row>
    <row r="1308" spans="1:2" x14ac:dyDescent="0.25">
      <c r="A1308" s="27"/>
      <c r="B1308"/>
    </row>
    <row r="1309" spans="1:2" x14ac:dyDescent="0.25">
      <c r="A1309" s="27"/>
      <c r="B1309"/>
    </row>
    <row r="1310" spans="1:2" x14ac:dyDescent="0.25">
      <c r="A1310" s="27"/>
      <c r="B1310"/>
    </row>
    <row r="1311" spans="1:2" x14ac:dyDescent="0.25">
      <c r="A1311" s="27"/>
      <c r="B1311"/>
    </row>
    <row r="1312" spans="1:2" x14ac:dyDescent="0.25">
      <c r="A1312" s="27"/>
      <c r="B1312"/>
    </row>
    <row r="1313" spans="1:2" x14ac:dyDescent="0.25">
      <c r="A1313" s="27"/>
      <c r="B1313"/>
    </row>
    <row r="1314" spans="1:2" x14ac:dyDescent="0.25">
      <c r="A1314" s="27"/>
      <c r="B1314"/>
    </row>
    <row r="1315" spans="1:2" x14ac:dyDescent="0.25">
      <c r="A1315" s="27"/>
      <c r="B1315"/>
    </row>
    <row r="1316" spans="1:2" x14ac:dyDescent="0.25">
      <c r="A1316" s="27"/>
      <c r="B1316"/>
    </row>
    <row r="1317" spans="1:2" x14ac:dyDescent="0.25">
      <c r="A1317" s="27"/>
      <c r="B1317"/>
    </row>
    <row r="1318" spans="1:2" x14ac:dyDescent="0.25">
      <c r="A1318" s="27"/>
      <c r="B1318"/>
    </row>
    <row r="1319" spans="1:2" x14ac:dyDescent="0.25">
      <c r="A1319" s="27"/>
      <c r="B1319"/>
    </row>
    <row r="1320" spans="1:2" x14ac:dyDescent="0.25">
      <c r="A1320" s="27"/>
      <c r="B1320"/>
    </row>
    <row r="1321" spans="1:2" x14ac:dyDescent="0.25">
      <c r="A1321" s="27"/>
      <c r="B1321"/>
    </row>
    <row r="1322" spans="1:2" x14ac:dyDescent="0.25">
      <c r="A1322" s="27"/>
      <c r="B1322"/>
    </row>
    <row r="1323" spans="1:2" x14ac:dyDescent="0.25">
      <c r="A1323" s="27"/>
      <c r="B1323"/>
    </row>
    <row r="1324" spans="1:2" x14ac:dyDescent="0.25">
      <c r="A1324" s="27"/>
      <c r="B1324"/>
    </row>
    <row r="1325" spans="1:2" x14ac:dyDescent="0.25">
      <c r="A1325" s="27"/>
      <c r="B1325"/>
    </row>
    <row r="1326" spans="1:2" x14ac:dyDescent="0.25">
      <c r="A1326" s="27"/>
      <c r="B1326"/>
    </row>
    <row r="1327" spans="1:2" x14ac:dyDescent="0.25">
      <c r="A1327" s="27"/>
      <c r="B1327"/>
    </row>
    <row r="1328" spans="1:2" x14ac:dyDescent="0.25">
      <c r="A1328" s="27"/>
      <c r="B1328"/>
    </row>
    <row r="1329" spans="1:2" x14ac:dyDescent="0.25">
      <c r="A1329" s="27"/>
      <c r="B1329"/>
    </row>
    <row r="1330" spans="1:2" x14ac:dyDescent="0.25">
      <c r="A1330" s="27"/>
      <c r="B1330"/>
    </row>
    <row r="1331" spans="1:2" x14ac:dyDescent="0.25">
      <c r="A1331" s="27"/>
      <c r="B1331"/>
    </row>
    <row r="1332" spans="1:2" x14ac:dyDescent="0.25">
      <c r="A1332" s="27"/>
      <c r="B1332"/>
    </row>
    <row r="1333" spans="1:2" x14ac:dyDescent="0.25">
      <c r="A1333" s="27"/>
      <c r="B1333"/>
    </row>
    <row r="1334" spans="1:2" x14ac:dyDescent="0.25">
      <c r="A1334" s="27"/>
      <c r="B1334"/>
    </row>
    <row r="1335" spans="1:2" x14ac:dyDescent="0.25">
      <c r="A1335" s="27"/>
      <c r="B1335"/>
    </row>
    <row r="1336" spans="1:2" x14ac:dyDescent="0.25">
      <c r="A1336" s="27"/>
      <c r="B1336"/>
    </row>
    <row r="1337" spans="1:2" x14ac:dyDescent="0.25">
      <c r="A1337" s="27"/>
      <c r="B1337"/>
    </row>
    <row r="1338" spans="1:2" x14ac:dyDescent="0.25">
      <c r="A1338" s="27"/>
      <c r="B1338"/>
    </row>
    <row r="1339" spans="1:2" x14ac:dyDescent="0.25">
      <c r="A1339" s="27"/>
      <c r="B1339"/>
    </row>
    <row r="1340" spans="1:2" x14ac:dyDescent="0.25">
      <c r="A1340" s="27"/>
      <c r="B1340"/>
    </row>
    <row r="1341" spans="1:2" x14ac:dyDescent="0.25">
      <c r="A1341" s="27"/>
      <c r="B1341"/>
    </row>
    <row r="1342" spans="1:2" x14ac:dyDescent="0.25">
      <c r="A1342" s="27"/>
      <c r="B1342"/>
    </row>
    <row r="1343" spans="1:2" x14ac:dyDescent="0.25">
      <c r="A1343" s="27"/>
      <c r="B1343"/>
    </row>
    <row r="1344" spans="1:2" x14ac:dyDescent="0.25">
      <c r="A1344" s="27"/>
      <c r="B1344"/>
    </row>
    <row r="1345" spans="1:2" x14ac:dyDescent="0.25">
      <c r="A1345" s="27"/>
      <c r="B1345"/>
    </row>
    <row r="1346" spans="1:2" x14ac:dyDescent="0.25">
      <c r="A1346" s="27"/>
      <c r="B1346"/>
    </row>
    <row r="1347" spans="1:2" x14ac:dyDescent="0.25">
      <c r="A1347" s="27"/>
      <c r="B1347"/>
    </row>
    <row r="1348" spans="1:2" x14ac:dyDescent="0.25">
      <c r="A1348" s="27"/>
      <c r="B1348"/>
    </row>
    <row r="1349" spans="1:2" x14ac:dyDescent="0.25">
      <c r="A1349" s="27"/>
      <c r="B1349"/>
    </row>
    <row r="1350" spans="1:2" x14ac:dyDescent="0.25">
      <c r="A1350" s="27"/>
      <c r="B1350"/>
    </row>
    <row r="1351" spans="1:2" x14ac:dyDescent="0.25">
      <c r="A1351" s="27"/>
      <c r="B1351"/>
    </row>
    <row r="1352" spans="1:2" x14ac:dyDescent="0.25">
      <c r="A1352" s="27"/>
      <c r="B1352"/>
    </row>
    <row r="1353" spans="1:2" x14ac:dyDescent="0.25">
      <c r="A1353" s="27"/>
      <c r="B1353"/>
    </row>
    <row r="1354" spans="1:2" x14ac:dyDescent="0.25">
      <c r="A1354" s="27"/>
      <c r="B1354"/>
    </row>
    <row r="1355" spans="1:2" x14ac:dyDescent="0.25">
      <c r="A1355" s="27"/>
      <c r="B1355"/>
    </row>
    <row r="1356" spans="1:2" x14ac:dyDescent="0.25">
      <c r="A1356" s="27"/>
      <c r="B1356"/>
    </row>
    <row r="1357" spans="1:2" x14ac:dyDescent="0.25">
      <c r="A1357" s="27"/>
      <c r="B1357"/>
    </row>
    <row r="1358" spans="1:2" x14ac:dyDescent="0.25">
      <c r="A1358" s="27"/>
      <c r="B1358"/>
    </row>
    <row r="1359" spans="1:2" x14ac:dyDescent="0.25">
      <c r="A1359" s="27"/>
      <c r="B1359"/>
    </row>
    <row r="1360" spans="1:2" x14ac:dyDescent="0.25">
      <c r="A1360" s="27"/>
      <c r="B1360"/>
    </row>
    <row r="1361" spans="1:2" x14ac:dyDescent="0.25">
      <c r="A1361" s="27"/>
      <c r="B1361"/>
    </row>
    <row r="1362" spans="1:2" x14ac:dyDescent="0.25">
      <c r="A1362" s="27"/>
      <c r="B1362"/>
    </row>
    <row r="1363" spans="1:2" x14ac:dyDescent="0.25">
      <c r="A1363" s="27"/>
      <c r="B1363"/>
    </row>
    <row r="1364" spans="1:2" x14ac:dyDescent="0.25">
      <c r="A1364" s="27"/>
      <c r="B1364"/>
    </row>
    <row r="1365" spans="1:2" x14ac:dyDescent="0.25">
      <c r="A1365" s="27"/>
      <c r="B1365"/>
    </row>
    <row r="1366" spans="1:2" x14ac:dyDescent="0.25">
      <c r="A1366" s="27"/>
      <c r="B1366"/>
    </row>
    <row r="1367" spans="1:2" x14ac:dyDescent="0.25">
      <c r="A1367" s="27"/>
      <c r="B1367"/>
    </row>
    <row r="1368" spans="1:2" x14ac:dyDescent="0.25">
      <c r="A1368" s="27"/>
      <c r="B1368"/>
    </row>
    <row r="1369" spans="1:2" x14ac:dyDescent="0.25">
      <c r="A1369" s="27"/>
      <c r="B1369"/>
    </row>
    <row r="1370" spans="1:2" x14ac:dyDescent="0.25">
      <c r="A1370" s="27"/>
      <c r="B1370"/>
    </row>
    <row r="1371" spans="1:2" x14ac:dyDescent="0.25">
      <c r="A1371" s="27"/>
      <c r="B1371"/>
    </row>
    <row r="1372" spans="1:2" x14ac:dyDescent="0.25">
      <c r="A1372" s="27"/>
      <c r="B1372"/>
    </row>
    <row r="1373" spans="1:2" x14ac:dyDescent="0.25">
      <c r="A1373" s="27"/>
      <c r="B1373"/>
    </row>
    <row r="1374" spans="1:2" x14ac:dyDescent="0.25">
      <c r="A1374" s="27"/>
      <c r="B1374"/>
    </row>
    <row r="1375" spans="1:2" x14ac:dyDescent="0.25">
      <c r="A1375" s="27"/>
      <c r="B1375"/>
    </row>
    <row r="1376" spans="1:2" x14ac:dyDescent="0.25">
      <c r="A1376" s="27"/>
      <c r="B1376"/>
    </row>
    <row r="1377" spans="1:2" x14ac:dyDescent="0.25">
      <c r="A1377" s="27"/>
      <c r="B1377"/>
    </row>
    <row r="1378" spans="1:2" x14ac:dyDescent="0.25">
      <c r="A1378" s="27"/>
      <c r="B1378"/>
    </row>
    <row r="1379" spans="1:2" x14ac:dyDescent="0.25">
      <c r="A1379" s="27"/>
      <c r="B1379"/>
    </row>
    <row r="1380" spans="1:2" x14ac:dyDescent="0.25">
      <c r="A1380" s="27"/>
      <c r="B1380"/>
    </row>
    <row r="1381" spans="1:2" x14ac:dyDescent="0.25">
      <c r="A1381" s="27"/>
      <c r="B1381"/>
    </row>
    <row r="1382" spans="1:2" x14ac:dyDescent="0.25">
      <c r="A1382" s="27"/>
      <c r="B1382"/>
    </row>
    <row r="1383" spans="1:2" x14ac:dyDescent="0.25">
      <c r="A1383" s="27"/>
      <c r="B1383"/>
    </row>
    <row r="1384" spans="1:2" x14ac:dyDescent="0.25">
      <c r="A1384" s="27"/>
      <c r="B1384"/>
    </row>
    <row r="1385" spans="1:2" x14ac:dyDescent="0.25">
      <c r="A1385" s="27"/>
      <c r="B1385"/>
    </row>
    <row r="1386" spans="1:2" x14ac:dyDescent="0.25">
      <c r="A1386" s="27"/>
      <c r="B1386"/>
    </row>
    <row r="1387" spans="1:2" x14ac:dyDescent="0.25">
      <c r="A1387" s="27"/>
      <c r="B1387"/>
    </row>
    <row r="1388" spans="1:2" x14ac:dyDescent="0.25">
      <c r="A1388" s="27"/>
      <c r="B1388"/>
    </row>
    <row r="1389" spans="1:2" x14ac:dyDescent="0.25">
      <c r="A1389" s="27"/>
      <c r="B1389"/>
    </row>
    <row r="1390" spans="1:2" x14ac:dyDescent="0.25">
      <c r="A1390" s="27"/>
      <c r="B1390"/>
    </row>
    <row r="1391" spans="1:2" x14ac:dyDescent="0.25">
      <c r="A1391" s="27"/>
      <c r="B1391"/>
    </row>
    <row r="1392" spans="1:2" x14ac:dyDescent="0.25">
      <c r="A1392" s="27"/>
      <c r="B1392"/>
    </row>
    <row r="1393" spans="1:2" x14ac:dyDescent="0.25">
      <c r="A1393" s="27"/>
      <c r="B1393"/>
    </row>
    <row r="1394" spans="1:2" x14ac:dyDescent="0.25">
      <c r="A1394" s="27"/>
      <c r="B1394"/>
    </row>
    <row r="1395" spans="1:2" x14ac:dyDescent="0.25">
      <c r="A1395" s="27"/>
      <c r="B1395"/>
    </row>
    <row r="1396" spans="1:2" x14ac:dyDescent="0.25">
      <c r="A1396" s="27"/>
      <c r="B1396"/>
    </row>
    <row r="1397" spans="1:2" x14ac:dyDescent="0.25">
      <c r="A1397" s="27"/>
      <c r="B1397"/>
    </row>
    <row r="1398" spans="1:2" x14ac:dyDescent="0.25">
      <c r="A1398" s="27"/>
      <c r="B1398"/>
    </row>
    <row r="1399" spans="1:2" x14ac:dyDescent="0.25">
      <c r="A1399" s="27"/>
      <c r="B1399"/>
    </row>
    <row r="1400" spans="1:2" x14ac:dyDescent="0.25">
      <c r="A1400" s="27"/>
      <c r="B1400"/>
    </row>
    <row r="1401" spans="1:2" x14ac:dyDescent="0.25">
      <c r="A1401" s="27"/>
      <c r="B1401"/>
    </row>
    <row r="1402" spans="1:2" x14ac:dyDescent="0.25">
      <c r="A1402" s="27"/>
      <c r="B1402"/>
    </row>
    <row r="1403" spans="1:2" x14ac:dyDescent="0.25">
      <c r="A1403" s="27"/>
      <c r="B1403"/>
    </row>
    <row r="1404" spans="1:2" x14ac:dyDescent="0.25">
      <c r="A1404" s="27"/>
      <c r="B1404"/>
    </row>
    <row r="1405" spans="1:2" x14ac:dyDescent="0.25">
      <c r="A1405" s="27"/>
      <c r="B1405"/>
    </row>
    <row r="1406" spans="1:2" x14ac:dyDescent="0.25">
      <c r="A1406" s="27"/>
      <c r="B1406"/>
    </row>
    <row r="1407" spans="1:2" x14ac:dyDescent="0.25">
      <c r="A1407" s="27"/>
      <c r="B1407"/>
    </row>
    <row r="1408" spans="1:2" x14ac:dyDescent="0.25">
      <c r="A1408" s="27"/>
      <c r="B1408"/>
    </row>
    <row r="1409" spans="1:2" x14ac:dyDescent="0.25">
      <c r="A1409" s="27"/>
      <c r="B1409"/>
    </row>
    <row r="1410" spans="1:2" x14ac:dyDescent="0.25">
      <c r="A1410" s="27"/>
      <c r="B1410"/>
    </row>
    <row r="1411" spans="1:2" x14ac:dyDescent="0.25">
      <c r="A1411" s="27"/>
      <c r="B1411"/>
    </row>
    <row r="1412" spans="1:2" x14ac:dyDescent="0.25">
      <c r="A1412" s="27"/>
      <c r="B1412"/>
    </row>
    <row r="1413" spans="1:2" x14ac:dyDescent="0.25">
      <c r="A1413" s="27"/>
      <c r="B1413"/>
    </row>
    <row r="1414" spans="1:2" x14ac:dyDescent="0.25">
      <c r="A1414" s="27"/>
      <c r="B1414"/>
    </row>
    <row r="1415" spans="1:2" x14ac:dyDescent="0.25">
      <c r="A1415" s="27"/>
      <c r="B1415"/>
    </row>
    <row r="1416" spans="1:2" x14ac:dyDescent="0.25">
      <c r="A1416" s="27"/>
      <c r="B1416"/>
    </row>
    <row r="1417" spans="1:2" x14ac:dyDescent="0.25">
      <c r="A1417" s="27"/>
      <c r="B1417"/>
    </row>
    <row r="1418" spans="1:2" x14ac:dyDescent="0.25">
      <c r="A1418" s="27"/>
      <c r="B1418"/>
    </row>
    <row r="1419" spans="1:2" x14ac:dyDescent="0.25">
      <c r="A1419" s="27"/>
      <c r="B1419"/>
    </row>
    <row r="1420" spans="1:2" x14ac:dyDescent="0.25">
      <c r="A1420" s="27"/>
      <c r="B1420"/>
    </row>
    <row r="1421" spans="1:2" x14ac:dyDescent="0.25">
      <c r="A1421" s="27"/>
      <c r="B1421"/>
    </row>
    <row r="1422" spans="1:2" x14ac:dyDescent="0.25">
      <c r="A1422" s="27"/>
      <c r="B1422"/>
    </row>
    <row r="1423" spans="1:2" x14ac:dyDescent="0.25">
      <c r="A1423" s="27"/>
      <c r="B1423"/>
    </row>
    <row r="1424" spans="1:2" x14ac:dyDescent="0.25">
      <c r="A1424" s="27"/>
      <c r="B1424"/>
    </row>
    <row r="1425" spans="1:2" x14ac:dyDescent="0.25">
      <c r="A1425" s="27"/>
      <c r="B1425"/>
    </row>
    <row r="1426" spans="1:2" x14ac:dyDescent="0.25">
      <c r="A1426" s="27"/>
      <c r="B1426"/>
    </row>
    <row r="1427" spans="1:2" x14ac:dyDescent="0.25">
      <c r="A1427" s="27"/>
      <c r="B1427"/>
    </row>
    <row r="1428" spans="1:2" x14ac:dyDescent="0.25">
      <c r="A1428" s="27"/>
      <c r="B1428"/>
    </row>
    <row r="1429" spans="1:2" x14ac:dyDescent="0.25">
      <c r="A1429" s="27"/>
      <c r="B1429"/>
    </row>
    <row r="1430" spans="1:2" x14ac:dyDescent="0.25">
      <c r="A1430" s="27"/>
      <c r="B1430"/>
    </row>
    <row r="1431" spans="1:2" x14ac:dyDescent="0.25">
      <c r="A1431" s="27"/>
      <c r="B1431"/>
    </row>
    <row r="1432" spans="1:2" x14ac:dyDescent="0.25">
      <c r="A1432" s="27"/>
      <c r="B1432"/>
    </row>
    <row r="1433" spans="1:2" x14ac:dyDescent="0.25">
      <c r="A1433" s="27"/>
      <c r="B1433"/>
    </row>
    <row r="1434" spans="1:2" x14ac:dyDescent="0.25">
      <c r="A1434" s="27"/>
      <c r="B1434"/>
    </row>
    <row r="1435" spans="1:2" x14ac:dyDescent="0.25">
      <c r="A1435" s="27"/>
      <c r="B1435"/>
    </row>
    <row r="1436" spans="1:2" x14ac:dyDescent="0.25">
      <c r="A1436" s="27"/>
      <c r="B1436"/>
    </row>
    <row r="1437" spans="1:2" x14ac:dyDescent="0.25">
      <c r="A1437" s="27"/>
      <c r="B1437"/>
    </row>
    <row r="1438" spans="1:2" x14ac:dyDescent="0.25">
      <c r="A1438" s="27"/>
      <c r="B1438"/>
    </row>
    <row r="1439" spans="1:2" x14ac:dyDescent="0.25">
      <c r="A1439" s="27"/>
      <c r="B1439"/>
    </row>
    <row r="1440" spans="1:2" x14ac:dyDescent="0.25">
      <c r="A1440" s="27"/>
      <c r="B1440"/>
    </row>
    <row r="1441" spans="1:2" x14ac:dyDescent="0.25">
      <c r="A1441" s="27"/>
      <c r="B1441"/>
    </row>
    <row r="1442" spans="1:2" x14ac:dyDescent="0.25">
      <c r="A1442" s="27"/>
      <c r="B1442"/>
    </row>
    <row r="1443" spans="1:2" x14ac:dyDescent="0.25">
      <c r="A1443" s="27"/>
      <c r="B1443"/>
    </row>
    <row r="1444" spans="1:2" x14ac:dyDescent="0.25">
      <c r="A1444" s="27"/>
      <c r="B1444"/>
    </row>
    <row r="1445" spans="1:2" x14ac:dyDescent="0.25">
      <c r="A1445" s="27"/>
      <c r="B1445"/>
    </row>
    <row r="1446" spans="1:2" x14ac:dyDescent="0.25">
      <c r="A1446" s="27"/>
      <c r="B1446"/>
    </row>
    <row r="1447" spans="1:2" x14ac:dyDescent="0.25">
      <c r="A1447" s="27"/>
      <c r="B1447"/>
    </row>
    <row r="1448" spans="1:2" x14ac:dyDescent="0.25">
      <c r="A1448" s="27"/>
      <c r="B1448"/>
    </row>
    <row r="1449" spans="1:2" x14ac:dyDescent="0.25">
      <c r="A1449" s="27"/>
      <c r="B1449"/>
    </row>
    <row r="1450" spans="1:2" x14ac:dyDescent="0.25">
      <c r="A1450" s="27"/>
      <c r="B1450"/>
    </row>
    <row r="1451" spans="1:2" x14ac:dyDescent="0.25">
      <c r="A1451" s="27"/>
      <c r="B1451"/>
    </row>
    <row r="1452" spans="1:2" x14ac:dyDescent="0.25">
      <c r="A1452" s="27"/>
      <c r="B1452"/>
    </row>
    <row r="1453" spans="1:2" x14ac:dyDescent="0.25">
      <c r="A1453" s="27"/>
      <c r="B1453"/>
    </row>
    <row r="1454" spans="1:2" x14ac:dyDescent="0.25">
      <c r="A1454" s="27"/>
      <c r="B1454"/>
    </row>
    <row r="1455" spans="1:2" x14ac:dyDescent="0.25">
      <c r="A1455" s="27"/>
      <c r="B1455"/>
    </row>
    <row r="1456" spans="1:2" x14ac:dyDescent="0.25">
      <c r="A1456" s="27"/>
      <c r="B1456"/>
    </row>
    <row r="1457" spans="1:2" x14ac:dyDescent="0.25">
      <c r="A1457" s="27"/>
      <c r="B1457"/>
    </row>
    <row r="1458" spans="1:2" x14ac:dyDescent="0.25">
      <c r="A1458" s="27"/>
      <c r="B1458"/>
    </row>
    <row r="1459" spans="1:2" x14ac:dyDescent="0.25">
      <c r="A1459" s="27"/>
      <c r="B1459"/>
    </row>
    <row r="1460" spans="1:2" x14ac:dyDescent="0.25">
      <c r="A1460" s="27"/>
      <c r="B1460"/>
    </row>
    <row r="1461" spans="1:2" x14ac:dyDescent="0.25">
      <c r="A1461" s="27"/>
      <c r="B1461"/>
    </row>
    <row r="1462" spans="1:2" x14ac:dyDescent="0.25">
      <c r="A1462" s="27"/>
      <c r="B1462"/>
    </row>
    <row r="1463" spans="1:2" x14ac:dyDescent="0.25">
      <c r="A1463" s="27"/>
      <c r="B1463"/>
    </row>
    <row r="1464" spans="1:2" x14ac:dyDescent="0.25">
      <c r="A1464" s="27"/>
      <c r="B1464"/>
    </row>
    <row r="1465" spans="1:2" x14ac:dyDescent="0.25">
      <c r="A1465" s="27"/>
      <c r="B1465"/>
    </row>
    <row r="1466" spans="1:2" x14ac:dyDescent="0.25">
      <c r="A1466" s="27"/>
      <c r="B1466"/>
    </row>
    <row r="1467" spans="1:2" x14ac:dyDescent="0.25">
      <c r="A1467" s="27"/>
      <c r="B1467"/>
    </row>
    <row r="1468" spans="1:2" x14ac:dyDescent="0.25">
      <c r="A1468" s="27"/>
      <c r="B1468"/>
    </row>
    <row r="1469" spans="1:2" x14ac:dyDescent="0.25">
      <c r="A1469" s="27"/>
      <c r="B1469"/>
    </row>
    <row r="1470" spans="1:2" x14ac:dyDescent="0.25">
      <c r="A1470" s="27"/>
      <c r="B1470"/>
    </row>
    <row r="1471" spans="1:2" x14ac:dyDescent="0.25">
      <c r="A1471" s="27"/>
      <c r="B1471"/>
    </row>
    <row r="1472" spans="1:2" x14ac:dyDescent="0.25">
      <c r="A1472" s="27"/>
      <c r="B1472"/>
    </row>
    <row r="1473" spans="1:2" x14ac:dyDescent="0.25">
      <c r="A1473" s="27"/>
      <c r="B1473"/>
    </row>
    <row r="1474" spans="1:2" x14ac:dyDescent="0.25">
      <c r="A1474" s="27"/>
      <c r="B1474"/>
    </row>
    <row r="1475" spans="1:2" x14ac:dyDescent="0.25">
      <c r="A1475" s="27"/>
      <c r="B1475"/>
    </row>
    <row r="1476" spans="1:2" x14ac:dyDescent="0.25">
      <c r="A1476" s="27"/>
      <c r="B1476"/>
    </row>
    <row r="1477" spans="1:2" x14ac:dyDescent="0.25">
      <c r="A1477" s="27"/>
      <c r="B1477"/>
    </row>
    <row r="1478" spans="1:2" x14ac:dyDescent="0.25">
      <c r="A1478" s="27"/>
      <c r="B1478"/>
    </row>
    <row r="1479" spans="1:2" x14ac:dyDescent="0.25">
      <c r="A1479" s="27"/>
      <c r="B1479"/>
    </row>
    <row r="1480" spans="1:2" x14ac:dyDescent="0.25">
      <c r="A1480" s="27"/>
      <c r="B1480"/>
    </row>
    <row r="1481" spans="1:2" x14ac:dyDescent="0.25">
      <c r="A1481" s="27"/>
      <c r="B1481"/>
    </row>
    <row r="1482" spans="1:2" x14ac:dyDescent="0.25">
      <c r="A1482" s="27"/>
      <c r="B1482"/>
    </row>
    <row r="1483" spans="1:2" x14ac:dyDescent="0.25">
      <c r="A1483" s="27"/>
      <c r="B1483"/>
    </row>
    <row r="1484" spans="1:2" x14ac:dyDescent="0.25">
      <c r="A1484" s="27"/>
      <c r="B1484"/>
    </row>
    <row r="1485" spans="1:2" x14ac:dyDescent="0.25">
      <c r="A1485" s="27"/>
      <c r="B1485"/>
    </row>
    <row r="1486" spans="1:2" x14ac:dyDescent="0.25">
      <c r="A1486" s="27"/>
      <c r="B1486"/>
    </row>
    <row r="1487" spans="1:2" x14ac:dyDescent="0.25">
      <c r="A1487" s="27"/>
      <c r="B1487"/>
    </row>
    <row r="1488" spans="1:2" x14ac:dyDescent="0.25">
      <c r="A1488" s="27"/>
      <c r="B1488"/>
    </row>
    <row r="1489" spans="1:2" x14ac:dyDescent="0.25">
      <c r="A1489" s="27"/>
      <c r="B1489"/>
    </row>
    <row r="1490" spans="1:2" x14ac:dyDescent="0.25">
      <c r="A1490" s="27"/>
      <c r="B1490"/>
    </row>
    <row r="1491" spans="1:2" x14ac:dyDescent="0.25">
      <c r="A1491" s="27"/>
      <c r="B1491"/>
    </row>
    <row r="1492" spans="1:2" x14ac:dyDescent="0.25">
      <c r="A1492" s="27"/>
      <c r="B1492"/>
    </row>
    <row r="1493" spans="1:2" x14ac:dyDescent="0.25">
      <c r="A1493" s="27"/>
      <c r="B1493"/>
    </row>
    <row r="1494" spans="1:2" x14ac:dyDescent="0.25">
      <c r="A1494" s="27"/>
      <c r="B1494"/>
    </row>
    <row r="1495" spans="1:2" x14ac:dyDescent="0.25">
      <c r="A1495" s="27"/>
      <c r="B1495"/>
    </row>
    <row r="1496" spans="1:2" x14ac:dyDescent="0.25">
      <c r="A1496" s="27"/>
      <c r="B1496"/>
    </row>
    <row r="1497" spans="1:2" x14ac:dyDescent="0.25">
      <c r="A1497" s="27"/>
      <c r="B1497"/>
    </row>
    <row r="1498" spans="1:2" x14ac:dyDescent="0.25">
      <c r="A1498" s="27"/>
      <c r="B1498"/>
    </row>
    <row r="1499" spans="1:2" x14ac:dyDescent="0.25">
      <c r="A1499" s="27"/>
      <c r="B1499"/>
    </row>
    <row r="1500" spans="1:2" x14ac:dyDescent="0.25">
      <c r="A1500" s="27"/>
      <c r="B1500"/>
    </row>
    <row r="1501" spans="1:2" x14ac:dyDescent="0.25">
      <c r="A1501" s="27"/>
      <c r="B1501"/>
    </row>
    <row r="1502" spans="1:2" x14ac:dyDescent="0.25">
      <c r="A1502" s="27"/>
      <c r="B1502"/>
    </row>
    <row r="1503" spans="1:2" x14ac:dyDescent="0.25">
      <c r="A1503" s="27"/>
      <c r="B1503"/>
    </row>
    <row r="1504" spans="1:2" x14ac:dyDescent="0.25">
      <c r="A1504" s="27"/>
      <c r="B1504"/>
    </row>
    <row r="1505" spans="1:2" x14ac:dyDescent="0.25">
      <c r="A1505" s="27"/>
      <c r="B1505"/>
    </row>
    <row r="1506" spans="1:2" x14ac:dyDescent="0.25">
      <c r="A1506" s="27"/>
      <c r="B1506"/>
    </row>
    <row r="1507" spans="1:2" x14ac:dyDescent="0.25">
      <c r="A1507" s="27"/>
      <c r="B1507"/>
    </row>
    <row r="1508" spans="1:2" x14ac:dyDescent="0.25">
      <c r="A1508" s="27"/>
      <c r="B1508"/>
    </row>
    <row r="1509" spans="1:2" x14ac:dyDescent="0.25">
      <c r="A1509" s="27"/>
      <c r="B1509"/>
    </row>
    <row r="1510" spans="1:2" x14ac:dyDescent="0.25">
      <c r="A1510" s="27"/>
      <c r="B1510"/>
    </row>
    <row r="1511" spans="1:2" x14ac:dyDescent="0.25">
      <c r="A1511" s="27"/>
      <c r="B1511"/>
    </row>
    <row r="1512" spans="1:2" x14ac:dyDescent="0.25">
      <c r="A1512" s="27"/>
      <c r="B1512"/>
    </row>
    <row r="1513" spans="1:2" x14ac:dyDescent="0.25">
      <c r="A1513" s="27"/>
      <c r="B1513"/>
    </row>
    <row r="1514" spans="1:2" x14ac:dyDescent="0.25">
      <c r="A1514" s="27"/>
      <c r="B1514"/>
    </row>
    <row r="1515" spans="1:2" x14ac:dyDescent="0.25">
      <c r="A1515" s="27"/>
      <c r="B1515"/>
    </row>
    <row r="1516" spans="1:2" x14ac:dyDescent="0.25">
      <c r="A1516" s="27"/>
      <c r="B1516"/>
    </row>
    <row r="1517" spans="1:2" x14ac:dyDescent="0.25">
      <c r="A1517" s="27"/>
      <c r="B1517"/>
    </row>
    <row r="1518" spans="1:2" x14ac:dyDescent="0.25">
      <c r="A1518" s="27"/>
      <c r="B1518"/>
    </row>
    <row r="1519" spans="1:2" x14ac:dyDescent="0.25">
      <c r="A1519" s="27"/>
      <c r="B1519"/>
    </row>
    <row r="1520" spans="1:2" x14ac:dyDescent="0.25">
      <c r="A1520" s="27"/>
      <c r="B1520"/>
    </row>
    <row r="1521" spans="1:2" x14ac:dyDescent="0.25">
      <c r="A1521" s="27"/>
      <c r="B1521"/>
    </row>
    <row r="1522" spans="1:2" x14ac:dyDescent="0.25">
      <c r="A1522" s="27"/>
      <c r="B1522"/>
    </row>
    <row r="1523" spans="1:2" x14ac:dyDescent="0.25">
      <c r="A1523" s="27"/>
      <c r="B1523"/>
    </row>
    <row r="1524" spans="1:2" x14ac:dyDescent="0.25">
      <c r="A1524" s="27"/>
      <c r="B1524"/>
    </row>
    <row r="1525" spans="1:2" x14ac:dyDescent="0.25">
      <c r="A1525" s="27"/>
      <c r="B1525"/>
    </row>
    <row r="1526" spans="1:2" x14ac:dyDescent="0.25">
      <c r="A1526" s="27"/>
      <c r="B1526"/>
    </row>
    <row r="1527" spans="1:2" x14ac:dyDescent="0.25">
      <c r="A1527" s="27"/>
      <c r="B1527"/>
    </row>
    <row r="1528" spans="1:2" x14ac:dyDescent="0.25">
      <c r="A1528" s="27"/>
      <c r="B1528"/>
    </row>
    <row r="1529" spans="1:2" x14ac:dyDescent="0.25">
      <c r="A1529" s="27"/>
      <c r="B1529"/>
    </row>
    <row r="1530" spans="1:2" x14ac:dyDescent="0.25">
      <c r="A1530" s="27"/>
      <c r="B1530"/>
    </row>
    <row r="1531" spans="1:2" x14ac:dyDescent="0.25">
      <c r="A1531" s="27"/>
      <c r="B1531"/>
    </row>
    <row r="1532" spans="1:2" x14ac:dyDescent="0.25">
      <c r="A1532" s="27"/>
      <c r="B1532"/>
    </row>
    <row r="1533" spans="1:2" x14ac:dyDescent="0.25">
      <c r="A1533" s="27"/>
      <c r="B1533"/>
    </row>
    <row r="1534" spans="1:2" x14ac:dyDescent="0.25">
      <c r="A1534" s="27"/>
      <c r="B1534"/>
    </row>
    <row r="1535" spans="1:2" x14ac:dyDescent="0.25">
      <c r="A1535" s="27"/>
      <c r="B1535"/>
    </row>
    <row r="1536" spans="1:2" x14ac:dyDescent="0.25">
      <c r="A1536" s="27"/>
      <c r="B1536"/>
    </row>
    <row r="1537" spans="1:2" x14ac:dyDescent="0.25">
      <c r="A1537" s="27"/>
      <c r="B1537"/>
    </row>
    <row r="1538" spans="1:2" x14ac:dyDescent="0.25">
      <c r="A1538" s="27"/>
      <c r="B1538"/>
    </row>
    <row r="1539" spans="1:2" x14ac:dyDescent="0.25">
      <c r="A1539" s="27"/>
      <c r="B1539"/>
    </row>
    <row r="1540" spans="1:2" x14ac:dyDescent="0.25">
      <c r="A1540" s="27"/>
      <c r="B1540"/>
    </row>
    <row r="1541" spans="1:2" x14ac:dyDescent="0.25">
      <c r="A1541" s="27"/>
      <c r="B1541"/>
    </row>
    <row r="1542" spans="1:2" x14ac:dyDescent="0.25">
      <c r="A1542" s="27"/>
      <c r="B1542"/>
    </row>
    <row r="1543" spans="1:2" x14ac:dyDescent="0.25">
      <c r="A1543" s="27"/>
      <c r="B1543"/>
    </row>
    <row r="1544" spans="1:2" x14ac:dyDescent="0.25">
      <c r="A1544" s="27"/>
      <c r="B1544"/>
    </row>
    <row r="1545" spans="1:2" x14ac:dyDescent="0.25">
      <c r="A1545" s="27"/>
      <c r="B1545"/>
    </row>
    <row r="1546" spans="1:2" x14ac:dyDescent="0.25">
      <c r="A1546" s="27"/>
      <c r="B1546"/>
    </row>
    <row r="1547" spans="1:2" x14ac:dyDescent="0.25">
      <c r="A1547" s="27"/>
      <c r="B1547"/>
    </row>
    <row r="1548" spans="1:2" x14ac:dyDescent="0.25">
      <c r="A1548" s="27"/>
      <c r="B1548"/>
    </row>
    <row r="1549" spans="1:2" x14ac:dyDescent="0.25">
      <c r="A1549" s="27"/>
      <c r="B1549"/>
    </row>
    <row r="1550" spans="1:2" x14ac:dyDescent="0.25">
      <c r="A1550" s="27"/>
      <c r="B1550"/>
    </row>
    <row r="1551" spans="1:2" x14ac:dyDescent="0.25">
      <c r="A1551" s="27"/>
      <c r="B1551"/>
    </row>
    <row r="1552" spans="1:2" x14ac:dyDescent="0.25">
      <c r="A1552" s="27"/>
      <c r="B1552"/>
    </row>
    <row r="1553" spans="1:2" x14ac:dyDescent="0.25">
      <c r="A1553" s="27"/>
      <c r="B1553"/>
    </row>
    <row r="1554" spans="1:2" x14ac:dyDescent="0.25">
      <c r="A1554" s="27"/>
      <c r="B1554"/>
    </row>
    <row r="1555" spans="1:2" x14ac:dyDescent="0.25">
      <c r="A1555" s="27"/>
      <c r="B1555"/>
    </row>
    <row r="1556" spans="1:2" x14ac:dyDescent="0.25">
      <c r="A1556" s="27"/>
      <c r="B1556"/>
    </row>
    <row r="1557" spans="1:2" x14ac:dyDescent="0.25">
      <c r="A1557" s="27"/>
      <c r="B1557"/>
    </row>
    <row r="1558" spans="1:2" x14ac:dyDescent="0.25">
      <c r="A1558" s="27"/>
      <c r="B1558"/>
    </row>
    <row r="1559" spans="1:2" x14ac:dyDescent="0.25">
      <c r="A1559" s="27"/>
      <c r="B1559"/>
    </row>
    <row r="1560" spans="1:2" x14ac:dyDescent="0.25">
      <c r="A1560" s="27"/>
      <c r="B1560"/>
    </row>
    <row r="1561" spans="1:2" x14ac:dyDescent="0.25">
      <c r="A1561" s="27"/>
      <c r="B1561"/>
    </row>
    <row r="1562" spans="1:2" x14ac:dyDescent="0.25">
      <c r="A1562" s="27"/>
      <c r="B1562"/>
    </row>
    <row r="1563" spans="1:2" x14ac:dyDescent="0.25">
      <c r="A1563" s="27"/>
      <c r="B1563"/>
    </row>
    <row r="1564" spans="1:2" x14ac:dyDescent="0.25">
      <c r="A1564" s="27"/>
      <c r="B1564"/>
    </row>
    <row r="1565" spans="1:2" x14ac:dyDescent="0.25">
      <c r="A1565" s="27"/>
      <c r="B1565"/>
    </row>
    <row r="1566" spans="1:2" x14ac:dyDescent="0.25">
      <c r="A1566" s="27"/>
      <c r="B1566"/>
    </row>
    <row r="1567" spans="1:2" x14ac:dyDescent="0.25">
      <c r="A1567" s="27"/>
      <c r="B1567"/>
    </row>
    <row r="1568" spans="1:2" x14ac:dyDescent="0.25">
      <c r="A1568" s="27"/>
      <c r="B1568"/>
    </row>
    <row r="1569" spans="1:2" x14ac:dyDescent="0.25">
      <c r="A1569" s="27"/>
      <c r="B1569"/>
    </row>
    <row r="1570" spans="1:2" x14ac:dyDescent="0.25">
      <c r="A1570" s="27"/>
      <c r="B1570"/>
    </row>
    <row r="1571" spans="1:2" x14ac:dyDescent="0.25">
      <c r="A1571" s="27"/>
      <c r="B1571"/>
    </row>
    <row r="1572" spans="1:2" x14ac:dyDescent="0.25">
      <c r="A1572" s="27"/>
      <c r="B1572"/>
    </row>
    <row r="1573" spans="1:2" x14ac:dyDescent="0.25">
      <c r="A1573" s="27"/>
      <c r="B1573"/>
    </row>
    <row r="1574" spans="1:2" x14ac:dyDescent="0.25">
      <c r="A1574" s="27"/>
      <c r="B1574"/>
    </row>
    <row r="1575" spans="1:2" x14ac:dyDescent="0.25">
      <c r="A1575" s="27"/>
      <c r="B1575"/>
    </row>
    <row r="1576" spans="1:2" x14ac:dyDescent="0.25">
      <c r="A1576" s="27"/>
      <c r="B1576"/>
    </row>
    <row r="1577" spans="1:2" x14ac:dyDescent="0.25">
      <c r="A1577" s="27"/>
      <c r="B1577"/>
    </row>
  </sheetData>
  <autoFilter ref="E1:E1006" xr:uid="{00000000-0001-0000-0000-000000000000}"/>
  <phoneticPr fontId="13" type="noConversion"/>
  <conditionalFormatting sqref="A2:A1012">
    <cfRule type="duplicateValues" dxfId="216" priority="29"/>
  </conditionalFormatting>
  <conditionalFormatting sqref="A898:A899">
    <cfRule type="duplicateValues" dxfId="215" priority="89"/>
  </conditionalFormatting>
  <conditionalFormatting sqref="A901 A903 A905 A907 A909 A911 A913 A915 A917">
    <cfRule type="duplicateValues" dxfId="214" priority="84"/>
  </conditionalFormatting>
  <conditionalFormatting sqref="A920">
    <cfRule type="duplicateValues" dxfId="213" priority="83"/>
  </conditionalFormatting>
  <conditionalFormatting sqref="A921:A922">
    <cfRule type="duplicateValues" dxfId="212" priority="82"/>
  </conditionalFormatting>
  <conditionalFormatting sqref="A923">
    <cfRule type="duplicateValues" dxfId="211" priority="81"/>
    <cfRule type="duplicateValues" dxfId="210" priority="80"/>
  </conditionalFormatting>
  <conditionalFormatting sqref="A933">
    <cfRule type="duplicateValues" dxfId="209" priority="79"/>
  </conditionalFormatting>
  <conditionalFormatting sqref="A934:A936">
    <cfRule type="duplicateValues" dxfId="208" priority="78"/>
    <cfRule type="duplicateValues" dxfId="207" priority="77"/>
  </conditionalFormatting>
  <conditionalFormatting sqref="A937">
    <cfRule type="duplicateValues" dxfId="206" priority="76"/>
  </conditionalFormatting>
  <conditionalFormatting sqref="A938:A939">
    <cfRule type="duplicateValues" dxfId="205" priority="75"/>
  </conditionalFormatting>
  <conditionalFormatting sqref="A940">
    <cfRule type="duplicateValues" dxfId="204" priority="74"/>
  </conditionalFormatting>
  <conditionalFormatting sqref="A942:A944">
    <cfRule type="duplicateValues" dxfId="203" priority="73"/>
  </conditionalFormatting>
  <conditionalFormatting sqref="A946:A986">
    <cfRule type="duplicateValues" dxfId="202" priority="72"/>
  </conditionalFormatting>
  <conditionalFormatting sqref="A987">
    <cfRule type="duplicateValues" dxfId="201" priority="102"/>
  </conditionalFormatting>
  <conditionalFormatting sqref="A989">
    <cfRule type="duplicateValues" dxfId="200" priority="69"/>
  </conditionalFormatting>
  <conditionalFormatting sqref="A990">
    <cfRule type="duplicateValues" dxfId="199" priority="68"/>
  </conditionalFormatting>
  <conditionalFormatting sqref="A991">
    <cfRule type="duplicateValues" dxfId="198" priority="67"/>
  </conditionalFormatting>
  <conditionalFormatting sqref="A994">
    <cfRule type="duplicateValues" dxfId="197" priority="66"/>
  </conditionalFormatting>
  <conditionalFormatting sqref="A995:A996">
    <cfRule type="duplicateValues" dxfId="196" priority="65"/>
  </conditionalFormatting>
  <conditionalFormatting sqref="A997:A998">
    <cfRule type="duplicateValues" dxfId="195" priority="64"/>
  </conditionalFormatting>
  <conditionalFormatting sqref="A999">
    <cfRule type="duplicateValues" dxfId="194" priority="63"/>
  </conditionalFormatting>
  <conditionalFormatting sqref="A1000:A1001">
    <cfRule type="duplicateValues" dxfId="193" priority="62"/>
  </conditionalFormatting>
  <conditionalFormatting sqref="A1002">
    <cfRule type="duplicateValues" dxfId="192" priority="61"/>
  </conditionalFormatting>
  <conditionalFormatting sqref="A1004:A1006">
    <cfRule type="duplicateValues" dxfId="191" priority="60"/>
  </conditionalFormatting>
  <conditionalFormatting sqref="A1008:A1010">
    <cfRule type="duplicateValues" dxfId="190" priority="106"/>
  </conditionalFormatting>
  <conditionalFormatting sqref="A1011">
    <cfRule type="duplicateValues" dxfId="189" priority="27"/>
    <cfRule type="duplicateValues" dxfId="188" priority="28"/>
  </conditionalFormatting>
  <conditionalFormatting sqref="A1012">
    <cfRule type="duplicateValues" dxfId="187" priority="26"/>
  </conditionalFormatting>
  <conditionalFormatting sqref="A1013">
    <cfRule type="duplicateValues" dxfId="186" priority="25"/>
  </conditionalFormatting>
  <conditionalFormatting sqref="A1014">
    <cfRule type="duplicateValues" dxfId="185" priority="24"/>
  </conditionalFormatting>
  <conditionalFormatting sqref="A1015:A1016">
    <cfRule type="duplicateValues" dxfId="184" priority="23"/>
  </conditionalFormatting>
  <conditionalFormatting sqref="A1017 A1:A1007 A1029 A1034 A1036 A1047:A1048576">
    <cfRule type="duplicateValues" dxfId="183" priority="71"/>
    <cfRule type="duplicateValues" dxfId="182" priority="88"/>
    <cfRule type="duplicateValues" dxfId="181" priority="92"/>
  </conditionalFormatting>
  <conditionalFormatting sqref="A1018">
    <cfRule type="duplicateValues" dxfId="180" priority="22"/>
  </conditionalFormatting>
  <conditionalFormatting sqref="A1019">
    <cfRule type="duplicateValues" dxfId="179" priority="21"/>
  </conditionalFormatting>
  <conditionalFormatting sqref="A1020">
    <cfRule type="duplicateValues" dxfId="178" priority="20"/>
  </conditionalFormatting>
  <conditionalFormatting sqref="A1021">
    <cfRule type="duplicateValues" dxfId="177" priority="19"/>
  </conditionalFormatting>
  <conditionalFormatting sqref="A1022:A1023">
    <cfRule type="duplicateValues" dxfId="176" priority="18"/>
  </conditionalFormatting>
  <conditionalFormatting sqref="A1025:A1034">
    <cfRule type="duplicateValues" dxfId="175" priority="17"/>
  </conditionalFormatting>
  <conditionalFormatting sqref="A1026:A1027">
    <cfRule type="duplicateValues" dxfId="174" priority="16"/>
  </conditionalFormatting>
  <conditionalFormatting sqref="A1028">
    <cfRule type="duplicateValues" dxfId="173" priority="15"/>
  </conditionalFormatting>
  <conditionalFormatting sqref="A1030">
    <cfRule type="duplicateValues" dxfId="172" priority="14"/>
  </conditionalFormatting>
  <conditionalFormatting sqref="A1031">
    <cfRule type="duplicateValues" dxfId="171" priority="13"/>
  </conditionalFormatting>
  <conditionalFormatting sqref="A1032">
    <cfRule type="duplicateValues" dxfId="170" priority="12"/>
  </conditionalFormatting>
  <conditionalFormatting sqref="A1033">
    <cfRule type="duplicateValues" dxfId="169" priority="11"/>
  </conditionalFormatting>
  <conditionalFormatting sqref="A1035">
    <cfRule type="duplicateValues" dxfId="168" priority="10"/>
  </conditionalFormatting>
  <conditionalFormatting sqref="A1037">
    <cfRule type="duplicateValues" dxfId="167" priority="9"/>
  </conditionalFormatting>
  <conditionalFormatting sqref="A1038:A1039">
    <cfRule type="duplicateValues" dxfId="166" priority="8"/>
  </conditionalFormatting>
  <conditionalFormatting sqref="A1040">
    <cfRule type="duplicateValues" dxfId="165" priority="7"/>
  </conditionalFormatting>
  <conditionalFormatting sqref="A1042">
    <cfRule type="duplicateValues" dxfId="164" priority="5"/>
  </conditionalFormatting>
  <conditionalFormatting sqref="A1043">
    <cfRule type="duplicateValues" dxfId="163" priority="4"/>
  </conditionalFormatting>
  <conditionalFormatting sqref="A1044">
    <cfRule type="duplicateValues" dxfId="162" priority="3"/>
  </conditionalFormatting>
  <conditionalFormatting sqref="A1045">
    <cfRule type="duplicateValues" dxfId="161" priority="2"/>
  </conditionalFormatting>
  <conditionalFormatting sqref="A1046">
    <cfRule type="duplicateValues" dxfId="160" priority="1"/>
  </conditionalFormatting>
  <conditionalFormatting sqref="B1041">
    <cfRule type="duplicateValues" dxfId="159" priority="6"/>
  </conditionalFormatting>
  <conditionalFormatting sqref="E2:E1046">
    <cfRule type="duplicateValues" dxfId="158" priority="58"/>
    <cfRule type="duplicateValues" dxfId="157" priority="42"/>
    <cfRule type="duplicateValues" dxfId="156" priority="56"/>
  </conditionalFormatting>
  <conditionalFormatting sqref="E898:E899">
    <cfRule type="duplicateValues" dxfId="155" priority="57"/>
  </conditionalFormatting>
  <conditionalFormatting sqref="E901 E903 E905 E907 E909 E911 E913 E915 E917">
    <cfRule type="duplicateValues" dxfId="154" priority="55"/>
  </conditionalFormatting>
  <conditionalFormatting sqref="E920">
    <cfRule type="duplicateValues" dxfId="153" priority="54"/>
  </conditionalFormatting>
  <conditionalFormatting sqref="E921:E922">
    <cfRule type="duplicateValues" dxfId="152" priority="53"/>
  </conditionalFormatting>
  <conditionalFormatting sqref="E923">
    <cfRule type="duplicateValues" dxfId="151" priority="51"/>
    <cfRule type="duplicateValues" dxfId="150" priority="52"/>
  </conditionalFormatting>
  <conditionalFormatting sqref="E933">
    <cfRule type="duplicateValues" dxfId="149" priority="50"/>
  </conditionalFormatting>
  <conditionalFormatting sqref="E934:E936">
    <cfRule type="duplicateValues" dxfId="148" priority="48"/>
    <cfRule type="duplicateValues" dxfId="147" priority="49"/>
  </conditionalFormatting>
  <conditionalFormatting sqref="E937">
    <cfRule type="duplicateValues" dxfId="146" priority="47"/>
  </conditionalFormatting>
  <conditionalFormatting sqref="E938:E939">
    <cfRule type="duplicateValues" dxfId="145" priority="46"/>
  </conditionalFormatting>
  <conditionalFormatting sqref="E940">
    <cfRule type="duplicateValues" dxfId="144" priority="45"/>
  </conditionalFormatting>
  <conditionalFormatting sqref="E942:E944">
    <cfRule type="duplicateValues" dxfId="143" priority="44"/>
  </conditionalFormatting>
  <conditionalFormatting sqref="E946:E986">
    <cfRule type="duplicateValues" dxfId="142" priority="43"/>
  </conditionalFormatting>
  <conditionalFormatting sqref="E987">
    <cfRule type="duplicateValues" dxfId="141" priority="59"/>
  </conditionalFormatting>
  <conditionalFormatting sqref="E989">
    <cfRule type="duplicateValues" dxfId="140" priority="41"/>
  </conditionalFormatting>
  <conditionalFormatting sqref="E990">
    <cfRule type="duplicateValues" dxfId="139" priority="40"/>
  </conditionalFormatting>
  <conditionalFormatting sqref="E991">
    <cfRule type="duplicateValues" dxfId="138" priority="39"/>
  </conditionalFormatting>
  <conditionalFormatting sqref="E994">
    <cfRule type="duplicateValues" dxfId="137" priority="38"/>
  </conditionalFormatting>
  <conditionalFormatting sqref="E995:E996">
    <cfRule type="duplicateValues" dxfId="136" priority="37"/>
  </conditionalFormatting>
  <conditionalFormatting sqref="E997:E998">
    <cfRule type="duplicateValues" dxfId="135" priority="36"/>
  </conditionalFormatting>
  <conditionalFormatting sqref="E999">
    <cfRule type="duplicateValues" dxfId="134" priority="35"/>
  </conditionalFormatting>
  <conditionalFormatting sqref="E1000:E1001">
    <cfRule type="duplicateValues" dxfId="133" priority="34"/>
  </conditionalFormatting>
  <conditionalFormatting sqref="E1002">
    <cfRule type="duplicateValues" dxfId="132" priority="33"/>
  </conditionalFormatting>
  <conditionalFormatting sqref="E1004:E1046">
    <cfRule type="duplicateValues" dxfId="131" priority="3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15BD1-9ED3-41B7-967E-0C1AD26CACEE}">
  <dimension ref="A1:R43"/>
  <sheetViews>
    <sheetView zoomScale="85" zoomScaleNormal="85" workbookViewId="0">
      <selection activeCell="W39" sqref="W39"/>
    </sheetView>
  </sheetViews>
  <sheetFormatPr baseColWidth="10" defaultRowHeight="15" x14ac:dyDescent="0.25"/>
  <cols>
    <col min="1" max="1" width="53" bestFit="1" customWidth="1"/>
    <col min="2" max="2" width="11.7109375" customWidth="1"/>
    <col min="3" max="17" width="7.85546875" hidden="1" customWidth="1"/>
  </cols>
  <sheetData>
    <row r="1" spans="1:18" x14ac:dyDescent="0.25">
      <c r="A1" s="127" t="s">
        <v>2</v>
      </c>
      <c r="B1" t="s">
        <v>4464</v>
      </c>
    </row>
    <row r="3" spans="1:18" x14ac:dyDescent="0.25">
      <c r="A3" s="127" t="s">
        <v>5459</v>
      </c>
      <c r="C3" s="128">
        <v>45756</v>
      </c>
      <c r="D3" s="128">
        <v>45757</v>
      </c>
      <c r="E3" s="128">
        <v>45758</v>
      </c>
      <c r="F3" s="128">
        <v>45761</v>
      </c>
      <c r="G3" s="128">
        <v>45762</v>
      </c>
      <c r="H3" s="128">
        <v>45763</v>
      </c>
      <c r="I3" s="128">
        <v>45764</v>
      </c>
      <c r="J3" s="128">
        <v>45768</v>
      </c>
      <c r="K3" s="128">
        <v>45769</v>
      </c>
      <c r="L3" s="128">
        <v>45770</v>
      </c>
      <c r="M3" s="128">
        <v>45771</v>
      </c>
      <c r="N3" s="128">
        <v>45772</v>
      </c>
      <c r="O3" s="128">
        <v>45775</v>
      </c>
      <c r="P3" s="128">
        <v>45776</v>
      </c>
      <c r="Q3" s="128">
        <v>45777</v>
      </c>
    </row>
    <row r="4" spans="1:18" x14ac:dyDescent="0.25">
      <c r="A4" s="48" t="s">
        <v>45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>
        <f>SUM(C4:Q4)</f>
        <v>0</v>
      </c>
    </row>
    <row r="5" spans="1:18" x14ac:dyDescent="0.25">
      <c r="A5" s="48" t="s">
        <v>115</v>
      </c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>
        <v>1</v>
      </c>
      <c r="O5" s="129">
        <v>1</v>
      </c>
      <c r="P5" s="129"/>
      <c r="Q5" s="129">
        <v>1</v>
      </c>
      <c r="R5" s="129">
        <f t="shared" ref="R5:R43" si="0">SUM(C5:Q5)</f>
        <v>3</v>
      </c>
    </row>
    <row r="6" spans="1:18" x14ac:dyDescent="0.25">
      <c r="A6" s="48" t="s">
        <v>1926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>
        <f t="shared" si="0"/>
        <v>0</v>
      </c>
    </row>
    <row r="7" spans="1:18" x14ac:dyDescent="0.25">
      <c r="A7" s="48" t="s">
        <v>134</v>
      </c>
      <c r="B7" s="129"/>
      <c r="C7" s="129"/>
      <c r="D7" s="129"/>
      <c r="E7" s="129"/>
      <c r="F7" s="129"/>
      <c r="G7" s="129"/>
      <c r="H7" s="129"/>
      <c r="I7" s="129"/>
      <c r="J7" s="129"/>
      <c r="K7" s="129">
        <v>1</v>
      </c>
      <c r="L7" s="129"/>
      <c r="M7" s="129"/>
      <c r="N7" s="129"/>
      <c r="O7" s="129"/>
      <c r="P7" s="129"/>
      <c r="Q7" s="129"/>
      <c r="R7" s="129">
        <f t="shared" si="0"/>
        <v>1</v>
      </c>
    </row>
    <row r="8" spans="1:18" x14ac:dyDescent="0.25">
      <c r="A8" s="48" t="s">
        <v>120</v>
      </c>
      <c r="B8" s="129"/>
      <c r="C8" s="129"/>
      <c r="D8" s="129"/>
      <c r="E8" s="129"/>
      <c r="F8" s="129">
        <v>1</v>
      </c>
      <c r="G8" s="129"/>
      <c r="H8" s="129"/>
      <c r="I8" s="129"/>
      <c r="J8" s="129"/>
      <c r="K8" s="129"/>
      <c r="L8" s="129">
        <v>1</v>
      </c>
      <c r="M8" s="129"/>
      <c r="N8" s="129"/>
      <c r="O8" s="129">
        <v>1</v>
      </c>
      <c r="P8" s="129"/>
      <c r="Q8" s="129">
        <v>1</v>
      </c>
      <c r="R8" s="129">
        <f t="shared" si="0"/>
        <v>4</v>
      </c>
    </row>
    <row r="9" spans="1:18" x14ac:dyDescent="0.25">
      <c r="A9" s="48" t="s">
        <v>158</v>
      </c>
      <c r="B9" s="129"/>
      <c r="C9" s="129"/>
      <c r="D9" s="129"/>
      <c r="E9" s="129">
        <v>1</v>
      </c>
      <c r="F9" s="129"/>
      <c r="G9" s="129"/>
      <c r="H9" s="129"/>
      <c r="I9" s="129"/>
      <c r="J9" s="129"/>
      <c r="K9" s="129">
        <v>1</v>
      </c>
      <c r="L9" s="129"/>
      <c r="M9" s="129"/>
      <c r="N9" s="129"/>
      <c r="O9" s="129"/>
      <c r="P9" s="129"/>
      <c r="Q9" s="129"/>
      <c r="R9" s="129">
        <f t="shared" si="0"/>
        <v>2</v>
      </c>
    </row>
    <row r="10" spans="1:18" x14ac:dyDescent="0.25">
      <c r="A10" s="48" t="s">
        <v>124</v>
      </c>
      <c r="B10" s="129"/>
      <c r="C10" s="129"/>
      <c r="D10" s="129"/>
      <c r="E10" s="129"/>
      <c r="F10" s="129"/>
      <c r="G10" s="129"/>
      <c r="H10" s="129"/>
      <c r="I10" s="129"/>
      <c r="J10" s="129"/>
      <c r="K10" s="129">
        <v>1</v>
      </c>
      <c r="L10" s="129"/>
      <c r="M10" s="129"/>
      <c r="N10" s="129"/>
      <c r="O10" s="129"/>
      <c r="P10" s="129"/>
      <c r="Q10" s="129"/>
      <c r="R10" s="129">
        <f t="shared" si="0"/>
        <v>1</v>
      </c>
    </row>
    <row r="11" spans="1:18" x14ac:dyDescent="0.25">
      <c r="A11" s="48" t="s">
        <v>747</v>
      </c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>
        <f t="shared" si="0"/>
        <v>0</v>
      </c>
    </row>
    <row r="12" spans="1:18" x14ac:dyDescent="0.25">
      <c r="A12" s="48" t="s">
        <v>2119</v>
      </c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>
        <f t="shared" si="0"/>
        <v>0</v>
      </c>
    </row>
    <row r="13" spans="1:18" x14ac:dyDescent="0.25">
      <c r="A13" s="48" t="s">
        <v>5433</v>
      </c>
      <c r="B13" s="129"/>
      <c r="C13" s="129"/>
      <c r="D13" s="129">
        <v>1</v>
      </c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>
        <f t="shared" si="0"/>
        <v>1</v>
      </c>
    </row>
    <row r="14" spans="1:18" x14ac:dyDescent="0.25">
      <c r="A14" s="48" t="s">
        <v>752</v>
      </c>
      <c r="B14" s="129"/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29"/>
      <c r="Q14" s="129"/>
      <c r="R14" s="129">
        <f t="shared" si="0"/>
        <v>0</v>
      </c>
    </row>
    <row r="15" spans="1:18" x14ac:dyDescent="0.25">
      <c r="A15" s="48" t="s">
        <v>23</v>
      </c>
      <c r="B15" s="129"/>
      <c r="C15" s="129"/>
      <c r="D15" s="129"/>
      <c r="E15" s="129"/>
      <c r="F15" s="129"/>
      <c r="G15" s="129">
        <v>1</v>
      </c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>
        <f t="shared" si="0"/>
        <v>1</v>
      </c>
    </row>
    <row r="16" spans="1:18" x14ac:dyDescent="0.25">
      <c r="A16" s="48" t="s">
        <v>22</v>
      </c>
      <c r="B16" s="129"/>
      <c r="C16" s="129">
        <v>1</v>
      </c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>
        <f t="shared" si="0"/>
        <v>1</v>
      </c>
    </row>
    <row r="17" spans="1:18" x14ac:dyDescent="0.25">
      <c r="A17" s="48" t="s">
        <v>149</v>
      </c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>
        <f t="shared" si="0"/>
        <v>0</v>
      </c>
    </row>
    <row r="18" spans="1:18" x14ac:dyDescent="0.25">
      <c r="A18" s="48" t="s">
        <v>146</v>
      </c>
      <c r="B18" s="129"/>
      <c r="C18" s="129">
        <v>1</v>
      </c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>
        <f t="shared" si="0"/>
        <v>1</v>
      </c>
    </row>
    <row r="19" spans="1:18" x14ac:dyDescent="0.25">
      <c r="A19" s="48" t="s">
        <v>108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>
        <f t="shared" si="0"/>
        <v>0</v>
      </c>
    </row>
    <row r="20" spans="1:18" x14ac:dyDescent="0.25">
      <c r="A20" s="48" t="s">
        <v>43</v>
      </c>
      <c r="B20" s="129"/>
      <c r="C20" s="129"/>
      <c r="D20" s="129"/>
      <c r="E20" s="129"/>
      <c r="F20" s="129"/>
      <c r="G20" s="129"/>
      <c r="H20" s="129">
        <v>1</v>
      </c>
      <c r="I20" s="129"/>
      <c r="J20" s="129"/>
      <c r="K20" s="129"/>
      <c r="L20" s="129"/>
      <c r="M20" s="129"/>
      <c r="N20" s="129"/>
      <c r="O20" s="129"/>
      <c r="P20" s="129"/>
      <c r="Q20" s="129"/>
      <c r="R20" s="129">
        <f t="shared" si="0"/>
        <v>1</v>
      </c>
    </row>
    <row r="21" spans="1:18" x14ac:dyDescent="0.25">
      <c r="A21" s="48" t="s">
        <v>744</v>
      </c>
      <c r="B21" s="129"/>
      <c r="C21" s="129">
        <v>1</v>
      </c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>
        <f t="shared" si="0"/>
        <v>1</v>
      </c>
    </row>
    <row r="22" spans="1:18" x14ac:dyDescent="0.25">
      <c r="A22" s="48" t="s">
        <v>20</v>
      </c>
      <c r="B22" s="129"/>
      <c r="C22" s="129"/>
      <c r="D22" s="129">
        <v>1</v>
      </c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>
        <f t="shared" si="0"/>
        <v>1</v>
      </c>
    </row>
    <row r="23" spans="1:18" x14ac:dyDescent="0.25">
      <c r="A23" s="48" t="s">
        <v>44</v>
      </c>
      <c r="B23" s="129"/>
      <c r="C23" s="129"/>
      <c r="D23" s="129"/>
      <c r="E23" s="129"/>
      <c r="F23" s="129"/>
      <c r="G23" s="129"/>
      <c r="H23" s="129"/>
      <c r="I23" s="129"/>
      <c r="J23" s="129">
        <v>1</v>
      </c>
      <c r="K23" s="129"/>
      <c r="L23" s="129"/>
      <c r="M23" s="129"/>
      <c r="N23" s="129"/>
      <c r="O23" s="129"/>
      <c r="P23" s="129"/>
      <c r="Q23" s="129"/>
      <c r="R23" s="129">
        <f t="shared" si="0"/>
        <v>1</v>
      </c>
    </row>
    <row r="24" spans="1:18" x14ac:dyDescent="0.25">
      <c r="A24" s="48" t="s">
        <v>46</v>
      </c>
      <c r="B24" s="129"/>
      <c r="C24" s="129"/>
      <c r="D24" s="129">
        <v>1</v>
      </c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>
        <f t="shared" si="0"/>
        <v>1</v>
      </c>
    </row>
    <row r="25" spans="1:18" x14ac:dyDescent="0.25">
      <c r="A25" s="48" t="s">
        <v>19</v>
      </c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>
        <f t="shared" si="0"/>
        <v>0</v>
      </c>
    </row>
    <row r="26" spans="1:18" x14ac:dyDescent="0.25">
      <c r="A26" s="48" t="s">
        <v>47</v>
      </c>
      <c r="B26" s="129"/>
      <c r="C26" s="129"/>
      <c r="D26" s="129">
        <v>1</v>
      </c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>
        <v>1</v>
      </c>
      <c r="Q26" s="129"/>
      <c r="R26" s="129">
        <f t="shared" si="0"/>
        <v>2</v>
      </c>
    </row>
    <row r="27" spans="1:18" x14ac:dyDescent="0.25">
      <c r="A27" s="48" t="s">
        <v>188</v>
      </c>
      <c r="B27" s="129"/>
      <c r="C27" s="129">
        <v>1</v>
      </c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>
        <f t="shared" si="0"/>
        <v>1</v>
      </c>
    </row>
    <row r="28" spans="1:18" x14ac:dyDescent="0.25">
      <c r="A28" s="48" t="s">
        <v>21</v>
      </c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>
        <v>1</v>
      </c>
      <c r="N28" s="129"/>
      <c r="O28" s="129"/>
      <c r="P28" s="129"/>
      <c r="Q28" s="129"/>
      <c r="R28" s="129">
        <f t="shared" si="0"/>
        <v>1</v>
      </c>
    </row>
    <row r="29" spans="1:18" x14ac:dyDescent="0.25">
      <c r="A29" s="48" t="s">
        <v>11</v>
      </c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>
        <v>1</v>
      </c>
      <c r="Q29" s="129"/>
      <c r="R29" s="129">
        <f t="shared" si="0"/>
        <v>1</v>
      </c>
    </row>
    <row r="30" spans="1:18" x14ac:dyDescent="0.25">
      <c r="A30" s="48" t="s">
        <v>1669</v>
      </c>
      <c r="B30" s="129"/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>
        <v>1</v>
      </c>
      <c r="N30" s="129"/>
      <c r="O30" s="129"/>
      <c r="P30" s="129"/>
      <c r="Q30" s="129"/>
      <c r="R30" s="129">
        <f t="shared" si="0"/>
        <v>1</v>
      </c>
    </row>
    <row r="31" spans="1:18" x14ac:dyDescent="0.25">
      <c r="A31" s="48" t="s">
        <v>2083</v>
      </c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>
        <f t="shared" si="0"/>
        <v>0</v>
      </c>
    </row>
    <row r="32" spans="1:18" x14ac:dyDescent="0.25">
      <c r="A32" s="48" t="s">
        <v>88</v>
      </c>
      <c r="B32" s="129"/>
      <c r="C32" s="129"/>
      <c r="D32" s="129"/>
      <c r="E32" s="129"/>
      <c r="F32" s="129"/>
      <c r="G32" s="129">
        <v>1</v>
      </c>
      <c r="H32" s="129"/>
      <c r="I32" s="129"/>
      <c r="J32" s="129"/>
      <c r="K32" s="129"/>
      <c r="L32" s="129"/>
      <c r="M32" s="129"/>
      <c r="N32" s="129"/>
      <c r="O32" s="129"/>
      <c r="P32" s="129"/>
      <c r="Q32" s="129"/>
      <c r="R32" s="129">
        <f t="shared" si="0"/>
        <v>1</v>
      </c>
    </row>
    <row r="33" spans="1:18" x14ac:dyDescent="0.25">
      <c r="A33" s="48" t="s">
        <v>85</v>
      </c>
      <c r="B33" s="129"/>
      <c r="C33" s="129"/>
      <c r="D33" s="129"/>
      <c r="E33" s="129"/>
      <c r="F33" s="129"/>
      <c r="G33" s="129">
        <v>1</v>
      </c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>
        <f t="shared" si="0"/>
        <v>1</v>
      </c>
    </row>
    <row r="34" spans="1:18" x14ac:dyDescent="0.25">
      <c r="A34" s="48" t="s">
        <v>86</v>
      </c>
      <c r="B34" s="129"/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>
        <v>1</v>
      </c>
      <c r="N34" s="129"/>
      <c r="O34" s="129"/>
      <c r="P34" s="129"/>
      <c r="Q34" s="129"/>
      <c r="R34" s="129">
        <f t="shared" si="0"/>
        <v>1</v>
      </c>
    </row>
    <row r="35" spans="1:18" x14ac:dyDescent="0.25">
      <c r="A35" s="48" t="s">
        <v>99</v>
      </c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29">
        <v>1</v>
      </c>
      <c r="N35" s="129"/>
      <c r="O35" s="129"/>
      <c r="P35" s="129"/>
      <c r="Q35" s="129"/>
      <c r="R35" s="129">
        <f t="shared" si="0"/>
        <v>1</v>
      </c>
    </row>
    <row r="36" spans="1:18" x14ac:dyDescent="0.25">
      <c r="A36" s="48" t="s">
        <v>84</v>
      </c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>
        <v>1</v>
      </c>
      <c r="Q36" s="129"/>
      <c r="R36" s="129">
        <f t="shared" si="0"/>
        <v>1</v>
      </c>
    </row>
    <row r="37" spans="1:18" x14ac:dyDescent="0.25">
      <c r="A37" s="48" t="s">
        <v>403</v>
      </c>
      <c r="B37" s="129"/>
      <c r="C37" s="129"/>
      <c r="D37" s="129"/>
      <c r="E37" s="129"/>
      <c r="F37" s="129"/>
      <c r="G37" s="129"/>
      <c r="H37" s="129"/>
      <c r="I37" s="129"/>
      <c r="J37" s="129"/>
      <c r="K37" s="129">
        <v>1</v>
      </c>
      <c r="L37" s="129"/>
      <c r="M37" s="129"/>
      <c r="N37" s="129"/>
      <c r="O37" s="129"/>
      <c r="P37" s="129"/>
      <c r="Q37" s="129"/>
      <c r="R37" s="129">
        <f t="shared" si="0"/>
        <v>1</v>
      </c>
    </row>
    <row r="38" spans="1:18" x14ac:dyDescent="0.25">
      <c r="A38" s="48" t="s">
        <v>155</v>
      </c>
      <c r="B38" s="129"/>
      <c r="C38" s="129"/>
      <c r="D38" s="129"/>
      <c r="E38" s="129"/>
      <c r="F38" s="129">
        <v>1</v>
      </c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>
        <f t="shared" si="0"/>
        <v>1</v>
      </c>
    </row>
    <row r="39" spans="1:18" x14ac:dyDescent="0.25">
      <c r="A39" s="48" t="s">
        <v>751</v>
      </c>
      <c r="B39" s="129"/>
      <c r="C39" s="129"/>
      <c r="D39" s="129"/>
      <c r="E39" s="129">
        <v>1</v>
      </c>
      <c r="F39" s="129"/>
      <c r="G39" s="129"/>
      <c r="H39" s="129">
        <v>2</v>
      </c>
      <c r="I39" s="129">
        <v>1</v>
      </c>
      <c r="J39" s="129"/>
      <c r="K39" s="129"/>
      <c r="L39" s="129"/>
      <c r="M39" s="129"/>
      <c r="N39" s="129"/>
      <c r="O39" s="129"/>
      <c r="P39" s="129"/>
      <c r="Q39" s="129"/>
      <c r="R39" s="129">
        <f t="shared" si="0"/>
        <v>4</v>
      </c>
    </row>
    <row r="40" spans="1:18" x14ac:dyDescent="0.25">
      <c r="A40" s="48" t="s">
        <v>98</v>
      </c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>
        <f t="shared" si="0"/>
        <v>0</v>
      </c>
    </row>
    <row r="41" spans="1:18" x14ac:dyDescent="0.25">
      <c r="A41" s="48" t="s">
        <v>153</v>
      </c>
      <c r="B41" s="129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>
        <v>1</v>
      </c>
      <c r="Q41" s="129"/>
      <c r="R41" s="129">
        <f t="shared" si="0"/>
        <v>1</v>
      </c>
    </row>
    <row r="42" spans="1:18" x14ac:dyDescent="0.25">
      <c r="A42" s="48" t="s">
        <v>87</v>
      </c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>
        <f t="shared" si="0"/>
        <v>0</v>
      </c>
    </row>
    <row r="43" spans="1:18" x14ac:dyDescent="0.25">
      <c r="A43" s="48" t="s">
        <v>5460</v>
      </c>
      <c r="C43" s="129">
        <f>SUM(C4:C42)</f>
        <v>4</v>
      </c>
      <c r="D43">
        <f t="shared" ref="D43:Q43" si="1">SUM(D4:D42)</f>
        <v>4</v>
      </c>
      <c r="E43">
        <f t="shared" si="1"/>
        <v>2</v>
      </c>
      <c r="F43">
        <f t="shared" si="1"/>
        <v>2</v>
      </c>
      <c r="G43">
        <f t="shared" si="1"/>
        <v>3</v>
      </c>
      <c r="H43">
        <f t="shared" si="1"/>
        <v>3</v>
      </c>
      <c r="I43">
        <f t="shared" si="1"/>
        <v>1</v>
      </c>
      <c r="J43">
        <f t="shared" si="1"/>
        <v>1</v>
      </c>
      <c r="K43">
        <f t="shared" si="1"/>
        <v>4</v>
      </c>
      <c r="L43">
        <f t="shared" si="1"/>
        <v>1</v>
      </c>
      <c r="M43">
        <f t="shared" si="1"/>
        <v>4</v>
      </c>
      <c r="N43">
        <f t="shared" si="1"/>
        <v>1</v>
      </c>
      <c r="O43">
        <f t="shared" si="1"/>
        <v>2</v>
      </c>
      <c r="P43">
        <f t="shared" si="1"/>
        <v>4</v>
      </c>
      <c r="Q43">
        <f t="shared" si="1"/>
        <v>2</v>
      </c>
      <c r="R43" s="129">
        <f t="shared" si="0"/>
        <v>38</v>
      </c>
    </row>
  </sheetData>
  <conditionalFormatting sqref="B4:B42">
    <cfRule type="colorScale" priority="239">
      <colorScale>
        <cfvo type="min"/>
        <cfvo type="max"/>
        <color rgb="FFFCFCFF"/>
        <color rgb="FF63BE7B"/>
      </colorScale>
    </cfRule>
  </conditionalFormatting>
  <conditionalFormatting sqref="R4:R42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6A088-E5E5-4AA5-BE0B-9098C4478952}">
  <dimension ref="A1:I37"/>
  <sheetViews>
    <sheetView workbookViewId="0">
      <selection activeCell="J12" sqref="J12"/>
    </sheetView>
  </sheetViews>
  <sheetFormatPr baseColWidth="10" defaultRowHeight="15" x14ac:dyDescent="0.25"/>
  <cols>
    <col min="2" max="2" width="66.7109375" bestFit="1" customWidth="1"/>
    <col min="9" max="9" width="51.28515625" bestFit="1" customWidth="1"/>
  </cols>
  <sheetData>
    <row r="1" spans="1:9" x14ac:dyDescent="0.25">
      <c r="A1" s="108">
        <v>45008673</v>
      </c>
      <c r="B1" s="97" t="s">
        <v>1057</v>
      </c>
      <c r="C1" s="109" t="s">
        <v>4168</v>
      </c>
      <c r="D1" s="110">
        <v>13</v>
      </c>
      <c r="E1" s="109" t="s">
        <v>4445</v>
      </c>
      <c r="F1" s="109" t="e">
        <f>"CN"&amp;LEFT(Tabla13[[#This Row],[RUT]],LEN(Tabla13[[#This Row],[RUT]]-1))</f>
        <v>#VALUE!</v>
      </c>
      <c r="G1" s="109" t="s">
        <v>4915</v>
      </c>
      <c r="H1" s="109" t="s">
        <v>4918</v>
      </c>
      <c r="I1" s="111" t="s">
        <v>4967</v>
      </c>
    </row>
    <row r="2" spans="1:9" x14ac:dyDescent="0.25">
      <c r="A2" s="112">
        <v>118464397</v>
      </c>
      <c r="B2" s="100" t="s">
        <v>1072</v>
      </c>
      <c r="C2" s="113" t="s">
        <v>4168</v>
      </c>
      <c r="D2" s="114">
        <v>13</v>
      </c>
      <c r="E2" s="113" t="s">
        <v>4445</v>
      </c>
      <c r="F2" s="113" t="str">
        <f>"CN"&amp;LEFT(Tabla13[[#This Row],[RUT]],LEN(Tabla13[[#This Row],[RUT]])-1)</f>
        <v>CN3517865</v>
      </c>
      <c r="G2" s="113" t="s">
        <v>4915</v>
      </c>
      <c r="H2" s="113" t="s">
        <v>4918</v>
      </c>
      <c r="I2" s="115" t="s">
        <v>4967</v>
      </c>
    </row>
    <row r="3" spans="1:9" x14ac:dyDescent="0.25">
      <c r="A3" s="108">
        <v>602020002</v>
      </c>
      <c r="B3" s="97" t="s">
        <v>1075</v>
      </c>
      <c r="C3" s="109" t="s">
        <v>4459</v>
      </c>
      <c r="D3" s="110">
        <v>5</v>
      </c>
      <c r="E3" s="109" t="s">
        <v>4445</v>
      </c>
      <c r="F3" s="109" t="str">
        <f>"CN"&amp;LEFT(Tabla13[[#This Row],[RUT]],LEN(Tabla13[[#This Row],[RUT]])-1)</f>
        <v>CN3753123</v>
      </c>
      <c r="G3" s="109" t="s">
        <v>4957</v>
      </c>
      <c r="H3" s="109" t="s">
        <v>4918</v>
      </c>
      <c r="I3" s="111" t="s">
        <v>4968</v>
      </c>
    </row>
    <row r="4" spans="1:9" x14ac:dyDescent="0.25">
      <c r="A4" s="112">
        <v>611021275</v>
      </c>
      <c r="B4" s="100" t="s">
        <v>1053</v>
      </c>
      <c r="C4" s="113" t="s">
        <v>4459</v>
      </c>
      <c r="D4" s="114">
        <v>5</v>
      </c>
      <c r="E4" s="113" t="s">
        <v>4445</v>
      </c>
      <c r="F4" s="113" t="str">
        <f>"CN"&amp;LEFT(Tabla13[[#This Row],[RUT]],LEN(Tabla13[[#This Row],[RUT]])-1)</f>
        <v>CN4500867</v>
      </c>
      <c r="G4" s="113" t="s">
        <v>4915</v>
      </c>
      <c r="H4" s="113" t="s">
        <v>4918</v>
      </c>
      <c r="I4" s="115" t="s">
        <v>4968</v>
      </c>
    </row>
    <row r="5" spans="1:9" x14ac:dyDescent="0.25">
      <c r="A5" s="108">
        <v>611030215</v>
      </c>
      <c r="B5" s="97" t="s">
        <v>962</v>
      </c>
      <c r="C5" s="109" t="s">
        <v>4185</v>
      </c>
      <c r="D5" s="110">
        <v>12</v>
      </c>
      <c r="E5" s="109" t="s">
        <v>4445</v>
      </c>
      <c r="F5" s="109" t="str">
        <f>"CN"&amp;LEFT(Tabla13[[#This Row],[RUT]],LEN(Tabla13[[#This Row],[RUT]])-1)</f>
        <v>CN5077288</v>
      </c>
      <c r="G5" s="109" t="s">
        <v>4957</v>
      </c>
      <c r="H5" s="109" t="s">
        <v>4918</v>
      </c>
      <c r="I5" s="111" t="s">
        <v>4969</v>
      </c>
    </row>
    <row r="6" spans="1:9" x14ac:dyDescent="0.25">
      <c r="A6" s="112">
        <v>619742001</v>
      </c>
      <c r="B6" s="100" t="s">
        <v>1058</v>
      </c>
      <c r="C6" s="113" t="s">
        <v>4168</v>
      </c>
      <c r="D6" s="114">
        <v>13</v>
      </c>
      <c r="E6" s="113" t="s">
        <v>4445</v>
      </c>
      <c r="F6" s="113" t="str">
        <f>"CN"&amp;LEFT(Tabla13[[#This Row],[RUT]],LEN(Tabla13[[#This Row],[RUT]])-1)</f>
        <v>CN5320819</v>
      </c>
      <c r="G6" s="113" t="s">
        <v>4957</v>
      </c>
      <c r="H6" s="113" t="s">
        <v>4918</v>
      </c>
      <c r="I6" s="115" t="s">
        <v>4967</v>
      </c>
    </row>
    <row r="7" spans="1:9" x14ac:dyDescent="0.25">
      <c r="A7" s="108">
        <v>619992806</v>
      </c>
      <c r="B7" s="97" t="s">
        <v>1073</v>
      </c>
      <c r="C7" s="109" t="s">
        <v>4245</v>
      </c>
      <c r="D7" s="110">
        <v>4</v>
      </c>
      <c r="E7" s="109" t="s">
        <v>4445</v>
      </c>
      <c r="F7" s="109" t="str">
        <f>"CN"&amp;LEFT(Tabla13[[#This Row],[RUT]],LEN(Tabla13[[#This Row],[RUT]])-1)</f>
        <v>CN6389002</v>
      </c>
      <c r="G7" s="109" t="s">
        <v>4915</v>
      </c>
      <c r="H7" s="109" t="s">
        <v>4918</v>
      </c>
      <c r="I7" s="111" t="s">
        <v>4970</v>
      </c>
    </row>
    <row r="8" spans="1:9" x14ac:dyDescent="0.25">
      <c r="A8" s="112">
        <v>620008907</v>
      </c>
      <c r="B8" s="100" t="s">
        <v>964</v>
      </c>
      <c r="C8" s="113" t="s">
        <v>4460</v>
      </c>
      <c r="D8" s="114">
        <v>8</v>
      </c>
      <c r="E8" s="113" t="s">
        <v>4445</v>
      </c>
      <c r="F8" s="113" t="str">
        <f>"CN"&amp;LEFT(Tabla13[[#This Row],[RUT]],LEN(Tabla13[[#This Row],[RUT]])-1)</f>
        <v>CN6412721</v>
      </c>
      <c r="G8" s="113" t="s">
        <v>4957</v>
      </c>
      <c r="H8" s="113" t="s">
        <v>4918</v>
      </c>
      <c r="I8" s="115" t="s">
        <v>4971</v>
      </c>
    </row>
    <row r="9" spans="1:9" x14ac:dyDescent="0.25">
      <c r="A9" s="108">
        <v>651455669</v>
      </c>
      <c r="B9" s="97" t="s">
        <v>1074</v>
      </c>
      <c r="C9" s="109" t="s">
        <v>4171</v>
      </c>
      <c r="D9" s="110">
        <v>4</v>
      </c>
      <c r="E9" s="109" t="s">
        <v>4445</v>
      </c>
      <c r="F9" s="109" t="str">
        <f>"CN"&amp;LEFT(Tabla13[[#This Row],[RUT]],LEN(Tabla13[[#This Row],[RUT]])-1)</f>
        <v>CN6490320</v>
      </c>
      <c r="G9" s="109" t="s">
        <v>4915</v>
      </c>
      <c r="H9" s="109" t="s">
        <v>4918</v>
      </c>
      <c r="I9" s="111" t="s">
        <v>4970</v>
      </c>
    </row>
    <row r="10" spans="1:9" x14ac:dyDescent="0.25">
      <c r="A10" s="112">
        <v>651543983</v>
      </c>
      <c r="B10" s="100" t="s">
        <v>1062</v>
      </c>
      <c r="C10" s="113" t="s">
        <v>4186</v>
      </c>
      <c r="D10" s="114">
        <v>1</v>
      </c>
      <c r="E10" s="113" t="s">
        <v>4445</v>
      </c>
      <c r="F10" s="113" t="str">
        <f>"CN"&amp;LEFT(Tabla13[[#This Row],[RUT]],LEN(Tabla13[[#This Row],[RUT]])-1)</f>
        <v>CN7303109</v>
      </c>
      <c r="G10" s="113" t="s">
        <v>4915</v>
      </c>
      <c r="H10" s="113" t="s">
        <v>4918</v>
      </c>
      <c r="I10" s="115" t="s">
        <v>4972</v>
      </c>
    </row>
    <row r="11" spans="1:9" x14ac:dyDescent="0.25">
      <c r="A11" s="108">
        <v>651654114</v>
      </c>
      <c r="B11" s="97" t="s">
        <v>1067</v>
      </c>
      <c r="C11" s="109" t="s">
        <v>4175</v>
      </c>
      <c r="D11" s="110">
        <v>5</v>
      </c>
      <c r="E11" s="109" t="s">
        <v>4445</v>
      </c>
      <c r="F11" s="109" t="str">
        <f>"CN"&amp;LEFT(Tabla13[[#This Row],[RUT]],LEN(Tabla13[[#This Row],[RUT]])-1)</f>
        <v>CN7918692</v>
      </c>
      <c r="G11" s="109" t="s">
        <v>4957</v>
      </c>
      <c r="H11" s="109" t="s">
        <v>4918</v>
      </c>
      <c r="I11" s="111" t="s">
        <v>4968</v>
      </c>
    </row>
    <row r="12" spans="1:9" x14ac:dyDescent="0.25">
      <c r="A12" s="112">
        <v>654556504</v>
      </c>
      <c r="B12" s="100" t="s">
        <v>965</v>
      </c>
      <c r="C12" s="113" t="s">
        <v>4182</v>
      </c>
      <c r="D12" s="114">
        <v>2</v>
      </c>
      <c r="E12" s="113" t="s">
        <v>4445</v>
      </c>
      <c r="F12" s="113" t="str">
        <f>"CN"&amp;LEFT(Tabla13[[#This Row],[RUT]],LEN(Tabla13[[#This Row],[RUT]])-1)</f>
        <v>CN8181832</v>
      </c>
      <c r="G12" s="113" t="s">
        <v>4957</v>
      </c>
      <c r="H12" s="113" t="s">
        <v>4918</v>
      </c>
      <c r="I12" s="115" t="s">
        <v>4973</v>
      </c>
    </row>
    <row r="13" spans="1:9" x14ac:dyDescent="0.25">
      <c r="A13" s="108">
        <v>692532007</v>
      </c>
      <c r="B13" s="97" t="s">
        <v>969</v>
      </c>
      <c r="C13" s="109" t="s">
        <v>4873</v>
      </c>
      <c r="D13" s="110">
        <v>2</v>
      </c>
      <c r="E13" s="109" t="s">
        <v>4445</v>
      </c>
      <c r="F13" s="109" t="str">
        <f>"CN"&amp;LEFT(Tabla13[[#This Row],[RUT]],LEN(Tabla13[[#This Row],[RUT]])-1)</f>
        <v>CN8185029</v>
      </c>
      <c r="G13" s="109" t="s">
        <v>4957</v>
      </c>
      <c r="H13" s="109" t="s">
        <v>4918</v>
      </c>
      <c r="I13" s="111" t="s">
        <v>4973</v>
      </c>
    </row>
    <row r="14" spans="1:9" x14ac:dyDescent="0.25">
      <c r="A14" s="112">
        <v>761111132</v>
      </c>
      <c r="B14" s="100" t="s">
        <v>1064</v>
      </c>
      <c r="C14" s="113" t="s">
        <v>4168</v>
      </c>
      <c r="D14" s="114">
        <v>13</v>
      </c>
      <c r="E14" s="113" t="s">
        <v>4445</v>
      </c>
      <c r="F14" s="113" t="str">
        <f>"CN"&amp;LEFT(Tabla13[[#This Row],[RUT]],LEN(Tabla13[[#This Row],[RUT]])-1)</f>
        <v>CN8185336</v>
      </c>
      <c r="G14" s="113" t="s">
        <v>4915</v>
      </c>
      <c r="H14" s="113" t="s">
        <v>4918</v>
      </c>
      <c r="I14" s="115" t="s">
        <v>4967</v>
      </c>
    </row>
    <row r="15" spans="1:9" x14ac:dyDescent="0.25">
      <c r="A15" s="108">
        <v>762177684</v>
      </c>
      <c r="B15" s="97" t="s">
        <v>111</v>
      </c>
      <c r="C15" s="109" t="s">
        <v>4168</v>
      </c>
      <c r="D15" s="110">
        <v>13</v>
      </c>
      <c r="E15" s="109" t="s">
        <v>4445</v>
      </c>
      <c r="F15" s="109" t="str">
        <f>"CN"&amp;LEFT(Tabla13[[#This Row],[RUT]],LEN(Tabla13[[#This Row],[RUT]])-1)</f>
        <v>CN8824822</v>
      </c>
      <c r="G15" s="109" t="s">
        <v>4915</v>
      </c>
      <c r="H15" s="109" t="s">
        <v>4918</v>
      </c>
      <c r="I15" s="111" t="s">
        <v>4967</v>
      </c>
    </row>
    <row r="16" spans="1:9" x14ac:dyDescent="0.25">
      <c r="A16" s="112">
        <v>762342960</v>
      </c>
      <c r="B16" s="100" t="s">
        <v>1043</v>
      </c>
      <c r="C16" s="113" t="s">
        <v>4460</v>
      </c>
      <c r="D16" s="114">
        <v>8</v>
      </c>
      <c r="E16" s="113" t="s">
        <v>4445</v>
      </c>
      <c r="F16" s="113" t="str">
        <f>"CN"&amp;LEFT(Tabla13[[#This Row],[RUT]],LEN(Tabla13[[#This Row],[RUT]])-1)</f>
        <v>CN9151195</v>
      </c>
      <c r="G16" s="113" t="s">
        <v>4915</v>
      </c>
      <c r="H16" s="113" t="s">
        <v>4918</v>
      </c>
      <c r="I16" s="115" t="s">
        <v>4971</v>
      </c>
    </row>
    <row r="17" spans="1:9" x14ac:dyDescent="0.25">
      <c r="A17" s="108">
        <v>762641380</v>
      </c>
      <c r="B17" s="97" t="s">
        <v>1076</v>
      </c>
      <c r="C17" s="109" t="s">
        <v>4168</v>
      </c>
      <c r="D17" s="110">
        <v>13</v>
      </c>
      <c r="E17" s="109" t="s">
        <v>4445</v>
      </c>
      <c r="F17" s="109" t="str">
        <f>"CN"&amp;LEFT(Tabla13[[#This Row],[RUT]],LEN(Tabla13[[#This Row],[RUT]])-1)</f>
        <v>CN9998730</v>
      </c>
      <c r="G17" s="109" t="s">
        <v>4915</v>
      </c>
      <c r="H17" s="109" t="s">
        <v>4918</v>
      </c>
      <c r="I17" s="111" t="s">
        <v>4967</v>
      </c>
    </row>
    <row r="18" spans="1:9" x14ac:dyDescent="0.25">
      <c r="A18" s="112">
        <v>762977079</v>
      </c>
      <c r="B18" s="100" t="s">
        <v>1041</v>
      </c>
      <c r="C18" s="113" t="s">
        <v>4245</v>
      </c>
      <c r="D18" s="114">
        <v>4</v>
      </c>
      <c r="E18" s="113" t="s">
        <v>4445</v>
      </c>
      <c r="F18" s="113" t="str">
        <f>"CN"&amp;LEFT(Tabla13[[#This Row],[RUT]],LEN(Tabla13[[#This Row],[RUT]])-1)</f>
        <v>CN10503321</v>
      </c>
      <c r="G18" s="113" t="s">
        <v>4915</v>
      </c>
      <c r="H18" s="113" t="s">
        <v>4918</v>
      </c>
      <c r="I18" s="115" t="s">
        <v>4970</v>
      </c>
    </row>
    <row r="19" spans="1:9" x14ac:dyDescent="0.25">
      <c r="A19" s="108">
        <v>763376826</v>
      </c>
      <c r="B19" s="97" t="s">
        <v>1054</v>
      </c>
      <c r="C19" s="109" t="s">
        <v>4168</v>
      </c>
      <c r="D19" s="110">
        <v>13</v>
      </c>
      <c r="E19" s="109" t="s">
        <v>4445</v>
      </c>
      <c r="F19" s="109" t="str">
        <f>"CN"&amp;LEFT(Tabla13[[#This Row],[RUT]],LEN(Tabla13[[#This Row],[RUT]])-1)</f>
        <v>CN10671103</v>
      </c>
      <c r="G19" s="109" t="s">
        <v>4915</v>
      </c>
      <c r="H19" s="109" t="s">
        <v>4918</v>
      </c>
      <c r="I19" s="111" t="s">
        <v>4967</v>
      </c>
    </row>
    <row r="20" spans="1:9" x14ac:dyDescent="0.25">
      <c r="A20" s="112">
        <v>764606418</v>
      </c>
      <c r="B20" s="100" t="s">
        <v>1045</v>
      </c>
      <c r="C20" s="113" t="s">
        <v>4168</v>
      </c>
      <c r="D20" s="114">
        <v>13</v>
      </c>
      <c r="E20" s="113" t="s">
        <v>4445</v>
      </c>
      <c r="F20" s="113" t="str">
        <f>"CN"&amp;LEFT(Tabla13[[#This Row],[RUT]],LEN(Tabla13[[#This Row],[RUT]])-1)</f>
        <v>CN11846439</v>
      </c>
      <c r="G20" s="113" t="s">
        <v>4915</v>
      </c>
      <c r="H20" s="113" t="s">
        <v>4918</v>
      </c>
      <c r="I20" s="115" t="s">
        <v>4967</v>
      </c>
    </row>
    <row r="21" spans="1:9" x14ac:dyDescent="0.25">
      <c r="A21" s="108">
        <v>764898419</v>
      </c>
      <c r="B21" s="97" t="s">
        <v>1040</v>
      </c>
      <c r="C21" s="109" t="s">
        <v>4190</v>
      </c>
      <c r="D21" s="110">
        <v>10</v>
      </c>
      <c r="E21" s="109" t="s">
        <v>4445</v>
      </c>
      <c r="F21" s="109" t="str">
        <f>"CN"&amp;LEFT(Tabla13[[#This Row],[RUT]],LEN(Tabla13[[#This Row],[RUT]])-1)</f>
        <v>CN11872619</v>
      </c>
      <c r="G21" s="109" t="s">
        <v>4915</v>
      </c>
      <c r="H21" s="109" t="s">
        <v>4918</v>
      </c>
      <c r="I21" s="111" t="s">
        <v>4974</v>
      </c>
    </row>
    <row r="22" spans="1:9" x14ac:dyDescent="0.25">
      <c r="A22" s="112">
        <v>765599164</v>
      </c>
      <c r="B22" s="100" t="s">
        <v>1059</v>
      </c>
      <c r="C22" s="113" t="s">
        <v>4168</v>
      </c>
      <c r="D22" s="114">
        <v>13</v>
      </c>
      <c r="E22" s="113" t="s">
        <v>4445</v>
      </c>
      <c r="F22" s="113" t="str">
        <f>"CN"&amp;LEFT(Tabla13[[#This Row],[RUT]],LEN(Tabla13[[#This Row],[RUT]])-1)</f>
        <v>CN12131783</v>
      </c>
      <c r="G22" s="113" t="s">
        <v>4915</v>
      </c>
      <c r="H22" s="113" t="s">
        <v>4918</v>
      </c>
      <c r="I22" s="115" t="s">
        <v>4967</v>
      </c>
    </row>
    <row r="23" spans="1:9" x14ac:dyDescent="0.25">
      <c r="A23" s="108">
        <v>767974698</v>
      </c>
      <c r="B23" s="97" t="s">
        <v>1052</v>
      </c>
      <c r="C23" s="109" t="s">
        <v>4168</v>
      </c>
      <c r="D23" s="110">
        <v>13</v>
      </c>
      <c r="E23" s="109" t="s">
        <v>4445</v>
      </c>
      <c r="F23" s="109" t="str">
        <f>"CN"&amp;LEFT(Tabla13[[#This Row],[RUT]],LEN(Tabla13[[#This Row],[RUT]])-1)</f>
        <v>CN12283657</v>
      </c>
      <c r="G23" s="109" t="s">
        <v>4915</v>
      </c>
      <c r="H23" s="109" t="s">
        <v>4918</v>
      </c>
      <c r="I23" s="111" t="s">
        <v>4967</v>
      </c>
    </row>
    <row r="24" spans="1:9" x14ac:dyDescent="0.25">
      <c r="A24" s="112">
        <v>769744002</v>
      </c>
      <c r="B24" s="100" t="s">
        <v>1066</v>
      </c>
      <c r="C24" s="113" t="s">
        <v>4168</v>
      </c>
      <c r="D24" s="114">
        <v>13</v>
      </c>
      <c r="E24" s="113" t="s">
        <v>4445</v>
      </c>
      <c r="F24" s="113" t="str">
        <f>"CN"&amp;LEFT(Tabla13[[#This Row],[RUT]],LEN(Tabla13[[#This Row],[RUT]])-1)</f>
        <v>CN15085540</v>
      </c>
      <c r="G24" s="113" t="s">
        <v>4915</v>
      </c>
      <c r="H24" s="113" t="s">
        <v>4918</v>
      </c>
      <c r="I24" s="115" t="s">
        <v>4967</v>
      </c>
    </row>
    <row r="25" spans="1:9" x14ac:dyDescent="0.25">
      <c r="A25" s="108">
        <v>771651240</v>
      </c>
      <c r="B25" s="97" t="s">
        <v>1068</v>
      </c>
      <c r="C25" s="109" t="s">
        <v>4168</v>
      </c>
      <c r="D25" s="110">
        <v>13</v>
      </c>
      <c r="E25" s="109" t="s">
        <v>4445</v>
      </c>
      <c r="F25" s="109" t="str">
        <f>"CN"&amp;LEFT(Tabla13[[#This Row],[RUT]],LEN(Tabla13[[#This Row],[RUT]])-1)</f>
        <v>CN16144757</v>
      </c>
      <c r="G25" s="109" t="s">
        <v>4915</v>
      </c>
      <c r="H25" s="109" t="s">
        <v>4918</v>
      </c>
      <c r="I25" s="111" t="s">
        <v>4967</v>
      </c>
    </row>
    <row r="26" spans="1:9" x14ac:dyDescent="0.25">
      <c r="A26" s="112">
        <v>772445202</v>
      </c>
      <c r="B26" s="100" t="s">
        <v>1079</v>
      </c>
      <c r="C26" s="113" t="s">
        <v>4257</v>
      </c>
      <c r="D26" s="114">
        <v>6</v>
      </c>
      <c r="E26" s="113" t="s">
        <v>4445</v>
      </c>
      <c r="F26" s="113" t="str">
        <f>"CN"&amp;LEFT(Tabla13[[#This Row],[RUT]],LEN(Tabla13[[#This Row],[RUT]])-1)</f>
        <v>CN16528967</v>
      </c>
      <c r="G26" s="113" t="s">
        <v>4915</v>
      </c>
      <c r="H26" s="113" t="s">
        <v>4918</v>
      </c>
      <c r="I26" s="115" t="s">
        <v>4975</v>
      </c>
    </row>
    <row r="27" spans="1:9" x14ac:dyDescent="0.25">
      <c r="A27" s="108">
        <v>773533776</v>
      </c>
      <c r="B27" s="97" t="s">
        <v>1077</v>
      </c>
      <c r="C27" s="109" t="s">
        <v>4168</v>
      </c>
      <c r="D27" s="110">
        <v>13</v>
      </c>
      <c r="E27" s="109" t="s">
        <v>4445</v>
      </c>
      <c r="F27" s="109" t="str">
        <f>"CN"&amp;LEFT(Tabla13[[#This Row],[RUT]],LEN(Tabla13[[#This Row],[RUT]])-1)</f>
        <v>CN17305473</v>
      </c>
      <c r="G27" s="109" t="s">
        <v>4915</v>
      </c>
      <c r="H27" s="109" t="s">
        <v>4918</v>
      </c>
      <c r="I27" s="111" t="s">
        <v>4967</v>
      </c>
    </row>
    <row r="28" spans="1:9" x14ac:dyDescent="0.25">
      <c r="A28" s="112">
        <v>778063905</v>
      </c>
      <c r="B28" s="100" t="s">
        <v>1063</v>
      </c>
      <c r="C28" s="113" t="s">
        <v>4168</v>
      </c>
      <c r="D28" s="114">
        <v>13</v>
      </c>
      <c r="E28" s="113" t="s">
        <v>4445</v>
      </c>
      <c r="F28" s="113" t="str">
        <f>"CN"&amp;LEFT(Tabla13[[#This Row],[RUT]],LEN(Tabla13[[#This Row],[RUT]])-1)</f>
        <v>CN17605682</v>
      </c>
      <c r="G28" s="113" t="s">
        <v>4915</v>
      </c>
      <c r="H28" s="113" t="s">
        <v>4918</v>
      </c>
      <c r="I28" s="115" t="s">
        <v>4967</v>
      </c>
    </row>
    <row r="29" spans="1:9" x14ac:dyDescent="0.25">
      <c r="A29" s="108">
        <v>779778207</v>
      </c>
      <c r="B29" s="97" t="s">
        <v>1044</v>
      </c>
      <c r="C29" s="109" t="s">
        <v>4380</v>
      </c>
      <c r="D29" s="110">
        <v>8</v>
      </c>
      <c r="E29" s="109" t="s">
        <v>4445</v>
      </c>
      <c r="F29" s="109" t="str">
        <f>"CN"&amp;LEFT(Tabla13[[#This Row],[RUT]],LEN(Tabla13[[#This Row],[RUT]])-1)</f>
        <v>CN17644546</v>
      </c>
      <c r="G29" s="109" t="s">
        <v>4915</v>
      </c>
      <c r="H29" s="109" t="s">
        <v>4918</v>
      </c>
      <c r="I29" s="111" t="s">
        <v>4971</v>
      </c>
    </row>
    <row r="30" spans="1:9" x14ac:dyDescent="0.25">
      <c r="A30" s="112">
        <v>796490608</v>
      </c>
      <c r="B30" s="100" t="s">
        <v>1055</v>
      </c>
      <c r="C30" s="113" t="s">
        <v>4186</v>
      </c>
      <c r="D30" s="114">
        <v>1</v>
      </c>
      <c r="E30" s="113" t="s">
        <v>4445</v>
      </c>
      <c r="F30" s="113" t="str">
        <f>"CN"&amp;LEFT(Tabla13[[#This Row],[RUT]],LEN(Tabla13[[#This Row],[RUT]])-1)</f>
        <v>CN18056793</v>
      </c>
      <c r="G30" s="113" t="s">
        <v>4915</v>
      </c>
      <c r="H30" s="113" t="s">
        <v>4918</v>
      </c>
      <c r="I30" s="115" t="s">
        <v>4972</v>
      </c>
    </row>
    <row r="31" spans="1:9" x14ac:dyDescent="0.25">
      <c r="A31" s="108">
        <v>967591904</v>
      </c>
      <c r="B31" s="97" t="s">
        <v>4868</v>
      </c>
      <c r="C31" s="109" t="s">
        <v>4394</v>
      </c>
      <c r="D31" s="110">
        <v>13</v>
      </c>
      <c r="E31" s="109" t="s">
        <v>4445</v>
      </c>
      <c r="F31" s="109" t="str">
        <f>"CN"&amp;LEFT(Tabla13[[#This Row],[RUT]],LEN(Tabla13[[#This Row],[RUT]])-1)</f>
        <v>CN18856361</v>
      </c>
      <c r="G31" s="109" t="s">
        <v>4915</v>
      </c>
      <c r="H31" s="109" t="s">
        <v>4918</v>
      </c>
      <c r="I31" s="111" t="s">
        <v>4967</v>
      </c>
    </row>
    <row r="32" spans="1:9" x14ac:dyDescent="0.25">
      <c r="A32" s="112">
        <v>995240300</v>
      </c>
      <c r="B32" s="100" t="s">
        <v>1039</v>
      </c>
      <c r="C32" s="113" t="s">
        <v>4490</v>
      </c>
      <c r="D32" s="114">
        <v>5</v>
      </c>
      <c r="E32" s="113" t="s">
        <v>4445</v>
      </c>
      <c r="F32" s="113" t="str">
        <f>"CN"&amp;LEFT(Tabla13[[#This Row],[RUT]],LEN(Tabla13[[#This Row],[RUT]])-1)</f>
        <v>CN23645146</v>
      </c>
      <c r="G32" s="113" t="s">
        <v>4915</v>
      </c>
      <c r="H32" s="113" t="s">
        <v>4918</v>
      </c>
      <c r="I32" s="115" t="s">
        <v>4968</v>
      </c>
    </row>
    <row r="33" spans="1:9" x14ac:dyDescent="0.25">
      <c r="A33" s="108" t="s">
        <v>961</v>
      </c>
      <c r="B33" s="97" t="s">
        <v>973</v>
      </c>
      <c r="C33" s="109" t="s">
        <v>4314</v>
      </c>
      <c r="D33" s="110">
        <v>5</v>
      </c>
      <c r="E33" s="109" t="s">
        <v>4445</v>
      </c>
      <c r="F33" s="109" t="str">
        <f>"CN"&amp;LEFT(Tabla13[[#This Row],[RUT]],LEN(Tabla13[[#This Row],[RUT]])-1)</f>
        <v>CN25952636</v>
      </c>
      <c r="G33" s="109" t="s">
        <v>4915</v>
      </c>
      <c r="H33" s="109" t="s">
        <v>4918</v>
      </c>
      <c r="I33" s="111" t="s">
        <v>4968</v>
      </c>
    </row>
    <row r="34" spans="1:9" x14ac:dyDescent="0.25">
      <c r="A34" s="112" t="s">
        <v>1070</v>
      </c>
      <c r="B34" s="100" t="s">
        <v>1071</v>
      </c>
      <c r="C34" s="113" t="s">
        <v>4466</v>
      </c>
      <c r="D34" s="114">
        <v>3</v>
      </c>
      <c r="E34" s="113" t="s">
        <v>4445</v>
      </c>
      <c r="F34" s="113" t="str">
        <f>"CN"&amp;LEFT(Tabla13[[#This Row],[RUT]],LEN(Tabla13[[#This Row],[RUT]])-1)</f>
        <v>CN59077290</v>
      </c>
      <c r="G34" s="113" t="s">
        <v>4915</v>
      </c>
      <c r="H34" s="113" t="s">
        <v>4918</v>
      </c>
      <c r="I34" s="115" t="s">
        <v>4976</v>
      </c>
    </row>
    <row r="35" spans="1:9" x14ac:dyDescent="0.25">
      <c r="A35" s="108" t="s">
        <v>1060</v>
      </c>
      <c r="B35" s="97" t="s">
        <v>1061</v>
      </c>
      <c r="C35" s="109" t="s">
        <v>4168</v>
      </c>
      <c r="D35" s="110">
        <v>13</v>
      </c>
      <c r="E35" s="109" t="s">
        <v>4445</v>
      </c>
      <c r="F35" s="109" t="str">
        <f>"CN"&amp;LEFT(Tabla13[[#This Row],[RUT]],LEN(Tabla13[[#This Row],[RUT]])-1)</f>
        <v>CN60103000</v>
      </c>
      <c r="G35" s="109" t="s">
        <v>4915</v>
      </c>
      <c r="H35" s="109" t="s">
        <v>4918</v>
      </c>
      <c r="I35" s="111" t="s">
        <v>4967</v>
      </c>
    </row>
    <row r="36" spans="1:9" x14ac:dyDescent="0.25">
      <c r="A36" s="112" t="s">
        <v>1046</v>
      </c>
      <c r="B36" s="100" t="s">
        <v>1047</v>
      </c>
      <c r="C36" s="113" t="s">
        <v>4168</v>
      </c>
      <c r="D36" s="114">
        <v>13</v>
      </c>
      <c r="E36" s="113" t="s">
        <v>4445</v>
      </c>
      <c r="F36" s="113" t="str">
        <f>"CN"&amp;LEFT(Tabla13[[#This Row],[RUT]],LEN(Tabla13[[#This Row],[RUT]])-1)</f>
        <v>CN60202000</v>
      </c>
      <c r="G36" s="113" t="s">
        <v>4915</v>
      </c>
      <c r="H36" s="113" t="s">
        <v>4918</v>
      </c>
      <c r="I36" s="115" t="s">
        <v>4967</v>
      </c>
    </row>
    <row r="37" spans="1:9" x14ac:dyDescent="0.25">
      <c r="A37" s="116">
        <v>774097899</v>
      </c>
      <c r="B37" s="107" t="s">
        <v>4977</v>
      </c>
      <c r="C37" s="109" t="s">
        <v>4168</v>
      </c>
      <c r="D37" s="117">
        <v>13</v>
      </c>
      <c r="E37" s="109" t="s">
        <v>4445</v>
      </c>
      <c r="F37" s="109" t="str">
        <f>"CN"&amp;LEFT(Tabla13[[#This Row],[RUT]],LEN(Tabla13[[#This Row],[RUT]])-1)</f>
        <v>CN60506000</v>
      </c>
      <c r="G37" s="109" t="s">
        <v>4915</v>
      </c>
      <c r="H37" s="118" t="s">
        <v>4918</v>
      </c>
      <c r="I37" s="119" t="s">
        <v>4967</v>
      </c>
    </row>
  </sheetData>
  <conditionalFormatting sqref="A1:A37">
    <cfRule type="duplicateValues" dxfId="130" priority="2"/>
    <cfRule type="duplicateValues" dxfId="129" priority="3"/>
    <cfRule type="duplicateValues" dxfId="128" priority="4"/>
    <cfRule type="duplicateValues" dxfId="127" priority="5"/>
  </conditionalFormatting>
  <conditionalFormatting sqref="F1:F37">
    <cfRule type="duplicateValues" dxfId="126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E36D7-1C73-494C-A56D-8F5483CC0996}">
  <sheetPr>
    <tabColor rgb="FFFF0000"/>
  </sheetPr>
  <dimension ref="A1:AE1501"/>
  <sheetViews>
    <sheetView zoomScale="85" zoomScaleNormal="85" workbookViewId="0"/>
  </sheetViews>
  <sheetFormatPr baseColWidth="10" defaultColWidth="9.140625" defaultRowHeight="15" x14ac:dyDescent="0.25"/>
  <cols>
    <col min="1" max="1" width="11.28515625" style="27" bestFit="1" customWidth="1"/>
    <col min="2" max="2" width="48.42578125" customWidth="1"/>
    <col min="3" max="3" width="23.5703125" bestFit="1" customWidth="1"/>
    <col min="4" max="4" width="13.28515625" style="131" bestFit="1" customWidth="1"/>
    <col min="5" max="5" width="34" bestFit="1" customWidth="1"/>
    <col min="6" max="6" width="17.42578125" bestFit="1" customWidth="1"/>
    <col min="7" max="7" width="17.42578125" customWidth="1"/>
    <col min="8" max="8" width="13.140625" bestFit="1" customWidth="1"/>
    <col min="9" max="9" width="14.28515625" bestFit="1" customWidth="1"/>
    <col min="10" max="10" width="54.7109375" bestFit="1" customWidth="1"/>
    <col min="11" max="11" width="28.140625" customWidth="1"/>
    <col min="12" max="12" width="12.5703125" bestFit="1" customWidth="1"/>
    <col min="13" max="14" width="10.5703125" bestFit="1" customWidth="1"/>
    <col min="15" max="15" width="42.5703125" customWidth="1"/>
    <col min="17" max="17" width="10" bestFit="1" customWidth="1"/>
    <col min="18" max="18" width="16.140625" bestFit="1" customWidth="1"/>
    <col min="19" max="19" width="16.140625" customWidth="1"/>
  </cols>
  <sheetData>
    <row r="1" spans="1:12" ht="43.5" customHeight="1" x14ac:dyDescent="0.25">
      <c r="A1" s="90" t="s">
        <v>0</v>
      </c>
      <c r="B1" s="82" t="s">
        <v>1</v>
      </c>
      <c r="C1" s="82" t="s">
        <v>4776</v>
      </c>
      <c r="D1" s="130" t="s">
        <v>4777</v>
      </c>
      <c r="E1" s="82" t="s">
        <v>2</v>
      </c>
      <c r="F1" s="82" t="s">
        <v>4781</v>
      </c>
      <c r="G1" s="82" t="s">
        <v>5567</v>
      </c>
      <c r="H1" s="82" t="s">
        <v>4913</v>
      </c>
      <c r="I1" s="82" t="s">
        <v>4759</v>
      </c>
      <c r="J1" s="82" t="s">
        <v>4937</v>
      </c>
    </row>
    <row r="2" spans="1:12" x14ac:dyDescent="0.25">
      <c r="A2" s="133">
        <v>35178651</v>
      </c>
      <c r="B2" s="120" t="s">
        <v>5009</v>
      </c>
      <c r="C2" t="s">
        <v>5428</v>
      </c>
      <c r="D2" s="125">
        <v>13</v>
      </c>
      <c r="E2" t="s">
        <v>4445</v>
      </c>
      <c r="F2" s="123" t="s">
        <v>5129</v>
      </c>
      <c r="G2" s="132"/>
      <c r="H2" t="s">
        <v>5428</v>
      </c>
      <c r="I2" s="124" t="str">
        <f>IF(Tabla13[[#This Row],[RUT]]=774097899,"DIST",_xlfn.XLOOKUP(Tabla13[[#This Row],[VENDEDOR]],dimensiones!$C$21:$C$28,dimensiones!$D$21:$D$28,""))</f>
        <v>ATEL</v>
      </c>
      <c r="J2" s="125" t="str">
        <f>_xlfn.XLOOKUP(Tabla13[[#This Row],[REGION]],dimensiones!C:C,dimensiones!D:D,"")</f>
        <v>Región de Metropolitana de Santiago</v>
      </c>
      <c r="L2" s="136"/>
    </row>
    <row r="3" spans="1:12" x14ac:dyDescent="0.25">
      <c r="A3" s="134">
        <v>37531235</v>
      </c>
      <c r="B3" s="121" t="s">
        <v>5010</v>
      </c>
      <c r="C3" t="s">
        <v>5428</v>
      </c>
      <c r="D3" s="125">
        <v>16</v>
      </c>
      <c r="E3" t="s">
        <v>4445</v>
      </c>
      <c r="F3" s="122" t="s">
        <v>5130</v>
      </c>
      <c r="G3" s="132"/>
      <c r="H3" t="s">
        <v>5428</v>
      </c>
      <c r="I3" s="124" t="str">
        <f>IF(Tabla13[[#This Row],[RUT]]=774097899,"DIST",_xlfn.XLOOKUP(Tabla13[[#This Row],[VENDEDOR]],dimensiones!$C$21:$C$28,dimensiones!$D$21:$D$28,""))</f>
        <v>ATEL</v>
      </c>
      <c r="J3" s="125" t="str">
        <f>_xlfn.XLOOKUP(Tabla13[[#This Row],[REGION]],dimensiones!C:C,dimensiones!D:D,"")</f>
        <v>Región de Ñuble</v>
      </c>
      <c r="L3" s="136"/>
    </row>
    <row r="4" spans="1:12" x14ac:dyDescent="0.25">
      <c r="A4" s="134">
        <v>45008673</v>
      </c>
      <c r="B4" s="121" t="s">
        <v>1057</v>
      </c>
      <c r="C4" t="s">
        <v>4168</v>
      </c>
      <c r="D4" s="125">
        <v>13</v>
      </c>
      <c r="E4" t="s">
        <v>4445</v>
      </c>
      <c r="F4" s="122" t="s">
        <v>4889</v>
      </c>
      <c r="G4" s="132"/>
      <c r="H4" t="s">
        <v>4915</v>
      </c>
      <c r="I4" s="124" t="str">
        <f>IF(Tabla13[[#This Row],[RUT]]=774097899,"DIST",_xlfn.XLOOKUP(Tabla13[[#This Row],[VENDEDOR]],dimensiones!$C$21:$C$28,dimensiones!$D$21:$D$28,""))</f>
        <v>ATEL</v>
      </c>
      <c r="J4" s="125" t="str">
        <f>_xlfn.XLOOKUP(Tabla13[[#This Row],[REGION]],dimensiones!C:C,dimensiones!D:D,"")</f>
        <v>Región de Metropolitana de Santiago</v>
      </c>
      <c r="L4" s="136"/>
    </row>
    <row r="5" spans="1:12" x14ac:dyDescent="0.25">
      <c r="A5" s="134">
        <v>50772888</v>
      </c>
      <c r="B5" s="121" t="s">
        <v>5421</v>
      </c>
      <c r="C5" t="s">
        <v>5428</v>
      </c>
      <c r="D5" s="125">
        <v>13</v>
      </c>
      <c r="E5" t="s">
        <v>4445</v>
      </c>
      <c r="F5" s="122" t="s">
        <v>5131</v>
      </c>
      <c r="G5" s="132"/>
      <c r="H5" t="s">
        <v>5428</v>
      </c>
      <c r="I5" s="124" t="str">
        <f>IF(Tabla13[[#This Row],[RUT]]=774097899,"DIST",_xlfn.XLOOKUP(Tabla13[[#This Row],[VENDEDOR]],dimensiones!$C$21:$C$28,dimensiones!$D$21:$D$28,""))</f>
        <v>ATEL</v>
      </c>
      <c r="J5" s="125" t="str">
        <f>_xlfn.XLOOKUP(Tabla13[[#This Row],[REGION]],dimensiones!C:C,dimensiones!D:D,"")</f>
        <v>Región de Metropolitana de Santiago</v>
      </c>
      <c r="L5" s="136"/>
    </row>
    <row r="6" spans="1:12" x14ac:dyDescent="0.25">
      <c r="A6" s="134">
        <v>53208193</v>
      </c>
      <c r="B6" s="121" t="s">
        <v>5011</v>
      </c>
      <c r="C6" t="s">
        <v>5428</v>
      </c>
      <c r="D6" s="125">
        <v>13</v>
      </c>
      <c r="E6" t="s">
        <v>4445</v>
      </c>
      <c r="F6" s="122" t="s">
        <v>5132</v>
      </c>
      <c r="G6" s="132"/>
      <c r="H6" t="s">
        <v>5428</v>
      </c>
      <c r="I6" s="124" t="str">
        <f>IF(Tabla13[[#This Row],[RUT]]=774097899,"DIST",_xlfn.XLOOKUP(Tabla13[[#This Row],[VENDEDOR]],dimensiones!$C$21:$C$28,dimensiones!$D$21:$D$28,""))</f>
        <v>ATEL</v>
      </c>
      <c r="J6" s="125" t="str">
        <f>_xlfn.XLOOKUP(Tabla13[[#This Row],[REGION]],dimensiones!C:C,dimensiones!D:D,"")</f>
        <v>Región de Metropolitana de Santiago</v>
      </c>
      <c r="L6" s="136"/>
    </row>
    <row r="7" spans="1:12" x14ac:dyDescent="0.25">
      <c r="A7" s="134">
        <v>63890022</v>
      </c>
      <c r="B7" s="121" t="s">
        <v>5012</v>
      </c>
      <c r="C7" t="s">
        <v>5428</v>
      </c>
      <c r="D7" s="125">
        <v>4</v>
      </c>
      <c r="E7" t="s">
        <v>4445</v>
      </c>
      <c r="F7" s="122" t="s">
        <v>5133</v>
      </c>
      <c r="G7" s="132"/>
      <c r="H7" t="s">
        <v>5428</v>
      </c>
      <c r="I7" s="124" t="str">
        <f>IF(Tabla13[[#This Row],[RUT]]=774097899,"DIST",_xlfn.XLOOKUP(Tabla13[[#This Row],[VENDEDOR]],dimensiones!$C$21:$C$28,dimensiones!$D$21:$D$28,""))</f>
        <v>ATEL</v>
      </c>
      <c r="J7" s="125" t="str">
        <f>_xlfn.XLOOKUP(Tabla13[[#This Row],[REGION]],dimensiones!C:C,dimensiones!D:D,"")</f>
        <v>Región de Coquimbo</v>
      </c>
      <c r="L7" s="136"/>
    </row>
    <row r="8" spans="1:12" x14ac:dyDescent="0.25">
      <c r="A8" s="134">
        <v>64127217</v>
      </c>
      <c r="B8" s="121" t="s">
        <v>5013</v>
      </c>
      <c r="C8" t="s">
        <v>5428</v>
      </c>
      <c r="D8" s="125">
        <v>13</v>
      </c>
      <c r="E8" t="s">
        <v>4445</v>
      </c>
      <c r="F8" s="122" t="s">
        <v>5134</v>
      </c>
      <c r="G8" s="132"/>
      <c r="H8" t="s">
        <v>5428</v>
      </c>
      <c r="I8" s="124" t="str">
        <f>IF(Tabla13[[#This Row],[RUT]]=774097899,"DIST",_xlfn.XLOOKUP(Tabla13[[#This Row],[VENDEDOR]],dimensiones!$C$21:$C$28,dimensiones!$D$21:$D$28,""))</f>
        <v>ATEL</v>
      </c>
      <c r="J8" s="125" t="str">
        <f>_xlfn.XLOOKUP(Tabla13[[#This Row],[REGION]],dimensiones!C:C,dimensiones!D:D,"")</f>
        <v>Región de Metropolitana de Santiago</v>
      </c>
      <c r="L8" s="136"/>
    </row>
    <row r="9" spans="1:12" x14ac:dyDescent="0.25">
      <c r="A9" s="134">
        <v>64903209</v>
      </c>
      <c r="B9" s="121" t="s">
        <v>5014</v>
      </c>
      <c r="C9" t="s">
        <v>5428</v>
      </c>
      <c r="D9" s="125">
        <v>13</v>
      </c>
      <c r="E9" t="s">
        <v>4445</v>
      </c>
      <c r="F9" s="122" t="s">
        <v>5135</v>
      </c>
      <c r="G9" s="132"/>
      <c r="H9" t="s">
        <v>5428</v>
      </c>
      <c r="I9" s="124" t="str">
        <f>IF(Tabla13[[#This Row],[RUT]]=774097899,"DIST",_xlfn.XLOOKUP(Tabla13[[#This Row],[VENDEDOR]],dimensiones!$C$21:$C$28,dimensiones!$D$21:$D$28,""))</f>
        <v>ATEL</v>
      </c>
      <c r="J9" s="125" t="str">
        <f>_xlfn.XLOOKUP(Tabla13[[#This Row],[REGION]],dimensiones!C:C,dimensiones!D:D,"")</f>
        <v>Región de Metropolitana de Santiago</v>
      </c>
      <c r="L9" s="136"/>
    </row>
    <row r="10" spans="1:12" x14ac:dyDescent="0.25">
      <c r="A10" s="134">
        <v>73031095</v>
      </c>
      <c r="B10" s="121" t="s">
        <v>5015</v>
      </c>
      <c r="C10" t="s">
        <v>5428</v>
      </c>
      <c r="D10" s="125">
        <v>9</v>
      </c>
      <c r="E10" t="s">
        <v>4445</v>
      </c>
      <c r="F10" s="122" t="s">
        <v>5136</v>
      </c>
      <c r="G10" s="132"/>
      <c r="H10" t="s">
        <v>5428</v>
      </c>
      <c r="I10" s="124" t="str">
        <f>IF(Tabla13[[#This Row],[RUT]]=774097899,"DIST",_xlfn.XLOOKUP(Tabla13[[#This Row],[VENDEDOR]],dimensiones!$C$21:$C$28,dimensiones!$D$21:$D$28,""))</f>
        <v>ATEL</v>
      </c>
      <c r="J10" s="125" t="str">
        <f>_xlfn.XLOOKUP(Tabla13[[#This Row],[REGION]],dimensiones!C:C,dimensiones!D:D,"")</f>
        <v>Región de La Araucanía</v>
      </c>
      <c r="L10" s="136"/>
    </row>
    <row r="11" spans="1:12" x14ac:dyDescent="0.25">
      <c r="A11" s="134">
        <v>79186929</v>
      </c>
      <c r="B11" s="121" t="s">
        <v>5401</v>
      </c>
      <c r="C11" t="s">
        <v>5428</v>
      </c>
      <c r="D11" s="125">
        <v>8</v>
      </c>
      <c r="E11" t="s">
        <v>4445</v>
      </c>
      <c r="F11" s="122" t="s">
        <v>5137</v>
      </c>
      <c r="G11" s="132"/>
      <c r="H11" t="s">
        <v>5428</v>
      </c>
      <c r="I11" s="124" t="str">
        <f>IF(Tabla13[[#This Row],[RUT]]=774097899,"DIST",_xlfn.XLOOKUP(Tabla13[[#This Row],[VENDEDOR]],dimensiones!$C$21:$C$28,dimensiones!$D$21:$D$28,""))</f>
        <v>ATEL</v>
      </c>
      <c r="J11" s="125" t="str">
        <f>_xlfn.XLOOKUP(Tabla13[[#This Row],[REGION]],dimensiones!C:C,dimensiones!D:D,"")</f>
        <v>Región de Biobío</v>
      </c>
      <c r="L11" s="136"/>
    </row>
    <row r="12" spans="1:12" x14ac:dyDescent="0.25">
      <c r="A12" s="134">
        <v>81818320</v>
      </c>
      <c r="B12" s="121" t="s">
        <v>5016</v>
      </c>
      <c r="C12" t="s">
        <v>5428</v>
      </c>
      <c r="D12" s="125">
        <v>14</v>
      </c>
      <c r="E12" t="s">
        <v>4445</v>
      </c>
      <c r="F12" s="122" t="s">
        <v>5138</v>
      </c>
      <c r="G12" s="132"/>
      <c r="H12" t="s">
        <v>5428</v>
      </c>
      <c r="I12" s="124" t="str">
        <f>IF(Tabla13[[#This Row],[RUT]]=774097899,"DIST",_xlfn.XLOOKUP(Tabla13[[#This Row],[VENDEDOR]],dimensiones!$C$21:$C$28,dimensiones!$D$21:$D$28,""))</f>
        <v>ATEL</v>
      </c>
      <c r="J12" s="125" t="str">
        <f>_xlfn.XLOOKUP(Tabla13[[#This Row],[REGION]],dimensiones!C:C,dimensiones!D:D,"")</f>
        <v>Región de Los Ríos</v>
      </c>
      <c r="L12" s="136"/>
    </row>
    <row r="13" spans="1:12" x14ac:dyDescent="0.25">
      <c r="A13" s="134">
        <v>81850291</v>
      </c>
      <c r="B13" s="121" t="s">
        <v>5344</v>
      </c>
      <c r="C13" t="s">
        <v>5428</v>
      </c>
      <c r="D13" s="125">
        <v>16</v>
      </c>
      <c r="E13" t="s">
        <v>4445</v>
      </c>
      <c r="F13" s="122" t="s">
        <v>5139</v>
      </c>
      <c r="G13" s="132"/>
      <c r="H13" t="s">
        <v>5428</v>
      </c>
      <c r="I13" s="124" t="str">
        <f>IF(Tabla13[[#This Row],[RUT]]=774097899,"DIST",_xlfn.XLOOKUP(Tabla13[[#This Row],[VENDEDOR]],dimensiones!$C$21:$C$28,dimensiones!$D$21:$D$28,""))</f>
        <v>ATEL</v>
      </c>
      <c r="J13" s="125" t="str">
        <f>_xlfn.XLOOKUP(Tabla13[[#This Row],[REGION]],dimensiones!C:C,dimensiones!D:D,"")</f>
        <v>Región de Ñuble</v>
      </c>
      <c r="L13" s="136"/>
    </row>
    <row r="14" spans="1:12" x14ac:dyDescent="0.25">
      <c r="A14" s="134">
        <v>81853363</v>
      </c>
      <c r="B14" s="121" t="s">
        <v>5017</v>
      </c>
      <c r="C14" t="s">
        <v>5428</v>
      </c>
      <c r="D14" s="125">
        <v>9</v>
      </c>
      <c r="E14" t="s">
        <v>4445</v>
      </c>
      <c r="F14" s="122" t="s">
        <v>5140</v>
      </c>
      <c r="G14" s="132"/>
      <c r="H14" t="s">
        <v>5428</v>
      </c>
      <c r="I14" s="124" t="str">
        <f>IF(Tabla13[[#This Row],[RUT]]=774097899,"DIST",_xlfn.XLOOKUP(Tabla13[[#This Row],[VENDEDOR]],dimensiones!$C$21:$C$28,dimensiones!$D$21:$D$28,""))</f>
        <v>ATEL</v>
      </c>
      <c r="J14" s="125" t="str">
        <f>_xlfn.XLOOKUP(Tabla13[[#This Row],[REGION]],dimensiones!C:C,dimensiones!D:D,"")</f>
        <v>Región de La Araucanía</v>
      </c>
      <c r="L14" s="136"/>
    </row>
    <row r="15" spans="1:12" x14ac:dyDescent="0.25">
      <c r="A15" s="134">
        <v>88248228</v>
      </c>
      <c r="B15" s="121" t="s">
        <v>5345</v>
      </c>
      <c r="C15" t="s">
        <v>5428</v>
      </c>
      <c r="D15" s="125">
        <v>13</v>
      </c>
      <c r="E15" t="s">
        <v>4445</v>
      </c>
      <c r="F15" s="122" t="s">
        <v>5141</v>
      </c>
      <c r="G15" s="132"/>
      <c r="H15" t="s">
        <v>5428</v>
      </c>
      <c r="I15" s="124" t="str">
        <f>IF(Tabla13[[#This Row],[RUT]]=774097899,"DIST",_xlfn.XLOOKUP(Tabla13[[#This Row],[VENDEDOR]],dimensiones!$C$21:$C$28,dimensiones!$D$21:$D$28,""))</f>
        <v>ATEL</v>
      </c>
      <c r="J15" s="125" t="str">
        <f>_xlfn.XLOOKUP(Tabla13[[#This Row],[REGION]],dimensiones!C:C,dimensiones!D:D,"")</f>
        <v>Región de Metropolitana de Santiago</v>
      </c>
      <c r="L15" s="136"/>
    </row>
    <row r="16" spans="1:12" x14ac:dyDescent="0.25">
      <c r="A16" s="134">
        <v>91511959</v>
      </c>
      <c r="B16" s="121" t="s">
        <v>5018</v>
      </c>
      <c r="C16" t="s">
        <v>5428</v>
      </c>
      <c r="D16" s="125">
        <v>13</v>
      </c>
      <c r="E16" t="s">
        <v>4445</v>
      </c>
      <c r="F16" s="122" t="s">
        <v>5142</v>
      </c>
      <c r="G16" s="132"/>
      <c r="H16" t="s">
        <v>5428</v>
      </c>
      <c r="I16" s="124" t="str">
        <f>IF(Tabla13[[#This Row],[RUT]]=774097899,"DIST",_xlfn.XLOOKUP(Tabla13[[#This Row],[VENDEDOR]],dimensiones!$C$21:$C$28,dimensiones!$D$21:$D$28,""))</f>
        <v>ATEL</v>
      </c>
      <c r="J16" s="125" t="str">
        <f>_xlfn.XLOOKUP(Tabla13[[#This Row],[REGION]],dimensiones!C:C,dimensiones!D:D,"")</f>
        <v>Región de Metropolitana de Santiago</v>
      </c>
      <c r="L16" s="136"/>
    </row>
    <row r="17" spans="1:12" x14ac:dyDescent="0.25">
      <c r="A17" s="134">
        <v>99987308</v>
      </c>
      <c r="B17" s="121" t="s">
        <v>5346</v>
      </c>
      <c r="C17" t="s">
        <v>5428</v>
      </c>
      <c r="D17" s="125">
        <v>16</v>
      </c>
      <c r="E17" t="s">
        <v>4445</v>
      </c>
      <c r="F17" s="122" t="s">
        <v>5143</v>
      </c>
      <c r="G17" s="132"/>
      <c r="H17" t="s">
        <v>5428</v>
      </c>
      <c r="I17" s="124" t="str">
        <f>IF(Tabla13[[#This Row],[RUT]]=774097899,"DIST",_xlfn.XLOOKUP(Tabla13[[#This Row],[VENDEDOR]],dimensiones!$C$21:$C$28,dimensiones!$D$21:$D$28,""))</f>
        <v>ATEL</v>
      </c>
      <c r="J17" s="125" t="str">
        <f>_xlfn.XLOOKUP(Tabla13[[#This Row],[REGION]],dimensiones!C:C,dimensiones!D:D,"")</f>
        <v>Región de Ñuble</v>
      </c>
      <c r="L17" s="136"/>
    </row>
    <row r="18" spans="1:12" x14ac:dyDescent="0.25">
      <c r="A18" s="134">
        <v>105033214</v>
      </c>
      <c r="B18" s="121" t="s">
        <v>5347</v>
      </c>
      <c r="C18" t="s">
        <v>5428</v>
      </c>
      <c r="D18" s="125">
        <v>13</v>
      </c>
      <c r="E18" t="s">
        <v>4445</v>
      </c>
      <c r="F18" s="122" t="s">
        <v>5144</v>
      </c>
      <c r="G18" s="132"/>
      <c r="H18" t="s">
        <v>5428</v>
      </c>
      <c r="I18" s="124" t="str">
        <f>IF(Tabla13[[#This Row],[RUT]]=774097899,"DIST",_xlfn.XLOOKUP(Tabla13[[#This Row],[VENDEDOR]],dimensiones!$C$21:$C$28,dimensiones!$D$21:$D$28,""))</f>
        <v>ATEL</v>
      </c>
      <c r="J18" s="125" t="str">
        <f>_xlfn.XLOOKUP(Tabla13[[#This Row],[REGION]],dimensiones!C:C,dimensiones!D:D,"")</f>
        <v>Región de Metropolitana de Santiago</v>
      </c>
      <c r="L18" s="136"/>
    </row>
    <row r="19" spans="1:12" x14ac:dyDescent="0.25">
      <c r="A19" s="134">
        <v>106711038</v>
      </c>
      <c r="B19" s="121" t="s">
        <v>5348</v>
      </c>
      <c r="C19" t="s">
        <v>5428</v>
      </c>
      <c r="D19" s="125">
        <v>3</v>
      </c>
      <c r="E19" t="s">
        <v>4445</v>
      </c>
      <c r="F19" s="122" t="s">
        <v>5145</v>
      </c>
      <c r="G19" s="132"/>
      <c r="H19" t="s">
        <v>5428</v>
      </c>
      <c r="I19" s="124" t="str">
        <f>IF(Tabla13[[#This Row],[RUT]]=774097899,"DIST",_xlfn.XLOOKUP(Tabla13[[#This Row],[VENDEDOR]],dimensiones!$C$21:$C$28,dimensiones!$D$21:$D$28,""))</f>
        <v>ATEL</v>
      </c>
      <c r="J19" s="125" t="str">
        <f>_xlfn.XLOOKUP(Tabla13[[#This Row],[REGION]],dimensiones!C:C,dimensiones!D:D,"")</f>
        <v>Región de Atacama</v>
      </c>
      <c r="L19" s="136"/>
    </row>
    <row r="20" spans="1:12" x14ac:dyDescent="0.25">
      <c r="A20" s="134">
        <v>118464397</v>
      </c>
      <c r="B20" s="121" t="s">
        <v>1072</v>
      </c>
      <c r="C20" t="s">
        <v>4168</v>
      </c>
      <c r="D20" s="125">
        <v>13</v>
      </c>
      <c r="E20" t="s">
        <v>4445</v>
      </c>
      <c r="F20" s="122" t="s">
        <v>4900</v>
      </c>
      <c r="G20" s="132"/>
      <c r="H20" t="s">
        <v>4915</v>
      </c>
      <c r="I20" s="124" t="str">
        <f>IF(Tabla13[[#This Row],[RUT]]=774097899,"DIST",_xlfn.XLOOKUP(Tabla13[[#This Row],[VENDEDOR]],dimensiones!$C$21:$C$28,dimensiones!$D$21:$D$28,""))</f>
        <v>ATEL</v>
      </c>
      <c r="J20" s="125" t="str">
        <f>_xlfn.XLOOKUP(Tabla13[[#This Row],[REGION]],dimensiones!C:C,dimensiones!D:D,"")</f>
        <v>Región de Metropolitana de Santiago</v>
      </c>
      <c r="L20" s="136"/>
    </row>
    <row r="21" spans="1:12" x14ac:dyDescent="0.25">
      <c r="A21" s="134">
        <v>118726197</v>
      </c>
      <c r="B21" s="121" t="s">
        <v>5349</v>
      </c>
      <c r="C21" t="s">
        <v>5428</v>
      </c>
      <c r="D21" s="125">
        <v>8</v>
      </c>
      <c r="E21" t="s">
        <v>4445</v>
      </c>
      <c r="F21" s="122" t="s">
        <v>5146</v>
      </c>
      <c r="G21" s="132"/>
      <c r="H21" t="s">
        <v>5428</v>
      </c>
      <c r="I21" s="124" t="str">
        <f>IF(Tabla13[[#This Row],[RUT]]=774097899,"DIST",_xlfn.XLOOKUP(Tabla13[[#This Row],[VENDEDOR]],dimensiones!$C$21:$C$28,dimensiones!$D$21:$D$28,""))</f>
        <v>ATEL</v>
      </c>
      <c r="J21" s="125" t="str">
        <f>_xlfn.XLOOKUP(Tabla13[[#This Row],[REGION]],dimensiones!C:C,dimensiones!D:D,"")</f>
        <v>Región de Biobío</v>
      </c>
      <c r="L21" s="136"/>
    </row>
    <row r="22" spans="1:12" x14ac:dyDescent="0.25">
      <c r="A22" s="134">
        <v>121317834</v>
      </c>
      <c r="B22" s="121" t="s">
        <v>5019</v>
      </c>
      <c r="C22" t="s">
        <v>5428</v>
      </c>
      <c r="D22" s="125">
        <v>13</v>
      </c>
      <c r="E22" t="s">
        <v>4445</v>
      </c>
      <c r="F22" s="122" t="s">
        <v>5147</v>
      </c>
      <c r="G22" s="132"/>
      <c r="H22" t="s">
        <v>5428</v>
      </c>
      <c r="I22" s="124" t="str">
        <f>IF(Tabla13[[#This Row],[RUT]]=774097899,"DIST",_xlfn.XLOOKUP(Tabla13[[#This Row],[VENDEDOR]],dimensiones!$C$21:$C$28,dimensiones!$D$21:$D$28,""))</f>
        <v>ATEL</v>
      </c>
      <c r="J22" s="125" t="str">
        <f>_xlfn.XLOOKUP(Tabla13[[#This Row],[REGION]],dimensiones!C:C,dimensiones!D:D,"")</f>
        <v>Región de Metropolitana de Santiago</v>
      </c>
      <c r="L22" s="136"/>
    </row>
    <row r="23" spans="1:12" x14ac:dyDescent="0.25">
      <c r="A23" s="134">
        <v>122836576</v>
      </c>
      <c r="B23" s="121" t="s">
        <v>5020</v>
      </c>
      <c r="C23" t="s">
        <v>5428</v>
      </c>
      <c r="D23" s="125">
        <v>13</v>
      </c>
      <c r="E23" t="s">
        <v>4445</v>
      </c>
      <c r="F23" s="122" t="s">
        <v>5148</v>
      </c>
      <c r="G23" s="132"/>
      <c r="H23" t="s">
        <v>5428</v>
      </c>
      <c r="I23" s="124" t="str">
        <f>IF(Tabla13[[#This Row],[RUT]]=774097899,"DIST",_xlfn.XLOOKUP(Tabla13[[#This Row],[VENDEDOR]],dimensiones!$C$21:$C$28,dimensiones!$D$21:$D$28,""))</f>
        <v>ATEL</v>
      </c>
      <c r="J23" s="125" t="str">
        <f>_xlfn.XLOOKUP(Tabla13[[#This Row],[REGION]],dimensiones!C:C,dimensiones!D:D,"")</f>
        <v>Región de Metropolitana de Santiago</v>
      </c>
      <c r="L23" s="136"/>
    </row>
    <row r="24" spans="1:12" x14ac:dyDescent="0.25">
      <c r="A24" s="134">
        <v>150855403</v>
      </c>
      <c r="B24" s="121" t="s">
        <v>5350</v>
      </c>
      <c r="C24" t="s">
        <v>5428</v>
      </c>
      <c r="D24" s="125">
        <v>5</v>
      </c>
      <c r="E24" t="s">
        <v>4445</v>
      </c>
      <c r="F24" s="122" t="s">
        <v>5150</v>
      </c>
      <c r="G24" s="132"/>
      <c r="H24" t="s">
        <v>5428</v>
      </c>
      <c r="I24" s="124" t="str">
        <f>IF(Tabla13[[#This Row],[RUT]]=774097899,"DIST",_xlfn.XLOOKUP(Tabla13[[#This Row],[VENDEDOR]],dimensiones!$C$21:$C$28,dimensiones!$D$21:$D$28,""))</f>
        <v>ATEL</v>
      </c>
      <c r="J24" s="125" t="str">
        <f>_xlfn.XLOOKUP(Tabla13[[#This Row],[REGION]],dimensiones!C:C,dimensiones!D:D,"")</f>
        <v>Región de Valparaíso</v>
      </c>
      <c r="L24" s="136"/>
    </row>
    <row r="25" spans="1:12" x14ac:dyDescent="0.25">
      <c r="A25" s="134">
        <v>161447579</v>
      </c>
      <c r="B25" s="121" t="s">
        <v>5351</v>
      </c>
      <c r="C25" t="s">
        <v>5428</v>
      </c>
      <c r="D25" s="125">
        <v>13</v>
      </c>
      <c r="E25" t="s">
        <v>4445</v>
      </c>
      <c r="F25" s="122" t="s">
        <v>5151</v>
      </c>
      <c r="G25" s="132"/>
      <c r="H25" t="s">
        <v>5428</v>
      </c>
      <c r="I25" s="124" t="str">
        <f>IF(Tabla13[[#This Row],[RUT]]=774097899,"DIST",_xlfn.XLOOKUP(Tabla13[[#This Row],[VENDEDOR]],dimensiones!$C$21:$C$28,dimensiones!$D$21:$D$28,""))</f>
        <v>ATEL</v>
      </c>
      <c r="J25" s="125" t="str">
        <f>_xlfn.XLOOKUP(Tabla13[[#This Row],[REGION]],dimensiones!C:C,dimensiones!D:D,"")</f>
        <v>Región de Metropolitana de Santiago</v>
      </c>
      <c r="L25" s="136"/>
    </row>
    <row r="26" spans="1:12" x14ac:dyDescent="0.25">
      <c r="A26" s="134">
        <v>165289676</v>
      </c>
      <c r="B26" s="121" t="s">
        <v>5352</v>
      </c>
      <c r="C26" t="s">
        <v>5428</v>
      </c>
      <c r="D26" s="125">
        <v>6</v>
      </c>
      <c r="E26" t="s">
        <v>4445</v>
      </c>
      <c r="F26" s="122" t="s">
        <v>5152</v>
      </c>
      <c r="G26" s="132"/>
      <c r="H26" t="s">
        <v>5428</v>
      </c>
      <c r="I26" s="124" t="str">
        <f>IF(Tabla13[[#This Row],[RUT]]=774097899,"DIST",_xlfn.XLOOKUP(Tabla13[[#This Row],[VENDEDOR]],dimensiones!$C$21:$C$28,dimensiones!$D$21:$D$28,""))</f>
        <v>ATEL</v>
      </c>
      <c r="J26" s="125" t="str">
        <f>_xlfn.XLOOKUP(Tabla13[[#This Row],[REGION]],dimensiones!C:C,dimensiones!D:D,"")</f>
        <v>Región de Libertador General Bernardo O'Higgins</v>
      </c>
      <c r="L26" s="136"/>
    </row>
    <row r="27" spans="1:12" x14ac:dyDescent="0.25">
      <c r="A27" s="134">
        <v>173054734</v>
      </c>
      <c r="B27" s="121" t="s">
        <v>5353</v>
      </c>
      <c r="C27" t="s">
        <v>5428</v>
      </c>
      <c r="D27" s="125">
        <v>13</v>
      </c>
      <c r="E27" t="s">
        <v>4445</v>
      </c>
      <c r="F27" s="122" t="s">
        <v>5153</v>
      </c>
      <c r="G27" s="132"/>
      <c r="H27" t="s">
        <v>5428</v>
      </c>
      <c r="I27" s="124" t="str">
        <f>IF(Tabla13[[#This Row],[RUT]]=774097899,"DIST",_xlfn.XLOOKUP(Tabla13[[#This Row],[VENDEDOR]],dimensiones!$C$21:$C$28,dimensiones!$D$21:$D$28,""))</f>
        <v>ATEL</v>
      </c>
      <c r="J27" s="125" t="str">
        <f>_xlfn.XLOOKUP(Tabla13[[#This Row],[REGION]],dimensiones!C:C,dimensiones!D:D,"")</f>
        <v>Región de Metropolitana de Santiago</v>
      </c>
      <c r="L27" s="136"/>
    </row>
    <row r="28" spans="1:12" x14ac:dyDescent="0.25">
      <c r="A28" s="134">
        <v>176056827</v>
      </c>
      <c r="B28" s="121" t="s">
        <v>5410</v>
      </c>
      <c r="C28" t="s">
        <v>5428</v>
      </c>
      <c r="D28" s="125">
        <v>8</v>
      </c>
      <c r="E28" t="s">
        <v>4445</v>
      </c>
      <c r="F28" s="122" t="s">
        <v>5154</v>
      </c>
      <c r="G28" s="132"/>
      <c r="H28" t="s">
        <v>5428</v>
      </c>
      <c r="I28" s="124" t="str">
        <f>IF(Tabla13[[#This Row],[RUT]]=774097899,"DIST",_xlfn.XLOOKUP(Tabla13[[#This Row],[VENDEDOR]],dimensiones!$C$21:$C$28,dimensiones!$D$21:$D$28,""))</f>
        <v>ATEL</v>
      </c>
      <c r="J28" s="125" t="str">
        <f>_xlfn.XLOOKUP(Tabla13[[#This Row],[REGION]],dimensiones!C:C,dimensiones!D:D,"")</f>
        <v>Región de Biobío</v>
      </c>
      <c r="L28" s="136"/>
    </row>
    <row r="29" spans="1:12" x14ac:dyDescent="0.25">
      <c r="A29" s="134">
        <v>176445467</v>
      </c>
      <c r="B29" s="121" t="s">
        <v>5354</v>
      </c>
      <c r="C29" t="s">
        <v>5428</v>
      </c>
      <c r="D29" s="125">
        <v>13</v>
      </c>
      <c r="E29" t="s">
        <v>4445</v>
      </c>
      <c r="F29" s="122" t="s">
        <v>5155</v>
      </c>
      <c r="G29" s="132"/>
      <c r="H29" t="s">
        <v>5428</v>
      </c>
      <c r="I29" s="124" t="str">
        <f>IF(Tabla13[[#This Row],[RUT]]=774097899,"DIST",_xlfn.XLOOKUP(Tabla13[[#This Row],[VENDEDOR]],dimensiones!$C$21:$C$28,dimensiones!$D$21:$D$28,""))</f>
        <v>ATEL</v>
      </c>
      <c r="J29" s="125" t="str">
        <f>_xlfn.XLOOKUP(Tabla13[[#This Row],[REGION]],dimensiones!C:C,dimensiones!D:D,"")</f>
        <v>Región de Metropolitana de Santiago</v>
      </c>
      <c r="L29" s="136"/>
    </row>
    <row r="30" spans="1:12" x14ac:dyDescent="0.25">
      <c r="A30" s="134">
        <v>180567933</v>
      </c>
      <c r="B30" s="121" t="s">
        <v>5355</v>
      </c>
      <c r="C30" t="s">
        <v>5428</v>
      </c>
      <c r="D30" s="125">
        <v>13</v>
      </c>
      <c r="E30" t="s">
        <v>4445</v>
      </c>
      <c r="F30" s="122" t="s">
        <v>5156</v>
      </c>
      <c r="G30" s="132"/>
      <c r="H30" t="s">
        <v>5428</v>
      </c>
      <c r="I30" s="124" t="str">
        <f>IF(Tabla13[[#This Row],[RUT]]=774097899,"DIST",_xlfn.XLOOKUP(Tabla13[[#This Row],[VENDEDOR]],dimensiones!$C$21:$C$28,dimensiones!$D$21:$D$28,""))</f>
        <v>ATEL</v>
      </c>
      <c r="J30" s="125" t="str">
        <f>_xlfn.XLOOKUP(Tabla13[[#This Row],[REGION]],dimensiones!C:C,dimensiones!D:D,"")</f>
        <v>Región de Metropolitana de Santiago</v>
      </c>
      <c r="L30" s="136"/>
    </row>
    <row r="31" spans="1:12" x14ac:dyDescent="0.25">
      <c r="A31" s="134">
        <v>188563619</v>
      </c>
      <c r="B31" s="121" t="s">
        <v>5411</v>
      </c>
      <c r="C31" t="s">
        <v>5428</v>
      </c>
      <c r="D31" s="125">
        <v>3</v>
      </c>
      <c r="E31" t="s">
        <v>4445</v>
      </c>
      <c r="F31" s="122" t="s">
        <v>5157</v>
      </c>
      <c r="G31" s="132"/>
      <c r="H31" t="s">
        <v>5428</v>
      </c>
      <c r="I31" s="124" t="str">
        <f>IF(Tabla13[[#This Row],[RUT]]=774097899,"DIST",_xlfn.XLOOKUP(Tabla13[[#This Row],[VENDEDOR]],dimensiones!$C$21:$C$28,dimensiones!$D$21:$D$28,""))</f>
        <v>ATEL</v>
      </c>
      <c r="J31" s="125" t="str">
        <f>_xlfn.XLOOKUP(Tabla13[[#This Row],[REGION]],dimensiones!C:C,dimensiones!D:D,"")</f>
        <v>Región de Atacama</v>
      </c>
      <c r="L31" s="136"/>
    </row>
    <row r="32" spans="1:12" x14ac:dyDescent="0.25">
      <c r="A32" s="134">
        <v>236451461</v>
      </c>
      <c r="B32" s="121" t="s">
        <v>5022</v>
      </c>
      <c r="C32" t="s">
        <v>5428</v>
      </c>
      <c r="D32" s="125">
        <v>13</v>
      </c>
      <c r="E32" t="s">
        <v>4445</v>
      </c>
      <c r="F32" s="122" t="s">
        <v>5158</v>
      </c>
      <c r="G32" s="132"/>
      <c r="H32" t="s">
        <v>5428</v>
      </c>
      <c r="I32" s="124" t="str">
        <f>IF(Tabla13[[#This Row],[RUT]]=774097899,"DIST",_xlfn.XLOOKUP(Tabla13[[#This Row],[VENDEDOR]],dimensiones!$C$21:$C$28,dimensiones!$D$21:$D$28,""))</f>
        <v>ATEL</v>
      </c>
      <c r="J32" s="125" t="str">
        <f>_xlfn.XLOOKUP(Tabla13[[#This Row],[REGION]],dimensiones!C:C,dimensiones!D:D,"")</f>
        <v>Región de Metropolitana de Santiago</v>
      </c>
      <c r="L32" s="136"/>
    </row>
    <row r="33" spans="1:12" x14ac:dyDescent="0.25">
      <c r="A33" s="134">
        <v>259526361</v>
      </c>
      <c r="B33" s="121" t="s">
        <v>5356</v>
      </c>
      <c r="C33" t="s">
        <v>5428</v>
      </c>
      <c r="D33" s="125">
        <v>13</v>
      </c>
      <c r="E33" t="s">
        <v>4445</v>
      </c>
      <c r="F33" s="122" t="s">
        <v>5159</v>
      </c>
      <c r="G33" s="132"/>
      <c r="H33" t="s">
        <v>5428</v>
      </c>
      <c r="I33" s="124" t="str">
        <f>IF(Tabla13[[#This Row],[RUT]]=774097899,"DIST",_xlfn.XLOOKUP(Tabla13[[#This Row],[VENDEDOR]],dimensiones!$C$21:$C$28,dimensiones!$D$21:$D$28,""))</f>
        <v>ATEL</v>
      </c>
      <c r="J33" s="125" t="str">
        <f>_xlfn.XLOOKUP(Tabla13[[#This Row],[REGION]],dimensiones!C:C,dimensiones!D:D,"")</f>
        <v>Región de Metropolitana de Santiago</v>
      </c>
      <c r="L33" s="136"/>
    </row>
    <row r="34" spans="1:12" x14ac:dyDescent="0.25">
      <c r="A34" s="134">
        <v>590772909</v>
      </c>
      <c r="B34" s="121" t="s">
        <v>5023</v>
      </c>
      <c r="C34" t="s">
        <v>5428</v>
      </c>
      <c r="D34" s="125">
        <v>13</v>
      </c>
      <c r="E34" t="s">
        <v>4445</v>
      </c>
      <c r="F34" s="122" t="s">
        <v>5160</v>
      </c>
      <c r="G34" s="132"/>
      <c r="H34" t="s">
        <v>5428</v>
      </c>
      <c r="I34" s="124" t="str">
        <f>IF(Tabla13[[#This Row],[RUT]]=774097899,"DIST",_xlfn.XLOOKUP(Tabla13[[#This Row],[VENDEDOR]],dimensiones!$C$21:$C$28,dimensiones!$D$21:$D$28,""))</f>
        <v>ATEL</v>
      </c>
      <c r="J34" s="125" t="str">
        <f>_xlfn.XLOOKUP(Tabla13[[#This Row],[REGION]],dimensiones!C:C,dimensiones!D:D,"")</f>
        <v>Región de Metropolitana de Santiago</v>
      </c>
      <c r="L34" s="136"/>
    </row>
    <row r="35" spans="1:12" x14ac:dyDescent="0.25">
      <c r="A35" s="134">
        <v>601030004</v>
      </c>
      <c r="B35" s="121" t="s">
        <v>5024</v>
      </c>
      <c r="C35" t="s">
        <v>5428</v>
      </c>
      <c r="D35" s="125">
        <v>13</v>
      </c>
      <c r="E35" t="s">
        <v>4445</v>
      </c>
      <c r="F35" s="122" t="s">
        <v>5161</v>
      </c>
      <c r="G35" s="132"/>
      <c r="H35" t="s">
        <v>5428</v>
      </c>
      <c r="I35" s="124" t="str">
        <f>IF(Tabla13[[#This Row],[RUT]]=774097899,"DIST",_xlfn.XLOOKUP(Tabla13[[#This Row],[VENDEDOR]],dimensiones!$C$21:$C$28,dimensiones!$D$21:$D$28,""))</f>
        <v>ATEL</v>
      </c>
      <c r="J35" s="125" t="str">
        <f>_xlfn.XLOOKUP(Tabla13[[#This Row],[REGION]],dimensiones!C:C,dimensiones!D:D,"")</f>
        <v>Región de Metropolitana de Santiago</v>
      </c>
      <c r="L35" s="136"/>
    </row>
    <row r="36" spans="1:12" x14ac:dyDescent="0.25">
      <c r="A36" s="134">
        <v>602020002</v>
      </c>
      <c r="B36" s="121" t="s">
        <v>1075</v>
      </c>
      <c r="C36" t="s">
        <v>4459</v>
      </c>
      <c r="D36" s="125">
        <v>5</v>
      </c>
      <c r="E36" t="s">
        <v>4445</v>
      </c>
      <c r="F36" s="122" t="s">
        <v>4903</v>
      </c>
      <c r="G36" s="132"/>
      <c r="H36" t="s">
        <v>4957</v>
      </c>
      <c r="I36" s="124" t="str">
        <f>IF(Tabla13[[#This Row],[RUT]]=774097899,"DIST",_xlfn.XLOOKUP(Tabla13[[#This Row],[VENDEDOR]],dimensiones!$C$21:$C$28,dimensiones!$D$21:$D$28,""))</f>
        <v>ATEL</v>
      </c>
      <c r="J36" s="125" t="str">
        <f>_xlfn.XLOOKUP(Tabla13[[#This Row],[REGION]],dimensiones!C:C,dimensiones!D:D,"")</f>
        <v>Región de Valparaíso</v>
      </c>
      <c r="L36" s="136"/>
    </row>
    <row r="37" spans="1:12" x14ac:dyDescent="0.25">
      <c r="A37" s="134">
        <v>605060005</v>
      </c>
      <c r="B37" s="121" t="s">
        <v>5025</v>
      </c>
      <c r="C37" t="s">
        <v>5428</v>
      </c>
      <c r="D37" s="125">
        <v>10</v>
      </c>
      <c r="E37" t="s">
        <v>4445</v>
      </c>
      <c r="F37" s="122" t="s">
        <v>5162</v>
      </c>
      <c r="G37" s="132"/>
      <c r="H37" t="s">
        <v>5428</v>
      </c>
      <c r="I37" s="124" t="str">
        <f>IF(Tabla13[[#This Row],[RUT]]=774097899,"DIST",_xlfn.XLOOKUP(Tabla13[[#This Row],[VENDEDOR]],dimensiones!$C$21:$C$28,dimensiones!$D$21:$D$28,""))</f>
        <v>ATEL</v>
      </c>
      <c r="J37" s="125" t="str">
        <f>_xlfn.XLOOKUP(Tabla13[[#This Row],[REGION]],dimensiones!C:C,dimensiones!D:D,"")</f>
        <v>Región de Los Lagos</v>
      </c>
      <c r="L37" s="136"/>
    </row>
    <row r="38" spans="1:12" x14ac:dyDescent="0.25">
      <c r="A38" s="134">
        <v>605060129</v>
      </c>
      <c r="B38" s="121" t="s">
        <v>5026</v>
      </c>
      <c r="C38" t="s">
        <v>5428</v>
      </c>
      <c r="D38" s="125">
        <v>13</v>
      </c>
      <c r="E38" t="s">
        <v>4445</v>
      </c>
      <c r="F38" s="122" t="s">
        <v>5163</v>
      </c>
      <c r="G38" s="132"/>
      <c r="H38" t="s">
        <v>5428</v>
      </c>
      <c r="I38" s="124" t="str">
        <f>IF(Tabla13[[#This Row],[RUT]]=774097899,"DIST",_xlfn.XLOOKUP(Tabla13[[#This Row],[VENDEDOR]],dimensiones!$C$21:$C$28,dimensiones!$D$21:$D$28,""))</f>
        <v>ATEL</v>
      </c>
      <c r="J38" s="125" t="str">
        <f>_xlfn.XLOOKUP(Tabla13[[#This Row],[REGION]],dimensiones!C:C,dimensiones!D:D,"")</f>
        <v>Región de Metropolitana de Santiago</v>
      </c>
      <c r="L38" s="136"/>
    </row>
    <row r="39" spans="1:12" x14ac:dyDescent="0.25">
      <c r="A39" s="134">
        <v>605111300</v>
      </c>
      <c r="B39" s="121" t="s">
        <v>5357</v>
      </c>
      <c r="C39" t="s">
        <v>5428</v>
      </c>
      <c r="D39" s="125">
        <v>13</v>
      </c>
      <c r="E39" t="s">
        <v>4445</v>
      </c>
      <c r="F39" s="122" t="s">
        <v>5164</v>
      </c>
      <c r="G39" s="132"/>
      <c r="H39" t="s">
        <v>5428</v>
      </c>
      <c r="I39" s="124" t="str">
        <f>IF(Tabla13[[#This Row],[RUT]]=774097899,"DIST",_xlfn.XLOOKUP(Tabla13[[#This Row],[VENDEDOR]],dimensiones!$C$21:$C$28,dimensiones!$D$21:$D$28,""))</f>
        <v>ATEL</v>
      </c>
      <c r="J39" s="125" t="str">
        <f>_xlfn.XLOOKUP(Tabla13[[#This Row],[REGION]],dimensiones!C:C,dimensiones!D:D,"")</f>
        <v>Región de Metropolitana de Santiago</v>
      </c>
      <c r="L39" s="136"/>
    </row>
    <row r="40" spans="1:12" x14ac:dyDescent="0.25">
      <c r="A40" s="134">
        <v>609020636</v>
      </c>
      <c r="B40" s="121" t="s">
        <v>343</v>
      </c>
      <c r="C40" t="s">
        <v>5428</v>
      </c>
      <c r="D40" s="125">
        <v>7</v>
      </c>
      <c r="E40" t="s">
        <v>4445</v>
      </c>
      <c r="F40" s="122" t="s">
        <v>5165</v>
      </c>
      <c r="G40" s="132"/>
      <c r="H40" t="s">
        <v>5428</v>
      </c>
      <c r="I40" s="124" t="str">
        <f>IF(Tabla13[[#This Row],[RUT]]=774097899,"DIST",_xlfn.XLOOKUP(Tabla13[[#This Row],[VENDEDOR]],dimensiones!$C$21:$C$28,dimensiones!$D$21:$D$28,""))</f>
        <v>ATEL</v>
      </c>
      <c r="J40" s="125" t="str">
        <f>_xlfn.XLOOKUP(Tabla13[[#This Row],[REGION]],dimensiones!C:C,dimensiones!D:D,"")</f>
        <v>Región de Maule</v>
      </c>
      <c r="L40" s="136"/>
    </row>
    <row r="41" spans="1:12" x14ac:dyDescent="0.25">
      <c r="A41" s="134">
        <v>609050004</v>
      </c>
      <c r="B41" s="121" t="s">
        <v>5027</v>
      </c>
      <c r="C41" t="s">
        <v>5428</v>
      </c>
      <c r="D41" s="125">
        <v>4</v>
      </c>
      <c r="E41" t="s">
        <v>4445</v>
      </c>
      <c r="F41" s="122" t="s">
        <v>5166</v>
      </c>
      <c r="G41" s="132"/>
      <c r="H41" t="s">
        <v>5428</v>
      </c>
      <c r="I41" s="124" t="str">
        <f>IF(Tabla13[[#This Row],[RUT]]=774097899,"DIST",_xlfn.XLOOKUP(Tabla13[[#This Row],[VENDEDOR]],dimensiones!$C$21:$C$28,dimensiones!$D$21:$D$28,""))</f>
        <v>ATEL</v>
      </c>
      <c r="J41" s="125" t="str">
        <f>_xlfn.XLOOKUP(Tabla13[[#This Row],[REGION]],dimensiones!C:C,dimensiones!D:D,"")</f>
        <v>Región de Coquimbo</v>
      </c>
      <c r="L41" s="136"/>
    </row>
    <row r="42" spans="1:12" x14ac:dyDescent="0.25">
      <c r="A42" s="134">
        <v>609100478</v>
      </c>
      <c r="B42" s="121" t="s">
        <v>5028</v>
      </c>
      <c r="C42" t="s">
        <v>5428</v>
      </c>
      <c r="D42" s="125">
        <v>13</v>
      </c>
      <c r="E42" t="s">
        <v>4445</v>
      </c>
      <c r="F42" s="122" t="s">
        <v>5167</v>
      </c>
      <c r="G42" s="132"/>
      <c r="H42" t="s">
        <v>5428</v>
      </c>
      <c r="I42" s="124" t="str">
        <f>IF(Tabla13[[#This Row],[RUT]]=774097899,"DIST",_xlfn.XLOOKUP(Tabla13[[#This Row],[VENDEDOR]],dimensiones!$C$21:$C$28,dimensiones!$D$21:$D$28,""))</f>
        <v>ATEL</v>
      </c>
      <c r="J42" s="125" t="str">
        <f>_xlfn.XLOOKUP(Tabla13[[#This Row],[REGION]],dimensiones!C:C,dimensiones!D:D,"")</f>
        <v>Región de Metropolitana de Santiago</v>
      </c>
      <c r="L42" s="136"/>
    </row>
    <row r="43" spans="1:12" x14ac:dyDescent="0.25">
      <c r="A43" s="134">
        <v>609110066</v>
      </c>
      <c r="B43" s="121" t="s">
        <v>5029</v>
      </c>
      <c r="C43" t="s">
        <v>5428</v>
      </c>
      <c r="D43" s="125">
        <v>8</v>
      </c>
      <c r="E43" t="s">
        <v>4445</v>
      </c>
      <c r="F43" s="122" t="s">
        <v>5168</v>
      </c>
      <c r="G43" s="132"/>
      <c r="H43" t="s">
        <v>5428</v>
      </c>
      <c r="I43" s="124" t="str">
        <f>IF(Tabla13[[#This Row],[RUT]]=774097899,"DIST",_xlfn.XLOOKUP(Tabla13[[#This Row],[VENDEDOR]],dimensiones!$C$21:$C$28,dimensiones!$D$21:$D$28,""))</f>
        <v>ATEL</v>
      </c>
      <c r="J43" s="125" t="str">
        <f>_xlfn.XLOOKUP(Tabla13[[#This Row],[REGION]],dimensiones!C:C,dimensiones!D:D,"")</f>
        <v>Región de Biobío</v>
      </c>
      <c r="L43" s="136"/>
    </row>
    <row r="44" spans="1:12" x14ac:dyDescent="0.25">
      <c r="A44" s="134">
        <v>610040071</v>
      </c>
      <c r="B44" s="121" t="s">
        <v>5412</v>
      </c>
      <c r="C44" t="s">
        <v>5428</v>
      </c>
      <c r="D44" s="125">
        <v>2</v>
      </c>
      <c r="E44" t="s">
        <v>4445</v>
      </c>
      <c r="F44" s="122" t="s">
        <v>5169</v>
      </c>
      <c r="G44" s="132"/>
      <c r="H44" t="s">
        <v>5428</v>
      </c>
      <c r="I44" s="124" t="str">
        <f>IF(Tabla13[[#This Row],[RUT]]=774097899,"DIST",_xlfn.XLOOKUP(Tabla13[[#This Row],[VENDEDOR]],dimensiones!$C$21:$C$28,dimensiones!$D$21:$D$28,""))</f>
        <v>ATEL</v>
      </c>
      <c r="J44" s="125" t="str">
        <f>_xlfn.XLOOKUP(Tabla13[[#This Row],[REGION]],dimensiones!C:C,dimensiones!D:D,"")</f>
        <v>Región de Antofagasta</v>
      </c>
      <c r="L44" s="136"/>
    </row>
    <row r="45" spans="1:12" x14ac:dyDescent="0.25">
      <c r="A45" s="134">
        <v>610040519</v>
      </c>
      <c r="B45" s="121" t="s">
        <v>5030</v>
      </c>
      <c r="C45" t="s">
        <v>5428</v>
      </c>
      <c r="D45" s="125">
        <v>7</v>
      </c>
      <c r="E45" t="s">
        <v>4445</v>
      </c>
      <c r="F45" s="122" t="s">
        <v>5171</v>
      </c>
      <c r="G45" s="132"/>
      <c r="H45" t="s">
        <v>5428</v>
      </c>
      <c r="I45" s="124" t="str">
        <f>IF(Tabla13[[#This Row],[RUT]]=774097899,"DIST",_xlfn.XLOOKUP(Tabla13[[#This Row],[VENDEDOR]],dimensiones!$C$21:$C$28,dimensiones!$D$21:$D$28,""))</f>
        <v>ATEL</v>
      </c>
      <c r="J45" s="125" t="str">
        <f>_xlfn.XLOOKUP(Tabla13[[#This Row],[REGION]],dimensiones!C:C,dimensiones!D:D,"")</f>
        <v>Región de Maule</v>
      </c>
      <c r="L45" s="136"/>
    </row>
    <row r="46" spans="1:12" x14ac:dyDescent="0.25">
      <c r="A46" s="134">
        <v>610040985</v>
      </c>
      <c r="B46" s="121" t="s">
        <v>5413</v>
      </c>
      <c r="C46" t="s">
        <v>5428</v>
      </c>
      <c r="D46" s="125">
        <v>10</v>
      </c>
      <c r="E46" t="s">
        <v>4445</v>
      </c>
      <c r="F46" s="122" t="s">
        <v>5172</v>
      </c>
      <c r="G46" s="132"/>
      <c r="H46" t="s">
        <v>5428</v>
      </c>
      <c r="I46" s="124" t="str">
        <f>IF(Tabla13[[#This Row],[RUT]]=774097899,"DIST",_xlfn.XLOOKUP(Tabla13[[#This Row],[VENDEDOR]],dimensiones!$C$21:$C$28,dimensiones!$D$21:$D$28,""))</f>
        <v>ATEL</v>
      </c>
      <c r="J46" s="125" t="str">
        <f>_xlfn.XLOOKUP(Tabla13[[#This Row],[REGION]],dimensiones!C:C,dimensiones!D:D,"")</f>
        <v>Región de Los Lagos</v>
      </c>
      <c r="L46" s="136"/>
    </row>
    <row r="47" spans="1:12" x14ac:dyDescent="0.25">
      <c r="A47" s="134">
        <v>611010176</v>
      </c>
      <c r="B47" s="121" t="s">
        <v>5358</v>
      </c>
      <c r="C47" t="s">
        <v>5428</v>
      </c>
      <c r="D47" s="125">
        <v>13</v>
      </c>
      <c r="E47" t="s">
        <v>4445</v>
      </c>
      <c r="F47" s="122" t="s">
        <v>5173</v>
      </c>
      <c r="G47" s="132"/>
      <c r="H47" t="s">
        <v>5428</v>
      </c>
      <c r="I47" s="124" t="str">
        <f>IF(Tabla13[[#This Row],[RUT]]=774097899,"DIST",_xlfn.XLOOKUP(Tabla13[[#This Row],[VENDEDOR]],dimensiones!$C$21:$C$28,dimensiones!$D$21:$D$28,""))</f>
        <v>ATEL</v>
      </c>
      <c r="J47" s="125" t="str">
        <f>_xlfn.XLOOKUP(Tabla13[[#This Row],[REGION]],dimensiones!C:C,dimensiones!D:D,"")</f>
        <v>Región de Metropolitana de Santiago</v>
      </c>
      <c r="L47" s="136"/>
    </row>
    <row r="48" spans="1:12" x14ac:dyDescent="0.25">
      <c r="A48" s="134">
        <v>611021275</v>
      </c>
      <c r="B48" s="121" t="s">
        <v>1053</v>
      </c>
      <c r="C48" t="s">
        <v>4459</v>
      </c>
      <c r="D48" s="125">
        <v>5</v>
      </c>
      <c r="E48" t="s">
        <v>4445</v>
      </c>
      <c r="F48" s="122" t="s">
        <v>4886</v>
      </c>
      <c r="G48" s="132"/>
      <c r="H48" t="s">
        <v>4915</v>
      </c>
      <c r="I48" s="124" t="str">
        <f>IF(Tabla13[[#This Row],[RUT]]=774097899,"DIST",_xlfn.XLOOKUP(Tabla13[[#This Row],[VENDEDOR]],dimensiones!$C$21:$C$28,dimensiones!$D$21:$D$28,""))</f>
        <v>ATEL</v>
      </c>
      <c r="J48" s="125" t="str">
        <f>_xlfn.XLOOKUP(Tabla13[[#This Row],[REGION]],dimensiones!C:C,dimensiones!D:D,"")</f>
        <v>Región de Valparaíso</v>
      </c>
      <c r="L48" s="136"/>
    </row>
    <row r="49" spans="1:12" x14ac:dyDescent="0.25">
      <c r="A49" s="134">
        <v>611030207</v>
      </c>
      <c r="B49" s="121" t="s">
        <v>5393</v>
      </c>
      <c r="C49" t="s">
        <v>5428</v>
      </c>
      <c r="D49" s="125">
        <v>10</v>
      </c>
      <c r="E49" t="s">
        <v>4445</v>
      </c>
      <c r="F49" s="122" t="s">
        <v>5174</v>
      </c>
      <c r="G49" s="132"/>
      <c r="H49" t="s">
        <v>5428</v>
      </c>
      <c r="I49" s="124" t="str">
        <f>IF(Tabla13[[#This Row],[RUT]]=774097899,"DIST",_xlfn.XLOOKUP(Tabla13[[#This Row],[VENDEDOR]],dimensiones!$C$21:$C$28,dimensiones!$D$21:$D$28,""))</f>
        <v>ATEL</v>
      </c>
      <c r="J49" s="125" t="str">
        <f>_xlfn.XLOOKUP(Tabla13[[#This Row],[REGION]],dimensiones!C:C,dimensiones!D:D,"")</f>
        <v>Región de Los Lagos</v>
      </c>
      <c r="L49" s="136"/>
    </row>
    <row r="50" spans="1:12" x14ac:dyDescent="0.25">
      <c r="A50" s="134">
        <v>611030215</v>
      </c>
      <c r="B50" s="121" t="s">
        <v>5394</v>
      </c>
      <c r="C50" t="s">
        <v>4185</v>
      </c>
      <c r="D50" s="125" t="s">
        <v>5428</v>
      </c>
      <c r="E50" t="s">
        <v>4445</v>
      </c>
      <c r="F50" s="122" t="s">
        <v>4870</v>
      </c>
      <c r="G50" s="132"/>
      <c r="H50" t="s">
        <v>4957</v>
      </c>
      <c r="I50" s="124" t="str">
        <f>IF(Tabla13[[#This Row],[RUT]]=774097899,"DIST",_xlfn.XLOOKUP(Tabla13[[#This Row],[VENDEDOR]],dimensiones!$C$21:$C$28,dimensiones!$D$21:$D$28,""))</f>
        <v>ATEL</v>
      </c>
      <c r="J50" s="125" t="str">
        <f>_xlfn.XLOOKUP(Tabla13[[#This Row],[REGION]],dimensiones!C:C,dimensiones!D:D,"")</f>
        <v/>
      </c>
      <c r="L50" s="136"/>
    </row>
    <row r="51" spans="1:12" x14ac:dyDescent="0.25">
      <c r="A51" s="134">
        <v>611030223</v>
      </c>
      <c r="B51" s="121" t="s">
        <v>5402</v>
      </c>
      <c r="C51" t="s">
        <v>5428</v>
      </c>
      <c r="D51" s="125">
        <v>5</v>
      </c>
      <c r="E51" t="s">
        <v>4445</v>
      </c>
      <c r="F51" s="122" t="s">
        <v>5175</v>
      </c>
      <c r="G51" s="132"/>
      <c r="H51" t="s">
        <v>5428</v>
      </c>
      <c r="I51" s="124" t="str">
        <f>IF(Tabla13[[#This Row],[RUT]]=774097899,"DIST",_xlfn.XLOOKUP(Tabla13[[#This Row],[VENDEDOR]],dimensiones!$C$21:$C$28,dimensiones!$D$21:$D$28,""))</f>
        <v>ATEL</v>
      </c>
      <c r="J51" s="125" t="str">
        <f>_xlfn.XLOOKUP(Tabla13[[#This Row],[REGION]],dimensiones!C:C,dimensiones!D:D,"")</f>
        <v>Región de Valparaíso</v>
      </c>
      <c r="L51" s="136"/>
    </row>
    <row r="52" spans="1:12" x14ac:dyDescent="0.25">
      <c r="A52" s="134">
        <v>611030231</v>
      </c>
      <c r="B52" s="121" t="s">
        <v>5359</v>
      </c>
      <c r="C52" t="s">
        <v>5428</v>
      </c>
      <c r="D52" s="125">
        <v>1</v>
      </c>
      <c r="E52" t="s">
        <v>4445</v>
      </c>
      <c r="F52" s="122" t="s">
        <v>5176</v>
      </c>
      <c r="G52" s="132"/>
      <c r="H52" t="s">
        <v>5428</v>
      </c>
      <c r="I52" s="124" t="str">
        <f>IF(Tabla13[[#This Row],[RUT]]=774097899,"DIST",_xlfn.XLOOKUP(Tabla13[[#This Row],[VENDEDOR]],dimensiones!$C$21:$C$28,dimensiones!$D$21:$D$28,""))</f>
        <v>ATEL</v>
      </c>
      <c r="J52" s="125" t="str">
        <f>_xlfn.XLOOKUP(Tabla13[[#This Row],[REGION]],dimensiones!C:C,dimensiones!D:D,"")</f>
        <v>Región de Tarapacá</v>
      </c>
      <c r="L52" s="136"/>
    </row>
    <row r="53" spans="1:12" x14ac:dyDescent="0.25">
      <c r="A53" s="134">
        <v>611030320</v>
      </c>
      <c r="B53" s="121" t="s">
        <v>5031</v>
      </c>
      <c r="C53" t="s">
        <v>5428</v>
      </c>
      <c r="D53" s="125">
        <v>13</v>
      </c>
      <c r="E53" t="s">
        <v>4445</v>
      </c>
      <c r="F53" s="122" t="s">
        <v>5177</v>
      </c>
      <c r="G53" s="132"/>
      <c r="H53" t="s">
        <v>5428</v>
      </c>
      <c r="I53" s="124" t="str">
        <f>IF(Tabla13[[#This Row],[RUT]]=774097899,"DIST",_xlfn.XLOOKUP(Tabla13[[#This Row],[VENDEDOR]],dimensiones!$C$21:$C$28,dimensiones!$D$21:$D$28,""))</f>
        <v>ATEL</v>
      </c>
      <c r="J53" s="125" t="str">
        <f>_xlfn.XLOOKUP(Tabla13[[#This Row],[REGION]],dimensiones!C:C,dimensiones!D:D,"")</f>
        <v>Región de Metropolitana de Santiago</v>
      </c>
      <c r="L53" s="136"/>
    </row>
    <row r="54" spans="1:12" x14ac:dyDescent="0.25">
      <c r="A54" s="134">
        <v>611090005</v>
      </c>
      <c r="B54" s="121" t="s">
        <v>5178</v>
      </c>
      <c r="C54" t="s">
        <v>5428</v>
      </c>
      <c r="D54" s="125">
        <v>13</v>
      </c>
      <c r="E54" t="s">
        <v>4445</v>
      </c>
      <c r="F54" s="122" t="s">
        <v>5179</v>
      </c>
      <c r="G54" s="132"/>
      <c r="H54" t="s">
        <v>5428</v>
      </c>
      <c r="I54" s="124" t="str">
        <f>IF(Tabla13[[#This Row],[RUT]]=774097899,"DIST",_xlfn.XLOOKUP(Tabla13[[#This Row],[VENDEDOR]],dimensiones!$C$21:$C$28,dimensiones!$D$21:$D$28,""))</f>
        <v>ATEL</v>
      </c>
      <c r="J54" s="125" t="str">
        <f>_xlfn.XLOOKUP(Tabla13[[#This Row],[REGION]],dimensiones!C:C,dimensiones!D:D,"")</f>
        <v>Región de Metropolitana de Santiago</v>
      </c>
      <c r="L54" s="136"/>
    </row>
    <row r="55" spans="1:12" x14ac:dyDescent="0.25">
      <c r="A55" s="134">
        <v>612020000</v>
      </c>
      <c r="B55" s="121" t="s">
        <v>5032</v>
      </c>
      <c r="C55" t="s">
        <v>5428</v>
      </c>
      <c r="D55" s="125">
        <v>13</v>
      </c>
      <c r="E55" t="s">
        <v>4445</v>
      </c>
      <c r="F55" s="122" t="s">
        <v>5180</v>
      </c>
      <c r="G55" s="132"/>
      <c r="H55" t="s">
        <v>5428</v>
      </c>
      <c r="I55" s="124" t="str">
        <f>IF(Tabla13[[#This Row],[RUT]]=774097899,"DIST",_xlfn.XLOOKUP(Tabla13[[#This Row],[VENDEDOR]],dimensiones!$C$21:$C$28,dimensiones!$D$21:$D$28,""))</f>
        <v>ATEL</v>
      </c>
      <c r="J55" s="125" t="str">
        <f>_xlfn.XLOOKUP(Tabla13[[#This Row],[REGION]],dimensiones!C:C,dimensiones!D:D,"")</f>
        <v>Región de Metropolitana de Santiago</v>
      </c>
      <c r="L55" s="136"/>
    </row>
    <row r="56" spans="1:12" x14ac:dyDescent="0.25">
      <c r="A56" s="134">
        <v>615330000</v>
      </c>
      <c r="B56" s="121" t="s">
        <v>5033</v>
      </c>
      <c r="C56" t="s">
        <v>5428</v>
      </c>
      <c r="D56" s="125">
        <v>13</v>
      </c>
      <c r="E56" t="s">
        <v>4445</v>
      </c>
      <c r="F56" s="122" t="s">
        <v>5181</v>
      </c>
      <c r="G56" s="132"/>
      <c r="H56" t="s">
        <v>5428</v>
      </c>
      <c r="I56" s="124" t="str">
        <f>IF(Tabla13[[#This Row],[RUT]]=774097899,"DIST",_xlfn.XLOOKUP(Tabla13[[#This Row],[VENDEDOR]],dimensiones!$C$21:$C$28,dimensiones!$D$21:$D$28,""))</f>
        <v>ATEL</v>
      </c>
      <c r="J56" s="125" t="str">
        <f>_xlfn.XLOOKUP(Tabla13[[#This Row],[REGION]],dimensiones!C:C,dimensiones!D:D,"")</f>
        <v>Región de Metropolitana de Santiago</v>
      </c>
      <c r="L56" s="136"/>
    </row>
    <row r="57" spans="1:12" x14ac:dyDescent="0.25">
      <c r="A57" s="134">
        <v>616050001</v>
      </c>
      <c r="B57" s="121" t="s">
        <v>5034</v>
      </c>
      <c r="C57" t="s">
        <v>5428</v>
      </c>
      <c r="D57" s="125">
        <v>13</v>
      </c>
      <c r="E57" t="s">
        <v>4445</v>
      </c>
      <c r="F57" s="122" t="s">
        <v>5182</v>
      </c>
      <c r="G57" s="132"/>
      <c r="H57" t="s">
        <v>5428</v>
      </c>
      <c r="I57" s="124" t="str">
        <f>IF(Tabla13[[#This Row],[RUT]]=774097899,"DIST",_xlfn.XLOOKUP(Tabla13[[#This Row],[VENDEDOR]],dimensiones!$C$21:$C$28,dimensiones!$D$21:$D$28,""))</f>
        <v>ATEL</v>
      </c>
      <c r="J57" s="125" t="str">
        <f>_xlfn.XLOOKUP(Tabla13[[#This Row],[REGION]],dimensiones!C:C,dimensiones!D:D,"")</f>
        <v>Región de Metropolitana de Santiago</v>
      </c>
      <c r="L57" s="136"/>
    </row>
    <row r="58" spans="1:12" x14ac:dyDescent="0.25">
      <c r="A58" s="134">
        <v>616074008</v>
      </c>
      <c r="B58" s="121" t="s">
        <v>5403</v>
      </c>
      <c r="C58" t="s">
        <v>5428</v>
      </c>
      <c r="D58" s="125">
        <v>9</v>
      </c>
      <c r="E58" t="s">
        <v>4445</v>
      </c>
      <c r="F58" s="122" t="s">
        <v>5184</v>
      </c>
      <c r="G58" s="132"/>
      <c r="H58" t="s">
        <v>5428</v>
      </c>
      <c r="I58" s="124" t="str">
        <f>IF(Tabla13[[#This Row],[RUT]]=774097899,"DIST",_xlfn.XLOOKUP(Tabla13[[#This Row],[VENDEDOR]],dimensiones!$C$21:$C$28,dimensiones!$D$21:$D$28,""))</f>
        <v>ATEL</v>
      </c>
      <c r="J58" s="125" t="str">
        <f>_xlfn.XLOOKUP(Tabla13[[#This Row],[REGION]],dimensiones!C:C,dimensiones!D:D,"")</f>
        <v>Región de La Araucanía</v>
      </c>
      <c r="L58" s="136"/>
    </row>
    <row r="59" spans="1:12" x14ac:dyDescent="0.25">
      <c r="A59" s="134">
        <v>616080008</v>
      </c>
      <c r="B59" s="121" t="s">
        <v>5035</v>
      </c>
      <c r="C59" t="s">
        <v>5428</v>
      </c>
      <c r="D59" s="125">
        <v>13</v>
      </c>
      <c r="E59" t="s">
        <v>4445</v>
      </c>
      <c r="F59" s="122" t="s">
        <v>5185</v>
      </c>
      <c r="G59" s="132"/>
      <c r="H59" t="s">
        <v>5428</v>
      </c>
      <c r="I59" s="124" t="str">
        <f>IF(Tabla13[[#This Row],[RUT]]=774097899,"DIST",_xlfn.XLOOKUP(Tabla13[[#This Row],[VENDEDOR]],dimensiones!$C$21:$C$28,dimensiones!$D$21:$D$28,""))</f>
        <v>ATEL</v>
      </c>
      <c r="J59" s="125" t="str">
        <f>_xlfn.XLOOKUP(Tabla13[[#This Row],[REGION]],dimensiones!C:C,dimensiones!D:D,"")</f>
        <v>Región de Metropolitana de Santiago</v>
      </c>
      <c r="L59" s="136"/>
    </row>
    <row r="60" spans="1:12" x14ac:dyDescent="0.25">
      <c r="A60" s="134">
        <v>618210006</v>
      </c>
      <c r="B60" s="121" t="s">
        <v>5360</v>
      </c>
      <c r="C60" t="s">
        <v>5428</v>
      </c>
      <c r="D60" s="125">
        <v>9</v>
      </c>
      <c r="E60" t="s">
        <v>4445</v>
      </c>
      <c r="F60" s="122" t="s">
        <v>5186</v>
      </c>
      <c r="G60" s="132"/>
      <c r="H60" t="s">
        <v>5428</v>
      </c>
      <c r="I60" s="124" t="str">
        <f>IF(Tabla13[[#This Row],[RUT]]=774097899,"DIST",_xlfn.XLOOKUP(Tabla13[[#This Row],[VENDEDOR]],dimensiones!$C$21:$C$28,dimensiones!$D$21:$D$28,""))</f>
        <v>ATEL</v>
      </c>
      <c r="J60" s="125" t="str">
        <f>_xlfn.XLOOKUP(Tabla13[[#This Row],[REGION]],dimensiones!C:C,dimensiones!D:D,"")</f>
        <v>Región de La Araucanía</v>
      </c>
      <c r="L60" s="136"/>
    </row>
    <row r="61" spans="1:12" x14ac:dyDescent="0.25">
      <c r="A61" s="134">
        <v>619232003</v>
      </c>
      <c r="B61" s="121" t="s">
        <v>5036</v>
      </c>
      <c r="C61" t="s">
        <v>5428</v>
      </c>
      <c r="D61" s="125">
        <v>13</v>
      </c>
      <c r="E61" t="s">
        <v>4445</v>
      </c>
      <c r="F61" s="122" t="s">
        <v>5187</v>
      </c>
      <c r="G61" s="132"/>
      <c r="H61" t="s">
        <v>5428</v>
      </c>
      <c r="I61" s="124" t="str">
        <f>IF(Tabla13[[#This Row],[RUT]]=774097899,"DIST",_xlfn.XLOOKUP(Tabla13[[#This Row],[VENDEDOR]],dimensiones!$C$21:$C$28,dimensiones!$D$21:$D$28,""))</f>
        <v>ATEL</v>
      </c>
      <c r="J61" s="125" t="str">
        <f>_xlfn.XLOOKUP(Tabla13[[#This Row],[REGION]],dimensiones!C:C,dimensiones!D:D,"")</f>
        <v>Región de Metropolitana de Santiago</v>
      </c>
      <c r="L61" s="136"/>
    </row>
    <row r="62" spans="1:12" x14ac:dyDescent="0.25">
      <c r="A62" s="134">
        <v>619551001</v>
      </c>
      <c r="B62" s="121" t="s">
        <v>5037</v>
      </c>
      <c r="C62" t="s">
        <v>5428</v>
      </c>
      <c r="D62" s="125">
        <v>9</v>
      </c>
      <c r="E62" t="s">
        <v>4445</v>
      </c>
      <c r="F62" s="122" t="s">
        <v>5188</v>
      </c>
      <c r="G62" s="132"/>
      <c r="H62" t="s">
        <v>5428</v>
      </c>
      <c r="I62" s="124" t="str">
        <f>IF(Tabla13[[#This Row],[RUT]]=774097899,"DIST",_xlfn.XLOOKUP(Tabla13[[#This Row],[VENDEDOR]],dimensiones!$C$21:$C$28,dimensiones!$D$21:$D$28,""))</f>
        <v>ATEL</v>
      </c>
      <c r="J62" s="125" t="str">
        <f>_xlfn.XLOOKUP(Tabla13[[#This Row],[REGION]],dimensiones!C:C,dimensiones!D:D,"")</f>
        <v>Región de La Araucanía</v>
      </c>
      <c r="L62" s="136"/>
    </row>
    <row r="63" spans="1:12" x14ac:dyDescent="0.25">
      <c r="A63" s="134">
        <v>619674006</v>
      </c>
      <c r="B63" s="121" t="s">
        <v>5038</v>
      </c>
      <c r="C63" t="s">
        <v>5428</v>
      </c>
      <c r="D63" s="125">
        <v>8</v>
      </c>
      <c r="E63" t="s">
        <v>4445</v>
      </c>
      <c r="F63" s="122" t="s">
        <v>5189</v>
      </c>
      <c r="G63" s="132"/>
      <c r="H63" t="s">
        <v>5428</v>
      </c>
      <c r="I63" s="124" t="str">
        <f>IF(Tabla13[[#This Row],[RUT]]=774097899,"DIST",_xlfn.XLOOKUP(Tabla13[[#This Row],[VENDEDOR]],dimensiones!$C$21:$C$28,dimensiones!$D$21:$D$28,""))</f>
        <v>ATEL</v>
      </c>
      <c r="J63" s="125" t="str">
        <f>_xlfn.XLOOKUP(Tabla13[[#This Row],[REGION]],dimensiones!C:C,dimensiones!D:D,"")</f>
        <v>Región de Biobío</v>
      </c>
      <c r="L63" s="136"/>
    </row>
    <row r="64" spans="1:12" x14ac:dyDescent="0.25">
      <c r="A64" s="134">
        <v>619745000</v>
      </c>
      <c r="B64" s="121" t="s">
        <v>5190</v>
      </c>
      <c r="C64" t="s">
        <v>5428</v>
      </c>
      <c r="D64" s="125">
        <v>11</v>
      </c>
      <c r="E64" t="s">
        <v>4445</v>
      </c>
      <c r="F64" s="122" t="s">
        <v>5191</v>
      </c>
      <c r="G64" s="132"/>
      <c r="H64" t="s">
        <v>5428</v>
      </c>
      <c r="I64" s="124" t="str">
        <f>IF(Tabla13[[#This Row],[RUT]]=774097899,"DIST",_xlfn.XLOOKUP(Tabla13[[#This Row],[VENDEDOR]],dimensiones!$C$21:$C$28,dimensiones!$D$21:$D$28,""))</f>
        <v>ATEL</v>
      </c>
      <c r="J64" s="125" t="str">
        <f>_xlfn.XLOOKUP(Tabla13[[#This Row],[REGION]],dimensiones!C:C,dimensiones!D:D,"")</f>
        <v>Región de Aysén del General Carlos Ibáñez del Campo</v>
      </c>
      <c r="L64" s="136"/>
    </row>
    <row r="65" spans="1:12" x14ac:dyDescent="0.25">
      <c r="A65" s="134">
        <v>619747003</v>
      </c>
      <c r="B65" s="121" t="s">
        <v>5192</v>
      </c>
      <c r="C65" t="s">
        <v>5428</v>
      </c>
      <c r="D65" s="125">
        <v>11</v>
      </c>
      <c r="E65" t="s">
        <v>4445</v>
      </c>
      <c r="F65" s="122" t="s">
        <v>5193</v>
      </c>
      <c r="G65" s="132"/>
      <c r="H65" t="s">
        <v>5428</v>
      </c>
      <c r="I65" s="124" t="str">
        <f>IF(Tabla13[[#This Row],[RUT]]=774097899,"DIST",_xlfn.XLOOKUP(Tabla13[[#This Row],[VENDEDOR]],dimensiones!$C$21:$C$28,dimensiones!$D$21:$D$28,""))</f>
        <v>ATEL</v>
      </c>
      <c r="J65" s="125" t="str">
        <f>_xlfn.XLOOKUP(Tabla13[[#This Row],[REGION]],dimensiones!C:C,dimensiones!D:D,"")</f>
        <v>Región de Aysén del General Carlos Ibáñez del Campo</v>
      </c>
      <c r="L65" s="136"/>
    </row>
    <row r="66" spans="1:12" x14ac:dyDescent="0.25">
      <c r="A66" s="134">
        <v>619802608</v>
      </c>
      <c r="B66" s="121" t="s">
        <v>5039</v>
      </c>
      <c r="C66" t="s">
        <v>5428</v>
      </c>
      <c r="D66" s="125">
        <v>13</v>
      </c>
      <c r="E66" t="s">
        <v>4445</v>
      </c>
      <c r="F66" s="122" t="s">
        <v>5194</v>
      </c>
      <c r="G66" s="132"/>
      <c r="H66" t="s">
        <v>5428</v>
      </c>
      <c r="I66" s="124" t="str">
        <f>IF(Tabla13[[#This Row],[RUT]]=774097899,"DIST",_xlfn.XLOOKUP(Tabla13[[#This Row],[VENDEDOR]],dimensiones!$C$21:$C$28,dimensiones!$D$21:$D$28,""))</f>
        <v>ATEL</v>
      </c>
      <c r="J66" s="125" t="str">
        <f>_xlfn.XLOOKUP(Tabla13[[#This Row],[REGION]],dimensiones!C:C,dimensiones!D:D,"")</f>
        <v>Región de Metropolitana de Santiago</v>
      </c>
      <c r="L66" s="136"/>
    </row>
    <row r="67" spans="1:12" x14ac:dyDescent="0.25">
      <c r="A67" s="134">
        <v>619808207</v>
      </c>
      <c r="B67" s="121" t="s">
        <v>5404</v>
      </c>
      <c r="C67" t="s">
        <v>5428</v>
      </c>
      <c r="D67" s="125">
        <v>13</v>
      </c>
      <c r="E67" t="s">
        <v>4445</v>
      </c>
      <c r="F67" s="122" t="s">
        <v>5195</v>
      </c>
      <c r="G67" s="132"/>
      <c r="H67" t="s">
        <v>5428</v>
      </c>
      <c r="I67" s="124" t="str">
        <f>IF(Tabla13[[#This Row],[RUT]]=774097899,"DIST",_xlfn.XLOOKUP(Tabla13[[#This Row],[VENDEDOR]],dimensiones!$C$21:$C$28,dimensiones!$D$21:$D$28,""))</f>
        <v>ATEL</v>
      </c>
      <c r="J67" s="125" t="str">
        <f>_xlfn.XLOOKUP(Tabla13[[#This Row],[REGION]],dimensiones!C:C,dimensiones!D:D,"")</f>
        <v>Región de Metropolitana de Santiago</v>
      </c>
      <c r="L67" s="136"/>
    </row>
    <row r="68" spans="1:12" x14ac:dyDescent="0.25">
      <c r="A68" s="134">
        <v>619991303</v>
      </c>
      <c r="B68" s="121" t="s">
        <v>5040</v>
      </c>
      <c r="C68" t="s">
        <v>5428</v>
      </c>
      <c r="D68" s="125">
        <v>13</v>
      </c>
      <c r="E68" t="s">
        <v>4445</v>
      </c>
      <c r="F68" s="122" t="s">
        <v>5196</v>
      </c>
      <c r="G68" s="132"/>
      <c r="H68" t="s">
        <v>5428</v>
      </c>
      <c r="I68" s="124" t="str">
        <f>IF(Tabla13[[#This Row],[RUT]]=774097899,"DIST",_xlfn.XLOOKUP(Tabla13[[#This Row],[VENDEDOR]],dimensiones!$C$21:$C$28,dimensiones!$D$21:$D$28,""))</f>
        <v>ATEL</v>
      </c>
      <c r="J68" s="125" t="str">
        <f>_xlfn.XLOOKUP(Tabla13[[#This Row],[REGION]],dimensiones!C:C,dimensiones!D:D,"")</f>
        <v>Región de Metropolitana de Santiago</v>
      </c>
      <c r="L68" s="136"/>
    </row>
    <row r="69" spans="1:12" x14ac:dyDescent="0.25">
      <c r="A69" s="134">
        <v>619991605</v>
      </c>
      <c r="B69" s="121" t="s">
        <v>1058</v>
      </c>
      <c r="C69" t="s">
        <v>5428</v>
      </c>
      <c r="D69" s="125">
        <v>1</v>
      </c>
      <c r="E69" t="s">
        <v>4445</v>
      </c>
      <c r="F69" s="122" t="s">
        <v>5197</v>
      </c>
      <c r="G69" s="132"/>
      <c r="H69" t="s">
        <v>5428</v>
      </c>
      <c r="I69" s="124" t="str">
        <f>IF(Tabla13[[#This Row],[RUT]]=774097899,"DIST",_xlfn.XLOOKUP(Tabla13[[#This Row],[VENDEDOR]],dimensiones!$C$21:$C$28,dimensiones!$D$21:$D$28,""))</f>
        <v>ATEL</v>
      </c>
      <c r="J69" s="125" t="str">
        <f>_xlfn.XLOOKUP(Tabla13[[#This Row],[REGION]],dimensiones!C:C,dimensiones!D:D,"")</f>
        <v>Región de Tarapacá</v>
      </c>
      <c r="L69" s="136"/>
    </row>
    <row r="70" spans="1:12" x14ac:dyDescent="0.25">
      <c r="A70" s="134">
        <v>619992806</v>
      </c>
      <c r="B70" s="121" t="s">
        <v>1073</v>
      </c>
      <c r="C70" t="s">
        <v>4245</v>
      </c>
      <c r="D70" s="125">
        <v>4</v>
      </c>
      <c r="E70" t="s">
        <v>4445</v>
      </c>
      <c r="F70" s="122" t="s">
        <v>4901</v>
      </c>
      <c r="G70" s="132"/>
      <c r="H70" t="s">
        <v>4915</v>
      </c>
      <c r="I70" s="124" t="str">
        <f>IF(Tabla13[[#This Row],[RUT]]=774097899,"DIST",_xlfn.XLOOKUP(Tabla13[[#This Row],[VENDEDOR]],dimensiones!$C$21:$C$28,dimensiones!$D$21:$D$28,""))</f>
        <v>ATEL</v>
      </c>
      <c r="J70" s="125" t="str">
        <f>_xlfn.XLOOKUP(Tabla13[[#This Row],[REGION]],dimensiones!C:C,dimensiones!D:D,"")</f>
        <v>Región de Coquimbo</v>
      </c>
      <c r="L70" s="136"/>
    </row>
    <row r="71" spans="1:12" x14ac:dyDescent="0.25">
      <c r="A71" s="134">
        <v>619993306</v>
      </c>
      <c r="B71" s="121" t="s">
        <v>5422</v>
      </c>
      <c r="C71" t="s">
        <v>5428</v>
      </c>
      <c r="D71" s="125">
        <v>3</v>
      </c>
      <c r="E71" t="s">
        <v>4445</v>
      </c>
      <c r="F71" s="122" t="s">
        <v>5198</v>
      </c>
      <c r="G71" s="132"/>
      <c r="H71" t="s">
        <v>5428</v>
      </c>
      <c r="I71" s="124" t="str">
        <f>IF(Tabla13[[#This Row],[RUT]]=774097899,"DIST",_xlfn.XLOOKUP(Tabla13[[#This Row],[VENDEDOR]],dimensiones!$C$21:$C$28,dimensiones!$D$21:$D$28,""))</f>
        <v>ATEL</v>
      </c>
      <c r="J71" s="125" t="str">
        <f>_xlfn.XLOOKUP(Tabla13[[#This Row],[REGION]],dimensiones!C:C,dimensiones!D:D,"")</f>
        <v>Región de Atacama</v>
      </c>
      <c r="L71" s="136"/>
    </row>
    <row r="72" spans="1:12" x14ac:dyDescent="0.25">
      <c r="A72" s="134">
        <v>620008001</v>
      </c>
      <c r="B72" s="121" t="s">
        <v>5041</v>
      </c>
      <c r="C72" t="s">
        <v>5428</v>
      </c>
      <c r="D72" s="125">
        <v>10</v>
      </c>
      <c r="E72" t="s">
        <v>4445</v>
      </c>
      <c r="F72" s="122" t="s">
        <v>5199</v>
      </c>
      <c r="G72" s="132"/>
      <c r="H72" t="s">
        <v>5428</v>
      </c>
      <c r="I72" s="124" t="str">
        <f>IF(Tabla13[[#This Row],[RUT]]=774097899,"DIST",_xlfn.XLOOKUP(Tabla13[[#This Row],[VENDEDOR]],dimensiones!$C$21:$C$28,dimensiones!$D$21:$D$28,""))</f>
        <v>ATEL</v>
      </c>
      <c r="J72" s="125" t="str">
        <f>_xlfn.XLOOKUP(Tabla13[[#This Row],[REGION]],dimensiones!C:C,dimensiones!D:D,"")</f>
        <v>Región de Los Lagos</v>
      </c>
      <c r="L72" s="136"/>
    </row>
    <row r="73" spans="1:12" x14ac:dyDescent="0.25">
      <c r="A73" s="134">
        <v>620008907</v>
      </c>
      <c r="B73" s="121" t="s">
        <v>5414</v>
      </c>
      <c r="C73" t="s">
        <v>4460</v>
      </c>
      <c r="D73" s="125" t="s">
        <v>5428</v>
      </c>
      <c r="E73" t="s">
        <v>4445</v>
      </c>
      <c r="F73" s="122" t="s">
        <v>4871</v>
      </c>
      <c r="G73" s="132"/>
      <c r="H73" t="s">
        <v>4957</v>
      </c>
      <c r="I73" s="124" t="str">
        <f>IF(Tabla13[[#This Row],[RUT]]=774097899,"DIST",_xlfn.XLOOKUP(Tabla13[[#This Row],[VENDEDOR]],dimensiones!$C$21:$C$28,dimensiones!$D$21:$D$28,""))</f>
        <v>ATEL</v>
      </c>
      <c r="J73" s="125" t="str">
        <f>_xlfn.XLOOKUP(Tabla13[[#This Row],[REGION]],dimensiones!C:C,dimensiones!D:D,"")</f>
        <v/>
      </c>
      <c r="L73" s="136"/>
    </row>
    <row r="74" spans="1:12" x14ac:dyDescent="0.25">
      <c r="A74" s="134">
        <v>650778332</v>
      </c>
      <c r="B74" s="121" t="s">
        <v>5042</v>
      </c>
      <c r="C74" t="s">
        <v>5428</v>
      </c>
      <c r="D74" s="125">
        <v>9</v>
      </c>
      <c r="E74" t="s">
        <v>4445</v>
      </c>
      <c r="F74" s="122" t="s">
        <v>5200</v>
      </c>
      <c r="G74" s="132"/>
      <c r="H74" t="s">
        <v>5428</v>
      </c>
      <c r="I74" s="124" t="str">
        <f>IF(Tabla13[[#This Row],[RUT]]=774097899,"DIST",_xlfn.XLOOKUP(Tabla13[[#This Row],[VENDEDOR]],dimensiones!$C$21:$C$28,dimensiones!$D$21:$D$28,""))</f>
        <v>ATEL</v>
      </c>
      <c r="J74" s="125" t="str">
        <f>_xlfn.XLOOKUP(Tabla13[[#This Row],[REGION]],dimensiones!C:C,dimensiones!D:D,"")</f>
        <v>Región de La Araucanía</v>
      </c>
      <c r="L74" s="136"/>
    </row>
    <row r="75" spans="1:12" x14ac:dyDescent="0.25">
      <c r="A75" s="134">
        <v>651429811</v>
      </c>
      <c r="B75" s="121" t="s">
        <v>5201</v>
      </c>
      <c r="C75" t="s">
        <v>5428</v>
      </c>
      <c r="D75" s="125">
        <v>13</v>
      </c>
      <c r="E75" t="s">
        <v>4445</v>
      </c>
      <c r="F75" s="122" t="s">
        <v>5202</v>
      </c>
      <c r="G75" s="132"/>
      <c r="H75" t="s">
        <v>5428</v>
      </c>
      <c r="I75" s="124" t="str">
        <f>IF(Tabla13[[#This Row],[RUT]]=774097899,"DIST",_xlfn.XLOOKUP(Tabla13[[#This Row],[VENDEDOR]],dimensiones!$C$21:$C$28,dimensiones!$D$21:$D$28,""))</f>
        <v>ATEL</v>
      </c>
      <c r="J75" s="125" t="str">
        <f>_xlfn.XLOOKUP(Tabla13[[#This Row],[REGION]],dimensiones!C:C,dimensiones!D:D,"")</f>
        <v>Región de Metropolitana de Santiago</v>
      </c>
      <c r="L75" s="136"/>
    </row>
    <row r="76" spans="1:12" x14ac:dyDescent="0.25">
      <c r="A76" s="134">
        <v>651455669</v>
      </c>
      <c r="B76" s="121" t="s">
        <v>1074</v>
      </c>
      <c r="C76" t="s">
        <v>4171</v>
      </c>
      <c r="D76" s="125">
        <v>4</v>
      </c>
      <c r="E76" t="s">
        <v>4445</v>
      </c>
      <c r="F76" s="122" t="s">
        <v>4902</v>
      </c>
      <c r="G76" s="132"/>
      <c r="H76" t="s">
        <v>4915</v>
      </c>
      <c r="I76" s="124" t="str">
        <f>IF(Tabla13[[#This Row],[RUT]]=774097899,"DIST",_xlfn.XLOOKUP(Tabla13[[#This Row],[VENDEDOR]],dimensiones!$C$21:$C$28,dimensiones!$D$21:$D$28,""))</f>
        <v>ATEL</v>
      </c>
      <c r="J76" s="125" t="str">
        <f>_xlfn.XLOOKUP(Tabla13[[#This Row],[REGION]],dimensiones!C:C,dimensiones!D:D,"")</f>
        <v>Región de Coquimbo</v>
      </c>
      <c r="L76" s="136"/>
    </row>
    <row r="77" spans="1:12" x14ac:dyDescent="0.25">
      <c r="A77" s="134">
        <v>651536049</v>
      </c>
      <c r="B77" s="121" t="s">
        <v>5415</v>
      </c>
      <c r="C77" t="s">
        <v>5428</v>
      </c>
      <c r="D77" s="125">
        <v>8</v>
      </c>
      <c r="E77" t="s">
        <v>4445</v>
      </c>
      <c r="F77" s="122" t="s">
        <v>5203</v>
      </c>
      <c r="G77" s="132"/>
      <c r="H77" t="s">
        <v>5428</v>
      </c>
      <c r="I77" s="124" t="str">
        <f>IF(Tabla13[[#This Row],[RUT]]=774097899,"DIST",_xlfn.XLOOKUP(Tabla13[[#This Row],[VENDEDOR]],dimensiones!$C$21:$C$28,dimensiones!$D$21:$D$28,""))</f>
        <v>ATEL</v>
      </c>
      <c r="J77" s="125" t="str">
        <f>_xlfn.XLOOKUP(Tabla13[[#This Row],[REGION]],dimensiones!C:C,dimensiones!D:D,"")</f>
        <v>Región de Biobío</v>
      </c>
      <c r="L77" s="136"/>
    </row>
    <row r="78" spans="1:12" x14ac:dyDescent="0.25">
      <c r="A78" s="134">
        <v>651543983</v>
      </c>
      <c r="B78" s="121" t="s">
        <v>1062</v>
      </c>
      <c r="C78" t="s">
        <v>4186</v>
      </c>
      <c r="D78" s="125">
        <v>1</v>
      </c>
      <c r="E78" t="s">
        <v>4445</v>
      </c>
      <c r="F78" s="122" t="s">
        <v>4893</v>
      </c>
      <c r="G78" s="132"/>
      <c r="H78" t="s">
        <v>4915</v>
      </c>
      <c r="I78" s="124" t="str">
        <f>IF(Tabla13[[#This Row],[RUT]]=774097899,"DIST",_xlfn.XLOOKUP(Tabla13[[#This Row],[VENDEDOR]],dimensiones!$C$21:$C$28,dimensiones!$D$21:$D$28,""))</f>
        <v>ATEL</v>
      </c>
      <c r="J78" s="125" t="str">
        <f>_xlfn.XLOOKUP(Tabla13[[#This Row],[REGION]],dimensiones!C:C,dimensiones!D:D,"")</f>
        <v>Región de Tarapacá</v>
      </c>
      <c r="L78" s="136"/>
    </row>
    <row r="79" spans="1:12" x14ac:dyDescent="0.25">
      <c r="A79" s="134">
        <v>651643511</v>
      </c>
      <c r="B79" s="121" t="s">
        <v>5423</v>
      </c>
      <c r="C79" t="s">
        <v>5428</v>
      </c>
      <c r="D79" s="125">
        <v>15</v>
      </c>
      <c r="E79" t="s">
        <v>4445</v>
      </c>
      <c r="F79" s="122" t="s">
        <v>5204</v>
      </c>
      <c r="G79" s="132"/>
      <c r="H79" t="s">
        <v>5428</v>
      </c>
      <c r="I79" s="124" t="str">
        <f>IF(Tabla13[[#This Row],[RUT]]=774097899,"DIST",_xlfn.XLOOKUP(Tabla13[[#This Row],[VENDEDOR]],dimensiones!$C$21:$C$28,dimensiones!$D$21:$D$28,""))</f>
        <v>ATEL</v>
      </c>
      <c r="J79" s="125" t="str">
        <f>_xlfn.XLOOKUP(Tabla13[[#This Row],[REGION]],dimensiones!C:C,dimensiones!D:D,"")</f>
        <v>Región de Arica y Parinacota</v>
      </c>
      <c r="L79" s="136"/>
    </row>
    <row r="80" spans="1:12" x14ac:dyDescent="0.25">
      <c r="A80" s="134">
        <v>651654114</v>
      </c>
      <c r="B80" s="121" t="s">
        <v>1067</v>
      </c>
      <c r="C80" t="s">
        <v>4175</v>
      </c>
      <c r="D80" s="125">
        <v>5</v>
      </c>
      <c r="E80" t="s">
        <v>4445</v>
      </c>
      <c r="F80" s="122" t="s">
        <v>4897</v>
      </c>
      <c r="G80" s="132"/>
      <c r="H80" t="s">
        <v>4957</v>
      </c>
      <c r="I80" s="124" t="str">
        <f>IF(Tabla13[[#This Row],[RUT]]=774097899,"DIST",_xlfn.XLOOKUP(Tabla13[[#This Row],[VENDEDOR]],dimensiones!$C$21:$C$28,dimensiones!$D$21:$D$28,""))</f>
        <v>ATEL</v>
      </c>
      <c r="J80" s="125" t="str">
        <f>_xlfn.XLOOKUP(Tabla13[[#This Row],[REGION]],dimensiones!C:C,dimensiones!D:D,"")</f>
        <v>Región de Valparaíso</v>
      </c>
      <c r="L80" s="136"/>
    </row>
    <row r="81" spans="1:12" x14ac:dyDescent="0.25">
      <c r="A81" s="134">
        <v>654556504</v>
      </c>
      <c r="B81" s="121" t="s">
        <v>1058</v>
      </c>
      <c r="C81" t="s">
        <v>4182</v>
      </c>
      <c r="D81" s="125" t="s">
        <v>5428</v>
      </c>
      <c r="E81" t="s">
        <v>4445</v>
      </c>
      <c r="F81" s="122" t="s">
        <v>4872</v>
      </c>
      <c r="G81" s="132"/>
      <c r="H81" t="s">
        <v>4957</v>
      </c>
      <c r="I81" s="124" t="str">
        <f>IF(Tabla13[[#This Row],[RUT]]=774097899,"DIST",_xlfn.XLOOKUP(Tabla13[[#This Row],[VENDEDOR]],dimensiones!$C$21:$C$28,dimensiones!$D$21:$D$28,""))</f>
        <v>ATEL</v>
      </c>
      <c r="J81" s="125" t="str">
        <f>_xlfn.XLOOKUP(Tabla13[[#This Row],[REGION]],dimensiones!C:C,dimensiones!D:D,"")</f>
        <v/>
      </c>
      <c r="L81" s="136"/>
    </row>
    <row r="82" spans="1:12" x14ac:dyDescent="0.25">
      <c r="A82" s="134">
        <v>655525408</v>
      </c>
      <c r="B82" s="121" t="s">
        <v>5361</v>
      </c>
      <c r="C82" t="s">
        <v>5428</v>
      </c>
      <c r="D82" s="125">
        <v>5</v>
      </c>
      <c r="E82" t="s">
        <v>4445</v>
      </c>
      <c r="F82" s="122" t="s">
        <v>5205</v>
      </c>
      <c r="G82" s="132"/>
      <c r="H82" t="s">
        <v>5428</v>
      </c>
      <c r="I82" s="124" t="str">
        <f>IF(Tabla13[[#This Row],[RUT]]=774097899,"DIST",_xlfn.XLOOKUP(Tabla13[[#This Row],[VENDEDOR]],dimensiones!$C$21:$C$28,dimensiones!$D$21:$D$28,""))</f>
        <v>ATEL</v>
      </c>
      <c r="J82" s="125" t="str">
        <f>_xlfn.XLOOKUP(Tabla13[[#This Row],[REGION]],dimensiones!C:C,dimensiones!D:D,"")</f>
        <v>Región de Valparaíso</v>
      </c>
      <c r="L82" s="136"/>
    </row>
    <row r="83" spans="1:12" x14ac:dyDescent="0.25">
      <c r="A83" s="134">
        <v>690702002</v>
      </c>
      <c r="B83" s="121" t="s">
        <v>5043</v>
      </c>
      <c r="C83" t="s">
        <v>5428</v>
      </c>
      <c r="D83" s="125">
        <v>13</v>
      </c>
      <c r="E83" t="s">
        <v>4445</v>
      </c>
      <c r="F83" s="122" t="s">
        <v>5206</v>
      </c>
      <c r="G83" s="132"/>
      <c r="H83" t="s">
        <v>5428</v>
      </c>
      <c r="I83" s="124" t="str">
        <f>IF(Tabla13[[#This Row],[RUT]]=774097899,"DIST",_xlfn.XLOOKUP(Tabla13[[#This Row],[VENDEDOR]],dimensiones!$C$21:$C$28,dimensiones!$D$21:$D$28,""))</f>
        <v>ATEL</v>
      </c>
      <c r="J83" s="125" t="str">
        <f>_xlfn.XLOOKUP(Tabla13[[#This Row],[REGION]],dimensiones!C:C,dimensiones!D:D,"")</f>
        <v>Región de Metropolitana de Santiago</v>
      </c>
      <c r="L83" s="136"/>
    </row>
    <row r="84" spans="1:12" x14ac:dyDescent="0.25">
      <c r="A84" s="134">
        <v>690703009</v>
      </c>
      <c r="B84" s="121" t="s">
        <v>5044</v>
      </c>
      <c r="C84" t="s">
        <v>5428</v>
      </c>
      <c r="D84" s="125">
        <v>13</v>
      </c>
      <c r="E84" t="s">
        <v>4445</v>
      </c>
      <c r="F84" s="122" t="s">
        <v>5207</v>
      </c>
      <c r="G84" s="132"/>
      <c r="H84" t="s">
        <v>5428</v>
      </c>
      <c r="I84" s="124" t="str">
        <f>IF(Tabla13[[#This Row],[RUT]]=774097899,"DIST",_xlfn.XLOOKUP(Tabla13[[#This Row],[VENDEDOR]],dimensiones!$C$21:$C$28,dimensiones!$D$21:$D$28,""))</f>
        <v>ATEL</v>
      </c>
      <c r="J84" s="125" t="str">
        <f>_xlfn.XLOOKUP(Tabla13[[#This Row],[REGION]],dimensiones!C:C,dimensiones!D:D,"")</f>
        <v>Región de Metropolitana de Santiago</v>
      </c>
      <c r="L84" s="136"/>
    </row>
    <row r="85" spans="1:12" x14ac:dyDescent="0.25">
      <c r="A85" s="134">
        <v>690711001</v>
      </c>
      <c r="B85" s="121" t="s">
        <v>5045</v>
      </c>
      <c r="C85" t="s">
        <v>5428</v>
      </c>
      <c r="D85" s="125">
        <v>13</v>
      </c>
      <c r="E85" t="s">
        <v>4445</v>
      </c>
      <c r="F85" s="122" t="s">
        <v>5208</v>
      </c>
      <c r="G85" s="132"/>
      <c r="H85" t="s">
        <v>5428</v>
      </c>
      <c r="I85" s="124" t="str">
        <f>IF(Tabla13[[#This Row],[RUT]]=774097899,"DIST",_xlfn.XLOOKUP(Tabla13[[#This Row],[VENDEDOR]],dimensiones!$C$21:$C$28,dimensiones!$D$21:$D$28,""))</f>
        <v>ATEL</v>
      </c>
      <c r="J85" s="125" t="str">
        <f>_xlfn.XLOOKUP(Tabla13[[#This Row],[REGION]],dimensiones!C:C,dimensiones!D:D,"")</f>
        <v>Región de Metropolitana de Santiago</v>
      </c>
      <c r="L85" s="136"/>
    </row>
    <row r="86" spans="1:12" x14ac:dyDescent="0.25">
      <c r="A86" s="134">
        <v>690718014</v>
      </c>
      <c r="B86" s="121" t="s">
        <v>5209</v>
      </c>
      <c r="C86" t="s">
        <v>5428</v>
      </c>
      <c r="D86" s="125">
        <v>13</v>
      </c>
      <c r="E86" t="s">
        <v>4445</v>
      </c>
      <c r="F86" s="122" t="s">
        <v>5210</v>
      </c>
      <c r="G86" s="132"/>
      <c r="H86" t="s">
        <v>5428</v>
      </c>
      <c r="I86" s="124" t="str">
        <f>IF(Tabla13[[#This Row],[RUT]]=774097899,"DIST",_xlfn.XLOOKUP(Tabla13[[#This Row],[VENDEDOR]],dimensiones!$C$21:$C$28,dimensiones!$D$21:$D$28,""))</f>
        <v>ATEL</v>
      </c>
      <c r="J86" s="125" t="str">
        <f>_xlfn.XLOOKUP(Tabla13[[#This Row],[REGION]],dimensiones!C:C,dimensiones!D:D,"")</f>
        <v>Región de Metropolitana de Santiago</v>
      </c>
      <c r="L86" s="136"/>
    </row>
    <row r="87" spans="1:12" x14ac:dyDescent="0.25">
      <c r="A87" s="134">
        <v>690729008</v>
      </c>
      <c r="B87" s="121" t="s">
        <v>5046</v>
      </c>
      <c r="C87" t="s">
        <v>5428</v>
      </c>
      <c r="D87" s="125">
        <v>13</v>
      </c>
      <c r="E87" t="s">
        <v>4445</v>
      </c>
      <c r="F87" s="122" t="s">
        <v>5211</v>
      </c>
      <c r="G87" s="132"/>
      <c r="H87" t="s">
        <v>5428</v>
      </c>
      <c r="I87" s="124" t="str">
        <f>IF(Tabla13[[#This Row],[RUT]]=774097899,"DIST",_xlfn.XLOOKUP(Tabla13[[#This Row],[VENDEDOR]],dimensiones!$C$21:$C$28,dimensiones!$D$21:$D$28,""))</f>
        <v>ATEL</v>
      </c>
      <c r="J87" s="125" t="str">
        <f>_xlfn.XLOOKUP(Tabla13[[#This Row],[REGION]],dimensiones!C:C,dimensiones!D:D,"")</f>
        <v>Región de Metropolitana de Santiago</v>
      </c>
      <c r="L87" s="136"/>
    </row>
    <row r="88" spans="1:12" x14ac:dyDescent="0.25">
      <c r="A88" s="134">
        <v>690739003</v>
      </c>
      <c r="B88" s="121" t="s">
        <v>5405</v>
      </c>
      <c r="C88" t="s">
        <v>5428</v>
      </c>
      <c r="D88" s="125">
        <v>13</v>
      </c>
      <c r="E88" t="s">
        <v>4445</v>
      </c>
      <c r="F88" s="122" t="s">
        <v>5212</v>
      </c>
      <c r="G88" s="132"/>
      <c r="H88" t="s">
        <v>5428</v>
      </c>
      <c r="I88" s="124" t="str">
        <f>IF(Tabla13[[#This Row],[RUT]]=774097899,"DIST",_xlfn.XLOOKUP(Tabla13[[#This Row],[VENDEDOR]],dimensiones!$C$21:$C$28,dimensiones!$D$21:$D$28,""))</f>
        <v>ATEL</v>
      </c>
      <c r="J88" s="125" t="str">
        <f>_xlfn.XLOOKUP(Tabla13[[#This Row],[REGION]],dimensiones!C:C,dimensiones!D:D,"")</f>
        <v>Región de Metropolitana de Santiago</v>
      </c>
      <c r="L88" s="136"/>
    </row>
    <row r="89" spans="1:12" x14ac:dyDescent="0.25">
      <c r="A89" s="134">
        <v>690803003</v>
      </c>
      <c r="B89" s="121" t="s">
        <v>5047</v>
      </c>
      <c r="C89" t="s">
        <v>5428</v>
      </c>
      <c r="D89" s="125">
        <v>6</v>
      </c>
      <c r="E89" t="s">
        <v>4445</v>
      </c>
      <c r="F89" s="122" t="s">
        <v>5213</v>
      </c>
      <c r="G89" s="132"/>
      <c r="H89" t="s">
        <v>5428</v>
      </c>
      <c r="I89" s="124" t="str">
        <f>IF(Tabla13[[#This Row],[RUT]]=774097899,"DIST",_xlfn.XLOOKUP(Tabla13[[#This Row],[VENDEDOR]],dimensiones!$C$21:$C$28,dimensiones!$D$21:$D$28,""))</f>
        <v>ATEL</v>
      </c>
      <c r="J89" s="125" t="str">
        <f>_xlfn.XLOOKUP(Tabla13[[#This Row],[REGION]],dimensiones!C:C,dimensiones!D:D,"")</f>
        <v>Región de Libertador General Bernardo O'Higgins</v>
      </c>
      <c r="L89" s="136"/>
    </row>
    <row r="90" spans="1:12" x14ac:dyDescent="0.25">
      <c r="A90" s="134">
        <v>690912015</v>
      </c>
      <c r="B90" s="121" t="s">
        <v>327</v>
      </c>
      <c r="C90" t="s">
        <v>5428</v>
      </c>
      <c r="D90" s="125">
        <v>6</v>
      </c>
      <c r="E90" t="s">
        <v>4445</v>
      </c>
      <c r="F90" s="122" t="s">
        <v>5214</v>
      </c>
      <c r="G90" s="132"/>
      <c r="H90" t="s">
        <v>5428</v>
      </c>
      <c r="I90" s="124" t="str">
        <f>IF(Tabla13[[#This Row],[RUT]]=774097899,"DIST",_xlfn.XLOOKUP(Tabla13[[#This Row],[VENDEDOR]],dimensiones!$C$21:$C$28,dimensiones!$D$21:$D$28,""))</f>
        <v>ATEL</v>
      </c>
      <c r="J90" s="125" t="str">
        <f>_xlfn.XLOOKUP(Tabla13[[#This Row],[REGION]],dimensiones!C:C,dimensiones!D:D,"")</f>
        <v>Región de Libertador General Bernardo O'Higgins</v>
      </c>
      <c r="L90" s="136"/>
    </row>
    <row r="91" spans="1:12" x14ac:dyDescent="0.25">
      <c r="A91" s="134">
        <v>691407004</v>
      </c>
      <c r="B91" s="121" t="s">
        <v>5048</v>
      </c>
      <c r="C91" t="s">
        <v>5428</v>
      </c>
      <c r="D91" s="125">
        <v>8</v>
      </c>
      <c r="E91" t="s">
        <v>4445</v>
      </c>
      <c r="F91" s="122" t="s">
        <v>5215</v>
      </c>
      <c r="G91" s="132"/>
      <c r="H91" t="s">
        <v>5428</v>
      </c>
      <c r="I91" s="124" t="str">
        <f>IF(Tabla13[[#This Row],[RUT]]=774097899,"DIST",_xlfn.XLOOKUP(Tabla13[[#This Row],[VENDEDOR]],dimensiones!$C$21:$C$28,dimensiones!$D$21:$D$28,""))</f>
        <v>ATEL</v>
      </c>
      <c r="J91" s="125" t="str">
        <f>_xlfn.XLOOKUP(Tabla13[[#This Row],[REGION]],dimensiones!C:C,dimensiones!D:D,"")</f>
        <v>Región de Biobío</v>
      </c>
      <c r="L91" s="136"/>
    </row>
    <row r="92" spans="1:12" x14ac:dyDescent="0.25">
      <c r="A92" s="134">
        <v>691408000</v>
      </c>
      <c r="B92" s="121" t="s">
        <v>5362</v>
      </c>
      <c r="C92" t="s">
        <v>5428</v>
      </c>
      <c r="D92" s="125">
        <v>16</v>
      </c>
      <c r="E92" t="s">
        <v>4445</v>
      </c>
      <c r="F92" s="122" t="s">
        <v>5216</v>
      </c>
      <c r="G92" s="132"/>
      <c r="H92" t="s">
        <v>5428</v>
      </c>
      <c r="I92" s="124" t="str">
        <f>IF(Tabla13[[#This Row],[RUT]]=774097899,"DIST",_xlfn.XLOOKUP(Tabla13[[#This Row],[VENDEDOR]],dimensiones!$C$21:$C$28,dimensiones!$D$21:$D$28,""))</f>
        <v>ATEL</v>
      </c>
      <c r="J92" s="125" t="str">
        <f>_xlfn.XLOOKUP(Tabla13[[#This Row],[REGION]],dimensiones!C:C,dimensiones!D:D,"")</f>
        <v>Región de Ñuble</v>
      </c>
      <c r="L92" s="136"/>
    </row>
    <row r="93" spans="1:12" x14ac:dyDescent="0.25">
      <c r="A93" s="134">
        <v>691511022</v>
      </c>
      <c r="B93" s="121" t="s">
        <v>5363</v>
      </c>
      <c r="C93" t="s">
        <v>5428</v>
      </c>
      <c r="D93" s="125">
        <v>8</v>
      </c>
      <c r="E93" t="s">
        <v>4445</v>
      </c>
      <c r="F93" s="122" t="s">
        <v>5217</v>
      </c>
      <c r="G93" s="132"/>
      <c r="H93" t="s">
        <v>5428</v>
      </c>
      <c r="I93" s="124" t="str">
        <f>IF(Tabla13[[#This Row],[RUT]]=774097899,"DIST",_xlfn.XLOOKUP(Tabla13[[#This Row],[VENDEDOR]],dimensiones!$C$21:$C$28,dimensiones!$D$21:$D$28,""))</f>
        <v>ATEL</v>
      </c>
      <c r="J93" s="125" t="str">
        <f>_xlfn.XLOOKUP(Tabla13[[#This Row],[REGION]],dimensiones!C:C,dimensiones!D:D,"")</f>
        <v>Región de Biobío</v>
      </c>
      <c r="L93" s="136"/>
    </row>
    <row r="94" spans="1:12" x14ac:dyDescent="0.25">
      <c r="A94" s="134">
        <v>691702006</v>
      </c>
      <c r="B94" s="121" t="s">
        <v>5364</v>
      </c>
      <c r="C94" t="s">
        <v>5428</v>
      </c>
      <c r="D94" s="125">
        <v>8</v>
      </c>
      <c r="E94" t="s">
        <v>4445</v>
      </c>
      <c r="F94" s="122" t="s">
        <v>5218</v>
      </c>
      <c r="G94" s="132"/>
      <c r="H94" t="s">
        <v>5428</v>
      </c>
      <c r="I94" s="124" t="str">
        <f>IF(Tabla13[[#This Row],[RUT]]=774097899,"DIST",_xlfn.XLOOKUP(Tabla13[[#This Row],[VENDEDOR]],dimensiones!$C$21:$C$28,dimensiones!$D$21:$D$28,""))</f>
        <v>ATEL</v>
      </c>
      <c r="J94" s="125" t="str">
        <f>_xlfn.XLOOKUP(Tabla13[[#This Row],[REGION]],dimensiones!C:C,dimensiones!D:D,"")</f>
        <v>Región de Biobío</v>
      </c>
      <c r="L94" s="136"/>
    </row>
    <row r="95" spans="1:12" x14ac:dyDescent="0.25">
      <c r="A95" s="134">
        <v>691802000</v>
      </c>
      <c r="B95" s="121" t="s">
        <v>5049</v>
      </c>
      <c r="C95" t="s">
        <v>5428</v>
      </c>
      <c r="D95" s="125">
        <v>9</v>
      </c>
      <c r="E95" t="s">
        <v>4445</v>
      </c>
      <c r="F95" s="122" t="s">
        <v>5219</v>
      </c>
      <c r="G95" s="132"/>
      <c r="H95" t="s">
        <v>5428</v>
      </c>
      <c r="I95" s="124" t="str">
        <f>IF(Tabla13[[#This Row],[RUT]]=774097899,"DIST",_xlfn.XLOOKUP(Tabla13[[#This Row],[VENDEDOR]],dimensiones!$C$21:$C$28,dimensiones!$D$21:$D$28,""))</f>
        <v>ATEL</v>
      </c>
      <c r="J95" s="125" t="str">
        <f>_xlfn.XLOOKUP(Tabla13[[#This Row],[REGION]],dimensiones!C:C,dimensiones!D:D,"")</f>
        <v>Región de La Araucanía</v>
      </c>
      <c r="L95" s="136"/>
    </row>
    <row r="96" spans="1:12" x14ac:dyDescent="0.25">
      <c r="A96" s="134">
        <v>692403002</v>
      </c>
      <c r="B96" s="121" t="s">
        <v>5051</v>
      </c>
      <c r="C96" t="s">
        <v>5428</v>
      </c>
      <c r="D96" s="125">
        <v>11</v>
      </c>
      <c r="E96" t="s">
        <v>4445</v>
      </c>
      <c r="F96" s="122" t="s">
        <v>5221</v>
      </c>
      <c r="G96" s="132"/>
      <c r="H96" t="s">
        <v>5428</v>
      </c>
      <c r="I96" s="124" t="str">
        <f>IF(Tabla13[[#This Row],[RUT]]=774097899,"DIST",_xlfn.XLOOKUP(Tabla13[[#This Row],[VENDEDOR]],dimensiones!$C$21:$C$28,dimensiones!$D$21:$D$28,""))</f>
        <v>ATEL</v>
      </c>
      <c r="J96" s="125" t="str">
        <f>_xlfn.XLOOKUP(Tabla13[[#This Row],[REGION]],dimensiones!C:C,dimensiones!D:D,"")</f>
        <v>Región de Aysén del General Carlos Ibáñez del Campo</v>
      </c>
      <c r="L96" s="136"/>
    </row>
    <row r="97" spans="1:12" x14ac:dyDescent="0.25">
      <c r="A97" s="134">
        <v>692532007</v>
      </c>
      <c r="B97" s="121" t="s">
        <v>5365</v>
      </c>
      <c r="C97" t="s">
        <v>4873</v>
      </c>
      <c r="D97" s="125" t="s">
        <v>5428</v>
      </c>
      <c r="E97" t="s">
        <v>4445</v>
      </c>
      <c r="F97" s="122" t="s">
        <v>4874</v>
      </c>
      <c r="G97" s="132"/>
      <c r="H97" t="s">
        <v>4957</v>
      </c>
      <c r="I97" s="124" t="str">
        <f>IF(Tabla13[[#This Row],[RUT]]=774097899,"DIST",_xlfn.XLOOKUP(Tabla13[[#This Row],[VENDEDOR]],dimensiones!$C$21:$C$28,dimensiones!$D$21:$D$28,""))</f>
        <v>ATEL</v>
      </c>
      <c r="J97" s="125" t="str">
        <f>_xlfn.XLOOKUP(Tabla13[[#This Row],[REGION]],dimensiones!C:C,dimensiones!D:D,"")</f>
        <v/>
      </c>
      <c r="L97" s="136"/>
    </row>
    <row r="98" spans="1:12" x14ac:dyDescent="0.25">
      <c r="A98" s="134">
        <v>707291001</v>
      </c>
      <c r="B98" s="121" t="s">
        <v>5052</v>
      </c>
      <c r="C98" t="s">
        <v>5428</v>
      </c>
      <c r="D98" s="125">
        <v>13</v>
      </c>
      <c r="E98" t="s">
        <v>4445</v>
      </c>
      <c r="F98" s="122" t="s">
        <v>5222</v>
      </c>
      <c r="G98" s="132"/>
      <c r="H98" t="s">
        <v>5428</v>
      </c>
      <c r="I98" s="124" t="str">
        <f>IF(Tabla13[[#This Row],[RUT]]=774097899,"DIST",_xlfn.XLOOKUP(Tabla13[[#This Row],[VENDEDOR]],dimensiones!$C$21:$C$28,dimensiones!$D$21:$D$28,""))</f>
        <v>ATEL</v>
      </c>
      <c r="J98" s="125" t="str">
        <f>_xlfn.XLOOKUP(Tabla13[[#This Row],[REGION]],dimensiones!C:C,dimensiones!D:D,"")</f>
        <v>Región de Metropolitana de Santiago</v>
      </c>
      <c r="L98" s="136"/>
    </row>
    <row r="99" spans="1:12" x14ac:dyDescent="0.25">
      <c r="A99" s="134">
        <v>707721006</v>
      </c>
      <c r="B99" s="121" t="s">
        <v>5053</v>
      </c>
      <c r="C99" t="s">
        <v>5428</v>
      </c>
      <c r="D99" s="125">
        <v>10</v>
      </c>
      <c r="E99" t="s">
        <v>4445</v>
      </c>
      <c r="F99" s="122" t="s">
        <v>5223</v>
      </c>
      <c r="G99" s="132"/>
      <c r="H99" t="s">
        <v>5428</v>
      </c>
      <c r="I99" s="124" t="str">
        <f>IF(Tabla13[[#This Row],[RUT]]=774097899,"DIST",_xlfn.XLOOKUP(Tabla13[[#This Row],[VENDEDOR]],dimensiones!$C$21:$C$28,dimensiones!$D$21:$D$28,""))</f>
        <v>ATEL</v>
      </c>
      <c r="J99" s="125" t="str">
        <f>_xlfn.XLOOKUP(Tabla13[[#This Row],[REGION]],dimensiones!C:C,dimensiones!D:D,"")</f>
        <v>Región de Los Lagos</v>
      </c>
      <c r="L99" s="136"/>
    </row>
    <row r="100" spans="1:12" x14ac:dyDescent="0.25">
      <c r="A100" s="134">
        <v>712367008</v>
      </c>
      <c r="B100" s="121" t="s">
        <v>5054</v>
      </c>
      <c r="C100" t="s">
        <v>5428</v>
      </c>
      <c r="D100" s="125">
        <v>3</v>
      </c>
      <c r="E100" t="s">
        <v>4445</v>
      </c>
      <c r="F100" s="122" t="s">
        <v>5224</v>
      </c>
      <c r="G100" s="132"/>
      <c r="H100" t="s">
        <v>5428</v>
      </c>
      <c r="I100" s="124" t="str">
        <f>IF(Tabla13[[#This Row],[RUT]]=774097899,"DIST",_xlfn.XLOOKUP(Tabla13[[#This Row],[VENDEDOR]],dimensiones!$C$21:$C$28,dimensiones!$D$21:$D$28,""))</f>
        <v>ATEL</v>
      </c>
      <c r="J100" s="125" t="str">
        <f>_xlfn.XLOOKUP(Tabla13[[#This Row],[REGION]],dimensiones!C:C,dimensiones!D:D,"")</f>
        <v>Región de Atacama</v>
      </c>
      <c r="L100" s="136"/>
    </row>
    <row r="101" spans="1:12" x14ac:dyDescent="0.25">
      <c r="A101" s="134">
        <v>713098000</v>
      </c>
      <c r="B101" s="121" t="s">
        <v>5424</v>
      </c>
      <c r="C101" t="s">
        <v>5428</v>
      </c>
      <c r="D101" s="125">
        <v>13</v>
      </c>
      <c r="E101" t="s">
        <v>4445</v>
      </c>
      <c r="F101" s="122" t="s">
        <v>5225</v>
      </c>
      <c r="G101" s="132"/>
      <c r="H101" t="s">
        <v>5428</v>
      </c>
      <c r="I101" s="124" t="str">
        <f>IF(Tabla13[[#This Row],[RUT]]=774097899,"DIST",_xlfn.XLOOKUP(Tabla13[[#This Row],[VENDEDOR]],dimensiones!$C$21:$C$28,dimensiones!$D$21:$D$28,""))</f>
        <v>ATEL</v>
      </c>
      <c r="J101" s="125" t="str">
        <f>_xlfn.XLOOKUP(Tabla13[[#This Row],[REGION]],dimensiones!C:C,dimensiones!D:D,"")</f>
        <v>Región de Metropolitana de Santiago</v>
      </c>
      <c r="L101" s="136"/>
    </row>
    <row r="102" spans="1:12" x14ac:dyDescent="0.25">
      <c r="A102" s="134">
        <v>723960002</v>
      </c>
      <c r="B102" s="121" t="s">
        <v>5226</v>
      </c>
      <c r="C102" t="s">
        <v>5428</v>
      </c>
      <c r="D102" s="125">
        <v>9</v>
      </c>
      <c r="E102" t="s">
        <v>4445</v>
      </c>
      <c r="F102" s="122" t="s">
        <v>5227</v>
      </c>
      <c r="G102" s="132"/>
      <c r="H102" t="s">
        <v>5428</v>
      </c>
      <c r="I102" s="124" t="str">
        <f>IF(Tabla13[[#This Row],[RUT]]=774097899,"DIST",_xlfn.XLOOKUP(Tabla13[[#This Row],[VENDEDOR]],dimensiones!$C$21:$C$28,dimensiones!$D$21:$D$28,""))</f>
        <v>ATEL</v>
      </c>
      <c r="J102" s="125" t="str">
        <f>_xlfn.XLOOKUP(Tabla13[[#This Row],[REGION]],dimensiones!C:C,dimensiones!D:D,"")</f>
        <v>Región de La Araucanía</v>
      </c>
      <c r="L102" s="136"/>
    </row>
    <row r="103" spans="1:12" x14ac:dyDescent="0.25">
      <c r="A103" s="134">
        <v>739238005</v>
      </c>
      <c r="B103" s="121" t="s">
        <v>5406</v>
      </c>
      <c r="C103" t="s">
        <v>5428</v>
      </c>
      <c r="D103" s="125">
        <v>8</v>
      </c>
      <c r="E103" t="s">
        <v>4445</v>
      </c>
      <c r="F103" s="122" t="s">
        <v>5228</v>
      </c>
      <c r="G103" s="132"/>
      <c r="H103" t="s">
        <v>5428</v>
      </c>
      <c r="I103" s="124" t="str">
        <f>IF(Tabla13[[#This Row],[RUT]]=774097899,"DIST",_xlfn.XLOOKUP(Tabla13[[#This Row],[VENDEDOR]],dimensiones!$C$21:$C$28,dimensiones!$D$21:$D$28,""))</f>
        <v>ATEL</v>
      </c>
      <c r="J103" s="125" t="str">
        <f>_xlfn.XLOOKUP(Tabla13[[#This Row],[REGION]],dimensiones!C:C,dimensiones!D:D,"")</f>
        <v>Región de Biobío</v>
      </c>
      <c r="L103" s="136"/>
    </row>
    <row r="104" spans="1:12" x14ac:dyDescent="0.25">
      <c r="A104" s="134">
        <v>748229000</v>
      </c>
      <c r="B104" s="121" t="s">
        <v>5416</v>
      </c>
      <c r="C104" t="s">
        <v>5428</v>
      </c>
      <c r="D104" s="125">
        <v>4</v>
      </c>
      <c r="E104" t="s">
        <v>4445</v>
      </c>
      <c r="F104" s="122" t="s">
        <v>5229</v>
      </c>
      <c r="G104" s="132"/>
      <c r="H104" t="s">
        <v>5428</v>
      </c>
      <c r="I104" s="124" t="str">
        <f>IF(Tabla13[[#This Row],[RUT]]=774097899,"DIST",_xlfn.XLOOKUP(Tabla13[[#This Row],[VENDEDOR]],dimensiones!$C$21:$C$28,dimensiones!$D$21:$D$28,""))</f>
        <v>ATEL</v>
      </c>
      <c r="J104" s="125" t="str">
        <f>_xlfn.XLOOKUP(Tabla13[[#This Row],[REGION]],dimensiones!C:C,dimensiones!D:D,"")</f>
        <v>Región de Coquimbo</v>
      </c>
      <c r="L104" s="136"/>
    </row>
    <row r="105" spans="1:12" x14ac:dyDescent="0.25">
      <c r="A105" s="134">
        <v>760163058</v>
      </c>
      <c r="B105" s="121" t="s">
        <v>5055</v>
      </c>
      <c r="C105" t="s">
        <v>5428</v>
      </c>
      <c r="D105" s="125">
        <v>16</v>
      </c>
      <c r="E105" t="s">
        <v>4445</v>
      </c>
      <c r="F105" s="122" t="s">
        <v>5230</v>
      </c>
      <c r="G105" s="132"/>
      <c r="H105" t="s">
        <v>5428</v>
      </c>
      <c r="I105" s="124" t="str">
        <f>IF(Tabla13[[#This Row],[RUT]]=774097899,"DIST",_xlfn.XLOOKUP(Tabla13[[#This Row],[VENDEDOR]],dimensiones!$C$21:$C$28,dimensiones!$D$21:$D$28,""))</f>
        <v>ATEL</v>
      </c>
      <c r="J105" s="125" t="str">
        <f>_xlfn.XLOOKUP(Tabla13[[#This Row],[REGION]],dimensiones!C:C,dimensiones!D:D,"")</f>
        <v>Región de Ñuble</v>
      </c>
      <c r="L105" s="136"/>
    </row>
    <row r="106" spans="1:12" x14ac:dyDescent="0.25">
      <c r="A106" s="134">
        <v>760286885</v>
      </c>
      <c r="B106" s="121" t="s">
        <v>5056</v>
      </c>
      <c r="C106" t="s">
        <v>5428</v>
      </c>
      <c r="D106" s="125">
        <v>13</v>
      </c>
      <c r="E106" t="s">
        <v>4445</v>
      </c>
      <c r="F106" s="122" t="s">
        <v>5231</v>
      </c>
      <c r="G106" s="132"/>
      <c r="H106" t="s">
        <v>5428</v>
      </c>
      <c r="I106" s="124" t="str">
        <f>IF(Tabla13[[#This Row],[RUT]]=774097899,"DIST",_xlfn.XLOOKUP(Tabla13[[#This Row],[VENDEDOR]],dimensiones!$C$21:$C$28,dimensiones!$D$21:$D$28,""))</f>
        <v>ATEL</v>
      </c>
      <c r="J106" s="125" t="str">
        <f>_xlfn.XLOOKUP(Tabla13[[#This Row],[REGION]],dimensiones!C:C,dimensiones!D:D,"")</f>
        <v>Región de Metropolitana de Santiago</v>
      </c>
      <c r="L106" s="136"/>
    </row>
    <row r="107" spans="1:12" x14ac:dyDescent="0.25">
      <c r="A107" s="134">
        <v>760449598</v>
      </c>
      <c r="B107" s="121" t="s">
        <v>5057</v>
      </c>
      <c r="C107" t="s">
        <v>5428</v>
      </c>
      <c r="D107" s="125">
        <v>13</v>
      </c>
      <c r="E107" t="s">
        <v>4445</v>
      </c>
      <c r="F107" s="122" t="s">
        <v>5232</v>
      </c>
      <c r="G107" s="132"/>
      <c r="H107" t="s">
        <v>5428</v>
      </c>
      <c r="I107" s="124" t="str">
        <f>IF(Tabla13[[#This Row],[RUT]]=774097899,"DIST",_xlfn.XLOOKUP(Tabla13[[#This Row],[VENDEDOR]],dimensiones!$C$21:$C$28,dimensiones!$D$21:$D$28,""))</f>
        <v>ATEL</v>
      </c>
      <c r="J107" s="125" t="str">
        <f>_xlfn.XLOOKUP(Tabla13[[#This Row],[REGION]],dimensiones!C:C,dimensiones!D:D,"")</f>
        <v>Región de Metropolitana de Santiago</v>
      </c>
      <c r="L107" s="136"/>
    </row>
    <row r="108" spans="1:12" x14ac:dyDescent="0.25">
      <c r="A108" s="134">
        <v>760700339</v>
      </c>
      <c r="B108" s="121" t="s">
        <v>5058</v>
      </c>
      <c r="C108" t="s">
        <v>5428</v>
      </c>
      <c r="D108" s="125">
        <v>13</v>
      </c>
      <c r="E108" t="s">
        <v>4445</v>
      </c>
      <c r="F108" s="122" t="s">
        <v>5233</v>
      </c>
      <c r="G108" s="132"/>
      <c r="H108" t="s">
        <v>5428</v>
      </c>
      <c r="I108" s="124" t="str">
        <f>IF(Tabla13[[#This Row],[RUT]]=774097899,"DIST",_xlfn.XLOOKUP(Tabla13[[#This Row],[VENDEDOR]],dimensiones!$C$21:$C$28,dimensiones!$D$21:$D$28,""))</f>
        <v>ATEL</v>
      </c>
      <c r="J108" s="125" t="str">
        <f>_xlfn.XLOOKUP(Tabla13[[#This Row],[REGION]],dimensiones!C:C,dimensiones!D:D,"")</f>
        <v>Región de Metropolitana de Santiago</v>
      </c>
      <c r="L108" s="136"/>
    </row>
    <row r="109" spans="1:12" x14ac:dyDescent="0.25">
      <c r="A109" s="134">
        <v>760742163</v>
      </c>
      <c r="B109" s="121" t="s">
        <v>5395</v>
      </c>
      <c r="C109" t="s">
        <v>5428</v>
      </c>
      <c r="D109" s="125">
        <v>4</v>
      </c>
      <c r="E109" t="s">
        <v>4445</v>
      </c>
      <c r="F109" s="122" t="s">
        <v>5234</v>
      </c>
      <c r="G109" s="132"/>
      <c r="H109" t="s">
        <v>5428</v>
      </c>
      <c r="I109" s="124" t="str">
        <f>IF(Tabla13[[#This Row],[RUT]]=774097899,"DIST",_xlfn.XLOOKUP(Tabla13[[#This Row],[VENDEDOR]],dimensiones!$C$21:$C$28,dimensiones!$D$21:$D$28,""))</f>
        <v>ATEL</v>
      </c>
      <c r="J109" s="125" t="str">
        <f>_xlfn.XLOOKUP(Tabla13[[#This Row],[REGION]],dimensiones!C:C,dimensiones!D:D,"")</f>
        <v>Región de Coquimbo</v>
      </c>
      <c r="L109" s="136"/>
    </row>
    <row r="110" spans="1:12" x14ac:dyDescent="0.25">
      <c r="A110" s="134">
        <v>760892963</v>
      </c>
      <c r="B110" s="121" t="s">
        <v>5366</v>
      </c>
      <c r="C110" t="s">
        <v>5428</v>
      </c>
      <c r="D110" s="125">
        <v>13</v>
      </c>
      <c r="E110" t="s">
        <v>4445</v>
      </c>
      <c r="F110" s="122" t="s">
        <v>5235</v>
      </c>
      <c r="G110" s="132"/>
      <c r="H110" t="s">
        <v>5428</v>
      </c>
      <c r="I110" s="124" t="str">
        <f>IF(Tabla13[[#This Row],[RUT]]=774097899,"DIST",_xlfn.XLOOKUP(Tabla13[[#This Row],[VENDEDOR]],dimensiones!$C$21:$C$28,dimensiones!$D$21:$D$28,""))</f>
        <v>ATEL</v>
      </c>
      <c r="J110" s="125" t="str">
        <f>_xlfn.XLOOKUP(Tabla13[[#This Row],[REGION]],dimensiones!C:C,dimensiones!D:D,"")</f>
        <v>Región de Metropolitana de Santiago</v>
      </c>
      <c r="L110" s="136"/>
    </row>
    <row r="111" spans="1:12" x14ac:dyDescent="0.25">
      <c r="A111" s="134">
        <v>761108093</v>
      </c>
      <c r="B111" s="121" t="s">
        <v>5059</v>
      </c>
      <c r="C111" t="s">
        <v>5428</v>
      </c>
      <c r="D111" s="125">
        <v>13</v>
      </c>
      <c r="E111" t="s">
        <v>4445</v>
      </c>
      <c r="F111" s="122" t="s">
        <v>5236</v>
      </c>
      <c r="G111" s="132"/>
      <c r="H111" t="s">
        <v>5428</v>
      </c>
      <c r="I111" s="124" t="str">
        <f>IF(Tabla13[[#This Row],[RUT]]=774097899,"DIST",_xlfn.XLOOKUP(Tabla13[[#This Row],[VENDEDOR]],dimensiones!$C$21:$C$28,dimensiones!$D$21:$D$28,""))</f>
        <v>ATEL</v>
      </c>
      <c r="J111" s="125" t="str">
        <f>_xlfn.XLOOKUP(Tabla13[[#This Row],[REGION]],dimensiones!C:C,dimensiones!D:D,"")</f>
        <v>Región de Metropolitana de Santiago</v>
      </c>
      <c r="L111" s="136"/>
    </row>
    <row r="112" spans="1:12" x14ac:dyDescent="0.25">
      <c r="A112" s="134">
        <v>761108921</v>
      </c>
      <c r="B112" s="121" t="s">
        <v>5425</v>
      </c>
      <c r="C112" t="s">
        <v>5428</v>
      </c>
      <c r="D112" s="125">
        <v>13</v>
      </c>
      <c r="E112" t="s">
        <v>4445</v>
      </c>
      <c r="F112" s="122" t="s">
        <v>5237</v>
      </c>
      <c r="G112" s="132"/>
      <c r="H112" t="s">
        <v>5428</v>
      </c>
      <c r="I112" s="124" t="str">
        <f>IF(Tabla13[[#This Row],[RUT]]=774097899,"DIST",_xlfn.XLOOKUP(Tabla13[[#This Row],[VENDEDOR]],dimensiones!$C$21:$C$28,dimensiones!$D$21:$D$28,""))</f>
        <v>ATEL</v>
      </c>
      <c r="J112" s="125" t="str">
        <f>_xlfn.XLOOKUP(Tabla13[[#This Row],[REGION]],dimensiones!C:C,dimensiones!D:D,"")</f>
        <v>Región de Metropolitana de Santiago</v>
      </c>
      <c r="L112" s="136"/>
    </row>
    <row r="113" spans="1:12" x14ac:dyDescent="0.25">
      <c r="A113" s="134">
        <v>761111132</v>
      </c>
      <c r="B113" s="121" t="s">
        <v>1064</v>
      </c>
      <c r="C113" t="s">
        <v>4168</v>
      </c>
      <c r="D113" s="125">
        <v>13</v>
      </c>
      <c r="E113" t="s">
        <v>4445</v>
      </c>
      <c r="F113" s="122" t="s">
        <v>4895</v>
      </c>
      <c r="G113" s="132"/>
      <c r="H113" t="s">
        <v>4915</v>
      </c>
      <c r="I113" s="124" t="str">
        <f>IF(Tabla13[[#This Row],[RUT]]=774097899,"DIST",_xlfn.XLOOKUP(Tabla13[[#This Row],[VENDEDOR]],dimensiones!$C$21:$C$28,dimensiones!$D$21:$D$28,""))</f>
        <v>ATEL</v>
      </c>
      <c r="J113" s="125" t="str">
        <f>_xlfn.XLOOKUP(Tabla13[[#This Row],[REGION]],dimensiones!C:C,dimensiones!D:D,"")</f>
        <v>Región de Metropolitana de Santiago</v>
      </c>
      <c r="L113" s="136"/>
    </row>
    <row r="114" spans="1:12" x14ac:dyDescent="0.25">
      <c r="A114" s="134">
        <v>761162209</v>
      </c>
      <c r="B114" s="121" t="s">
        <v>5407</v>
      </c>
      <c r="C114" t="s">
        <v>5428</v>
      </c>
      <c r="D114" s="125">
        <v>10</v>
      </c>
      <c r="E114" t="s">
        <v>4445</v>
      </c>
      <c r="F114" s="122" t="s">
        <v>5238</v>
      </c>
      <c r="G114" s="132"/>
      <c r="H114" t="s">
        <v>5428</v>
      </c>
      <c r="I114" s="124" t="str">
        <f>IF(Tabla13[[#This Row],[RUT]]=774097899,"DIST",_xlfn.XLOOKUP(Tabla13[[#This Row],[VENDEDOR]],dimensiones!$C$21:$C$28,dimensiones!$D$21:$D$28,""))</f>
        <v>ATEL</v>
      </c>
      <c r="J114" s="125" t="str">
        <f>_xlfn.XLOOKUP(Tabla13[[#This Row],[REGION]],dimensiones!C:C,dimensiones!D:D,"")</f>
        <v>Región de Los Lagos</v>
      </c>
      <c r="L114" s="136"/>
    </row>
    <row r="115" spans="1:12" x14ac:dyDescent="0.25">
      <c r="A115" s="134">
        <v>761175971</v>
      </c>
      <c r="B115" s="121" t="s">
        <v>5060</v>
      </c>
      <c r="C115" t="s">
        <v>5428</v>
      </c>
      <c r="D115" s="125">
        <v>5</v>
      </c>
      <c r="E115" t="s">
        <v>4445</v>
      </c>
      <c r="F115" s="122" t="s">
        <v>5239</v>
      </c>
      <c r="G115" s="132"/>
      <c r="H115" t="s">
        <v>5428</v>
      </c>
      <c r="I115" s="124" t="str">
        <f>IF(Tabla13[[#This Row],[RUT]]=774097899,"DIST",_xlfn.XLOOKUP(Tabla13[[#This Row],[VENDEDOR]],dimensiones!$C$21:$C$28,dimensiones!$D$21:$D$28,""))</f>
        <v>ATEL</v>
      </c>
      <c r="J115" s="125" t="str">
        <f>_xlfn.XLOOKUP(Tabla13[[#This Row],[REGION]],dimensiones!C:C,dimensiones!D:D,"")</f>
        <v>Región de Valparaíso</v>
      </c>
      <c r="L115" s="136"/>
    </row>
    <row r="116" spans="1:12" x14ac:dyDescent="0.25">
      <c r="A116" s="134">
        <v>761180045</v>
      </c>
      <c r="B116" s="121" t="s">
        <v>5061</v>
      </c>
      <c r="C116" t="s">
        <v>5428</v>
      </c>
      <c r="D116" s="125">
        <v>8</v>
      </c>
      <c r="E116" t="s">
        <v>4445</v>
      </c>
      <c r="F116" s="122" t="s">
        <v>5240</v>
      </c>
      <c r="G116" s="132"/>
      <c r="H116" t="s">
        <v>5428</v>
      </c>
      <c r="I116" s="124" t="str">
        <f>IF(Tabla13[[#This Row],[RUT]]=774097899,"DIST",_xlfn.XLOOKUP(Tabla13[[#This Row],[VENDEDOR]],dimensiones!$C$21:$C$28,dimensiones!$D$21:$D$28,""))</f>
        <v>ATEL</v>
      </c>
      <c r="J116" s="125" t="str">
        <f>_xlfn.XLOOKUP(Tabla13[[#This Row],[REGION]],dimensiones!C:C,dimensiones!D:D,"")</f>
        <v>Región de Biobío</v>
      </c>
      <c r="L116" s="136"/>
    </row>
    <row r="117" spans="1:12" x14ac:dyDescent="0.25">
      <c r="A117" s="134">
        <v>761188925</v>
      </c>
      <c r="B117" s="121" t="s">
        <v>5367</v>
      </c>
      <c r="C117" t="s">
        <v>5428</v>
      </c>
      <c r="D117" s="125">
        <v>13</v>
      </c>
      <c r="E117" t="s">
        <v>4445</v>
      </c>
      <c r="F117" s="122" t="s">
        <v>5241</v>
      </c>
      <c r="G117" s="132"/>
      <c r="H117" t="s">
        <v>5428</v>
      </c>
      <c r="I117" s="124" t="str">
        <f>IF(Tabla13[[#This Row],[RUT]]=774097899,"DIST",_xlfn.XLOOKUP(Tabla13[[#This Row],[VENDEDOR]],dimensiones!$C$21:$C$28,dimensiones!$D$21:$D$28,""))</f>
        <v>ATEL</v>
      </c>
      <c r="J117" s="125" t="str">
        <f>_xlfn.XLOOKUP(Tabla13[[#This Row],[REGION]],dimensiones!C:C,dimensiones!D:D,"")</f>
        <v>Región de Metropolitana de Santiago</v>
      </c>
      <c r="L117" s="136"/>
    </row>
    <row r="118" spans="1:12" x14ac:dyDescent="0.25">
      <c r="A118" s="134">
        <v>761473662</v>
      </c>
      <c r="B118" s="121" t="s">
        <v>5062</v>
      </c>
      <c r="C118" t="s">
        <v>5428</v>
      </c>
      <c r="D118" s="125">
        <v>2</v>
      </c>
      <c r="E118" t="s">
        <v>4445</v>
      </c>
      <c r="F118" s="122" t="s">
        <v>5242</v>
      </c>
      <c r="G118" s="132"/>
      <c r="H118" t="s">
        <v>5428</v>
      </c>
      <c r="I118" s="124" t="str">
        <f>IF(Tabla13[[#This Row],[RUT]]=774097899,"DIST",_xlfn.XLOOKUP(Tabla13[[#This Row],[VENDEDOR]],dimensiones!$C$21:$C$28,dimensiones!$D$21:$D$28,""))</f>
        <v>ATEL</v>
      </c>
      <c r="J118" s="125" t="str">
        <f>_xlfn.XLOOKUP(Tabla13[[#This Row],[REGION]],dimensiones!C:C,dimensiones!D:D,"")</f>
        <v>Región de Antofagasta</v>
      </c>
      <c r="L118" s="136"/>
    </row>
    <row r="119" spans="1:12" x14ac:dyDescent="0.25">
      <c r="A119" s="134">
        <v>761705016</v>
      </c>
      <c r="B119" s="121" t="s">
        <v>5064</v>
      </c>
      <c r="C119" t="s">
        <v>5428</v>
      </c>
      <c r="D119" s="125">
        <v>13</v>
      </c>
      <c r="E119" t="s">
        <v>4445</v>
      </c>
      <c r="F119" s="122" t="s">
        <v>5244</v>
      </c>
      <c r="G119" s="132"/>
      <c r="H119" t="s">
        <v>5428</v>
      </c>
      <c r="I119" s="124" t="str">
        <f>IF(Tabla13[[#This Row],[RUT]]=774097899,"DIST",_xlfn.XLOOKUP(Tabla13[[#This Row],[VENDEDOR]],dimensiones!$C$21:$C$28,dimensiones!$D$21:$D$28,""))</f>
        <v>ATEL</v>
      </c>
      <c r="J119" s="125" t="str">
        <f>_xlfn.XLOOKUP(Tabla13[[#This Row],[REGION]],dimensiones!C:C,dimensiones!D:D,"")</f>
        <v>Región de Metropolitana de Santiago</v>
      </c>
      <c r="L119" s="136"/>
    </row>
    <row r="120" spans="1:12" x14ac:dyDescent="0.25">
      <c r="A120" s="134">
        <v>761792075</v>
      </c>
      <c r="B120" s="121" t="s">
        <v>5065</v>
      </c>
      <c r="C120" t="s">
        <v>5428</v>
      </c>
      <c r="D120" s="125">
        <v>13</v>
      </c>
      <c r="E120" t="s">
        <v>4445</v>
      </c>
      <c r="F120" s="122" t="s">
        <v>5245</v>
      </c>
      <c r="G120" s="132"/>
      <c r="H120" t="s">
        <v>5428</v>
      </c>
      <c r="I120" s="124" t="str">
        <f>IF(Tabla13[[#This Row],[RUT]]=774097899,"DIST",_xlfn.XLOOKUP(Tabla13[[#This Row],[VENDEDOR]],dimensiones!$C$21:$C$28,dimensiones!$D$21:$D$28,""))</f>
        <v>ATEL</v>
      </c>
      <c r="J120" s="125" t="str">
        <f>_xlfn.XLOOKUP(Tabla13[[#This Row],[REGION]],dimensiones!C:C,dimensiones!D:D,"")</f>
        <v>Región de Metropolitana de Santiago</v>
      </c>
      <c r="L120" s="136"/>
    </row>
    <row r="121" spans="1:12" x14ac:dyDescent="0.25">
      <c r="A121" s="134">
        <v>761838210</v>
      </c>
      <c r="B121" s="121" t="s">
        <v>5246</v>
      </c>
      <c r="C121" t="s">
        <v>5428</v>
      </c>
      <c r="D121" s="125">
        <v>13</v>
      </c>
      <c r="E121" t="s">
        <v>4445</v>
      </c>
      <c r="F121" s="122" t="s">
        <v>5247</v>
      </c>
      <c r="G121" s="132"/>
      <c r="H121" t="s">
        <v>5428</v>
      </c>
      <c r="I121" s="124" t="str">
        <f>IF(Tabla13[[#This Row],[RUT]]=774097899,"DIST",_xlfn.XLOOKUP(Tabla13[[#This Row],[VENDEDOR]],dimensiones!$C$21:$C$28,dimensiones!$D$21:$D$28,""))</f>
        <v>ATEL</v>
      </c>
      <c r="J121" s="125" t="str">
        <f>_xlfn.XLOOKUP(Tabla13[[#This Row],[REGION]],dimensiones!C:C,dimensiones!D:D,"")</f>
        <v>Región de Metropolitana de Santiago</v>
      </c>
      <c r="L121" s="136"/>
    </row>
    <row r="122" spans="1:12" x14ac:dyDescent="0.25">
      <c r="A122" s="134">
        <v>761946684</v>
      </c>
      <c r="B122" s="121" t="s">
        <v>5066</v>
      </c>
      <c r="C122" t="s">
        <v>5428</v>
      </c>
      <c r="D122" s="125">
        <v>13</v>
      </c>
      <c r="E122" t="s">
        <v>4445</v>
      </c>
      <c r="F122" s="122" t="s">
        <v>5248</v>
      </c>
      <c r="G122" s="132"/>
      <c r="H122" t="s">
        <v>5428</v>
      </c>
      <c r="I122" s="124" t="str">
        <f>IF(Tabla13[[#This Row],[RUT]]=774097899,"DIST",_xlfn.XLOOKUP(Tabla13[[#This Row],[VENDEDOR]],dimensiones!$C$21:$C$28,dimensiones!$D$21:$D$28,""))</f>
        <v>ATEL</v>
      </c>
      <c r="J122" s="125" t="str">
        <f>_xlfn.XLOOKUP(Tabla13[[#This Row],[REGION]],dimensiones!C:C,dimensiones!D:D,"")</f>
        <v>Región de Metropolitana de Santiago</v>
      </c>
      <c r="L122" s="136"/>
    </row>
    <row r="123" spans="1:12" x14ac:dyDescent="0.25">
      <c r="A123" s="134">
        <v>762177617</v>
      </c>
      <c r="B123" s="121" t="s">
        <v>5067</v>
      </c>
      <c r="C123" t="s">
        <v>5428</v>
      </c>
      <c r="D123" s="125">
        <v>13</v>
      </c>
      <c r="E123" t="s">
        <v>4445</v>
      </c>
      <c r="F123" s="122" t="s">
        <v>5249</v>
      </c>
      <c r="G123" s="132"/>
      <c r="H123" t="s">
        <v>5428</v>
      </c>
      <c r="I123" s="124" t="str">
        <f>IF(Tabla13[[#This Row],[RUT]]=774097899,"DIST",_xlfn.XLOOKUP(Tabla13[[#This Row],[VENDEDOR]],dimensiones!$C$21:$C$28,dimensiones!$D$21:$D$28,""))</f>
        <v>ATEL</v>
      </c>
      <c r="J123" s="125" t="str">
        <f>_xlfn.XLOOKUP(Tabla13[[#This Row],[REGION]],dimensiones!C:C,dimensiones!D:D,"")</f>
        <v>Región de Metropolitana de Santiago</v>
      </c>
      <c r="L123" s="136"/>
    </row>
    <row r="124" spans="1:12" x14ac:dyDescent="0.25">
      <c r="A124" s="134">
        <v>762177684</v>
      </c>
      <c r="B124" s="121" t="s">
        <v>111</v>
      </c>
      <c r="C124" t="s">
        <v>4168</v>
      </c>
      <c r="D124" s="125">
        <v>13</v>
      </c>
      <c r="E124" t="s">
        <v>4453</v>
      </c>
      <c r="F124" s="122" t="s">
        <v>4839</v>
      </c>
      <c r="G124" s="132"/>
      <c r="H124" t="s">
        <v>4915</v>
      </c>
      <c r="I124" s="124" t="str">
        <f>IF(Tabla13[[#This Row],[RUT]]=774097899,"DIST",_xlfn.XLOOKUP(Tabla13[[#This Row],[VENDEDOR]],dimensiones!$C$21:$C$28,dimensiones!$D$21:$D$28,""))</f>
        <v>SANT2</v>
      </c>
      <c r="J124" s="125" t="str">
        <f>_xlfn.XLOOKUP(Tabla13[[#This Row],[REGION]],dimensiones!C:C,dimensiones!D:D,"")</f>
        <v>Región de Metropolitana de Santiago</v>
      </c>
      <c r="L124" s="136"/>
    </row>
    <row r="125" spans="1:12" x14ac:dyDescent="0.25">
      <c r="A125" s="134">
        <v>762342960</v>
      </c>
      <c r="B125" s="121" t="s">
        <v>1043</v>
      </c>
      <c r="C125" t="s">
        <v>4460</v>
      </c>
      <c r="D125" s="125">
        <v>8</v>
      </c>
      <c r="E125" t="s">
        <v>4445</v>
      </c>
      <c r="F125" s="122" t="s">
        <v>4881</v>
      </c>
      <c r="G125" s="132"/>
      <c r="H125" t="s">
        <v>4915</v>
      </c>
      <c r="I125" s="124" t="str">
        <f>IF(Tabla13[[#This Row],[RUT]]=774097899,"DIST",_xlfn.XLOOKUP(Tabla13[[#This Row],[VENDEDOR]],dimensiones!$C$21:$C$28,dimensiones!$D$21:$D$28,""))</f>
        <v>ATEL</v>
      </c>
      <c r="J125" s="125" t="str">
        <f>_xlfn.XLOOKUP(Tabla13[[#This Row],[REGION]],dimensiones!C:C,dimensiones!D:D,"")</f>
        <v>Región de Biobío</v>
      </c>
      <c r="L125" s="136"/>
    </row>
    <row r="126" spans="1:12" x14ac:dyDescent="0.25">
      <c r="A126" s="134">
        <v>762418037</v>
      </c>
      <c r="B126" s="121" t="s">
        <v>5368</v>
      </c>
      <c r="C126" t="s">
        <v>5428</v>
      </c>
      <c r="D126" s="125">
        <v>13</v>
      </c>
      <c r="E126" t="s">
        <v>4445</v>
      </c>
      <c r="F126" s="122" t="s">
        <v>5251</v>
      </c>
      <c r="G126" s="132"/>
      <c r="H126" t="s">
        <v>5428</v>
      </c>
      <c r="I126" s="124" t="str">
        <f>IF(Tabla13[[#This Row],[RUT]]=774097899,"DIST",_xlfn.XLOOKUP(Tabla13[[#This Row],[VENDEDOR]],dimensiones!$C$21:$C$28,dimensiones!$D$21:$D$28,""))</f>
        <v>ATEL</v>
      </c>
      <c r="J126" s="125" t="str">
        <f>_xlfn.XLOOKUP(Tabla13[[#This Row],[REGION]],dimensiones!C:C,dimensiones!D:D,"")</f>
        <v>Región de Metropolitana de Santiago</v>
      </c>
      <c r="L126" s="136"/>
    </row>
    <row r="127" spans="1:12" x14ac:dyDescent="0.25">
      <c r="A127" s="134">
        <v>762514869</v>
      </c>
      <c r="B127" s="121" t="s">
        <v>5068</v>
      </c>
      <c r="C127" t="s">
        <v>5428</v>
      </c>
      <c r="D127" s="125">
        <v>5</v>
      </c>
      <c r="E127" t="s">
        <v>4445</v>
      </c>
      <c r="F127" s="122" t="s">
        <v>5252</v>
      </c>
      <c r="G127" s="132"/>
      <c r="H127" t="s">
        <v>5428</v>
      </c>
      <c r="I127" s="124" t="str">
        <f>IF(Tabla13[[#This Row],[RUT]]=774097899,"DIST",_xlfn.XLOOKUP(Tabla13[[#This Row],[VENDEDOR]],dimensiones!$C$21:$C$28,dimensiones!$D$21:$D$28,""))</f>
        <v>ATEL</v>
      </c>
      <c r="J127" s="125" t="str">
        <f>_xlfn.XLOOKUP(Tabla13[[#This Row],[REGION]],dimensiones!C:C,dimensiones!D:D,"")</f>
        <v>Región de Valparaíso</v>
      </c>
      <c r="L127" s="136"/>
    </row>
    <row r="128" spans="1:12" x14ac:dyDescent="0.25">
      <c r="A128" s="134">
        <v>762641380</v>
      </c>
      <c r="B128" s="121" t="s">
        <v>1076</v>
      </c>
      <c r="C128" t="s">
        <v>4168</v>
      </c>
      <c r="D128" s="125">
        <v>13</v>
      </c>
      <c r="E128" t="s">
        <v>4445</v>
      </c>
      <c r="F128" s="122" t="s">
        <v>4904</v>
      </c>
      <c r="G128" s="132"/>
      <c r="H128" t="s">
        <v>4915</v>
      </c>
      <c r="I128" s="124" t="str">
        <f>IF(Tabla13[[#This Row],[RUT]]=774097899,"DIST",_xlfn.XLOOKUP(Tabla13[[#This Row],[VENDEDOR]],dimensiones!$C$21:$C$28,dimensiones!$D$21:$D$28,""))</f>
        <v>ATEL</v>
      </c>
      <c r="J128" s="125" t="str">
        <f>_xlfn.XLOOKUP(Tabla13[[#This Row],[REGION]],dimensiones!C:C,dimensiones!D:D,"")</f>
        <v>Región de Metropolitana de Santiago</v>
      </c>
      <c r="L128" s="136"/>
    </row>
    <row r="129" spans="1:12" x14ac:dyDescent="0.25">
      <c r="A129" s="134">
        <v>762977079</v>
      </c>
      <c r="B129" s="121" t="s">
        <v>1041</v>
      </c>
      <c r="C129" t="s">
        <v>4245</v>
      </c>
      <c r="D129" s="125">
        <v>4</v>
      </c>
      <c r="E129" t="s">
        <v>4445</v>
      </c>
      <c r="F129" s="122" t="s">
        <v>4879</v>
      </c>
      <c r="G129" s="132"/>
      <c r="H129" t="s">
        <v>4915</v>
      </c>
      <c r="I129" s="124" t="str">
        <f>IF(Tabla13[[#This Row],[RUT]]=774097899,"DIST",_xlfn.XLOOKUP(Tabla13[[#This Row],[VENDEDOR]],dimensiones!$C$21:$C$28,dimensiones!$D$21:$D$28,""))</f>
        <v>ATEL</v>
      </c>
      <c r="J129" s="125" t="str">
        <f>_xlfn.XLOOKUP(Tabla13[[#This Row],[REGION]],dimensiones!C:C,dimensiones!D:D,"")</f>
        <v>Región de Coquimbo</v>
      </c>
      <c r="L129" s="136"/>
    </row>
    <row r="130" spans="1:12" x14ac:dyDescent="0.25">
      <c r="A130" s="134">
        <v>763212823</v>
      </c>
      <c r="B130" s="121" t="s">
        <v>5369</v>
      </c>
      <c r="C130" t="s">
        <v>5428</v>
      </c>
      <c r="D130" s="125">
        <v>13</v>
      </c>
      <c r="E130" t="s">
        <v>4445</v>
      </c>
      <c r="F130" s="122" t="s">
        <v>5253</v>
      </c>
      <c r="G130" s="132"/>
      <c r="H130" t="s">
        <v>5428</v>
      </c>
      <c r="I130" s="124" t="str">
        <f>IF(Tabla13[[#This Row],[RUT]]=774097899,"DIST",_xlfn.XLOOKUP(Tabla13[[#This Row],[VENDEDOR]],dimensiones!$C$21:$C$28,dimensiones!$D$21:$D$28,""))</f>
        <v>ATEL</v>
      </c>
      <c r="J130" s="125" t="str">
        <f>_xlfn.XLOOKUP(Tabla13[[#This Row],[REGION]],dimensiones!C:C,dimensiones!D:D,"")</f>
        <v>Región de Metropolitana de Santiago</v>
      </c>
      <c r="L130" s="136"/>
    </row>
    <row r="131" spans="1:12" x14ac:dyDescent="0.25">
      <c r="A131" s="134">
        <v>763299031</v>
      </c>
      <c r="B131" s="121" t="s">
        <v>5370</v>
      </c>
      <c r="C131" t="s">
        <v>5428</v>
      </c>
      <c r="D131" s="125">
        <v>13</v>
      </c>
      <c r="E131" t="s">
        <v>4445</v>
      </c>
      <c r="F131" s="122" t="s">
        <v>5254</v>
      </c>
      <c r="G131" s="132"/>
      <c r="H131" t="s">
        <v>5428</v>
      </c>
      <c r="I131" s="124" t="str">
        <f>IF(Tabla13[[#This Row],[RUT]]=774097899,"DIST",_xlfn.XLOOKUP(Tabla13[[#This Row],[VENDEDOR]],dimensiones!$C$21:$C$28,dimensiones!$D$21:$D$28,""))</f>
        <v>ATEL</v>
      </c>
      <c r="J131" s="125" t="str">
        <f>_xlfn.XLOOKUP(Tabla13[[#This Row],[REGION]],dimensiones!C:C,dimensiones!D:D,"")</f>
        <v>Región de Metropolitana de Santiago</v>
      </c>
      <c r="L131" s="136"/>
    </row>
    <row r="132" spans="1:12" x14ac:dyDescent="0.25">
      <c r="A132" s="134">
        <v>763331431</v>
      </c>
      <c r="B132" s="121" t="s">
        <v>5069</v>
      </c>
      <c r="C132" t="s">
        <v>5428</v>
      </c>
      <c r="D132" s="125">
        <v>13</v>
      </c>
      <c r="E132" t="s">
        <v>4445</v>
      </c>
      <c r="F132" s="122" t="s">
        <v>5255</v>
      </c>
      <c r="G132" s="132"/>
      <c r="H132" t="s">
        <v>5428</v>
      </c>
      <c r="I132" s="124" t="str">
        <f>IF(Tabla13[[#This Row],[RUT]]=774097899,"DIST",_xlfn.XLOOKUP(Tabla13[[#This Row],[VENDEDOR]],dimensiones!$C$21:$C$28,dimensiones!$D$21:$D$28,""))</f>
        <v>ATEL</v>
      </c>
      <c r="J132" s="125" t="str">
        <f>_xlfn.XLOOKUP(Tabla13[[#This Row],[REGION]],dimensiones!C:C,dimensiones!D:D,"")</f>
        <v>Región de Metropolitana de Santiago</v>
      </c>
      <c r="L132" s="136"/>
    </row>
    <row r="133" spans="1:12" x14ac:dyDescent="0.25">
      <c r="A133" s="134">
        <v>763376826</v>
      </c>
      <c r="B133" s="121" t="s">
        <v>1054</v>
      </c>
      <c r="C133" t="s">
        <v>4168</v>
      </c>
      <c r="D133" s="125">
        <v>13</v>
      </c>
      <c r="E133" t="s">
        <v>4445</v>
      </c>
      <c r="F133" s="122" t="s">
        <v>4887</v>
      </c>
      <c r="G133" s="132"/>
      <c r="H133" t="s">
        <v>4915</v>
      </c>
      <c r="I133" s="124" t="str">
        <f>IF(Tabla13[[#This Row],[RUT]]=774097899,"DIST",_xlfn.XLOOKUP(Tabla13[[#This Row],[VENDEDOR]],dimensiones!$C$21:$C$28,dimensiones!$D$21:$D$28,""))</f>
        <v>ATEL</v>
      </c>
      <c r="J133" s="125" t="str">
        <f>_xlfn.XLOOKUP(Tabla13[[#This Row],[REGION]],dimensiones!C:C,dimensiones!D:D,"")</f>
        <v>Región de Metropolitana de Santiago</v>
      </c>
      <c r="L133" s="136"/>
    </row>
    <row r="134" spans="1:12" x14ac:dyDescent="0.25">
      <c r="A134" s="134">
        <v>763421570</v>
      </c>
      <c r="B134" s="121" t="s">
        <v>5371</v>
      </c>
      <c r="C134" t="s">
        <v>5428</v>
      </c>
      <c r="D134" s="125">
        <v>13</v>
      </c>
      <c r="E134" t="s">
        <v>4445</v>
      </c>
      <c r="F134" s="122" t="s">
        <v>5256</v>
      </c>
      <c r="G134" s="132"/>
      <c r="H134" t="s">
        <v>5428</v>
      </c>
      <c r="I134" s="124" t="str">
        <f>IF(Tabla13[[#This Row],[RUT]]=774097899,"DIST",_xlfn.XLOOKUP(Tabla13[[#This Row],[VENDEDOR]],dimensiones!$C$21:$C$28,dimensiones!$D$21:$D$28,""))</f>
        <v>ATEL</v>
      </c>
      <c r="J134" s="125" t="str">
        <f>_xlfn.XLOOKUP(Tabla13[[#This Row],[REGION]],dimensiones!C:C,dimensiones!D:D,"")</f>
        <v>Región de Metropolitana de Santiago</v>
      </c>
      <c r="L134" s="136"/>
    </row>
    <row r="135" spans="1:12" x14ac:dyDescent="0.25">
      <c r="A135" s="134">
        <v>763764737</v>
      </c>
      <c r="B135" s="121" t="s">
        <v>5372</v>
      </c>
      <c r="C135" t="s">
        <v>5428</v>
      </c>
      <c r="D135" s="125">
        <v>13</v>
      </c>
      <c r="E135" t="s">
        <v>4445</v>
      </c>
      <c r="F135" s="122" t="s">
        <v>5257</v>
      </c>
      <c r="G135" s="132"/>
      <c r="H135" t="s">
        <v>5428</v>
      </c>
      <c r="I135" s="124" t="str">
        <f>IF(Tabla13[[#This Row],[RUT]]=774097899,"DIST",_xlfn.XLOOKUP(Tabla13[[#This Row],[VENDEDOR]],dimensiones!$C$21:$C$28,dimensiones!$D$21:$D$28,""))</f>
        <v>ATEL</v>
      </c>
      <c r="J135" s="125" t="str">
        <f>_xlfn.XLOOKUP(Tabla13[[#This Row],[REGION]],dimensiones!C:C,dimensiones!D:D,"")</f>
        <v>Región de Metropolitana de Santiago</v>
      </c>
      <c r="L135" s="136"/>
    </row>
    <row r="136" spans="1:12" x14ac:dyDescent="0.25">
      <c r="A136" s="134">
        <v>763864448</v>
      </c>
      <c r="B136" s="121" t="s">
        <v>5070</v>
      </c>
      <c r="C136" t="s">
        <v>5428</v>
      </c>
      <c r="D136" s="125">
        <v>13</v>
      </c>
      <c r="E136" t="s">
        <v>4445</v>
      </c>
      <c r="F136" s="122" t="s">
        <v>5258</v>
      </c>
      <c r="G136" s="132"/>
      <c r="H136" t="s">
        <v>5428</v>
      </c>
      <c r="I136" s="124" t="str">
        <f>IF(Tabla13[[#This Row],[RUT]]=774097899,"DIST",_xlfn.XLOOKUP(Tabla13[[#This Row],[VENDEDOR]],dimensiones!$C$21:$C$28,dimensiones!$D$21:$D$28,""))</f>
        <v>ATEL</v>
      </c>
      <c r="J136" s="125" t="str">
        <f>_xlfn.XLOOKUP(Tabla13[[#This Row],[REGION]],dimensiones!C:C,dimensiones!D:D,"")</f>
        <v>Región de Metropolitana de Santiago</v>
      </c>
      <c r="L136" s="136"/>
    </row>
    <row r="137" spans="1:12" x14ac:dyDescent="0.25">
      <c r="A137" s="134">
        <v>763877973</v>
      </c>
      <c r="B137" s="121" t="s">
        <v>5259</v>
      </c>
      <c r="C137" t="s">
        <v>5428</v>
      </c>
      <c r="D137" s="125">
        <v>13</v>
      </c>
      <c r="E137" t="s">
        <v>4445</v>
      </c>
      <c r="F137" s="122" t="s">
        <v>5260</v>
      </c>
      <c r="G137" s="132"/>
      <c r="H137" t="s">
        <v>5428</v>
      </c>
      <c r="I137" s="124" t="str">
        <f>IF(Tabla13[[#This Row],[RUT]]=774097899,"DIST",_xlfn.XLOOKUP(Tabla13[[#This Row],[VENDEDOR]],dimensiones!$C$21:$C$28,dimensiones!$D$21:$D$28,""))</f>
        <v>ATEL</v>
      </c>
      <c r="J137" s="125" t="str">
        <f>_xlfn.XLOOKUP(Tabla13[[#This Row],[REGION]],dimensiones!C:C,dimensiones!D:D,"")</f>
        <v>Región de Metropolitana de Santiago</v>
      </c>
      <c r="L137" s="136"/>
    </row>
    <row r="138" spans="1:12" x14ac:dyDescent="0.25">
      <c r="A138" s="134">
        <v>763995356</v>
      </c>
      <c r="B138" s="121" t="s">
        <v>5071</v>
      </c>
      <c r="C138" t="s">
        <v>5428</v>
      </c>
      <c r="D138" s="125">
        <v>9</v>
      </c>
      <c r="E138" t="s">
        <v>4445</v>
      </c>
      <c r="F138" s="122" t="s">
        <v>5261</v>
      </c>
      <c r="G138" s="132"/>
      <c r="H138" t="s">
        <v>5428</v>
      </c>
      <c r="I138" s="124" t="str">
        <f>IF(Tabla13[[#This Row],[RUT]]=774097899,"DIST",_xlfn.XLOOKUP(Tabla13[[#This Row],[VENDEDOR]],dimensiones!$C$21:$C$28,dimensiones!$D$21:$D$28,""))</f>
        <v>ATEL</v>
      </c>
      <c r="J138" s="125" t="str">
        <f>_xlfn.XLOOKUP(Tabla13[[#This Row],[REGION]],dimensiones!C:C,dimensiones!D:D,"")</f>
        <v>Región de La Araucanía</v>
      </c>
      <c r="L138" s="136"/>
    </row>
    <row r="139" spans="1:12" x14ac:dyDescent="0.25">
      <c r="A139" s="134">
        <v>764080793</v>
      </c>
      <c r="B139" s="121" t="s">
        <v>5072</v>
      </c>
      <c r="C139" t="s">
        <v>5428</v>
      </c>
      <c r="D139" s="125">
        <v>8</v>
      </c>
      <c r="E139" t="s">
        <v>4445</v>
      </c>
      <c r="F139" s="122" t="s">
        <v>5262</v>
      </c>
      <c r="G139" s="132"/>
      <c r="H139" t="s">
        <v>5428</v>
      </c>
      <c r="I139" s="124" t="str">
        <f>IF(Tabla13[[#This Row],[RUT]]=774097899,"DIST",_xlfn.XLOOKUP(Tabla13[[#This Row],[VENDEDOR]],dimensiones!$C$21:$C$28,dimensiones!$D$21:$D$28,""))</f>
        <v>ATEL</v>
      </c>
      <c r="J139" s="125" t="str">
        <f>_xlfn.XLOOKUP(Tabla13[[#This Row],[REGION]],dimensiones!C:C,dimensiones!D:D,"")</f>
        <v>Región de Biobío</v>
      </c>
      <c r="L139" s="136"/>
    </row>
    <row r="140" spans="1:12" x14ac:dyDescent="0.25">
      <c r="A140" s="134">
        <v>764490266</v>
      </c>
      <c r="B140" s="121" t="s">
        <v>5073</v>
      </c>
      <c r="C140" t="s">
        <v>5428</v>
      </c>
      <c r="D140" s="125">
        <v>8</v>
      </c>
      <c r="E140" t="s">
        <v>4445</v>
      </c>
      <c r="F140" s="122" t="s">
        <v>5263</v>
      </c>
      <c r="G140" s="132"/>
      <c r="H140" t="s">
        <v>5428</v>
      </c>
      <c r="I140" s="124" t="str">
        <f>IF(Tabla13[[#This Row],[RUT]]=774097899,"DIST",_xlfn.XLOOKUP(Tabla13[[#This Row],[VENDEDOR]],dimensiones!$C$21:$C$28,dimensiones!$D$21:$D$28,""))</f>
        <v>ATEL</v>
      </c>
      <c r="J140" s="125" t="str">
        <f>_xlfn.XLOOKUP(Tabla13[[#This Row],[REGION]],dimensiones!C:C,dimensiones!D:D,"")</f>
        <v>Región de Biobío</v>
      </c>
      <c r="L140" s="136"/>
    </row>
    <row r="141" spans="1:12" x14ac:dyDescent="0.25">
      <c r="A141" s="134">
        <v>764511271</v>
      </c>
      <c r="B141" s="121" t="s">
        <v>5074</v>
      </c>
      <c r="C141" t="s">
        <v>5428</v>
      </c>
      <c r="D141" s="125">
        <v>13</v>
      </c>
      <c r="E141" t="s">
        <v>4445</v>
      </c>
      <c r="F141" s="122" t="s">
        <v>5264</v>
      </c>
      <c r="G141" s="132"/>
      <c r="H141" t="s">
        <v>5428</v>
      </c>
      <c r="I141" s="124" t="str">
        <f>IF(Tabla13[[#This Row],[RUT]]=774097899,"DIST",_xlfn.XLOOKUP(Tabla13[[#This Row],[VENDEDOR]],dimensiones!$C$21:$C$28,dimensiones!$D$21:$D$28,""))</f>
        <v>ATEL</v>
      </c>
      <c r="J141" s="125" t="str">
        <f>_xlfn.XLOOKUP(Tabla13[[#This Row],[REGION]],dimensiones!C:C,dimensiones!D:D,"")</f>
        <v>Región de Metropolitana de Santiago</v>
      </c>
      <c r="L141" s="136"/>
    </row>
    <row r="142" spans="1:12" x14ac:dyDescent="0.25">
      <c r="A142" s="134">
        <v>764606418</v>
      </c>
      <c r="B142" s="121" t="s">
        <v>1045</v>
      </c>
      <c r="C142" t="s">
        <v>4168</v>
      </c>
      <c r="D142" s="125">
        <v>13</v>
      </c>
      <c r="E142" t="s">
        <v>4445</v>
      </c>
      <c r="F142" s="122" t="s">
        <v>4883</v>
      </c>
      <c r="G142" s="132"/>
      <c r="H142" t="s">
        <v>4915</v>
      </c>
      <c r="I142" s="124" t="str">
        <f>IF(Tabla13[[#This Row],[RUT]]=774097899,"DIST",_xlfn.XLOOKUP(Tabla13[[#This Row],[VENDEDOR]],dimensiones!$C$21:$C$28,dimensiones!$D$21:$D$28,""))</f>
        <v>ATEL</v>
      </c>
      <c r="J142" s="125" t="str">
        <f>_xlfn.XLOOKUP(Tabla13[[#This Row],[REGION]],dimensiones!C:C,dimensiones!D:D,"")</f>
        <v>Región de Metropolitana de Santiago</v>
      </c>
      <c r="L142" s="136"/>
    </row>
    <row r="143" spans="1:12" x14ac:dyDescent="0.25">
      <c r="A143" s="134">
        <v>764626567</v>
      </c>
      <c r="B143" s="121" t="s">
        <v>5373</v>
      </c>
      <c r="C143" t="s">
        <v>5428</v>
      </c>
      <c r="D143" s="125">
        <v>13</v>
      </c>
      <c r="E143" t="s">
        <v>4445</v>
      </c>
      <c r="F143" s="122" t="s">
        <v>5265</v>
      </c>
      <c r="G143" s="132"/>
      <c r="H143" t="s">
        <v>5428</v>
      </c>
      <c r="I143" s="124" t="str">
        <f>IF(Tabla13[[#This Row],[RUT]]=774097899,"DIST",_xlfn.XLOOKUP(Tabla13[[#This Row],[VENDEDOR]],dimensiones!$C$21:$C$28,dimensiones!$D$21:$D$28,""))</f>
        <v>ATEL</v>
      </c>
      <c r="J143" s="125" t="str">
        <f>_xlfn.XLOOKUP(Tabla13[[#This Row],[REGION]],dimensiones!C:C,dimensiones!D:D,"")</f>
        <v>Región de Metropolitana de Santiago</v>
      </c>
      <c r="L143" s="136"/>
    </row>
    <row r="144" spans="1:12" x14ac:dyDescent="0.25">
      <c r="A144" s="134">
        <v>764686985</v>
      </c>
      <c r="B144" s="121" t="s">
        <v>5374</v>
      </c>
      <c r="C144" t="s">
        <v>5428</v>
      </c>
      <c r="D144" s="125">
        <v>10</v>
      </c>
      <c r="E144" t="s">
        <v>4445</v>
      </c>
      <c r="F144" s="122" t="s">
        <v>5266</v>
      </c>
      <c r="G144" s="132"/>
      <c r="H144" t="s">
        <v>5428</v>
      </c>
      <c r="I144" s="124" t="str">
        <f>IF(Tabla13[[#This Row],[RUT]]=774097899,"DIST",_xlfn.XLOOKUP(Tabla13[[#This Row],[VENDEDOR]],dimensiones!$C$21:$C$28,dimensiones!$D$21:$D$28,""))</f>
        <v>ATEL</v>
      </c>
      <c r="J144" s="125" t="str">
        <f>_xlfn.XLOOKUP(Tabla13[[#This Row],[REGION]],dimensiones!C:C,dimensiones!D:D,"")</f>
        <v>Región de Los Lagos</v>
      </c>
      <c r="L144" s="136"/>
    </row>
    <row r="145" spans="1:12" x14ac:dyDescent="0.25">
      <c r="A145" s="134">
        <v>764762304</v>
      </c>
      <c r="B145" s="121" t="s">
        <v>5375</v>
      </c>
      <c r="C145" t="s">
        <v>5428</v>
      </c>
      <c r="D145" s="125">
        <v>5</v>
      </c>
      <c r="E145" t="s">
        <v>4445</v>
      </c>
      <c r="F145" s="122" t="s">
        <v>5267</v>
      </c>
      <c r="G145" s="132"/>
      <c r="H145" t="s">
        <v>5428</v>
      </c>
      <c r="I145" s="124" t="str">
        <f>IF(Tabla13[[#This Row],[RUT]]=774097899,"DIST",_xlfn.XLOOKUP(Tabla13[[#This Row],[VENDEDOR]],dimensiones!$C$21:$C$28,dimensiones!$D$21:$D$28,""))</f>
        <v>ATEL</v>
      </c>
      <c r="J145" s="125" t="str">
        <f>_xlfn.XLOOKUP(Tabla13[[#This Row],[REGION]],dimensiones!C:C,dimensiones!D:D,"")</f>
        <v>Región de Valparaíso</v>
      </c>
      <c r="L145" s="136"/>
    </row>
    <row r="146" spans="1:12" x14ac:dyDescent="0.25">
      <c r="A146" s="134">
        <v>765400708</v>
      </c>
      <c r="B146" s="121" t="s">
        <v>5075</v>
      </c>
      <c r="C146" t="s">
        <v>5428</v>
      </c>
      <c r="D146" s="125">
        <v>13</v>
      </c>
      <c r="E146" t="s">
        <v>4445</v>
      </c>
      <c r="F146" s="122" t="s">
        <v>5268</v>
      </c>
      <c r="G146" s="132"/>
      <c r="H146" t="s">
        <v>5428</v>
      </c>
      <c r="I146" s="124" t="str">
        <f>IF(Tabla13[[#This Row],[RUT]]=774097899,"DIST",_xlfn.XLOOKUP(Tabla13[[#This Row],[VENDEDOR]],dimensiones!$C$21:$C$28,dimensiones!$D$21:$D$28,""))</f>
        <v>ATEL</v>
      </c>
      <c r="J146" s="125" t="str">
        <f>_xlfn.XLOOKUP(Tabla13[[#This Row],[REGION]],dimensiones!C:C,dimensiones!D:D,"")</f>
        <v>Región de Metropolitana de Santiago</v>
      </c>
      <c r="L146" s="136"/>
    </row>
    <row r="147" spans="1:12" x14ac:dyDescent="0.25">
      <c r="A147" s="134">
        <v>765447607</v>
      </c>
      <c r="B147" s="121" t="s">
        <v>5076</v>
      </c>
      <c r="C147" t="s">
        <v>5428</v>
      </c>
      <c r="D147" s="125">
        <v>13</v>
      </c>
      <c r="E147" t="s">
        <v>4445</v>
      </c>
      <c r="F147" s="122" t="s">
        <v>5269</v>
      </c>
      <c r="G147" s="132"/>
      <c r="H147" t="s">
        <v>5428</v>
      </c>
      <c r="I147" s="124" t="str">
        <f>IF(Tabla13[[#This Row],[RUT]]=774097899,"DIST",_xlfn.XLOOKUP(Tabla13[[#This Row],[VENDEDOR]],dimensiones!$C$21:$C$28,dimensiones!$D$21:$D$28,""))</f>
        <v>ATEL</v>
      </c>
      <c r="J147" s="125" t="str">
        <f>_xlfn.XLOOKUP(Tabla13[[#This Row],[REGION]],dimensiones!C:C,dimensiones!D:D,"")</f>
        <v>Región de Metropolitana de Santiago</v>
      </c>
      <c r="L147" s="136"/>
    </row>
    <row r="148" spans="1:12" x14ac:dyDescent="0.25">
      <c r="A148" s="134">
        <v>765483379</v>
      </c>
      <c r="B148" s="121" t="s">
        <v>5426</v>
      </c>
      <c r="C148" t="s">
        <v>5428</v>
      </c>
      <c r="D148" s="125">
        <v>13</v>
      </c>
      <c r="E148" t="s">
        <v>4445</v>
      </c>
      <c r="F148" s="122" t="s">
        <v>5270</v>
      </c>
      <c r="G148" s="132"/>
      <c r="H148" t="s">
        <v>5428</v>
      </c>
      <c r="I148" s="124" t="str">
        <f>IF(Tabla13[[#This Row],[RUT]]=774097899,"DIST",_xlfn.XLOOKUP(Tabla13[[#This Row],[VENDEDOR]],dimensiones!$C$21:$C$28,dimensiones!$D$21:$D$28,""))</f>
        <v>ATEL</v>
      </c>
      <c r="J148" s="125" t="str">
        <f>_xlfn.XLOOKUP(Tabla13[[#This Row],[REGION]],dimensiones!C:C,dimensiones!D:D,"")</f>
        <v>Región de Metropolitana de Santiago</v>
      </c>
      <c r="L148" s="136"/>
    </row>
    <row r="149" spans="1:12" x14ac:dyDescent="0.25">
      <c r="A149" s="134">
        <v>765599164</v>
      </c>
      <c r="B149" s="121" t="s">
        <v>1059</v>
      </c>
      <c r="C149" t="s">
        <v>4168</v>
      </c>
      <c r="D149" s="125">
        <v>13</v>
      </c>
      <c r="E149" t="s">
        <v>4445</v>
      </c>
      <c r="F149" s="122" t="s">
        <v>4891</v>
      </c>
      <c r="G149" s="132"/>
      <c r="H149" t="s">
        <v>4915</v>
      </c>
      <c r="I149" s="124" t="str">
        <f>IF(Tabla13[[#This Row],[RUT]]=774097899,"DIST",_xlfn.XLOOKUP(Tabla13[[#This Row],[VENDEDOR]],dimensiones!$C$21:$C$28,dimensiones!$D$21:$D$28,""))</f>
        <v>ATEL</v>
      </c>
      <c r="J149" s="125" t="str">
        <f>_xlfn.XLOOKUP(Tabla13[[#This Row],[REGION]],dimensiones!C:C,dimensiones!D:D,"")</f>
        <v>Región de Metropolitana de Santiago</v>
      </c>
      <c r="L149" s="136"/>
    </row>
    <row r="150" spans="1:12" x14ac:dyDescent="0.25">
      <c r="A150" s="134">
        <v>765678382</v>
      </c>
      <c r="B150" s="121" t="s">
        <v>5077</v>
      </c>
      <c r="C150" t="s">
        <v>5428</v>
      </c>
      <c r="D150" s="125">
        <v>13</v>
      </c>
      <c r="E150" t="s">
        <v>4445</v>
      </c>
      <c r="F150" s="122" t="s">
        <v>5271</v>
      </c>
      <c r="G150" s="132"/>
      <c r="H150" t="s">
        <v>5428</v>
      </c>
      <c r="I150" s="124" t="str">
        <f>IF(Tabla13[[#This Row],[RUT]]=774097899,"DIST",_xlfn.XLOOKUP(Tabla13[[#This Row],[VENDEDOR]],dimensiones!$C$21:$C$28,dimensiones!$D$21:$D$28,""))</f>
        <v>ATEL</v>
      </c>
      <c r="J150" s="125" t="str">
        <f>_xlfn.XLOOKUP(Tabla13[[#This Row],[REGION]],dimensiones!C:C,dimensiones!D:D,"")</f>
        <v>Región de Metropolitana de Santiago</v>
      </c>
      <c r="L150" s="136"/>
    </row>
    <row r="151" spans="1:12" x14ac:dyDescent="0.25">
      <c r="A151" s="134">
        <v>765763266</v>
      </c>
      <c r="B151" s="121" t="s">
        <v>5078</v>
      </c>
      <c r="C151" t="s">
        <v>5428</v>
      </c>
      <c r="D151" s="125">
        <v>5</v>
      </c>
      <c r="E151" t="s">
        <v>4445</v>
      </c>
      <c r="F151" s="122" t="s">
        <v>5272</v>
      </c>
      <c r="G151" s="132"/>
      <c r="H151" t="s">
        <v>5428</v>
      </c>
      <c r="I151" s="124" t="str">
        <f>IF(Tabla13[[#This Row],[RUT]]=774097899,"DIST",_xlfn.XLOOKUP(Tabla13[[#This Row],[VENDEDOR]],dimensiones!$C$21:$C$28,dimensiones!$D$21:$D$28,""))</f>
        <v>ATEL</v>
      </c>
      <c r="J151" s="125" t="str">
        <f>_xlfn.XLOOKUP(Tabla13[[#This Row],[REGION]],dimensiones!C:C,dimensiones!D:D,"")</f>
        <v>Región de Valparaíso</v>
      </c>
      <c r="L151" s="136"/>
    </row>
    <row r="152" spans="1:12" x14ac:dyDescent="0.25">
      <c r="A152" s="134">
        <v>766064469</v>
      </c>
      <c r="B152" s="121" t="s">
        <v>5376</v>
      </c>
      <c r="C152" t="s">
        <v>5428</v>
      </c>
      <c r="D152" s="125">
        <v>13</v>
      </c>
      <c r="E152" t="s">
        <v>4445</v>
      </c>
      <c r="F152" s="122" t="s">
        <v>5273</v>
      </c>
      <c r="G152" s="132"/>
      <c r="H152" t="s">
        <v>5428</v>
      </c>
      <c r="I152" s="124" t="str">
        <f>IF(Tabla13[[#This Row],[RUT]]=774097899,"DIST",_xlfn.XLOOKUP(Tabla13[[#This Row],[VENDEDOR]],dimensiones!$C$21:$C$28,dimensiones!$D$21:$D$28,""))</f>
        <v>ATEL</v>
      </c>
      <c r="J152" s="125" t="str">
        <f>_xlfn.XLOOKUP(Tabla13[[#This Row],[REGION]],dimensiones!C:C,dimensiones!D:D,"")</f>
        <v>Región de Metropolitana de Santiago</v>
      </c>
      <c r="L152" s="136"/>
    </row>
    <row r="153" spans="1:12" x14ac:dyDescent="0.25">
      <c r="A153" s="134">
        <v>766296009</v>
      </c>
      <c r="B153" s="121" t="s">
        <v>5079</v>
      </c>
      <c r="C153" t="s">
        <v>5428</v>
      </c>
      <c r="D153" s="125">
        <v>13</v>
      </c>
      <c r="E153" t="s">
        <v>4445</v>
      </c>
      <c r="F153" s="122" t="s">
        <v>5274</v>
      </c>
      <c r="G153" s="132"/>
      <c r="H153" t="s">
        <v>5428</v>
      </c>
      <c r="I153" s="124" t="str">
        <f>IF(Tabla13[[#This Row],[RUT]]=774097899,"DIST",_xlfn.XLOOKUP(Tabla13[[#This Row],[VENDEDOR]],dimensiones!$C$21:$C$28,dimensiones!$D$21:$D$28,""))</f>
        <v>ATEL</v>
      </c>
      <c r="J153" s="125" t="str">
        <f>_xlfn.XLOOKUP(Tabla13[[#This Row],[REGION]],dimensiones!C:C,dimensiones!D:D,"")</f>
        <v>Región de Metropolitana de Santiago</v>
      </c>
      <c r="L153" s="136"/>
    </row>
    <row r="154" spans="1:12" x14ac:dyDescent="0.25">
      <c r="A154" s="134">
        <v>766658105</v>
      </c>
      <c r="B154" s="121" t="s">
        <v>5080</v>
      </c>
      <c r="C154" t="s">
        <v>5428</v>
      </c>
      <c r="D154" s="125">
        <v>13</v>
      </c>
      <c r="E154" t="s">
        <v>4445</v>
      </c>
      <c r="F154" s="122" t="s">
        <v>5275</v>
      </c>
      <c r="G154" s="132"/>
      <c r="H154" t="s">
        <v>5428</v>
      </c>
      <c r="I154" s="124" t="str">
        <f>IF(Tabla13[[#This Row],[RUT]]=774097899,"DIST",_xlfn.XLOOKUP(Tabla13[[#This Row],[VENDEDOR]],dimensiones!$C$21:$C$28,dimensiones!$D$21:$D$28,""))</f>
        <v>ATEL</v>
      </c>
      <c r="J154" s="125" t="str">
        <f>_xlfn.XLOOKUP(Tabla13[[#This Row],[REGION]],dimensiones!C:C,dimensiones!D:D,"")</f>
        <v>Región de Metropolitana de Santiago</v>
      </c>
      <c r="L154" s="136"/>
    </row>
    <row r="155" spans="1:12" x14ac:dyDescent="0.25">
      <c r="A155" s="134">
        <v>767118570</v>
      </c>
      <c r="B155" s="121" t="s">
        <v>5081</v>
      </c>
      <c r="C155" t="s">
        <v>5428</v>
      </c>
      <c r="D155" s="125">
        <v>13</v>
      </c>
      <c r="E155" t="s">
        <v>4445</v>
      </c>
      <c r="F155" s="122" t="s">
        <v>5276</v>
      </c>
      <c r="G155" s="132"/>
      <c r="H155" t="s">
        <v>5428</v>
      </c>
      <c r="I155" s="124" t="str">
        <f>IF(Tabla13[[#This Row],[RUT]]=774097899,"DIST",_xlfn.XLOOKUP(Tabla13[[#This Row],[VENDEDOR]],dimensiones!$C$21:$C$28,dimensiones!$D$21:$D$28,""))</f>
        <v>ATEL</v>
      </c>
      <c r="J155" s="125" t="str">
        <f>_xlfn.XLOOKUP(Tabla13[[#This Row],[REGION]],dimensiones!C:C,dimensiones!D:D,"")</f>
        <v>Región de Metropolitana de Santiago</v>
      </c>
      <c r="L155" s="136"/>
    </row>
    <row r="156" spans="1:12" x14ac:dyDescent="0.25">
      <c r="A156" s="134">
        <v>767198884</v>
      </c>
      <c r="B156" s="121" t="s">
        <v>5082</v>
      </c>
      <c r="C156" t="s">
        <v>5428</v>
      </c>
      <c r="D156" s="125">
        <v>13</v>
      </c>
      <c r="E156" t="s">
        <v>4445</v>
      </c>
      <c r="F156" s="122" t="s">
        <v>5277</v>
      </c>
      <c r="G156" s="132"/>
      <c r="H156" t="s">
        <v>5428</v>
      </c>
      <c r="I156" s="124" t="str">
        <f>IF(Tabla13[[#This Row],[RUT]]=774097899,"DIST",_xlfn.XLOOKUP(Tabla13[[#This Row],[VENDEDOR]],dimensiones!$C$21:$C$28,dimensiones!$D$21:$D$28,""))</f>
        <v>ATEL</v>
      </c>
      <c r="J156" s="125" t="str">
        <f>_xlfn.XLOOKUP(Tabla13[[#This Row],[REGION]],dimensiones!C:C,dimensiones!D:D,"")</f>
        <v>Región de Metropolitana de Santiago</v>
      </c>
      <c r="L156" s="136"/>
    </row>
    <row r="157" spans="1:12" x14ac:dyDescent="0.25">
      <c r="A157" s="134">
        <v>767316712</v>
      </c>
      <c r="B157" s="121" t="s">
        <v>5377</v>
      </c>
      <c r="C157" t="s">
        <v>5428</v>
      </c>
      <c r="D157" s="125">
        <v>9</v>
      </c>
      <c r="E157" t="s">
        <v>4445</v>
      </c>
      <c r="F157" s="122" t="s">
        <v>5278</v>
      </c>
      <c r="G157" s="132"/>
      <c r="H157" t="s">
        <v>5428</v>
      </c>
      <c r="I157" s="124" t="str">
        <f>IF(Tabla13[[#This Row],[RUT]]=774097899,"DIST",_xlfn.XLOOKUP(Tabla13[[#This Row],[VENDEDOR]],dimensiones!$C$21:$C$28,dimensiones!$D$21:$D$28,""))</f>
        <v>ATEL</v>
      </c>
      <c r="J157" s="125" t="str">
        <f>_xlfn.XLOOKUP(Tabla13[[#This Row],[REGION]],dimensiones!C:C,dimensiones!D:D,"")</f>
        <v>Región de La Araucanía</v>
      </c>
      <c r="L157" s="136"/>
    </row>
    <row r="158" spans="1:12" x14ac:dyDescent="0.25">
      <c r="A158" s="134">
        <v>767476132</v>
      </c>
      <c r="B158" s="121" t="s">
        <v>5083</v>
      </c>
      <c r="C158" t="s">
        <v>5428</v>
      </c>
      <c r="D158" s="125">
        <v>13</v>
      </c>
      <c r="E158" t="s">
        <v>4445</v>
      </c>
      <c r="F158" s="122" t="s">
        <v>5279</v>
      </c>
      <c r="G158" s="132"/>
      <c r="H158" t="s">
        <v>5428</v>
      </c>
      <c r="I158" s="124" t="str">
        <f>IF(Tabla13[[#This Row],[RUT]]=774097899,"DIST",_xlfn.XLOOKUP(Tabla13[[#This Row],[VENDEDOR]],dimensiones!$C$21:$C$28,dimensiones!$D$21:$D$28,""))</f>
        <v>ATEL</v>
      </c>
      <c r="J158" s="125" t="str">
        <f>_xlfn.XLOOKUP(Tabla13[[#This Row],[REGION]],dimensiones!C:C,dimensiones!D:D,"")</f>
        <v>Región de Metropolitana de Santiago</v>
      </c>
      <c r="L158" s="136"/>
    </row>
    <row r="159" spans="1:12" x14ac:dyDescent="0.25">
      <c r="A159" s="134">
        <v>767632304</v>
      </c>
      <c r="B159" s="121" t="s">
        <v>5378</v>
      </c>
      <c r="C159" t="s">
        <v>5428</v>
      </c>
      <c r="D159" s="125">
        <v>13</v>
      </c>
      <c r="E159" t="s">
        <v>4445</v>
      </c>
      <c r="F159" s="122" t="s">
        <v>5280</v>
      </c>
      <c r="G159" s="132"/>
      <c r="H159" t="s">
        <v>5428</v>
      </c>
      <c r="I159" s="124" t="str">
        <f>IF(Tabla13[[#This Row],[RUT]]=774097899,"DIST",_xlfn.XLOOKUP(Tabla13[[#This Row],[VENDEDOR]],dimensiones!$C$21:$C$28,dimensiones!$D$21:$D$28,""))</f>
        <v>ATEL</v>
      </c>
      <c r="J159" s="125" t="str">
        <f>_xlfn.XLOOKUP(Tabla13[[#This Row],[REGION]],dimensiones!C:C,dimensiones!D:D,"")</f>
        <v>Región de Metropolitana de Santiago</v>
      </c>
      <c r="L159" s="136"/>
    </row>
    <row r="160" spans="1:12" x14ac:dyDescent="0.25">
      <c r="A160" s="134">
        <v>767974698</v>
      </c>
      <c r="B160" s="121" t="s">
        <v>1052</v>
      </c>
      <c r="C160" t="s">
        <v>4168</v>
      </c>
      <c r="D160" s="125">
        <v>13</v>
      </c>
      <c r="E160" t="s">
        <v>4445</v>
      </c>
      <c r="F160" s="122" t="s">
        <v>4885</v>
      </c>
      <c r="G160" s="132"/>
      <c r="H160" t="s">
        <v>4915</v>
      </c>
      <c r="I160" s="124" t="str">
        <f>IF(Tabla13[[#This Row],[RUT]]=774097899,"DIST",_xlfn.XLOOKUP(Tabla13[[#This Row],[VENDEDOR]],dimensiones!$C$21:$C$28,dimensiones!$D$21:$D$28,""))</f>
        <v>ATEL</v>
      </c>
      <c r="J160" s="125" t="str">
        <f>_xlfn.XLOOKUP(Tabla13[[#This Row],[REGION]],dimensiones!C:C,dimensiones!D:D,"")</f>
        <v>Región de Metropolitana de Santiago</v>
      </c>
      <c r="L160" s="136"/>
    </row>
    <row r="161" spans="1:12" x14ac:dyDescent="0.25">
      <c r="A161" s="134">
        <v>768109060</v>
      </c>
      <c r="B161" s="121" t="s">
        <v>5084</v>
      </c>
      <c r="C161" t="s">
        <v>5428</v>
      </c>
      <c r="D161" s="125">
        <v>13</v>
      </c>
      <c r="E161" t="s">
        <v>4445</v>
      </c>
      <c r="F161" s="122" t="s">
        <v>5281</v>
      </c>
      <c r="G161" s="132"/>
      <c r="H161" t="s">
        <v>5428</v>
      </c>
      <c r="I161" s="124" t="str">
        <f>IF(Tabla13[[#This Row],[RUT]]=774097899,"DIST",_xlfn.XLOOKUP(Tabla13[[#This Row],[VENDEDOR]],dimensiones!$C$21:$C$28,dimensiones!$D$21:$D$28,""))</f>
        <v>ATEL</v>
      </c>
      <c r="J161" s="125" t="str">
        <f>_xlfn.XLOOKUP(Tabla13[[#This Row],[REGION]],dimensiones!C:C,dimensiones!D:D,"")</f>
        <v>Región de Metropolitana de Santiago</v>
      </c>
      <c r="L161" s="136"/>
    </row>
    <row r="162" spans="1:12" x14ac:dyDescent="0.25">
      <c r="A162" s="134">
        <v>768300909</v>
      </c>
      <c r="B162" s="121" t="s">
        <v>5085</v>
      </c>
      <c r="C162" t="s">
        <v>5428</v>
      </c>
      <c r="D162" s="125">
        <v>13</v>
      </c>
      <c r="E162" t="s">
        <v>4445</v>
      </c>
      <c r="F162" s="122" t="s">
        <v>5282</v>
      </c>
      <c r="G162" s="132"/>
      <c r="H162" t="s">
        <v>5428</v>
      </c>
      <c r="I162" s="124" t="str">
        <f>IF(Tabla13[[#This Row],[RUT]]=774097899,"DIST",_xlfn.XLOOKUP(Tabla13[[#This Row],[VENDEDOR]],dimensiones!$C$21:$C$28,dimensiones!$D$21:$D$28,""))</f>
        <v>ATEL</v>
      </c>
      <c r="J162" s="125" t="str">
        <f>_xlfn.XLOOKUP(Tabla13[[#This Row],[REGION]],dimensiones!C:C,dimensiones!D:D,"")</f>
        <v>Región de Metropolitana de Santiago</v>
      </c>
      <c r="L162" s="136"/>
    </row>
    <row r="163" spans="1:12" x14ac:dyDescent="0.25">
      <c r="A163" s="134">
        <v>768516073</v>
      </c>
      <c r="B163" s="121" t="s">
        <v>5086</v>
      </c>
      <c r="C163" t="s">
        <v>5428</v>
      </c>
      <c r="D163" s="125">
        <v>13</v>
      </c>
      <c r="E163" t="s">
        <v>4445</v>
      </c>
      <c r="F163" s="122" t="s">
        <v>5283</v>
      </c>
      <c r="G163" s="132"/>
      <c r="H163" t="s">
        <v>5428</v>
      </c>
      <c r="I163" s="124" t="str">
        <f>IF(Tabla13[[#This Row],[RUT]]=774097899,"DIST",_xlfn.XLOOKUP(Tabla13[[#This Row],[VENDEDOR]],dimensiones!$C$21:$C$28,dimensiones!$D$21:$D$28,""))</f>
        <v>ATEL</v>
      </c>
      <c r="J163" s="125" t="str">
        <f>_xlfn.XLOOKUP(Tabla13[[#This Row],[REGION]],dimensiones!C:C,dimensiones!D:D,"")</f>
        <v>Región de Metropolitana de Santiago</v>
      </c>
      <c r="L163" s="136"/>
    </row>
    <row r="164" spans="1:12" x14ac:dyDescent="0.25">
      <c r="A164" s="134">
        <v>768577706</v>
      </c>
      <c r="B164" s="121" t="s">
        <v>5396</v>
      </c>
      <c r="C164" t="s">
        <v>5428</v>
      </c>
      <c r="D164" s="125">
        <v>4</v>
      </c>
      <c r="E164" t="s">
        <v>4445</v>
      </c>
      <c r="F164" s="122" t="s">
        <v>5284</v>
      </c>
      <c r="G164" s="132"/>
      <c r="H164" t="s">
        <v>5428</v>
      </c>
      <c r="I164" s="124" t="str">
        <f>IF(Tabla13[[#This Row],[RUT]]=774097899,"DIST",_xlfn.XLOOKUP(Tabla13[[#This Row],[VENDEDOR]],dimensiones!$C$21:$C$28,dimensiones!$D$21:$D$28,""))</f>
        <v>ATEL</v>
      </c>
      <c r="J164" s="125" t="str">
        <f>_xlfn.XLOOKUP(Tabla13[[#This Row],[REGION]],dimensiones!C:C,dimensiones!D:D,"")</f>
        <v>Región de Coquimbo</v>
      </c>
      <c r="L164" s="136"/>
    </row>
    <row r="165" spans="1:12" x14ac:dyDescent="0.25">
      <c r="A165" s="134">
        <v>768679355</v>
      </c>
      <c r="B165" s="121" t="s">
        <v>5087</v>
      </c>
      <c r="C165" t="s">
        <v>5428</v>
      </c>
      <c r="D165" s="125">
        <v>9</v>
      </c>
      <c r="E165" t="s">
        <v>4445</v>
      </c>
      <c r="F165" s="122" t="s">
        <v>5285</v>
      </c>
      <c r="G165" s="132"/>
      <c r="H165" t="s">
        <v>5428</v>
      </c>
      <c r="I165" s="124" t="str">
        <f>IF(Tabla13[[#This Row],[RUT]]=774097899,"DIST",_xlfn.XLOOKUP(Tabla13[[#This Row],[VENDEDOR]],dimensiones!$C$21:$C$28,dimensiones!$D$21:$D$28,""))</f>
        <v>ATEL</v>
      </c>
      <c r="J165" s="125" t="str">
        <f>_xlfn.XLOOKUP(Tabla13[[#This Row],[REGION]],dimensiones!C:C,dimensiones!D:D,"")</f>
        <v>Región de La Araucanía</v>
      </c>
      <c r="L165" s="136"/>
    </row>
    <row r="166" spans="1:12" x14ac:dyDescent="0.25">
      <c r="A166" s="134">
        <v>768687951</v>
      </c>
      <c r="B166" s="121" t="s">
        <v>5088</v>
      </c>
      <c r="C166" t="s">
        <v>5428</v>
      </c>
      <c r="D166" s="125">
        <v>13</v>
      </c>
      <c r="E166" t="s">
        <v>4445</v>
      </c>
      <c r="F166" s="122" t="s">
        <v>5286</v>
      </c>
      <c r="G166" s="132"/>
      <c r="H166" t="s">
        <v>5428</v>
      </c>
      <c r="I166" s="124" t="str">
        <f>IF(Tabla13[[#This Row],[RUT]]=774097899,"DIST",_xlfn.XLOOKUP(Tabla13[[#This Row],[VENDEDOR]],dimensiones!$C$21:$C$28,dimensiones!$D$21:$D$28,""))</f>
        <v>ATEL</v>
      </c>
      <c r="J166" s="125" t="str">
        <f>_xlfn.XLOOKUP(Tabla13[[#This Row],[REGION]],dimensiones!C:C,dimensiones!D:D,"")</f>
        <v>Región de Metropolitana de Santiago</v>
      </c>
      <c r="L166" s="136"/>
    </row>
    <row r="167" spans="1:12" x14ac:dyDescent="0.25">
      <c r="A167" s="134">
        <v>768711755</v>
      </c>
      <c r="B167" s="121" t="s">
        <v>5379</v>
      </c>
      <c r="C167" t="s">
        <v>5428</v>
      </c>
      <c r="D167" s="125">
        <v>13</v>
      </c>
      <c r="E167" t="s">
        <v>4445</v>
      </c>
      <c r="F167" s="122" t="s">
        <v>5287</v>
      </c>
      <c r="G167" s="132"/>
      <c r="H167" t="s">
        <v>5428</v>
      </c>
      <c r="I167" s="124" t="str">
        <f>IF(Tabla13[[#This Row],[RUT]]=774097899,"DIST",_xlfn.XLOOKUP(Tabla13[[#This Row],[VENDEDOR]],dimensiones!$C$21:$C$28,dimensiones!$D$21:$D$28,""))</f>
        <v>ATEL</v>
      </c>
      <c r="J167" s="125" t="str">
        <f>_xlfn.XLOOKUP(Tabla13[[#This Row],[REGION]],dimensiones!C:C,dimensiones!D:D,"")</f>
        <v>Región de Metropolitana de Santiago</v>
      </c>
      <c r="L167" s="136"/>
    </row>
    <row r="168" spans="1:12" x14ac:dyDescent="0.25">
      <c r="A168" s="134">
        <v>768975094</v>
      </c>
      <c r="B168" s="121" t="s">
        <v>5397</v>
      </c>
      <c r="C168" t="s">
        <v>5428</v>
      </c>
      <c r="D168" s="125">
        <v>13</v>
      </c>
      <c r="E168" t="s">
        <v>4445</v>
      </c>
      <c r="F168" s="122" t="s">
        <v>5288</v>
      </c>
      <c r="G168" s="132"/>
      <c r="H168" t="s">
        <v>5428</v>
      </c>
      <c r="I168" s="124" t="str">
        <f>IF(Tabla13[[#This Row],[RUT]]=774097899,"DIST",_xlfn.XLOOKUP(Tabla13[[#This Row],[VENDEDOR]],dimensiones!$C$21:$C$28,dimensiones!$D$21:$D$28,""))</f>
        <v>ATEL</v>
      </c>
      <c r="J168" s="125" t="str">
        <f>_xlfn.XLOOKUP(Tabla13[[#This Row],[REGION]],dimensiones!C:C,dimensiones!D:D,"")</f>
        <v>Región de Metropolitana de Santiago</v>
      </c>
      <c r="L168" s="136"/>
    </row>
    <row r="169" spans="1:12" x14ac:dyDescent="0.25">
      <c r="A169" s="134">
        <v>769476288</v>
      </c>
      <c r="B169" s="121" t="s">
        <v>5380</v>
      </c>
      <c r="C169" t="s">
        <v>5428</v>
      </c>
      <c r="D169" s="125">
        <v>4</v>
      </c>
      <c r="E169" t="s">
        <v>4445</v>
      </c>
      <c r="F169" s="122" t="s">
        <v>5289</v>
      </c>
      <c r="G169" s="132"/>
      <c r="H169" t="s">
        <v>5428</v>
      </c>
      <c r="I169" s="124" t="str">
        <f>IF(Tabla13[[#This Row],[RUT]]=774097899,"DIST",_xlfn.XLOOKUP(Tabla13[[#This Row],[VENDEDOR]],dimensiones!$C$21:$C$28,dimensiones!$D$21:$D$28,""))</f>
        <v>ATEL</v>
      </c>
      <c r="J169" s="125" t="str">
        <f>_xlfn.XLOOKUP(Tabla13[[#This Row],[REGION]],dimensiones!C:C,dimensiones!D:D,"")</f>
        <v>Región de Coquimbo</v>
      </c>
      <c r="L169" s="136"/>
    </row>
    <row r="170" spans="1:12" x14ac:dyDescent="0.25">
      <c r="A170" s="134">
        <v>769744002</v>
      </c>
      <c r="B170" s="121" t="s">
        <v>1066</v>
      </c>
      <c r="C170" t="s">
        <v>4168</v>
      </c>
      <c r="D170" s="125">
        <v>13</v>
      </c>
      <c r="E170" t="s">
        <v>4445</v>
      </c>
      <c r="F170" s="122" t="s">
        <v>4896</v>
      </c>
      <c r="G170" s="132"/>
      <c r="H170" t="s">
        <v>4915</v>
      </c>
      <c r="I170" s="124" t="str">
        <f>IF(Tabla13[[#This Row],[RUT]]=774097899,"DIST",_xlfn.XLOOKUP(Tabla13[[#This Row],[VENDEDOR]],dimensiones!$C$21:$C$28,dimensiones!$D$21:$D$28,""))</f>
        <v>ATEL</v>
      </c>
      <c r="J170" s="125" t="str">
        <f>_xlfn.XLOOKUP(Tabla13[[#This Row],[REGION]],dimensiones!C:C,dimensiones!D:D,"")</f>
        <v>Región de Metropolitana de Santiago</v>
      </c>
      <c r="L170" s="136"/>
    </row>
    <row r="171" spans="1:12" x14ac:dyDescent="0.25">
      <c r="A171" s="134">
        <v>769754547</v>
      </c>
      <c r="B171" s="121" t="s">
        <v>5089</v>
      </c>
      <c r="C171" t="s">
        <v>5428</v>
      </c>
      <c r="D171" s="125">
        <v>13</v>
      </c>
      <c r="E171" t="s">
        <v>4445</v>
      </c>
      <c r="F171" s="122" t="s">
        <v>5290</v>
      </c>
      <c r="G171" s="132"/>
      <c r="H171" t="s">
        <v>5428</v>
      </c>
      <c r="I171" s="124" t="str">
        <f>IF(Tabla13[[#This Row],[RUT]]=774097899,"DIST",_xlfn.XLOOKUP(Tabla13[[#This Row],[VENDEDOR]],dimensiones!$C$21:$C$28,dimensiones!$D$21:$D$28,""))</f>
        <v>ATEL</v>
      </c>
      <c r="J171" s="125" t="str">
        <f>_xlfn.XLOOKUP(Tabla13[[#This Row],[REGION]],dimensiones!C:C,dimensiones!D:D,"")</f>
        <v>Región de Metropolitana de Santiago</v>
      </c>
      <c r="L171" s="136"/>
    </row>
    <row r="172" spans="1:12" x14ac:dyDescent="0.25">
      <c r="A172" s="134">
        <v>769845755</v>
      </c>
      <c r="B172" s="121" t="s">
        <v>5090</v>
      </c>
      <c r="C172" t="s">
        <v>5428</v>
      </c>
      <c r="D172" s="125">
        <v>13</v>
      </c>
      <c r="E172" t="s">
        <v>4445</v>
      </c>
      <c r="F172" s="122" t="s">
        <v>5291</v>
      </c>
      <c r="G172" s="132"/>
      <c r="H172" t="s">
        <v>5428</v>
      </c>
      <c r="I172" s="124" t="str">
        <f>IF(Tabla13[[#This Row],[RUT]]=774097899,"DIST",_xlfn.XLOOKUP(Tabla13[[#This Row],[VENDEDOR]],dimensiones!$C$21:$C$28,dimensiones!$D$21:$D$28,""))</f>
        <v>ATEL</v>
      </c>
      <c r="J172" s="125" t="str">
        <f>_xlfn.XLOOKUP(Tabla13[[#This Row],[REGION]],dimensiones!C:C,dimensiones!D:D,"")</f>
        <v>Región de Metropolitana de Santiago</v>
      </c>
      <c r="L172" s="136"/>
    </row>
    <row r="173" spans="1:12" x14ac:dyDescent="0.25">
      <c r="A173" s="134">
        <v>769987819</v>
      </c>
      <c r="B173" s="121" t="s">
        <v>5381</v>
      </c>
      <c r="C173" t="s">
        <v>5428</v>
      </c>
      <c r="D173" s="125">
        <v>5</v>
      </c>
      <c r="E173" t="s">
        <v>4445</v>
      </c>
      <c r="F173" s="122" t="s">
        <v>5292</v>
      </c>
      <c r="G173" s="132"/>
      <c r="H173" t="s">
        <v>5428</v>
      </c>
      <c r="I173" s="124" t="str">
        <f>IF(Tabla13[[#This Row],[RUT]]=774097899,"DIST",_xlfn.XLOOKUP(Tabla13[[#This Row],[VENDEDOR]],dimensiones!$C$21:$C$28,dimensiones!$D$21:$D$28,""))</f>
        <v>ATEL</v>
      </c>
      <c r="J173" s="125" t="str">
        <f>_xlfn.XLOOKUP(Tabla13[[#This Row],[REGION]],dimensiones!C:C,dimensiones!D:D,"")</f>
        <v>Región de Valparaíso</v>
      </c>
      <c r="L173" s="136"/>
    </row>
    <row r="174" spans="1:12" x14ac:dyDescent="0.25">
      <c r="A174" s="134">
        <v>770205891</v>
      </c>
      <c r="B174" s="121" t="s">
        <v>5091</v>
      </c>
      <c r="C174" t="s">
        <v>5428</v>
      </c>
      <c r="D174" s="125">
        <v>13</v>
      </c>
      <c r="E174" t="s">
        <v>4445</v>
      </c>
      <c r="F174" s="122" t="s">
        <v>5293</v>
      </c>
      <c r="G174" s="132"/>
      <c r="H174" t="s">
        <v>5428</v>
      </c>
      <c r="I174" s="124" t="str">
        <f>IF(Tabla13[[#This Row],[RUT]]=774097899,"DIST",_xlfn.XLOOKUP(Tabla13[[#This Row],[VENDEDOR]],dimensiones!$C$21:$C$28,dimensiones!$D$21:$D$28,""))</f>
        <v>ATEL</v>
      </c>
      <c r="J174" s="125" t="str">
        <f>_xlfn.XLOOKUP(Tabla13[[#This Row],[REGION]],dimensiones!C:C,dimensiones!D:D,"")</f>
        <v>Región de Metropolitana de Santiago</v>
      </c>
      <c r="L174" s="136"/>
    </row>
    <row r="175" spans="1:12" x14ac:dyDescent="0.25">
      <c r="A175" s="134">
        <v>770376599</v>
      </c>
      <c r="B175" s="121" t="s">
        <v>5398</v>
      </c>
      <c r="C175" t="s">
        <v>5428</v>
      </c>
      <c r="D175" s="125">
        <v>6</v>
      </c>
      <c r="E175" t="s">
        <v>4445</v>
      </c>
      <c r="F175" s="122" t="s">
        <v>5294</v>
      </c>
      <c r="G175" s="132"/>
      <c r="H175" t="s">
        <v>5428</v>
      </c>
      <c r="I175" s="124" t="str">
        <f>IF(Tabla13[[#This Row],[RUT]]=774097899,"DIST",_xlfn.XLOOKUP(Tabla13[[#This Row],[VENDEDOR]],dimensiones!$C$21:$C$28,dimensiones!$D$21:$D$28,""))</f>
        <v>ATEL</v>
      </c>
      <c r="J175" s="125" t="str">
        <f>_xlfn.XLOOKUP(Tabla13[[#This Row],[REGION]],dimensiones!C:C,dimensiones!D:D,"")</f>
        <v>Región de Libertador General Bernardo O'Higgins</v>
      </c>
      <c r="L175" s="136"/>
    </row>
    <row r="176" spans="1:12" x14ac:dyDescent="0.25">
      <c r="A176" s="134">
        <v>770754194</v>
      </c>
      <c r="B176" s="121" t="s">
        <v>5399</v>
      </c>
      <c r="C176" t="s">
        <v>5428</v>
      </c>
      <c r="D176" s="125">
        <v>13</v>
      </c>
      <c r="E176" t="s">
        <v>4445</v>
      </c>
      <c r="F176" s="122" t="s">
        <v>5295</v>
      </c>
      <c r="G176" s="132"/>
      <c r="H176" t="s">
        <v>5428</v>
      </c>
      <c r="I176" s="124" t="str">
        <f>IF(Tabla13[[#This Row],[RUT]]=774097899,"DIST",_xlfn.XLOOKUP(Tabla13[[#This Row],[VENDEDOR]],dimensiones!$C$21:$C$28,dimensiones!$D$21:$D$28,""))</f>
        <v>ATEL</v>
      </c>
      <c r="J176" s="125" t="str">
        <f>_xlfn.XLOOKUP(Tabla13[[#This Row],[REGION]],dimensiones!C:C,dimensiones!D:D,"")</f>
        <v>Región de Metropolitana de Santiago</v>
      </c>
      <c r="L176" s="136"/>
    </row>
    <row r="177" spans="1:12" x14ac:dyDescent="0.25">
      <c r="A177" s="134">
        <v>770887895</v>
      </c>
      <c r="B177" s="121" t="s">
        <v>5092</v>
      </c>
      <c r="C177" t="s">
        <v>5428</v>
      </c>
      <c r="D177" s="125">
        <v>13</v>
      </c>
      <c r="E177" t="s">
        <v>4445</v>
      </c>
      <c r="F177" s="122" t="s">
        <v>5296</v>
      </c>
      <c r="G177" s="132"/>
      <c r="H177" t="s">
        <v>5428</v>
      </c>
      <c r="I177" s="124" t="str">
        <f>IF(Tabla13[[#This Row],[RUT]]=774097899,"DIST",_xlfn.XLOOKUP(Tabla13[[#This Row],[VENDEDOR]],dimensiones!$C$21:$C$28,dimensiones!$D$21:$D$28,""))</f>
        <v>ATEL</v>
      </c>
      <c r="J177" s="125" t="str">
        <f>_xlfn.XLOOKUP(Tabla13[[#This Row],[REGION]],dimensiones!C:C,dimensiones!D:D,"")</f>
        <v>Región de Metropolitana de Santiago</v>
      </c>
      <c r="L177" s="136"/>
    </row>
    <row r="178" spans="1:12" x14ac:dyDescent="0.25">
      <c r="A178" s="134">
        <v>770982111</v>
      </c>
      <c r="B178" s="121" t="s">
        <v>5297</v>
      </c>
      <c r="C178" t="s">
        <v>5428</v>
      </c>
      <c r="D178" s="125">
        <v>5</v>
      </c>
      <c r="E178" t="s">
        <v>4445</v>
      </c>
      <c r="F178" s="122" t="s">
        <v>5298</v>
      </c>
      <c r="G178" s="132"/>
      <c r="H178" t="s">
        <v>5428</v>
      </c>
      <c r="I178" s="124" t="str">
        <f>IF(Tabla13[[#This Row],[RUT]]=774097899,"DIST",_xlfn.XLOOKUP(Tabla13[[#This Row],[VENDEDOR]],dimensiones!$C$21:$C$28,dimensiones!$D$21:$D$28,""))</f>
        <v>ATEL</v>
      </c>
      <c r="J178" s="125" t="str">
        <f>_xlfn.XLOOKUP(Tabla13[[#This Row],[REGION]],dimensiones!C:C,dimensiones!D:D,"")</f>
        <v>Región de Valparaíso</v>
      </c>
      <c r="L178" s="136"/>
    </row>
    <row r="179" spans="1:12" x14ac:dyDescent="0.25">
      <c r="A179" s="134">
        <v>771112684</v>
      </c>
      <c r="B179" s="121" t="s">
        <v>5093</v>
      </c>
      <c r="C179" t="s">
        <v>5428</v>
      </c>
      <c r="D179" s="125">
        <v>13</v>
      </c>
      <c r="E179" t="s">
        <v>4445</v>
      </c>
      <c r="F179" s="122" t="s">
        <v>5299</v>
      </c>
      <c r="G179" s="132"/>
      <c r="H179" t="s">
        <v>5428</v>
      </c>
      <c r="I179" s="124" t="str">
        <f>IF(Tabla13[[#This Row],[RUT]]=774097899,"DIST",_xlfn.XLOOKUP(Tabla13[[#This Row],[VENDEDOR]],dimensiones!$C$21:$C$28,dimensiones!$D$21:$D$28,""))</f>
        <v>ATEL</v>
      </c>
      <c r="J179" s="125" t="str">
        <f>_xlfn.XLOOKUP(Tabla13[[#This Row],[REGION]],dimensiones!C:C,dimensiones!D:D,"")</f>
        <v>Región de Metropolitana de Santiago</v>
      </c>
      <c r="L179" s="136"/>
    </row>
    <row r="180" spans="1:12" x14ac:dyDescent="0.25">
      <c r="A180" s="134">
        <v>771138918</v>
      </c>
      <c r="B180" s="121" t="s">
        <v>5094</v>
      </c>
      <c r="C180" t="s">
        <v>5428</v>
      </c>
      <c r="D180" s="125">
        <v>8</v>
      </c>
      <c r="E180" t="s">
        <v>4445</v>
      </c>
      <c r="F180" s="122" t="s">
        <v>5300</v>
      </c>
      <c r="G180" s="132"/>
      <c r="H180" t="s">
        <v>5428</v>
      </c>
      <c r="I180" s="124" t="str">
        <f>IF(Tabla13[[#This Row],[RUT]]=774097899,"DIST",_xlfn.XLOOKUP(Tabla13[[#This Row],[VENDEDOR]],dimensiones!$C$21:$C$28,dimensiones!$D$21:$D$28,""))</f>
        <v>ATEL</v>
      </c>
      <c r="J180" s="125" t="str">
        <f>_xlfn.XLOOKUP(Tabla13[[#This Row],[REGION]],dimensiones!C:C,dimensiones!D:D,"")</f>
        <v>Región de Biobío</v>
      </c>
      <c r="L180" s="136"/>
    </row>
    <row r="181" spans="1:12" x14ac:dyDescent="0.25">
      <c r="A181" s="134">
        <v>771165818</v>
      </c>
      <c r="B181" s="121" t="s">
        <v>5095</v>
      </c>
      <c r="C181" t="s">
        <v>5428</v>
      </c>
      <c r="D181" s="125">
        <v>13</v>
      </c>
      <c r="E181" t="s">
        <v>4445</v>
      </c>
      <c r="F181" s="122" t="s">
        <v>5301</v>
      </c>
      <c r="G181" s="132"/>
      <c r="H181" t="s">
        <v>5428</v>
      </c>
      <c r="I181" s="124" t="str">
        <f>IF(Tabla13[[#This Row],[RUT]]=774097899,"DIST",_xlfn.XLOOKUP(Tabla13[[#This Row],[VENDEDOR]],dimensiones!$C$21:$C$28,dimensiones!$D$21:$D$28,""))</f>
        <v>ATEL</v>
      </c>
      <c r="J181" s="125" t="str">
        <f>_xlfn.XLOOKUP(Tabla13[[#This Row],[REGION]],dimensiones!C:C,dimensiones!D:D,"")</f>
        <v>Región de Metropolitana de Santiago</v>
      </c>
      <c r="L181" s="136"/>
    </row>
    <row r="182" spans="1:12" x14ac:dyDescent="0.25">
      <c r="A182" s="134">
        <v>771374085</v>
      </c>
      <c r="B182" s="121" t="s">
        <v>5382</v>
      </c>
      <c r="C182" t="s">
        <v>5428</v>
      </c>
      <c r="D182" s="125">
        <v>13</v>
      </c>
      <c r="E182" t="s">
        <v>4445</v>
      </c>
      <c r="F182" s="122" t="s">
        <v>5302</v>
      </c>
      <c r="G182" s="132"/>
      <c r="H182" t="s">
        <v>5428</v>
      </c>
      <c r="I182" s="124" t="str">
        <f>IF(Tabla13[[#This Row],[RUT]]=774097899,"DIST",_xlfn.XLOOKUP(Tabla13[[#This Row],[VENDEDOR]],dimensiones!$C$21:$C$28,dimensiones!$D$21:$D$28,""))</f>
        <v>ATEL</v>
      </c>
      <c r="J182" s="125" t="str">
        <f>_xlfn.XLOOKUP(Tabla13[[#This Row],[REGION]],dimensiones!C:C,dimensiones!D:D,"")</f>
        <v>Región de Metropolitana de Santiago</v>
      </c>
      <c r="L182" s="136"/>
    </row>
    <row r="183" spans="1:12" x14ac:dyDescent="0.25">
      <c r="A183" s="134">
        <v>771651240</v>
      </c>
      <c r="B183" s="121" t="s">
        <v>1068</v>
      </c>
      <c r="C183" t="s">
        <v>4168</v>
      </c>
      <c r="D183" s="125">
        <v>13</v>
      </c>
      <c r="E183" t="s">
        <v>4445</v>
      </c>
      <c r="F183" s="122" t="s">
        <v>4898</v>
      </c>
      <c r="G183" s="132"/>
      <c r="H183" t="s">
        <v>4915</v>
      </c>
      <c r="I183" s="124" t="str">
        <f>IF(Tabla13[[#This Row],[RUT]]=774097899,"DIST",_xlfn.XLOOKUP(Tabla13[[#This Row],[VENDEDOR]],dimensiones!$C$21:$C$28,dimensiones!$D$21:$D$28,""))</f>
        <v>ATEL</v>
      </c>
      <c r="J183" s="125" t="str">
        <f>_xlfn.XLOOKUP(Tabla13[[#This Row],[REGION]],dimensiones!C:C,dimensiones!D:D,"")</f>
        <v>Región de Metropolitana de Santiago</v>
      </c>
      <c r="L183" s="136"/>
    </row>
    <row r="184" spans="1:12" x14ac:dyDescent="0.25">
      <c r="A184" s="134">
        <v>771831087</v>
      </c>
      <c r="B184" s="121" t="s">
        <v>5096</v>
      </c>
      <c r="C184" t="s">
        <v>5428</v>
      </c>
      <c r="D184" s="125">
        <v>10</v>
      </c>
      <c r="E184" t="s">
        <v>4445</v>
      </c>
      <c r="F184" s="122" t="s">
        <v>5303</v>
      </c>
      <c r="G184" s="132"/>
      <c r="H184" t="s">
        <v>5428</v>
      </c>
      <c r="I184" s="124" t="str">
        <f>IF(Tabla13[[#This Row],[RUT]]=774097899,"DIST",_xlfn.XLOOKUP(Tabla13[[#This Row],[VENDEDOR]],dimensiones!$C$21:$C$28,dimensiones!$D$21:$D$28,""))</f>
        <v>ATEL</v>
      </c>
      <c r="J184" s="125" t="str">
        <f>_xlfn.XLOOKUP(Tabla13[[#This Row],[REGION]],dimensiones!C:C,dimensiones!D:D,"")</f>
        <v>Región de Los Lagos</v>
      </c>
      <c r="L184" s="136"/>
    </row>
    <row r="185" spans="1:12" x14ac:dyDescent="0.25">
      <c r="A185" s="134">
        <v>772016581</v>
      </c>
      <c r="B185" s="121" t="s">
        <v>5383</v>
      </c>
      <c r="C185" t="s">
        <v>5428</v>
      </c>
      <c r="D185" s="125">
        <v>13</v>
      </c>
      <c r="E185" t="s">
        <v>4445</v>
      </c>
      <c r="F185" s="122" t="s">
        <v>5304</v>
      </c>
      <c r="G185" s="132"/>
      <c r="H185" t="s">
        <v>5428</v>
      </c>
      <c r="I185" s="124" t="str">
        <f>IF(Tabla13[[#This Row],[RUT]]=774097899,"DIST",_xlfn.XLOOKUP(Tabla13[[#This Row],[VENDEDOR]],dimensiones!$C$21:$C$28,dimensiones!$D$21:$D$28,""))</f>
        <v>ATEL</v>
      </c>
      <c r="J185" s="125" t="str">
        <f>_xlfn.XLOOKUP(Tabla13[[#This Row],[REGION]],dimensiones!C:C,dimensiones!D:D,"")</f>
        <v>Región de Metropolitana de Santiago</v>
      </c>
      <c r="L185" s="136"/>
    </row>
    <row r="186" spans="1:12" x14ac:dyDescent="0.25">
      <c r="A186" s="134">
        <v>772217226</v>
      </c>
      <c r="B186" s="121" t="s">
        <v>5384</v>
      </c>
      <c r="C186" t="s">
        <v>5428</v>
      </c>
      <c r="D186" s="125">
        <v>13</v>
      </c>
      <c r="E186" t="s">
        <v>4445</v>
      </c>
      <c r="F186" s="122" t="s">
        <v>5305</v>
      </c>
      <c r="G186" s="132"/>
      <c r="H186" t="s">
        <v>5428</v>
      </c>
      <c r="I186" s="124" t="str">
        <f>IF(Tabla13[[#This Row],[RUT]]=774097899,"DIST",_xlfn.XLOOKUP(Tabla13[[#This Row],[VENDEDOR]],dimensiones!$C$21:$C$28,dimensiones!$D$21:$D$28,""))</f>
        <v>ATEL</v>
      </c>
      <c r="J186" s="125" t="str">
        <f>_xlfn.XLOOKUP(Tabla13[[#This Row],[REGION]],dimensiones!C:C,dimensiones!D:D,"")</f>
        <v>Región de Metropolitana de Santiago</v>
      </c>
      <c r="L186" s="136"/>
    </row>
    <row r="187" spans="1:12" x14ac:dyDescent="0.25">
      <c r="A187" s="134">
        <v>772311370</v>
      </c>
      <c r="B187" s="121" t="s">
        <v>5400</v>
      </c>
      <c r="C187" t="s">
        <v>5428</v>
      </c>
      <c r="D187" s="125">
        <v>13</v>
      </c>
      <c r="E187" t="s">
        <v>4445</v>
      </c>
      <c r="F187" s="122" t="s">
        <v>5306</v>
      </c>
      <c r="G187" s="132"/>
      <c r="H187" t="s">
        <v>5428</v>
      </c>
      <c r="I187" s="124" t="str">
        <f>IF(Tabla13[[#This Row],[RUT]]=774097899,"DIST",_xlfn.XLOOKUP(Tabla13[[#This Row],[VENDEDOR]],dimensiones!$C$21:$C$28,dimensiones!$D$21:$D$28,""))</f>
        <v>ATEL</v>
      </c>
      <c r="J187" s="125" t="str">
        <f>_xlfn.XLOOKUP(Tabla13[[#This Row],[REGION]],dimensiones!C:C,dimensiones!D:D,"")</f>
        <v>Región de Metropolitana de Santiago</v>
      </c>
      <c r="L187" s="136"/>
    </row>
    <row r="188" spans="1:12" x14ac:dyDescent="0.25">
      <c r="A188" s="134">
        <v>772445202</v>
      </c>
      <c r="B188" s="121" t="s">
        <v>1079</v>
      </c>
      <c r="C188" t="s">
        <v>4257</v>
      </c>
      <c r="D188" s="125">
        <v>7</v>
      </c>
      <c r="E188" t="s">
        <v>4445</v>
      </c>
      <c r="F188" s="122" t="s">
        <v>4906</v>
      </c>
      <c r="G188" s="132"/>
      <c r="H188" t="s">
        <v>4915</v>
      </c>
      <c r="I188" s="124" t="str">
        <f>IF(Tabla13[[#This Row],[RUT]]=774097899,"DIST",_xlfn.XLOOKUP(Tabla13[[#This Row],[VENDEDOR]],dimensiones!$C$21:$C$28,dimensiones!$D$21:$D$28,""))</f>
        <v>ATEL</v>
      </c>
      <c r="J188" s="125" t="str">
        <f>_xlfn.XLOOKUP(Tabla13[[#This Row],[REGION]],dimensiones!C:C,dimensiones!D:D,"")</f>
        <v>Región de Maule</v>
      </c>
      <c r="L188" s="136"/>
    </row>
    <row r="189" spans="1:12" x14ac:dyDescent="0.25">
      <c r="A189" s="134">
        <v>772446365</v>
      </c>
      <c r="B189" s="121" t="s">
        <v>5417</v>
      </c>
      <c r="C189" t="s">
        <v>5428</v>
      </c>
      <c r="D189" s="125">
        <v>8</v>
      </c>
      <c r="E189" t="s">
        <v>4445</v>
      </c>
      <c r="F189" s="122" t="s">
        <v>5307</v>
      </c>
      <c r="G189" s="132"/>
      <c r="H189" t="s">
        <v>5428</v>
      </c>
      <c r="I189" s="124" t="str">
        <f>IF(Tabla13[[#This Row],[RUT]]=774097899,"DIST",_xlfn.XLOOKUP(Tabla13[[#This Row],[VENDEDOR]],dimensiones!$C$21:$C$28,dimensiones!$D$21:$D$28,""))</f>
        <v>ATEL</v>
      </c>
      <c r="J189" s="125" t="str">
        <f>_xlfn.XLOOKUP(Tabla13[[#This Row],[REGION]],dimensiones!C:C,dimensiones!D:D,"")</f>
        <v>Región de Biobío</v>
      </c>
      <c r="L189" s="136"/>
    </row>
    <row r="190" spans="1:12" x14ac:dyDescent="0.25">
      <c r="A190" s="134">
        <v>772478410</v>
      </c>
      <c r="B190" s="121" t="s">
        <v>5385</v>
      </c>
      <c r="C190" t="s">
        <v>5428</v>
      </c>
      <c r="D190" s="125">
        <v>13</v>
      </c>
      <c r="E190" t="s">
        <v>4445</v>
      </c>
      <c r="F190" s="122" t="s">
        <v>5308</v>
      </c>
      <c r="G190" s="132"/>
      <c r="H190" t="s">
        <v>5428</v>
      </c>
      <c r="I190" s="124" t="str">
        <f>IF(Tabla13[[#This Row],[RUT]]=774097899,"DIST",_xlfn.XLOOKUP(Tabla13[[#This Row],[VENDEDOR]],dimensiones!$C$21:$C$28,dimensiones!$D$21:$D$28,""))</f>
        <v>ATEL</v>
      </c>
      <c r="J190" s="125" t="str">
        <f>_xlfn.XLOOKUP(Tabla13[[#This Row],[REGION]],dimensiones!C:C,dimensiones!D:D,"")</f>
        <v>Región de Metropolitana de Santiago</v>
      </c>
      <c r="L190" s="136"/>
    </row>
    <row r="191" spans="1:12" x14ac:dyDescent="0.25">
      <c r="A191" s="134">
        <v>772505736</v>
      </c>
      <c r="B191" s="121" t="s">
        <v>5097</v>
      </c>
      <c r="C191" t="s">
        <v>5428</v>
      </c>
      <c r="D191" s="125">
        <v>5</v>
      </c>
      <c r="E191" t="s">
        <v>4445</v>
      </c>
      <c r="F191" s="122" t="s">
        <v>5309</v>
      </c>
      <c r="G191" s="132"/>
      <c r="H191" t="s">
        <v>5428</v>
      </c>
      <c r="I191" s="124" t="str">
        <f>IF(Tabla13[[#This Row],[RUT]]=774097899,"DIST",_xlfn.XLOOKUP(Tabla13[[#This Row],[VENDEDOR]],dimensiones!$C$21:$C$28,dimensiones!$D$21:$D$28,""))</f>
        <v>ATEL</v>
      </c>
      <c r="J191" s="125" t="str">
        <f>_xlfn.XLOOKUP(Tabla13[[#This Row],[REGION]],dimensiones!C:C,dimensiones!D:D,"")</f>
        <v>Región de Valparaíso</v>
      </c>
      <c r="L191" s="136"/>
    </row>
    <row r="192" spans="1:12" x14ac:dyDescent="0.25">
      <c r="A192" s="134">
        <v>772537298</v>
      </c>
      <c r="B192" s="121" t="s">
        <v>5386</v>
      </c>
      <c r="C192" t="s">
        <v>5428</v>
      </c>
      <c r="D192" s="125">
        <v>10</v>
      </c>
      <c r="E192" t="s">
        <v>4445</v>
      </c>
      <c r="F192" s="122" t="s">
        <v>5310</v>
      </c>
      <c r="G192" s="132"/>
      <c r="H192" t="s">
        <v>5428</v>
      </c>
      <c r="I192" s="124" t="str">
        <f>IF(Tabla13[[#This Row],[RUT]]=774097899,"DIST",_xlfn.XLOOKUP(Tabla13[[#This Row],[VENDEDOR]],dimensiones!$C$21:$C$28,dimensiones!$D$21:$D$28,""))</f>
        <v>ATEL</v>
      </c>
      <c r="J192" s="125" t="str">
        <f>_xlfn.XLOOKUP(Tabla13[[#This Row],[REGION]],dimensiones!C:C,dimensiones!D:D,"")</f>
        <v>Región de Los Lagos</v>
      </c>
      <c r="L192" s="136"/>
    </row>
    <row r="193" spans="1:12" x14ac:dyDescent="0.25">
      <c r="A193" s="134">
        <v>772694997</v>
      </c>
      <c r="B193" s="121" t="s">
        <v>5418</v>
      </c>
      <c r="C193" t="s">
        <v>5428</v>
      </c>
      <c r="D193" s="125">
        <v>8</v>
      </c>
      <c r="E193" t="s">
        <v>4445</v>
      </c>
      <c r="F193" s="122" t="s">
        <v>5311</v>
      </c>
      <c r="G193" s="132"/>
      <c r="H193" t="s">
        <v>5428</v>
      </c>
      <c r="I193" s="124" t="str">
        <f>IF(Tabla13[[#This Row],[RUT]]=774097899,"DIST",_xlfn.XLOOKUP(Tabla13[[#This Row],[VENDEDOR]],dimensiones!$C$21:$C$28,dimensiones!$D$21:$D$28,""))</f>
        <v>ATEL</v>
      </c>
      <c r="J193" s="125" t="str">
        <f>_xlfn.XLOOKUP(Tabla13[[#This Row],[REGION]],dimensiones!C:C,dimensiones!D:D,"")</f>
        <v>Región de Biobío</v>
      </c>
      <c r="L193" s="136"/>
    </row>
    <row r="194" spans="1:12" x14ac:dyDescent="0.25">
      <c r="A194" s="134">
        <v>774668365</v>
      </c>
      <c r="B194" s="121" t="s">
        <v>5098</v>
      </c>
      <c r="C194" t="s">
        <v>5428</v>
      </c>
      <c r="D194" s="125">
        <v>13</v>
      </c>
      <c r="E194" t="s">
        <v>4445</v>
      </c>
      <c r="F194" s="122" t="s">
        <v>5312</v>
      </c>
      <c r="G194" s="132"/>
      <c r="H194" t="s">
        <v>5428</v>
      </c>
      <c r="I194" s="124" t="str">
        <f>IF(Tabla13[[#This Row],[RUT]]=774097899,"DIST",_xlfn.XLOOKUP(Tabla13[[#This Row],[VENDEDOR]],dimensiones!$C$21:$C$28,dimensiones!$D$21:$D$28,""))</f>
        <v>ATEL</v>
      </c>
      <c r="J194" s="125" t="str">
        <f>_xlfn.XLOOKUP(Tabla13[[#This Row],[REGION]],dimensiones!C:C,dimensiones!D:D,"")</f>
        <v>Región de Metropolitana de Santiago</v>
      </c>
      <c r="L194" s="136"/>
    </row>
    <row r="195" spans="1:12" x14ac:dyDescent="0.25">
      <c r="A195" s="134">
        <v>774903151</v>
      </c>
      <c r="B195" s="121" t="s">
        <v>5099</v>
      </c>
      <c r="C195" t="s">
        <v>5428</v>
      </c>
      <c r="D195" s="125">
        <v>16</v>
      </c>
      <c r="E195" t="s">
        <v>4445</v>
      </c>
      <c r="F195" s="122" t="s">
        <v>5313</v>
      </c>
      <c r="G195" s="132"/>
      <c r="H195" t="s">
        <v>5428</v>
      </c>
      <c r="I195" s="124" t="str">
        <f>IF(Tabla13[[#This Row],[RUT]]=774097899,"DIST",_xlfn.XLOOKUP(Tabla13[[#This Row],[VENDEDOR]],dimensiones!$C$21:$C$28,dimensiones!$D$21:$D$28,""))</f>
        <v>ATEL</v>
      </c>
      <c r="J195" s="125" t="str">
        <f>_xlfn.XLOOKUP(Tabla13[[#This Row],[REGION]],dimensiones!C:C,dimensiones!D:D,"")</f>
        <v>Región de Ñuble</v>
      </c>
      <c r="L195" s="136"/>
    </row>
    <row r="196" spans="1:12" x14ac:dyDescent="0.25">
      <c r="A196" s="134">
        <v>776634700</v>
      </c>
      <c r="B196" s="121" t="s">
        <v>5387</v>
      </c>
      <c r="C196" t="s">
        <v>5428</v>
      </c>
      <c r="D196" s="125">
        <v>7</v>
      </c>
      <c r="E196" t="s">
        <v>4445</v>
      </c>
      <c r="F196" s="122" t="s">
        <v>5314</v>
      </c>
      <c r="G196" s="132"/>
      <c r="H196" t="s">
        <v>5428</v>
      </c>
      <c r="I196" s="124" t="str">
        <f>IF(Tabla13[[#This Row],[RUT]]=774097899,"DIST",_xlfn.XLOOKUP(Tabla13[[#This Row],[VENDEDOR]],dimensiones!$C$21:$C$28,dimensiones!$D$21:$D$28,""))</f>
        <v>ATEL</v>
      </c>
      <c r="J196" s="125" t="str">
        <f>_xlfn.XLOOKUP(Tabla13[[#This Row],[REGION]],dimensiones!C:C,dimensiones!D:D,"")</f>
        <v>Región de Maule</v>
      </c>
      <c r="L196" s="136"/>
    </row>
    <row r="197" spans="1:12" x14ac:dyDescent="0.25">
      <c r="A197" s="134">
        <v>777043803</v>
      </c>
      <c r="B197" s="121" t="s">
        <v>5100</v>
      </c>
      <c r="C197" t="s">
        <v>5428</v>
      </c>
      <c r="D197" s="125">
        <v>8</v>
      </c>
      <c r="E197" t="s">
        <v>4445</v>
      </c>
      <c r="F197" s="122" t="s">
        <v>5315</v>
      </c>
      <c r="G197" s="132"/>
      <c r="H197" t="s">
        <v>5428</v>
      </c>
      <c r="I197" s="124" t="str">
        <f>IF(Tabla13[[#This Row],[RUT]]=774097899,"DIST",_xlfn.XLOOKUP(Tabla13[[#This Row],[VENDEDOR]],dimensiones!$C$21:$C$28,dimensiones!$D$21:$D$28,""))</f>
        <v>ATEL</v>
      </c>
      <c r="J197" s="125" t="str">
        <f>_xlfn.XLOOKUP(Tabla13[[#This Row],[REGION]],dimensiones!C:C,dimensiones!D:D,"")</f>
        <v>Región de Biobío</v>
      </c>
      <c r="L197" s="136"/>
    </row>
    <row r="198" spans="1:12" x14ac:dyDescent="0.25">
      <c r="A198" s="134">
        <v>778063905</v>
      </c>
      <c r="B198" s="121" t="s">
        <v>1063</v>
      </c>
      <c r="C198" t="s">
        <v>4168</v>
      </c>
      <c r="D198" s="125">
        <v>13</v>
      </c>
      <c r="E198" t="s">
        <v>4445</v>
      </c>
      <c r="F198" s="122" t="s">
        <v>4894</v>
      </c>
      <c r="G198" s="132"/>
      <c r="H198" t="s">
        <v>4915</v>
      </c>
      <c r="I198" s="124" t="str">
        <f>IF(Tabla13[[#This Row],[RUT]]=774097899,"DIST",_xlfn.XLOOKUP(Tabla13[[#This Row],[VENDEDOR]],dimensiones!$C$21:$C$28,dimensiones!$D$21:$D$28,""))</f>
        <v>ATEL</v>
      </c>
      <c r="J198" s="125" t="str">
        <f>_xlfn.XLOOKUP(Tabla13[[#This Row],[REGION]],dimensiones!C:C,dimensiones!D:D,"")</f>
        <v>Región de Metropolitana de Santiago</v>
      </c>
      <c r="L198" s="136"/>
    </row>
    <row r="199" spans="1:12" x14ac:dyDescent="0.25">
      <c r="A199" s="134">
        <v>778667703</v>
      </c>
      <c r="B199" s="121" t="s">
        <v>5101</v>
      </c>
      <c r="C199" t="s">
        <v>5428</v>
      </c>
      <c r="D199" s="125">
        <v>13</v>
      </c>
      <c r="E199" t="s">
        <v>4445</v>
      </c>
      <c r="F199" s="122" t="s">
        <v>5316</v>
      </c>
      <c r="G199" s="132"/>
      <c r="H199" t="s">
        <v>5428</v>
      </c>
      <c r="I199" s="124" t="str">
        <f>IF(Tabla13[[#This Row],[RUT]]=774097899,"DIST",_xlfn.XLOOKUP(Tabla13[[#This Row],[VENDEDOR]],dimensiones!$C$21:$C$28,dimensiones!$D$21:$D$28,""))</f>
        <v>ATEL</v>
      </c>
      <c r="J199" s="125" t="str">
        <f>_xlfn.XLOOKUP(Tabla13[[#This Row],[REGION]],dimensiones!C:C,dimensiones!D:D,"")</f>
        <v>Región de Metropolitana de Santiago</v>
      </c>
      <c r="L199" s="136"/>
    </row>
    <row r="200" spans="1:12" x14ac:dyDescent="0.25">
      <c r="A200" s="134">
        <v>779778207</v>
      </c>
      <c r="B200" s="121" t="s">
        <v>1044</v>
      </c>
      <c r="C200" t="s">
        <v>4380</v>
      </c>
      <c r="D200" s="125">
        <v>8</v>
      </c>
      <c r="E200" t="s">
        <v>4445</v>
      </c>
      <c r="F200" s="122" t="s">
        <v>4882</v>
      </c>
      <c r="G200" s="132"/>
      <c r="H200" t="s">
        <v>4915</v>
      </c>
      <c r="I200" s="124" t="str">
        <f>IF(Tabla13[[#This Row],[RUT]]=774097899,"DIST",_xlfn.XLOOKUP(Tabla13[[#This Row],[VENDEDOR]],dimensiones!$C$21:$C$28,dimensiones!$D$21:$D$28,""))</f>
        <v>ATEL</v>
      </c>
      <c r="J200" s="125" t="str">
        <f>_xlfn.XLOOKUP(Tabla13[[#This Row],[REGION]],dimensiones!C:C,dimensiones!D:D,"")</f>
        <v>Región de Biobío</v>
      </c>
      <c r="L200" s="136"/>
    </row>
    <row r="201" spans="1:12" x14ac:dyDescent="0.25">
      <c r="A201" s="134">
        <v>785913906</v>
      </c>
      <c r="B201" s="121" t="s">
        <v>5102</v>
      </c>
      <c r="C201" t="s">
        <v>5428</v>
      </c>
      <c r="D201" s="125">
        <v>8</v>
      </c>
      <c r="E201" t="s">
        <v>4445</v>
      </c>
      <c r="F201" s="122" t="s">
        <v>5317</v>
      </c>
      <c r="G201" s="132"/>
      <c r="H201" t="s">
        <v>5428</v>
      </c>
      <c r="I201" s="124" t="str">
        <f>IF(Tabla13[[#This Row],[RUT]]=774097899,"DIST",_xlfn.XLOOKUP(Tabla13[[#This Row],[VENDEDOR]],dimensiones!$C$21:$C$28,dimensiones!$D$21:$D$28,""))</f>
        <v>ATEL</v>
      </c>
      <c r="J201" s="125" t="str">
        <f>_xlfn.XLOOKUP(Tabla13[[#This Row],[REGION]],dimensiones!C:C,dimensiones!D:D,"")</f>
        <v>Región de Biobío</v>
      </c>
      <c r="L201" s="136"/>
    </row>
    <row r="202" spans="1:12" x14ac:dyDescent="0.25">
      <c r="A202" s="134">
        <v>789927200</v>
      </c>
      <c r="B202" s="121" t="s">
        <v>5388</v>
      </c>
      <c r="C202" t="s">
        <v>5428</v>
      </c>
      <c r="D202" s="125">
        <v>5</v>
      </c>
      <c r="E202" t="s">
        <v>4445</v>
      </c>
      <c r="F202" s="122" t="s">
        <v>5318</v>
      </c>
      <c r="G202" s="132"/>
      <c r="H202" t="s">
        <v>5428</v>
      </c>
      <c r="I202" s="124" t="str">
        <f>IF(Tabla13[[#This Row],[RUT]]=774097899,"DIST",_xlfn.XLOOKUP(Tabla13[[#This Row],[VENDEDOR]],dimensiones!$C$21:$C$28,dimensiones!$D$21:$D$28,""))</f>
        <v>ATEL</v>
      </c>
      <c r="J202" s="125" t="str">
        <f>_xlfn.XLOOKUP(Tabla13[[#This Row],[REGION]],dimensiones!C:C,dimensiones!D:D,"")</f>
        <v>Región de Valparaíso</v>
      </c>
      <c r="L202" s="136"/>
    </row>
    <row r="203" spans="1:12" x14ac:dyDescent="0.25">
      <c r="A203" s="134">
        <v>796490608</v>
      </c>
      <c r="B203" s="121" t="s">
        <v>1055</v>
      </c>
      <c r="C203" t="s">
        <v>4186</v>
      </c>
      <c r="D203" s="125">
        <v>1</v>
      </c>
      <c r="E203" t="s">
        <v>4445</v>
      </c>
      <c r="F203" s="122" t="s">
        <v>4888</v>
      </c>
      <c r="G203" s="132"/>
      <c r="H203" t="s">
        <v>4915</v>
      </c>
      <c r="I203" s="124" t="str">
        <f>IF(Tabla13[[#This Row],[RUT]]=774097899,"DIST",_xlfn.XLOOKUP(Tabla13[[#This Row],[VENDEDOR]],dimensiones!$C$21:$C$28,dimensiones!$D$21:$D$28,""))</f>
        <v>ATEL</v>
      </c>
      <c r="J203" s="125" t="str">
        <f>_xlfn.XLOOKUP(Tabla13[[#This Row],[REGION]],dimensiones!C:C,dimensiones!D:D,"")</f>
        <v>Región de Tarapacá</v>
      </c>
      <c r="L203" s="136"/>
    </row>
    <row r="204" spans="1:12" x14ac:dyDescent="0.25">
      <c r="A204" s="134">
        <v>821048001</v>
      </c>
      <c r="B204" s="121" t="s">
        <v>5320</v>
      </c>
      <c r="C204" t="s">
        <v>5428</v>
      </c>
      <c r="D204" s="125">
        <v>7</v>
      </c>
      <c r="E204" t="s">
        <v>4445</v>
      </c>
      <c r="F204" s="122" t="s">
        <v>5321</v>
      </c>
      <c r="G204" s="132"/>
      <c r="H204" t="s">
        <v>5428</v>
      </c>
      <c r="I204" s="124" t="str">
        <f>IF(Tabla13[[#This Row],[RUT]]=774097899,"DIST",_xlfn.XLOOKUP(Tabla13[[#This Row],[VENDEDOR]],dimensiones!$C$21:$C$28,dimensiones!$D$21:$D$28,""))</f>
        <v>ATEL</v>
      </c>
      <c r="J204" s="125" t="str">
        <f>_xlfn.XLOOKUP(Tabla13[[#This Row],[REGION]],dimensiones!C:C,dimensiones!D:D,"")</f>
        <v>Región de Maule</v>
      </c>
      <c r="L204" s="136"/>
    </row>
    <row r="205" spans="1:12" x14ac:dyDescent="0.25">
      <c r="A205" s="134">
        <v>939150005</v>
      </c>
      <c r="B205" s="121" t="s">
        <v>5103</v>
      </c>
      <c r="C205" t="s">
        <v>5428</v>
      </c>
      <c r="D205" s="125">
        <v>13</v>
      </c>
      <c r="E205" t="s">
        <v>4445</v>
      </c>
      <c r="F205" s="122" t="s">
        <v>5324</v>
      </c>
      <c r="G205" s="132"/>
      <c r="H205" t="s">
        <v>5428</v>
      </c>
      <c r="I205" s="124" t="str">
        <f>IF(Tabla13[[#This Row],[RUT]]=774097899,"DIST",_xlfn.XLOOKUP(Tabla13[[#This Row],[VENDEDOR]],dimensiones!$C$21:$C$28,dimensiones!$D$21:$D$28,""))</f>
        <v>ATEL</v>
      </c>
      <c r="J205" s="125" t="str">
        <f>_xlfn.XLOOKUP(Tabla13[[#This Row],[REGION]],dimensiones!C:C,dimensiones!D:D,"")</f>
        <v>Región de Metropolitana de Santiago</v>
      </c>
      <c r="L205" s="136"/>
    </row>
    <row r="206" spans="1:12" x14ac:dyDescent="0.25">
      <c r="A206" s="134">
        <v>945440007</v>
      </c>
      <c r="B206" s="121" t="s">
        <v>3807</v>
      </c>
      <c r="C206" t="s">
        <v>5428</v>
      </c>
      <c r="D206" s="125">
        <v>13</v>
      </c>
      <c r="E206" t="s">
        <v>4445</v>
      </c>
      <c r="F206" s="122" t="s">
        <v>5325</v>
      </c>
      <c r="G206" s="132"/>
      <c r="H206" t="s">
        <v>5428</v>
      </c>
      <c r="I206" s="124" t="str">
        <f>IF(Tabla13[[#This Row],[RUT]]=774097899,"DIST",_xlfn.XLOOKUP(Tabla13[[#This Row],[VENDEDOR]],dimensiones!$C$21:$C$28,dimensiones!$D$21:$D$28,""))</f>
        <v>ATEL</v>
      </c>
      <c r="J206" s="125" t="str">
        <f>_xlfn.XLOOKUP(Tabla13[[#This Row],[REGION]],dimensiones!C:C,dimensiones!D:D,"")</f>
        <v>Región de Metropolitana de Santiago</v>
      </c>
      <c r="L206" s="136"/>
    </row>
    <row r="207" spans="1:12" x14ac:dyDescent="0.25">
      <c r="A207" s="134">
        <v>967591904</v>
      </c>
      <c r="B207" s="121" t="s">
        <v>4868</v>
      </c>
      <c r="C207" t="s">
        <v>5428</v>
      </c>
      <c r="D207" s="125">
        <v>13</v>
      </c>
      <c r="E207" t="s">
        <v>4445</v>
      </c>
      <c r="F207" s="122" t="s">
        <v>4869</v>
      </c>
      <c r="G207" s="132"/>
      <c r="H207" t="s">
        <v>5428</v>
      </c>
      <c r="I207" s="124" t="str">
        <f>IF(Tabla13[[#This Row],[RUT]]=774097899,"DIST",_xlfn.XLOOKUP(Tabla13[[#This Row],[VENDEDOR]],dimensiones!$C$21:$C$28,dimensiones!$D$21:$D$28,""))</f>
        <v>ATEL</v>
      </c>
      <c r="J207" s="125" t="str">
        <f>_xlfn.XLOOKUP(Tabla13[[#This Row],[REGION]],dimensiones!C:C,dimensiones!D:D,"")</f>
        <v>Región de Metropolitana de Santiago</v>
      </c>
      <c r="L207" s="136"/>
    </row>
    <row r="208" spans="1:12" x14ac:dyDescent="0.25">
      <c r="A208" s="134">
        <v>968030906</v>
      </c>
      <c r="B208" s="121" t="s">
        <v>5389</v>
      </c>
      <c r="C208" t="s">
        <v>5428</v>
      </c>
      <c r="D208" s="125">
        <v>8</v>
      </c>
      <c r="E208" t="s">
        <v>4445</v>
      </c>
      <c r="F208" s="122" t="s">
        <v>5326</v>
      </c>
      <c r="G208" s="132"/>
      <c r="H208" t="s">
        <v>5428</v>
      </c>
      <c r="I208" s="124" t="str">
        <f>IF(Tabla13[[#This Row],[RUT]]=774097899,"DIST",_xlfn.XLOOKUP(Tabla13[[#This Row],[VENDEDOR]],dimensiones!$C$21:$C$28,dimensiones!$D$21:$D$28,""))</f>
        <v>ATEL</v>
      </c>
      <c r="J208" s="125" t="str">
        <f>_xlfn.XLOOKUP(Tabla13[[#This Row],[REGION]],dimensiones!C:C,dimensiones!D:D,"")</f>
        <v>Región de Biobío</v>
      </c>
      <c r="L208" s="136"/>
    </row>
    <row r="209" spans="1:12" x14ac:dyDescent="0.25">
      <c r="A209" s="134">
        <v>968037900</v>
      </c>
      <c r="B209" s="121" t="s">
        <v>5104</v>
      </c>
      <c r="C209" t="s">
        <v>5428</v>
      </c>
      <c r="D209" s="125">
        <v>13</v>
      </c>
      <c r="E209" t="s">
        <v>4445</v>
      </c>
      <c r="F209" s="122" t="s">
        <v>5327</v>
      </c>
      <c r="G209" s="132"/>
      <c r="H209" t="s">
        <v>5428</v>
      </c>
      <c r="I209" s="124" t="str">
        <f>IF(Tabla13[[#This Row],[RUT]]=774097899,"DIST",_xlfn.XLOOKUP(Tabla13[[#This Row],[VENDEDOR]],dimensiones!$C$21:$C$28,dimensiones!$D$21:$D$28,""))</f>
        <v>ATEL</v>
      </c>
      <c r="J209" s="125" t="str">
        <f>_xlfn.XLOOKUP(Tabla13[[#This Row],[REGION]],dimensiones!C:C,dimensiones!D:D,"")</f>
        <v>Región de Metropolitana de Santiago</v>
      </c>
      <c r="L209" s="136"/>
    </row>
    <row r="210" spans="1:12" x14ac:dyDescent="0.25">
      <c r="A210" s="134">
        <v>995240300</v>
      </c>
      <c r="B210" s="121" t="s">
        <v>1039</v>
      </c>
      <c r="C210" t="s">
        <v>4490</v>
      </c>
      <c r="D210" s="125">
        <v>5</v>
      </c>
      <c r="E210" t="s">
        <v>4445</v>
      </c>
      <c r="F210" s="122" t="s">
        <v>4877</v>
      </c>
      <c r="G210" s="132"/>
      <c r="H210" t="s">
        <v>4915</v>
      </c>
      <c r="I210" s="124" t="str">
        <f>IF(Tabla13[[#This Row],[RUT]]=774097899,"DIST",_xlfn.XLOOKUP(Tabla13[[#This Row],[VENDEDOR]],dimensiones!$C$21:$C$28,dimensiones!$D$21:$D$28,""))</f>
        <v>ATEL</v>
      </c>
      <c r="J210" s="125" t="str">
        <f>_xlfn.XLOOKUP(Tabla13[[#This Row],[REGION]],dimensiones!C:C,dimensiones!D:D,"")</f>
        <v>Región de Valparaíso</v>
      </c>
      <c r="L210" s="136"/>
    </row>
    <row r="211" spans="1:12" x14ac:dyDescent="0.25">
      <c r="A211" s="134">
        <v>995786001</v>
      </c>
      <c r="B211" s="121" t="s">
        <v>5105</v>
      </c>
      <c r="C211" t="s">
        <v>5428</v>
      </c>
      <c r="D211" s="125">
        <v>13</v>
      </c>
      <c r="E211" t="s">
        <v>4445</v>
      </c>
      <c r="F211" s="122" t="s">
        <v>5328</v>
      </c>
      <c r="G211" s="132"/>
      <c r="H211" t="s">
        <v>5428</v>
      </c>
      <c r="I211" s="124" t="str">
        <f>IF(Tabla13[[#This Row],[RUT]]=774097899,"DIST",_xlfn.XLOOKUP(Tabla13[[#This Row],[VENDEDOR]],dimensiones!$C$21:$C$28,dimensiones!$D$21:$D$28,""))</f>
        <v>ATEL</v>
      </c>
      <c r="J211" s="125" t="str">
        <f>_xlfn.XLOOKUP(Tabla13[[#This Row],[REGION]],dimensiones!C:C,dimensiones!D:D,"")</f>
        <v>Región de Metropolitana de Santiago</v>
      </c>
      <c r="L211" s="136"/>
    </row>
    <row r="212" spans="1:12" x14ac:dyDescent="0.25">
      <c r="A212" s="134" t="s">
        <v>5106</v>
      </c>
      <c r="B212" s="121" t="s">
        <v>5419</v>
      </c>
      <c r="C212" t="s">
        <v>5428</v>
      </c>
      <c r="D212" s="125">
        <v>8</v>
      </c>
      <c r="E212" t="s">
        <v>4445</v>
      </c>
      <c r="F212" s="122" t="s">
        <v>5329</v>
      </c>
      <c r="G212" s="132"/>
      <c r="H212" t="s">
        <v>5428</v>
      </c>
      <c r="I212" s="124" t="str">
        <f>IF(Tabla13[[#This Row],[RUT]]=774097899,"DIST",_xlfn.XLOOKUP(Tabla13[[#This Row],[VENDEDOR]],dimensiones!$C$21:$C$28,dimensiones!$D$21:$D$28,""))</f>
        <v>ATEL</v>
      </c>
      <c r="J212" s="125" t="str">
        <f>_xlfn.XLOOKUP(Tabla13[[#This Row],[REGION]],dimensiones!C:C,dimensiones!D:D,"")</f>
        <v>Región de Biobío</v>
      </c>
      <c r="L212" s="136"/>
    </row>
    <row r="213" spans="1:12" x14ac:dyDescent="0.25">
      <c r="A213" s="134" t="s">
        <v>961</v>
      </c>
      <c r="B213" s="121" t="s">
        <v>5420</v>
      </c>
      <c r="C213" t="s">
        <v>4314</v>
      </c>
      <c r="D213" s="125" t="s">
        <v>5428</v>
      </c>
      <c r="E213" t="s">
        <v>4445</v>
      </c>
      <c r="F213" s="122" t="s">
        <v>4876</v>
      </c>
      <c r="G213" s="132"/>
      <c r="H213" t="s">
        <v>4915</v>
      </c>
      <c r="I213" s="124" t="str">
        <f>IF(Tabla13[[#This Row],[RUT]]=774097899,"DIST",_xlfn.XLOOKUP(Tabla13[[#This Row],[VENDEDOR]],dimensiones!$C$21:$C$28,dimensiones!$D$21:$D$28,""))</f>
        <v>ATEL</v>
      </c>
      <c r="J213" s="125" t="str">
        <f>_xlfn.XLOOKUP(Tabla13[[#This Row],[REGION]],dimensiones!C:C,dimensiones!D:D,"")</f>
        <v/>
      </c>
      <c r="L213" s="136"/>
    </row>
    <row r="214" spans="1:12" x14ac:dyDescent="0.25">
      <c r="A214" s="134" t="s">
        <v>5107</v>
      </c>
      <c r="B214" s="121" t="s">
        <v>5108</v>
      </c>
      <c r="C214" t="s">
        <v>5428</v>
      </c>
      <c r="D214" s="125">
        <v>5</v>
      </c>
      <c r="E214" t="s">
        <v>4445</v>
      </c>
      <c r="F214" s="122" t="s">
        <v>5330</v>
      </c>
      <c r="G214" s="132"/>
      <c r="H214" t="s">
        <v>5428</v>
      </c>
      <c r="I214" s="124" t="str">
        <f>IF(Tabla13[[#This Row],[RUT]]=774097899,"DIST",_xlfn.XLOOKUP(Tabla13[[#This Row],[VENDEDOR]],dimensiones!$C$21:$C$28,dimensiones!$D$21:$D$28,""))</f>
        <v>ATEL</v>
      </c>
      <c r="J214" s="125" t="str">
        <f>_xlfn.XLOOKUP(Tabla13[[#This Row],[REGION]],dimensiones!C:C,dimensiones!D:D,"")</f>
        <v>Región de Valparaíso</v>
      </c>
      <c r="L214" s="136"/>
    </row>
    <row r="215" spans="1:12" x14ac:dyDescent="0.25">
      <c r="A215" s="134" t="s">
        <v>5109</v>
      </c>
      <c r="B215" s="121" t="s">
        <v>5390</v>
      </c>
      <c r="C215" t="s">
        <v>5428</v>
      </c>
      <c r="D215" s="125">
        <v>7</v>
      </c>
      <c r="E215" t="s">
        <v>4445</v>
      </c>
      <c r="F215" s="122" t="s">
        <v>5331</v>
      </c>
      <c r="G215" s="132"/>
      <c r="H215" t="s">
        <v>5428</v>
      </c>
      <c r="I215" s="124" t="str">
        <f>IF(Tabla13[[#This Row],[RUT]]=774097899,"DIST",_xlfn.XLOOKUP(Tabla13[[#This Row],[VENDEDOR]],dimensiones!$C$21:$C$28,dimensiones!$D$21:$D$28,""))</f>
        <v>ATEL</v>
      </c>
      <c r="J215" s="125" t="str">
        <f>_xlfn.XLOOKUP(Tabla13[[#This Row],[REGION]],dimensiones!C:C,dimensiones!D:D,"")</f>
        <v>Región de Maule</v>
      </c>
      <c r="L215" s="136"/>
    </row>
    <row r="216" spans="1:12" x14ac:dyDescent="0.25">
      <c r="A216" s="134" t="s">
        <v>5110</v>
      </c>
      <c r="B216" s="121" t="s">
        <v>5408</v>
      </c>
      <c r="C216" t="s">
        <v>5428</v>
      </c>
      <c r="D216" s="125">
        <v>7</v>
      </c>
      <c r="E216" t="s">
        <v>4445</v>
      </c>
      <c r="F216" s="122" t="s">
        <v>5332</v>
      </c>
      <c r="G216" s="132"/>
      <c r="H216" t="s">
        <v>5428</v>
      </c>
      <c r="I216" s="124" t="str">
        <f>IF(Tabla13[[#This Row],[RUT]]=774097899,"DIST",_xlfn.XLOOKUP(Tabla13[[#This Row],[VENDEDOR]],dimensiones!$C$21:$C$28,dimensiones!$D$21:$D$28,""))</f>
        <v>ATEL</v>
      </c>
      <c r="J216" s="125" t="str">
        <f>_xlfn.XLOOKUP(Tabla13[[#This Row],[REGION]],dimensiones!C:C,dimensiones!D:D,"")</f>
        <v>Región de Maule</v>
      </c>
      <c r="L216" s="136"/>
    </row>
    <row r="217" spans="1:12" x14ac:dyDescent="0.25">
      <c r="A217" s="134" t="s">
        <v>5111</v>
      </c>
      <c r="B217" s="121" t="s">
        <v>5112</v>
      </c>
      <c r="C217" t="s">
        <v>5428</v>
      </c>
      <c r="D217" s="125">
        <v>13</v>
      </c>
      <c r="E217" t="s">
        <v>4445</v>
      </c>
      <c r="F217" s="122" t="s">
        <v>5333</v>
      </c>
      <c r="G217" s="132"/>
      <c r="H217" t="s">
        <v>5428</v>
      </c>
      <c r="I217" s="124" t="str">
        <f>IF(Tabla13[[#This Row],[RUT]]=774097899,"DIST",_xlfn.XLOOKUP(Tabla13[[#This Row],[VENDEDOR]],dimensiones!$C$21:$C$28,dimensiones!$D$21:$D$28,""))</f>
        <v>ATEL</v>
      </c>
      <c r="J217" s="125" t="str">
        <f>_xlfn.XLOOKUP(Tabla13[[#This Row],[REGION]],dimensiones!C:C,dimensiones!D:D,"")</f>
        <v>Región de Metropolitana de Santiago</v>
      </c>
      <c r="L217" s="136"/>
    </row>
    <row r="218" spans="1:12" x14ac:dyDescent="0.25">
      <c r="A218" s="134" t="s">
        <v>5113</v>
      </c>
      <c r="B218" s="121" t="s">
        <v>5114</v>
      </c>
      <c r="C218" t="s">
        <v>5428</v>
      </c>
      <c r="D218" s="125">
        <v>8</v>
      </c>
      <c r="E218" t="s">
        <v>4445</v>
      </c>
      <c r="F218" s="122" t="s">
        <v>5334</v>
      </c>
      <c r="G218" s="132"/>
      <c r="H218" t="s">
        <v>5428</v>
      </c>
      <c r="I218" s="124" t="str">
        <f>IF(Tabla13[[#This Row],[RUT]]=774097899,"DIST",_xlfn.XLOOKUP(Tabla13[[#This Row],[VENDEDOR]],dimensiones!$C$21:$C$28,dimensiones!$D$21:$D$28,""))</f>
        <v>ATEL</v>
      </c>
      <c r="J218" s="125" t="str">
        <f>_xlfn.XLOOKUP(Tabla13[[#This Row],[REGION]],dimensiones!C:C,dimensiones!D:D,"")</f>
        <v>Región de Biobío</v>
      </c>
      <c r="L218" s="136"/>
    </row>
    <row r="219" spans="1:12" x14ac:dyDescent="0.25">
      <c r="A219" s="134" t="s">
        <v>5115</v>
      </c>
      <c r="B219" s="121" t="s">
        <v>5391</v>
      </c>
      <c r="C219" t="s">
        <v>5428</v>
      </c>
      <c r="D219" s="125">
        <v>13</v>
      </c>
      <c r="E219" t="s">
        <v>4445</v>
      </c>
      <c r="F219" s="122" t="s">
        <v>5335</v>
      </c>
      <c r="G219" s="132"/>
      <c r="H219" t="s">
        <v>5428</v>
      </c>
      <c r="I219" s="124" t="str">
        <f>IF(Tabla13[[#This Row],[RUT]]=774097899,"DIST",_xlfn.XLOOKUP(Tabla13[[#This Row],[VENDEDOR]],dimensiones!$C$21:$C$28,dimensiones!$D$21:$D$28,""))</f>
        <v>ATEL</v>
      </c>
      <c r="J219" s="125" t="str">
        <f>_xlfn.XLOOKUP(Tabla13[[#This Row],[REGION]],dimensiones!C:C,dimensiones!D:D,"")</f>
        <v>Región de Metropolitana de Santiago</v>
      </c>
      <c r="L219" s="136"/>
    </row>
    <row r="220" spans="1:12" x14ac:dyDescent="0.25">
      <c r="A220" s="134" t="s">
        <v>5116</v>
      </c>
      <c r="B220" s="121" t="s">
        <v>5117</v>
      </c>
      <c r="C220" t="s">
        <v>5428</v>
      </c>
      <c r="D220" s="125">
        <v>13</v>
      </c>
      <c r="E220" t="s">
        <v>4445</v>
      </c>
      <c r="F220" s="122" t="s">
        <v>5336</v>
      </c>
      <c r="G220" s="132"/>
      <c r="H220" t="s">
        <v>5428</v>
      </c>
      <c r="I220" s="124" t="str">
        <f>IF(Tabla13[[#This Row],[RUT]]=774097899,"DIST",_xlfn.XLOOKUP(Tabla13[[#This Row],[VENDEDOR]],dimensiones!$C$21:$C$28,dimensiones!$D$21:$D$28,""))</f>
        <v>ATEL</v>
      </c>
      <c r="J220" s="125" t="str">
        <f>_xlfn.XLOOKUP(Tabla13[[#This Row],[REGION]],dimensiones!C:C,dimensiones!D:D,"")</f>
        <v>Región de Metropolitana de Santiago</v>
      </c>
      <c r="L220" s="136"/>
    </row>
    <row r="221" spans="1:12" x14ac:dyDescent="0.25">
      <c r="A221" s="134" t="s">
        <v>5118</v>
      </c>
      <c r="B221" s="121" t="s">
        <v>5119</v>
      </c>
      <c r="C221" t="s">
        <v>5428</v>
      </c>
      <c r="D221" s="125">
        <v>9</v>
      </c>
      <c r="E221" t="s">
        <v>4445</v>
      </c>
      <c r="F221" s="122" t="s">
        <v>5337</v>
      </c>
      <c r="G221" s="132"/>
      <c r="H221" t="s">
        <v>5428</v>
      </c>
      <c r="I221" s="124" t="str">
        <f>IF(Tabla13[[#This Row],[RUT]]=774097899,"DIST",_xlfn.XLOOKUP(Tabla13[[#This Row],[VENDEDOR]],dimensiones!$C$21:$C$28,dimensiones!$D$21:$D$28,""))</f>
        <v>ATEL</v>
      </c>
      <c r="J221" s="125" t="str">
        <f>_xlfn.XLOOKUP(Tabla13[[#This Row],[REGION]],dimensiones!C:C,dimensiones!D:D,"")</f>
        <v>Región de La Araucanía</v>
      </c>
      <c r="L221" s="136"/>
    </row>
    <row r="222" spans="1:12" x14ac:dyDescent="0.25">
      <c r="A222" s="134" t="s">
        <v>5120</v>
      </c>
      <c r="B222" s="121" t="s">
        <v>5409</v>
      </c>
      <c r="C222" t="s">
        <v>5428</v>
      </c>
      <c r="D222" s="125">
        <v>14</v>
      </c>
      <c r="E222" t="s">
        <v>4445</v>
      </c>
      <c r="F222" s="122" t="s">
        <v>5338</v>
      </c>
      <c r="G222" s="132"/>
      <c r="H222" t="s">
        <v>5428</v>
      </c>
      <c r="I222" s="124" t="str">
        <f>IF(Tabla13[[#This Row],[RUT]]=774097899,"DIST",_xlfn.XLOOKUP(Tabla13[[#This Row],[VENDEDOR]],dimensiones!$C$21:$C$28,dimensiones!$D$21:$D$28,""))</f>
        <v>ATEL</v>
      </c>
      <c r="J222" s="125" t="str">
        <f>_xlfn.XLOOKUP(Tabla13[[#This Row],[REGION]],dimensiones!C:C,dimensiones!D:D,"")</f>
        <v>Región de Los Ríos</v>
      </c>
      <c r="L222" s="136"/>
    </row>
    <row r="223" spans="1:12" x14ac:dyDescent="0.25">
      <c r="A223" s="134" t="s">
        <v>5121</v>
      </c>
      <c r="B223" s="121" t="s">
        <v>5427</v>
      </c>
      <c r="C223" t="s">
        <v>5428</v>
      </c>
      <c r="D223" s="125">
        <v>8</v>
      </c>
      <c r="E223" t="s">
        <v>4445</v>
      </c>
      <c r="F223" s="122" t="s">
        <v>5339</v>
      </c>
      <c r="G223" s="132"/>
      <c r="H223" t="s">
        <v>5428</v>
      </c>
      <c r="I223" s="124" t="str">
        <f>IF(Tabla13[[#This Row],[RUT]]=774097899,"DIST",_xlfn.XLOOKUP(Tabla13[[#This Row],[VENDEDOR]],dimensiones!$C$21:$C$28,dimensiones!$D$21:$D$28,""))</f>
        <v>ATEL</v>
      </c>
      <c r="J223" s="125" t="str">
        <f>_xlfn.XLOOKUP(Tabla13[[#This Row],[REGION]],dimensiones!C:C,dimensiones!D:D,"")</f>
        <v>Región de Biobío</v>
      </c>
      <c r="L223" s="136"/>
    </row>
    <row r="224" spans="1:12" x14ac:dyDescent="0.25">
      <c r="A224" s="134" t="s">
        <v>5122</v>
      </c>
      <c r="B224" s="121" t="s">
        <v>5123</v>
      </c>
      <c r="C224" t="s">
        <v>5428</v>
      </c>
      <c r="D224" s="125">
        <v>13</v>
      </c>
      <c r="E224" t="s">
        <v>4445</v>
      </c>
      <c r="F224" s="122" t="s">
        <v>5340</v>
      </c>
      <c r="G224" s="132"/>
      <c r="H224" t="s">
        <v>5428</v>
      </c>
      <c r="I224" s="124" t="str">
        <f>IF(Tabla13[[#This Row],[RUT]]=774097899,"DIST",_xlfn.XLOOKUP(Tabla13[[#This Row],[VENDEDOR]],dimensiones!$C$21:$C$28,dimensiones!$D$21:$D$28,""))</f>
        <v>ATEL</v>
      </c>
      <c r="J224" s="125" t="str">
        <f>_xlfn.XLOOKUP(Tabla13[[#This Row],[REGION]],dimensiones!C:C,dimensiones!D:D,"")</f>
        <v>Región de Metropolitana de Santiago</v>
      </c>
      <c r="L224" s="136"/>
    </row>
    <row r="225" spans="1:12" x14ac:dyDescent="0.25">
      <c r="A225" s="134" t="s">
        <v>5124</v>
      </c>
      <c r="B225" s="121" t="s">
        <v>5125</v>
      </c>
      <c r="C225" t="s">
        <v>5428</v>
      </c>
      <c r="D225" s="125">
        <v>5</v>
      </c>
      <c r="E225" t="s">
        <v>4445</v>
      </c>
      <c r="F225" s="122" t="s">
        <v>5341</v>
      </c>
      <c r="G225" s="132"/>
      <c r="H225" t="s">
        <v>5428</v>
      </c>
      <c r="I225" s="124" t="str">
        <f>IF(Tabla13[[#This Row],[RUT]]=774097899,"DIST",_xlfn.XLOOKUP(Tabla13[[#This Row],[VENDEDOR]],dimensiones!$C$21:$C$28,dimensiones!$D$21:$D$28,""))</f>
        <v>ATEL</v>
      </c>
      <c r="J225" s="125" t="str">
        <f>_xlfn.XLOOKUP(Tabla13[[#This Row],[REGION]],dimensiones!C:C,dimensiones!D:D,"")</f>
        <v>Región de Valparaíso</v>
      </c>
      <c r="L225" s="136"/>
    </row>
    <row r="226" spans="1:12" x14ac:dyDescent="0.25">
      <c r="A226" s="134" t="s">
        <v>5126</v>
      </c>
      <c r="B226" s="121" t="s">
        <v>5392</v>
      </c>
      <c r="C226" t="s">
        <v>5428</v>
      </c>
      <c r="D226" s="125">
        <v>13</v>
      </c>
      <c r="E226" t="s">
        <v>4445</v>
      </c>
      <c r="F226" s="122" t="s">
        <v>5342</v>
      </c>
      <c r="G226" s="132"/>
      <c r="H226" t="s">
        <v>5428</v>
      </c>
      <c r="I226" s="124" t="str">
        <f>IF(Tabla13[[#This Row],[RUT]]=774097899,"DIST",_xlfn.XLOOKUP(Tabla13[[#This Row],[VENDEDOR]],dimensiones!$C$21:$C$28,dimensiones!$D$21:$D$28,""))</f>
        <v>ATEL</v>
      </c>
      <c r="J226" s="125" t="str">
        <f>_xlfn.XLOOKUP(Tabla13[[#This Row],[REGION]],dimensiones!C:C,dimensiones!D:D,"")</f>
        <v>Región de Metropolitana de Santiago</v>
      </c>
      <c r="L226" s="136"/>
    </row>
    <row r="227" spans="1:12" x14ac:dyDescent="0.25">
      <c r="A227" s="134" t="s">
        <v>1070</v>
      </c>
      <c r="B227" s="121" t="s">
        <v>1071</v>
      </c>
      <c r="C227" t="s">
        <v>4466</v>
      </c>
      <c r="D227" s="125">
        <v>3</v>
      </c>
      <c r="E227" t="s">
        <v>4445</v>
      </c>
      <c r="F227" s="122" t="s">
        <v>4899</v>
      </c>
      <c r="G227" s="132"/>
      <c r="H227" t="s">
        <v>4915</v>
      </c>
      <c r="I227" s="124" t="str">
        <f>IF(Tabla13[[#This Row],[RUT]]=774097899,"DIST",_xlfn.XLOOKUP(Tabla13[[#This Row],[VENDEDOR]],dimensiones!$C$21:$C$28,dimensiones!$D$21:$D$28,""))</f>
        <v>ATEL</v>
      </c>
      <c r="J227" s="125" t="str">
        <f>_xlfn.XLOOKUP(Tabla13[[#This Row],[REGION]],dimensiones!C:C,dimensiones!D:D,"")</f>
        <v>Región de Atacama</v>
      </c>
      <c r="L227" s="136"/>
    </row>
    <row r="228" spans="1:12" x14ac:dyDescent="0.25">
      <c r="A228" s="134" t="s">
        <v>1060</v>
      </c>
      <c r="B228" s="121" t="s">
        <v>1061</v>
      </c>
      <c r="C228" t="s">
        <v>4168</v>
      </c>
      <c r="D228" s="125">
        <v>13</v>
      </c>
      <c r="E228" t="s">
        <v>4445</v>
      </c>
      <c r="F228" s="122" t="s">
        <v>4892</v>
      </c>
      <c r="G228" s="132"/>
      <c r="H228" t="s">
        <v>4915</v>
      </c>
      <c r="I228" s="124" t="str">
        <f>IF(Tabla13[[#This Row],[RUT]]=774097899,"DIST",_xlfn.XLOOKUP(Tabla13[[#This Row],[VENDEDOR]],dimensiones!$C$21:$C$28,dimensiones!$D$21:$D$28,""))</f>
        <v>ATEL</v>
      </c>
      <c r="J228" s="125" t="str">
        <f>_xlfn.XLOOKUP(Tabla13[[#This Row],[REGION]],dimensiones!C:C,dimensiones!D:D,"")</f>
        <v>Región de Metropolitana de Santiago</v>
      </c>
      <c r="L228" s="136"/>
    </row>
    <row r="229" spans="1:12" x14ac:dyDescent="0.25">
      <c r="A229" s="134" t="s">
        <v>1046</v>
      </c>
      <c r="B229" s="121" t="s">
        <v>1047</v>
      </c>
      <c r="C229" t="s">
        <v>4168</v>
      </c>
      <c r="D229" s="125">
        <v>13</v>
      </c>
      <c r="E229" t="s">
        <v>4445</v>
      </c>
      <c r="F229" s="122" t="s">
        <v>4884</v>
      </c>
      <c r="G229" s="132"/>
      <c r="H229" t="s">
        <v>4915</v>
      </c>
      <c r="I229" s="124" t="str">
        <f>IF(Tabla13[[#This Row],[RUT]]=774097899,"DIST",_xlfn.XLOOKUP(Tabla13[[#This Row],[VENDEDOR]],dimensiones!$C$21:$C$28,dimensiones!$D$21:$D$28,""))</f>
        <v>ATEL</v>
      </c>
      <c r="J229" s="125" t="str">
        <f>_xlfn.XLOOKUP(Tabla13[[#This Row],[REGION]],dimensiones!C:C,dimensiones!D:D,"")</f>
        <v>Región de Metropolitana de Santiago</v>
      </c>
      <c r="L229" s="136"/>
    </row>
    <row r="230" spans="1:12" x14ac:dyDescent="0.25">
      <c r="A230" s="134" t="s">
        <v>5127</v>
      </c>
      <c r="B230" s="121" t="s">
        <v>5128</v>
      </c>
      <c r="C230" t="s">
        <v>5428</v>
      </c>
      <c r="D230" s="125">
        <v>13</v>
      </c>
      <c r="E230" t="s">
        <v>4445</v>
      </c>
      <c r="F230" s="122" t="s">
        <v>5343</v>
      </c>
      <c r="G230" s="132"/>
      <c r="H230" t="s">
        <v>5428</v>
      </c>
      <c r="I230" s="124" t="str">
        <f>IF(Tabla13[[#This Row],[RUT]]=774097899,"DIST",_xlfn.XLOOKUP(Tabla13[[#This Row],[VENDEDOR]],dimensiones!$C$21:$C$28,dimensiones!$D$21:$D$28,""))</f>
        <v>ATEL</v>
      </c>
      <c r="J230" s="125" t="str">
        <f>_xlfn.XLOOKUP(Tabla13[[#This Row],[REGION]],dimensiones!C:C,dimensiones!D:D,"")</f>
        <v>Región de Metropolitana de Santiago</v>
      </c>
      <c r="L230" s="136"/>
    </row>
    <row r="231" spans="1:12" x14ac:dyDescent="0.25">
      <c r="A231">
        <v>107123016</v>
      </c>
      <c r="B231" t="s">
        <v>5521</v>
      </c>
      <c r="C231" t="s">
        <v>4393</v>
      </c>
      <c r="D231">
        <v>13</v>
      </c>
      <c r="E231" t="s">
        <v>4445</v>
      </c>
      <c r="F231" t="s">
        <v>5522</v>
      </c>
      <c r="G231" t="s">
        <v>5568</v>
      </c>
      <c r="H231" t="s">
        <v>4915</v>
      </c>
      <c r="I231" s="126" t="str">
        <f>IF(Tabla13[[#This Row],[RUT]]=774097899,"DIST",_xlfn.XLOOKUP(Tabla13[[#This Row],[VENDEDOR]],dimensiones!$C$21:$C$28,dimensiones!$D$21:$D$28,""))</f>
        <v>ATEL</v>
      </c>
      <c r="J231" s="125" t="str">
        <f>_xlfn.XLOOKUP(Tabla13[[#This Row],[REGION]],dimensiones!C:C,dimensiones!D:D,"")</f>
        <v>Región de Metropolitana de Santiago</v>
      </c>
      <c r="K231" t="s">
        <v>5529</v>
      </c>
    </row>
    <row r="232" spans="1:12" x14ac:dyDescent="0.25">
      <c r="A232">
        <v>119907985</v>
      </c>
      <c r="B232" t="s">
        <v>5615</v>
      </c>
      <c r="C232" t="s">
        <v>4456</v>
      </c>
      <c r="D232">
        <v>13</v>
      </c>
      <c r="E232" t="s">
        <v>4445</v>
      </c>
      <c r="F232" t="s">
        <v>5616</v>
      </c>
      <c r="G232" t="s">
        <v>5568</v>
      </c>
      <c r="H232" t="s">
        <v>4915</v>
      </c>
      <c r="I232" s="79" t="str">
        <f>IF(Tabla13[[#This Row],[RUT]]=774097899,"DIST",_xlfn.XLOOKUP(Tabla13[[#This Row],[VENDEDOR]],dimensiones!$C$21:$C$28,dimensiones!$D$21:$D$28,""))</f>
        <v>ATEL</v>
      </c>
      <c r="J232" s="125" t="str">
        <f>_xlfn.XLOOKUP(Tabla13[[#This Row],[REGION]],dimensiones!C:C,dimensiones!D:D,"")</f>
        <v>Región de Metropolitana de Santiago</v>
      </c>
    </row>
    <row r="233" spans="1:12" ht="14.25" customHeight="1" x14ac:dyDescent="0.25">
      <c r="A233">
        <v>124106559</v>
      </c>
      <c r="B233" t="s">
        <v>4917</v>
      </c>
      <c r="C233" t="s">
        <v>4463</v>
      </c>
      <c r="D233">
        <v>13</v>
      </c>
      <c r="E233" t="s">
        <v>4445</v>
      </c>
      <c r="F233" t="s">
        <v>4924</v>
      </c>
      <c r="G233" t="s">
        <v>5568</v>
      </c>
      <c r="H233" t="s">
        <v>4915</v>
      </c>
      <c r="I233" s="79" t="str">
        <f>IF(Tabla13[[#This Row],[RUT]]=774097899,"DIST",_xlfn.XLOOKUP(Tabla13[[#This Row],[VENDEDOR]],dimensiones!$C$21:$C$28,dimensiones!$D$21:$D$28,""))</f>
        <v>ATEL</v>
      </c>
      <c r="J233" s="125" t="str">
        <f>_xlfn.XLOOKUP(Tabla13[[#This Row],[REGION]],dimensiones!C:C,dimensiones!D:D,"")</f>
        <v>Región de Metropolitana de Santiago</v>
      </c>
    </row>
    <row r="234" spans="1:12" ht="14.25" customHeight="1" x14ac:dyDescent="0.25">
      <c r="A234">
        <v>128624430</v>
      </c>
      <c r="B234" t="s">
        <v>3279</v>
      </c>
      <c r="C234" t="s">
        <v>4444</v>
      </c>
      <c r="D234">
        <v>13</v>
      </c>
      <c r="E234" t="s">
        <v>4445</v>
      </c>
      <c r="F234" t="s">
        <v>3278</v>
      </c>
      <c r="G234" t="s">
        <v>5569</v>
      </c>
      <c r="H234" t="s">
        <v>4915</v>
      </c>
      <c r="I234" s="79" t="str">
        <f>IF(Tabla13[[#This Row],[RUT]]=774097899,"DIST",_xlfn.XLOOKUP(Tabla13[[#This Row],[VENDEDOR]],dimensiones!$C$21:$C$28,dimensiones!$D$21:$D$28,""))</f>
        <v>ATEL</v>
      </c>
      <c r="J234" s="125" t="str">
        <f>_xlfn.XLOOKUP(Tabla13[[#This Row],[REGION]],dimensiones!C:C,dimensiones!D:D,"")</f>
        <v>Región de Metropolitana de Santiago</v>
      </c>
    </row>
    <row r="235" spans="1:12" ht="14.25" customHeight="1" x14ac:dyDescent="0.25">
      <c r="A235">
        <v>130628583</v>
      </c>
      <c r="B235" t="s">
        <v>4447</v>
      </c>
      <c r="C235" t="s">
        <v>4170</v>
      </c>
      <c r="D235">
        <v>14</v>
      </c>
      <c r="E235" t="s">
        <v>4445</v>
      </c>
      <c r="F235" t="s">
        <v>4446</v>
      </c>
      <c r="G235" t="s">
        <v>5570</v>
      </c>
      <c r="H235" t="s">
        <v>4915</v>
      </c>
      <c r="I235" s="79" t="str">
        <f>IF(Tabla13[[#This Row],[RUT]]=774097899,"DIST",_xlfn.XLOOKUP(Tabla13[[#This Row],[VENDEDOR]],dimensiones!$C$21:$C$28,dimensiones!$D$21:$D$28,""))</f>
        <v>ATEL</v>
      </c>
      <c r="J235" s="125" t="str">
        <f>_xlfn.XLOOKUP(Tabla13[[#This Row],[REGION]],dimensiones!C:C,dimensiones!D:D,"")</f>
        <v>Región de Los Ríos</v>
      </c>
    </row>
    <row r="236" spans="1:12" ht="14.25" customHeight="1" x14ac:dyDescent="0.25">
      <c r="A236">
        <v>137714132</v>
      </c>
      <c r="B236" t="s">
        <v>762</v>
      </c>
      <c r="C236" t="s">
        <v>4448</v>
      </c>
      <c r="D236">
        <v>13</v>
      </c>
      <c r="E236" t="s">
        <v>4445</v>
      </c>
      <c r="F236" t="s">
        <v>4016</v>
      </c>
      <c r="G236" t="s">
        <v>5568</v>
      </c>
      <c r="H236" t="s">
        <v>4915</v>
      </c>
      <c r="I236" s="79" t="str">
        <f>IF(Tabla13[[#This Row],[RUT]]=774097899,"DIST",_xlfn.XLOOKUP(Tabla13[[#This Row],[VENDEDOR]],dimensiones!$C$21:$C$28,dimensiones!$D$21:$D$28,""))</f>
        <v>ATEL</v>
      </c>
      <c r="J236" s="125" t="str">
        <f>_xlfn.XLOOKUP(Tabla13[[#This Row],[REGION]],dimensiones!C:C,dimensiones!D:D,"")</f>
        <v>Región de Metropolitana de Santiago</v>
      </c>
    </row>
    <row r="237" spans="1:12" ht="14.25" customHeight="1" x14ac:dyDescent="0.25">
      <c r="A237">
        <v>138177564</v>
      </c>
      <c r="B237" t="s">
        <v>4019</v>
      </c>
      <c r="C237" t="s">
        <v>4170</v>
      </c>
      <c r="D237">
        <v>14</v>
      </c>
      <c r="E237" t="s">
        <v>4445</v>
      </c>
      <c r="F237" t="s">
        <v>4018</v>
      </c>
      <c r="G237" t="s">
        <v>5568</v>
      </c>
      <c r="H237" t="s">
        <v>4915</v>
      </c>
      <c r="I237" s="79" t="str">
        <f>IF(Tabla13[[#This Row],[RUT]]=774097899,"DIST",_xlfn.XLOOKUP(Tabla13[[#This Row],[VENDEDOR]],dimensiones!$C$21:$C$28,dimensiones!$D$21:$D$28,""))</f>
        <v>ATEL</v>
      </c>
      <c r="J237" s="125" t="str">
        <f>_xlfn.XLOOKUP(Tabla13[[#This Row],[REGION]],dimensiones!C:C,dimensiones!D:D,"")</f>
        <v>Región de Los Ríos</v>
      </c>
    </row>
    <row r="238" spans="1:12" ht="14.25" customHeight="1" x14ac:dyDescent="0.25">
      <c r="A238">
        <v>143751368</v>
      </c>
      <c r="B238" t="s">
        <v>5021</v>
      </c>
      <c r="C238" t="s">
        <v>4392</v>
      </c>
      <c r="D238">
        <v>8</v>
      </c>
      <c r="E238" t="s">
        <v>4445</v>
      </c>
      <c r="F238" t="s">
        <v>5149</v>
      </c>
      <c r="G238" t="s">
        <v>5568</v>
      </c>
      <c r="H238" t="s">
        <v>4915</v>
      </c>
      <c r="I238" s="79" t="str">
        <f>IF(Tabla13[[#This Row],[RUT]]=774097899,"DIST",_xlfn.XLOOKUP(Tabla13[[#This Row],[VENDEDOR]],dimensiones!$C$21:$C$28,dimensiones!$D$21:$D$28,""))</f>
        <v>ATEL</v>
      </c>
      <c r="J238" s="125" t="str">
        <f>_xlfn.XLOOKUP(Tabla13[[#This Row],[REGION]],dimensiones!C:C,dimensiones!D:D,"")</f>
        <v>Región de Biobío</v>
      </c>
    </row>
    <row r="239" spans="1:12" ht="14.25" customHeight="1" x14ac:dyDescent="0.25">
      <c r="A239">
        <v>150603439</v>
      </c>
      <c r="B239" t="s">
        <v>4978</v>
      </c>
      <c r="C239" t="s">
        <v>4192</v>
      </c>
      <c r="D239">
        <v>5</v>
      </c>
      <c r="E239" t="s">
        <v>4445</v>
      </c>
      <c r="F239" t="s">
        <v>4979</v>
      </c>
      <c r="G239" t="s">
        <v>5568</v>
      </c>
      <c r="H239" t="s">
        <v>4915</v>
      </c>
      <c r="I239" s="79" t="str">
        <f>IF(Tabla13[[#This Row],[RUT]]=774097899,"DIST",_xlfn.XLOOKUP(Tabla13[[#This Row],[VENDEDOR]],dimensiones!$C$21:$C$28,dimensiones!$D$21:$D$28,""))</f>
        <v>ATEL</v>
      </c>
      <c r="J239" s="125" t="str">
        <f>_xlfn.XLOOKUP(Tabla13[[#This Row],[REGION]],dimensiones!C:C,dimensiones!D:D,"")</f>
        <v>Región de Valparaíso</v>
      </c>
    </row>
    <row r="240" spans="1:12" ht="14.25" customHeight="1" x14ac:dyDescent="0.25">
      <c r="A240">
        <v>159017230</v>
      </c>
      <c r="B240" t="s">
        <v>160</v>
      </c>
      <c r="C240" t="s">
        <v>4171</v>
      </c>
      <c r="D240">
        <v>4</v>
      </c>
      <c r="E240" t="s">
        <v>4445</v>
      </c>
      <c r="F240" t="s">
        <v>2944</v>
      </c>
      <c r="G240" t="s">
        <v>5568</v>
      </c>
      <c r="H240" t="s">
        <v>4915</v>
      </c>
      <c r="I240" s="79" t="str">
        <f>IF(Tabla13[[#This Row],[RUT]]=774097899,"DIST",_xlfn.XLOOKUP(Tabla13[[#This Row],[VENDEDOR]],dimensiones!$C$21:$C$28,dimensiones!$D$21:$D$28,""))</f>
        <v>ATEL</v>
      </c>
      <c r="J240" s="125" t="str">
        <f>_xlfn.XLOOKUP(Tabla13[[#This Row],[REGION]],dimensiones!C:C,dimensiones!D:D,"")</f>
        <v>Región de Coquimbo</v>
      </c>
    </row>
    <row r="241" spans="1:10" ht="14.25" customHeight="1" x14ac:dyDescent="0.25">
      <c r="A241">
        <v>164793079</v>
      </c>
      <c r="B241" t="s">
        <v>161</v>
      </c>
      <c r="C241" t="s">
        <v>4449</v>
      </c>
      <c r="D241">
        <v>13</v>
      </c>
      <c r="E241" t="s">
        <v>4445</v>
      </c>
      <c r="F241" t="s">
        <v>4021</v>
      </c>
      <c r="G241" t="s">
        <v>5568</v>
      </c>
      <c r="H241" t="s">
        <v>4915</v>
      </c>
      <c r="I241" s="79" t="str">
        <f>IF(Tabla13[[#This Row],[RUT]]=774097899,"DIST",_xlfn.XLOOKUP(Tabla13[[#This Row],[VENDEDOR]],dimensiones!$C$21:$C$28,dimensiones!$D$21:$D$28,""))</f>
        <v>ATEL</v>
      </c>
      <c r="J241" s="125" t="str">
        <f>_xlfn.XLOOKUP(Tabla13[[#This Row],[REGION]],dimensiones!C:C,dimensiones!D:D,"")</f>
        <v>Región de Metropolitana de Santiago</v>
      </c>
    </row>
    <row r="242" spans="1:10" ht="14.25" customHeight="1" x14ac:dyDescent="0.25">
      <c r="A242">
        <v>167985769</v>
      </c>
      <c r="B242" t="s">
        <v>2861</v>
      </c>
      <c r="C242" t="s">
        <v>4528</v>
      </c>
      <c r="D242">
        <v>13</v>
      </c>
      <c r="E242" t="s">
        <v>5563</v>
      </c>
      <c r="F242" t="s">
        <v>5711</v>
      </c>
      <c r="H242" t="s">
        <v>4915</v>
      </c>
      <c r="I242" s="79" t="str">
        <f>IF(Tabla13[[#This Row],[RUT]]=774097899,"DIST",_xlfn.XLOOKUP(Tabla13[[#This Row],[VENDEDOR]],dimensiones!$C$21:$C$28,dimensiones!$D$21:$D$28,""))</f>
        <v/>
      </c>
      <c r="J242" s="125" t="str">
        <f>_xlfn.XLOOKUP(Tabla13[[#This Row],[REGION]],dimensiones!C:C,dimensiones!D:D,"")</f>
        <v>Región de Metropolitana de Santiago</v>
      </c>
    </row>
    <row r="243" spans="1:10" ht="14.25" customHeight="1" x14ac:dyDescent="0.25">
      <c r="A243">
        <v>176010681</v>
      </c>
      <c r="B243" t="s">
        <v>4451</v>
      </c>
      <c r="C243" t="s">
        <v>4409</v>
      </c>
      <c r="D243">
        <v>13</v>
      </c>
      <c r="E243" t="s">
        <v>4445</v>
      </c>
      <c r="F243" t="s">
        <v>4450</v>
      </c>
      <c r="G243" t="s">
        <v>5569</v>
      </c>
      <c r="H243" t="s">
        <v>4915</v>
      </c>
      <c r="I243" s="79" t="str">
        <f>IF(Tabla13[[#This Row],[RUT]]=774097899,"DIST",_xlfn.XLOOKUP(Tabla13[[#This Row],[VENDEDOR]],dimensiones!$C$21:$C$28,dimensiones!$D$21:$D$28,""))</f>
        <v>ATEL</v>
      </c>
      <c r="J243" s="125" t="str">
        <f>_xlfn.XLOOKUP(Tabla13[[#This Row],[REGION]],dimensiones!C:C,dimensiones!D:D,"")</f>
        <v>Región de Metropolitana de Santiago</v>
      </c>
    </row>
    <row r="244" spans="1:10" ht="14.25" customHeight="1" x14ac:dyDescent="0.25">
      <c r="A244" t="s">
        <v>4763</v>
      </c>
      <c r="B244" t="s">
        <v>4024</v>
      </c>
      <c r="C244" t="s">
        <v>4393</v>
      </c>
      <c r="D244">
        <v>13</v>
      </c>
      <c r="E244" t="s">
        <v>4445</v>
      </c>
      <c r="F244" t="s">
        <v>4023</v>
      </c>
      <c r="G244" t="s">
        <v>5568</v>
      </c>
      <c r="H244" t="s">
        <v>4915</v>
      </c>
      <c r="I244" s="79" t="str">
        <f>IF(Tabla13[[#This Row],[RUT]]=774097899,"DIST",_xlfn.XLOOKUP(Tabla13[[#This Row],[VENDEDOR]],dimensiones!$C$21:$C$28,dimensiones!$D$21:$D$28,""))</f>
        <v>ATEL</v>
      </c>
      <c r="J244" s="125" t="str">
        <f>_xlfn.XLOOKUP(Tabla13[[#This Row],[REGION]],dimensiones!C:C,dimensiones!D:D,"")</f>
        <v>Región de Metropolitana de Santiago</v>
      </c>
    </row>
    <row r="245" spans="1:10" ht="14.25" customHeight="1" x14ac:dyDescent="0.25">
      <c r="A245">
        <v>193613578</v>
      </c>
      <c r="B245" t="s">
        <v>5617</v>
      </c>
      <c r="C245" t="s">
        <v>4209</v>
      </c>
      <c r="D245">
        <v>6</v>
      </c>
      <c r="E245" t="s">
        <v>4445</v>
      </c>
      <c r="F245" t="s">
        <v>5618</v>
      </c>
      <c r="G245" t="s">
        <v>5568</v>
      </c>
      <c r="H245" t="s">
        <v>4915</v>
      </c>
      <c r="I245" s="79" t="str">
        <f>IF(Tabla13[[#This Row],[RUT]]=774097899,"DIST",_xlfn.XLOOKUP(Tabla13[[#This Row],[VENDEDOR]],dimensiones!$C$21:$C$28,dimensiones!$D$21:$D$28,""))</f>
        <v>ATEL</v>
      </c>
      <c r="J245" s="125" t="str">
        <f>_xlfn.XLOOKUP(Tabla13[[#This Row],[REGION]],dimensiones!C:C,dimensiones!D:D,"")</f>
        <v>Región de Libertador General Bernardo O'Higgins</v>
      </c>
    </row>
    <row r="246" spans="1:10" ht="14.25" customHeight="1" x14ac:dyDescent="0.25">
      <c r="A246">
        <v>236443140</v>
      </c>
      <c r="B246" t="s">
        <v>4027</v>
      </c>
      <c r="C246" t="s">
        <v>4410</v>
      </c>
      <c r="D246">
        <v>13</v>
      </c>
      <c r="E246" t="s">
        <v>4445</v>
      </c>
      <c r="F246" t="s">
        <v>4026</v>
      </c>
      <c r="G246" t="s">
        <v>5568</v>
      </c>
      <c r="H246" t="s">
        <v>4915</v>
      </c>
      <c r="I246" s="79" t="str">
        <f>IF(Tabla13[[#This Row],[RUT]]=774097899,"DIST",_xlfn.XLOOKUP(Tabla13[[#This Row],[VENDEDOR]],dimensiones!$C$21:$C$28,dimensiones!$D$21:$D$28,""))</f>
        <v>ATEL</v>
      </c>
      <c r="J246" s="125" t="str">
        <f>_xlfn.XLOOKUP(Tabla13[[#This Row],[REGION]],dimensiones!C:C,dimensiones!D:D,"")</f>
        <v>Región de Metropolitana de Santiago</v>
      </c>
    </row>
    <row r="247" spans="1:10" ht="14.25" customHeight="1" x14ac:dyDescent="0.25">
      <c r="A247">
        <v>267104476</v>
      </c>
      <c r="B247" t="s">
        <v>4030</v>
      </c>
      <c r="C247" t="s">
        <v>4410</v>
      </c>
      <c r="D247">
        <v>13</v>
      </c>
      <c r="E247" t="s">
        <v>4445</v>
      </c>
      <c r="F247" t="s">
        <v>4029</v>
      </c>
      <c r="G247" t="s">
        <v>5568</v>
      </c>
      <c r="H247" t="s">
        <v>4915</v>
      </c>
      <c r="I247" s="79" t="str">
        <f>IF(Tabla13[[#This Row],[RUT]]=774097899,"DIST",_xlfn.XLOOKUP(Tabla13[[#This Row],[VENDEDOR]],dimensiones!$C$21:$C$28,dimensiones!$D$21:$D$28,""))</f>
        <v>ATEL</v>
      </c>
      <c r="J247" s="125" t="str">
        <f>_xlfn.XLOOKUP(Tabla13[[#This Row],[REGION]],dimensiones!C:C,dimensiones!D:D,"")</f>
        <v>Región de Metropolitana de Santiago</v>
      </c>
    </row>
    <row r="248" spans="1:10" ht="14.25" customHeight="1" x14ac:dyDescent="0.25">
      <c r="A248">
        <v>531258509</v>
      </c>
      <c r="B248" t="s">
        <v>2036</v>
      </c>
      <c r="C248" t="s">
        <v>4452</v>
      </c>
      <c r="D248">
        <v>13</v>
      </c>
      <c r="E248" t="s">
        <v>4453</v>
      </c>
      <c r="F248" t="s">
        <v>2035</v>
      </c>
      <c r="G248" t="s">
        <v>5570</v>
      </c>
      <c r="H248" t="s">
        <v>4915</v>
      </c>
      <c r="I248" s="79" t="str">
        <f>IF(Tabla13[[#This Row],[RUT]]=774097899,"DIST",_xlfn.XLOOKUP(Tabla13[[#This Row],[VENDEDOR]],dimensiones!$C$21:$C$28,dimensiones!$D$21:$D$28,""))</f>
        <v>SANT2</v>
      </c>
      <c r="J248" s="125" t="str">
        <f>_xlfn.XLOOKUP(Tabla13[[#This Row],[REGION]],dimensiones!C:C,dimensiones!D:D,"")</f>
        <v>Región de Metropolitana de Santiago</v>
      </c>
    </row>
    <row r="249" spans="1:10" ht="14.25" customHeight="1" x14ac:dyDescent="0.25">
      <c r="A249" t="s">
        <v>141</v>
      </c>
      <c r="B249" t="s">
        <v>142</v>
      </c>
      <c r="C249" t="s">
        <v>4170</v>
      </c>
      <c r="D249">
        <v>14</v>
      </c>
      <c r="E249" t="s">
        <v>4454</v>
      </c>
      <c r="F249" t="s">
        <v>1200</v>
      </c>
      <c r="G249" t="s">
        <v>5570</v>
      </c>
      <c r="H249" t="s">
        <v>4957</v>
      </c>
      <c r="I249" s="79" t="str">
        <f>IF(Tabla13[[#This Row],[RUT]]=774097899,"DIST",_xlfn.XLOOKUP(Tabla13[[#This Row],[VENDEDOR]],dimensiones!$C$21:$C$28,dimensiones!$D$21:$D$28,""))</f>
        <v>SUR2</v>
      </c>
      <c r="J249" s="125" t="str">
        <f>_xlfn.XLOOKUP(Tabla13[[#This Row],[REGION]],dimensiones!C:C,dimensiones!D:D,"")</f>
        <v>Región de Los Ríos</v>
      </c>
    </row>
    <row r="250" spans="1:10" ht="14.25" customHeight="1" x14ac:dyDescent="0.25">
      <c r="A250">
        <v>58921203</v>
      </c>
      <c r="B250" t="s">
        <v>4418</v>
      </c>
      <c r="C250" t="s">
        <v>4456</v>
      </c>
      <c r="D250">
        <v>13</v>
      </c>
      <c r="E250" t="s">
        <v>4445</v>
      </c>
      <c r="F250" t="s">
        <v>4455</v>
      </c>
      <c r="G250" t="s">
        <v>5568</v>
      </c>
      <c r="H250" t="s">
        <v>4915</v>
      </c>
      <c r="I250" s="79" t="str">
        <f>IF(Tabla13[[#This Row],[RUT]]=774097899,"DIST",_xlfn.XLOOKUP(Tabla13[[#This Row],[VENDEDOR]],dimensiones!$C$21:$C$28,dimensiones!$D$21:$D$28,""))</f>
        <v>ATEL</v>
      </c>
      <c r="J250" s="125" t="str">
        <f>_xlfn.XLOOKUP(Tabla13[[#This Row],[REGION]],dimensiones!C:C,dimensiones!D:D,"")</f>
        <v>Región de Metropolitana de Santiago</v>
      </c>
    </row>
    <row r="251" spans="1:10" ht="14.25" customHeight="1" x14ac:dyDescent="0.25">
      <c r="A251" t="s">
        <v>4760</v>
      </c>
      <c r="B251" t="s">
        <v>1008</v>
      </c>
      <c r="C251" t="s">
        <v>4287</v>
      </c>
      <c r="D251">
        <v>13</v>
      </c>
      <c r="E251" t="s">
        <v>4445</v>
      </c>
      <c r="F251" t="s">
        <v>4034</v>
      </c>
      <c r="G251" t="s">
        <v>5568</v>
      </c>
      <c r="H251" t="s">
        <v>4915</v>
      </c>
      <c r="I251" s="79" t="str">
        <f>IF(Tabla13[[#This Row],[RUT]]=774097899,"DIST",_xlfn.XLOOKUP(Tabla13[[#This Row],[VENDEDOR]],dimensiones!$C$21:$C$28,dimensiones!$D$21:$D$28,""))</f>
        <v>ATEL</v>
      </c>
      <c r="J251" s="125" t="str">
        <f>_xlfn.XLOOKUP(Tabla13[[#This Row],[REGION]],dimensiones!C:C,dimensiones!D:D,"")</f>
        <v>Región de Metropolitana de Santiago</v>
      </c>
    </row>
    <row r="252" spans="1:10" ht="14.25" customHeight="1" x14ac:dyDescent="0.25">
      <c r="A252">
        <v>605055230</v>
      </c>
      <c r="B252" t="s">
        <v>1018</v>
      </c>
      <c r="C252" t="s">
        <v>4170</v>
      </c>
      <c r="D252">
        <v>14</v>
      </c>
      <c r="E252" t="s">
        <v>4445</v>
      </c>
      <c r="F252" t="s">
        <v>4036</v>
      </c>
      <c r="G252" t="s">
        <v>5571</v>
      </c>
      <c r="H252" t="s">
        <v>4957</v>
      </c>
      <c r="I252" s="79" t="str">
        <f>IF(Tabla13[[#This Row],[RUT]]=774097899,"DIST",_xlfn.XLOOKUP(Tabla13[[#This Row],[VENDEDOR]],dimensiones!$C$21:$C$28,dimensiones!$D$21:$D$28,""))</f>
        <v>ATEL</v>
      </c>
      <c r="J252" s="125" t="str">
        <f>_xlfn.XLOOKUP(Tabla13[[#This Row],[REGION]],dimensiones!C:C,dimensiones!D:D,"")</f>
        <v>Región de Los Ríos</v>
      </c>
    </row>
    <row r="253" spans="1:10" ht="14.25" customHeight="1" x14ac:dyDescent="0.25">
      <c r="A253">
        <v>605057233</v>
      </c>
      <c r="B253" t="s">
        <v>5</v>
      </c>
      <c r="C253" t="s">
        <v>4395</v>
      </c>
      <c r="D253">
        <v>13</v>
      </c>
      <c r="E253" t="s">
        <v>4457</v>
      </c>
      <c r="F253" t="s">
        <v>1822</v>
      </c>
      <c r="G253" t="s">
        <v>5572</v>
      </c>
      <c r="H253" t="s">
        <v>4957</v>
      </c>
      <c r="I253" s="79" t="str">
        <f>IF(Tabla13[[#This Row],[RUT]]=774097899,"DIST",_xlfn.XLOOKUP(Tabla13[[#This Row],[VENDEDOR]],dimensiones!$C$21:$C$28,dimensiones!$D$21:$D$28,""))</f>
        <v>SANT1</v>
      </c>
      <c r="J253" s="125" t="str">
        <f>_xlfn.XLOOKUP(Tabla13[[#This Row],[REGION]],dimensiones!C:C,dimensiones!D:D,"")</f>
        <v>Región de Metropolitana de Santiago</v>
      </c>
    </row>
    <row r="254" spans="1:10" ht="14.25" customHeight="1" x14ac:dyDescent="0.25">
      <c r="A254">
        <v>605140009</v>
      </c>
      <c r="B254" t="s">
        <v>7</v>
      </c>
      <c r="C254" t="s">
        <v>4169</v>
      </c>
      <c r="D254">
        <v>13</v>
      </c>
      <c r="E254" t="s">
        <v>4457</v>
      </c>
      <c r="F254" t="s">
        <v>2239</v>
      </c>
      <c r="G254" t="s">
        <v>5571</v>
      </c>
      <c r="H254" t="s">
        <v>4957</v>
      </c>
      <c r="I254" s="79" t="str">
        <f>IF(Tabla13[[#This Row],[RUT]]=774097899,"DIST",_xlfn.XLOOKUP(Tabla13[[#This Row],[VENDEDOR]],dimensiones!$C$21:$C$28,dimensiones!$D$21:$D$28,""))</f>
        <v>SANT1</v>
      </c>
      <c r="J254" s="125" t="str">
        <f>_xlfn.XLOOKUP(Tabla13[[#This Row],[REGION]],dimensiones!C:C,dimensiones!D:D,"")</f>
        <v>Región de Metropolitana de Santiago</v>
      </c>
    </row>
    <row r="255" spans="1:10" ht="14.25" customHeight="1" x14ac:dyDescent="0.25">
      <c r="A255">
        <v>608040072</v>
      </c>
      <c r="B255" t="s">
        <v>5712</v>
      </c>
      <c r="C255" t="s">
        <v>4192</v>
      </c>
      <c r="D255">
        <v>5</v>
      </c>
      <c r="E255" t="s">
        <v>4445</v>
      </c>
      <c r="F255" t="s">
        <v>5713</v>
      </c>
      <c r="G255" t="s">
        <v>5571</v>
      </c>
      <c r="H255" t="s">
        <v>4957</v>
      </c>
      <c r="I255" s="79" t="str">
        <f>IF(Tabla13[[#This Row],[RUT]]=774097899,"DIST",_xlfn.XLOOKUP(Tabla13[[#This Row],[VENDEDOR]],dimensiones!$C$21:$C$28,dimensiones!$D$21:$D$28,""))</f>
        <v>ATEL</v>
      </c>
      <c r="J255" s="125" t="str">
        <f>_xlfn.XLOOKUP(Tabla13[[#This Row],[REGION]],dimensiones!C:C,dimensiones!D:D,"")</f>
        <v>Región de Valparaíso</v>
      </c>
    </row>
    <row r="256" spans="1:10" ht="14.25" customHeight="1" x14ac:dyDescent="0.25">
      <c r="A256">
        <v>609100001</v>
      </c>
      <c r="B256" t="s">
        <v>8</v>
      </c>
      <c r="C256" t="s">
        <v>4458</v>
      </c>
      <c r="D256">
        <v>13</v>
      </c>
      <c r="E256" t="s">
        <v>4453</v>
      </c>
      <c r="F256" t="s">
        <v>2469</v>
      </c>
      <c r="G256" t="s">
        <v>5573</v>
      </c>
      <c r="H256" t="s">
        <v>4957</v>
      </c>
      <c r="I256" s="79" t="str">
        <f>IF(Tabla13[[#This Row],[RUT]]=774097899,"DIST",_xlfn.XLOOKUP(Tabla13[[#This Row],[VENDEDOR]],dimensiones!$C$21:$C$28,dimensiones!$D$21:$D$28,""))</f>
        <v>SANT2</v>
      </c>
      <c r="J256" s="125" t="str">
        <f>_xlfn.XLOOKUP(Tabla13[[#This Row],[REGION]],dimensiones!C:C,dimensiones!D:D,"")</f>
        <v>Región de Metropolitana de Santiago</v>
      </c>
    </row>
    <row r="257" spans="1:10" ht="14.25" customHeight="1" x14ac:dyDescent="0.25">
      <c r="A257">
        <v>609110007</v>
      </c>
      <c r="B257" t="s">
        <v>162</v>
      </c>
      <c r="C257" t="s">
        <v>4452</v>
      </c>
      <c r="D257">
        <v>13</v>
      </c>
      <c r="E257" t="s">
        <v>4445</v>
      </c>
      <c r="F257" t="s">
        <v>4043</v>
      </c>
      <c r="G257" t="s">
        <v>5573</v>
      </c>
      <c r="H257" t="s">
        <v>4957</v>
      </c>
      <c r="I257" s="79" t="str">
        <f>IF(Tabla13[[#This Row],[RUT]]=774097899,"DIST",_xlfn.XLOOKUP(Tabla13[[#This Row],[VENDEDOR]],dimensiones!$C$21:$C$28,dimensiones!$D$21:$D$28,""))</f>
        <v>ATEL</v>
      </c>
      <c r="J257" s="125" t="str">
        <f>_xlfn.XLOOKUP(Tabla13[[#This Row],[REGION]],dimensiones!C:C,dimensiones!D:D,"")</f>
        <v>Región de Metropolitana de Santiago</v>
      </c>
    </row>
    <row r="258" spans="1:10" ht="14.25" customHeight="1" x14ac:dyDescent="0.25">
      <c r="A258">
        <v>609210001</v>
      </c>
      <c r="B258" t="s">
        <v>163</v>
      </c>
      <c r="C258" t="s">
        <v>4175</v>
      </c>
      <c r="D258">
        <v>5</v>
      </c>
      <c r="E258" t="s">
        <v>4445</v>
      </c>
      <c r="F258" t="s">
        <v>3288</v>
      </c>
      <c r="G258" t="s">
        <v>5573</v>
      </c>
      <c r="H258" t="s">
        <v>4957</v>
      </c>
      <c r="I258" s="79" t="str">
        <f>IF(Tabla13[[#This Row],[RUT]]=774097899,"DIST",_xlfn.XLOOKUP(Tabla13[[#This Row],[VENDEDOR]],dimensiones!$C$21:$C$28,dimensiones!$D$21:$D$28,""))</f>
        <v>ATEL</v>
      </c>
      <c r="J258" s="125" t="str">
        <f>_xlfn.XLOOKUP(Tabla13[[#This Row],[REGION]],dimensiones!C:C,dimensiones!D:D,"")</f>
        <v>Región de Valparaíso</v>
      </c>
    </row>
    <row r="259" spans="1:10" ht="14.25" customHeight="1" x14ac:dyDescent="0.25">
      <c r="A259">
        <v>610040004</v>
      </c>
      <c r="B259" t="s">
        <v>885</v>
      </c>
      <c r="C259" t="s">
        <v>4168</v>
      </c>
      <c r="D259">
        <v>13</v>
      </c>
      <c r="E259" t="s">
        <v>4445</v>
      </c>
      <c r="F259" t="s">
        <v>4048</v>
      </c>
      <c r="G259" t="s">
        <v>5571</v>
      </c>
      <c r="H259" t="s">
        <v>4957</v>
      </c>
      <c r="I259" s="79" t="str">
        <f>IF(Tabla13[[#This Row],[RUT]]=774097899,"DIST",_xlfn.XLOOKUP(Tabla13[[#This Row],[VENDEDOR]],dimensiones!$C$21:$C$28,dimensiones!$D$21:$D$28,""))</f>
        <v>ATEL</v>
      </c>
      <c r="J259" s="125" t="str">
        <f>_xlfn.XLOOKUP(Tabla13[[#This Row],[REGION]],dimensiones!C:C,dimensiones!D:D,"")</f>
        <v>Región de Metropolitana de Santiago</v>
      </c>
    </row>
    <row r="260" spans="1:10" ht="14.25" customHeight="1" x14ac:dyDescent="0.25">
      <c r="A260">
        <v>610040101</v>
      </c>
      <c r="B260" t="s">
        <v>5672</v>
      </c>
      <c r="C260" t="s">
        <v>4466</v>
      </c>
      <c r="D260">
        <v>3</v>
      </c>
      <c r="E260" t="s">
        <v>4445</v>
      </c>
      <c r="F260" t="s">
        <v>5170</v>
      </c>
      <c r="G260" t="s">
        <v>5571</v>
      </c>
      <c r="H260" t="s">
        <v>4957</v>
      </c>
      <c r="I260" s="79" t="str">
        <f>IF(Tabla13[[#This Row],[RUT]]=774097899,"DIST",_xlfn.XLOOKUP(Tabla13[[#This Row],[VENDEDOR]],dimensiones!$C$21:$C$28,dimensiones!$D$21:$D$28,""))</f>
        <v>ATEL</v>
      </c>
      <c r="J260" s="125" t="str">
        <f>_xlfn.XLOOKUP(Tabla13[[#This Row],[REGION]],dimensiones!C:C,dimensiones!D:D,"")</f>
        <v>Región de Atacama</v>
      </c>
    </row>
    <row r="261" spans="1:10" ht="14.25" customHeight="1" x14ac:dyDescent="0.25">
      <c r="A261">
        <v>610040128</v>
      </c>
      <c r="B261" t="s">
        <v>1017</v>
      </c>
      <c r="C261" t="s">
        <v>4171</v>
      </c>
      <c r="D261">
        <v>4</v>
      </c>
      <c r="E261" t="s">
        <v>4445</v>
      </c>
      <c r="F261" t="s">
        <v>4049</v>
      </c>
      <c r="G261" t="s">
        <v>5571</v>
      </c>
      <c r="H261" t="s">
        <v>4957</v>
      </c>
      <c r="I261" s="79" t="str">
        <f>IF(Tabla13[[#This Row],[RUT]]=774097899,"DIST",_xlfn.XLOOKUP(Tabla13[[#This Row],[VENDEDOR]],dimensiones!$C$21:$C$28,dimensiones!$D$21:$D$28,""))</f>
        <v>ATEL</v>
      </c>
      <c r="J261" s="125" t="str">
        <f>_xlfn.XLOOKUP(Tabla13[[#This Row],[REGION]],dimensiones!C:C,dimensiones!D:D,"")</f>
        <v>Región de Coquimbo</v>
      </c>
    </row>
    <row r="262" spans="1:10" ht="14.25" customHeight="1" x14ac:dyDescent="0.25">
      <c r="A262">
        <v>610040241</v>
      </c>
      <c r="B262" t="s">
        <v>164</v>
      </c>
      <c r="C262" t="s">
        <v>4459</v>
      </c>
      <c r="D262">
        <v>5</v>
      </c>
      <c r="E262" t="s">
        <v>4445</v>
      </c>
      <c r="F262" t="s">
        <v>4051</v>
      </c>
      <c r="G262" t="s">
        <v>5571</v>
      </c>
      <c r="H262" t="s">
        <v>4957</v>
      </c>
      <c r="I262" s="79" t="str">
        <f>IF(Tabla13[[#This Row],[RUT]]=774097899,"DIST",_xlfn.XLOOKUP(Tabla13[[#This Row],[VENDEDOR]],dimensiones!$C$21:$C$28,dimensiones!$D$21:$D$28,""))</f>
        <v>ATEL</v>
      </c>
      <c r="J262" s="125" t="str">
        <f>_xlfn.XLOOKUP(Tabla13[[#This Row],[REGION]],dimensiones!C:C,dimensiones!D:D,"")</f>
        <v>Región de Valparaíso</v>
      </c>
    </row>
    <row r="263" spans="1:10" ht="14.25" customHeight="1" x14ac:dyDescent="0.25">
      <c r="A263" t="s">
        <v>620</v>
      </c>
      <c r="B263" t="s">
        <v>621</v>
      </c>
      <c r="C263" t="s">
        <v>4178</v>
      </c>
      <c r="D263">
        <v>6</v>
      </c>
      <c r="E263" t="s">
        <v>4445</v>
      </c>
      <c r="F263" t="s">
        <v>4053</v>
      </c>
      <c r="G263" t="s">
        <v>5571</v>
      </c>
      <c r="H263" t="s">
        <v>4957</v>
      </c>
      <c r="I263" s="79" t="str">
        <f>IF(Tabla13[[#This Row],[RUT]]=774097899,"DIST",_xlfn.XLOOKUP(Tabla13[[#This Row],[VENDEDOR]],dimensiones!$C$21:$C$28,dimensiones!$D$21:$D$28,""))</f>
        <v>ATEL</v>
      </c>
      <c r="J263" s="125" t="str">
        <f>_xlfn.XLOOKUP(Tabla13[[#This Row],[REGION]],dimensiones!C:C,dimensiones!D:D,"")</f>
        <v>Región de Libertador General Bernardo O'Higgins</v>
      </c>
    </row>
    <row r="264" spans="1:10" ht="14.25" customHeight="1" x14ac:dyDescent="0.25">
      <c r="A264">
        <v>610040683</v>
      </c>
      <c r="B264" t="s">
        <v>944</v>
      </c>
      <c r="C264" t="s">
        <v>4460</v>
      </c>
      <c r="D264">
        <v>8</v>
      </c>
      <c r="E264" t="s">
        <v>4445</v>
      </c>
      <c r="F264" t="s">
        <v>4055</v>
      </c>
      <c r="G264" t="s">
        <v>5571</v>
      </c>
      <c r="H264" t="s">
        <v>4957</v>
      </c>
      <c r="I264" s="79" t="str">
        <f>IF(Tabla13[[#This Row],[RUT]]=774097899,"DIST",_xlfn.XLOOKUP(Tabla13[[#This Row],[VENDEDOR]],dimensiones!$C$21:$C$28,dimensiones!$D$21:$D$28,""))</f>
        <v>ATEL</v>
      </c>
      <c r="J264" s="125" t="str">
        <f>_xlfn.XLOOKUP(Tabla13[[#This Row],[REGION]],dimensiones!C:C,dimensiones!D:D,"")</f>
        <v>Región de Biobío</v>
      </c>
    </row>
    <row r="265" spans="1:10" ht="14.25" customHeight="1" x14ac:dyDescent="0.25">
      <c r="A265">
        <v>610080006</v>
      </c>
      <c r="B265" t="s">
        <v>4462</v>
      </c>
      <c r="C265" t="s">
        <v>4460</v>
      </c>
      <c r="D265">
        <v>8</v>
      </c>
      <c r="E265" t="s">
        <v>4445</v>
      </c>
      <c r="F265" t="s">
        <v>4461</v>
      </c>
      <c r="G265" t="s">
        <v>5571</v>
      </c>
      <c r="H265" t="s">
        <v>4957</v>
      </c>
      <c r="I265" s="79" t="str">
        <f>IF(Tabla13[[#This Row],[RUT]]=774097899,"DIST",_xlfn.XLOOKUP(Tabla13[[#This Row],[VENDEDOR]],dimensiones!$C$21:$C$28,dimensiones!$D$21:$D$28,""))</f>
        <v>ATEL</v>
      </c>
      <c r="J265" s="125" t="str">
        <f>_xlfn.XLOOKUP(Tabla13[[#This Row],[REGION]],dimensiones!C:C,dimensiones!D:D,"")</f>
        <v>Región de Biobío</v>
      </c>
    </row>
    <row r="266" spans="1:10" ht="14.25" customHeight="1" x14ac:dyDescent="0.25">
      <c r="A266">
        <v>611010303</v>
      </c>
      <c r="B266" t="s">
        <v>9</v>
      </c>
      <c r="C266" t="s">
        <v>4463</v>
      </c>
      <c r="D266">
        <v>13</v>
      </c>
      <c r="E266" t="s">
        <v>4457</v>
      </c>
      <c r="F266" t="s">
        <v>2172</v>
      </c>
      <c r="G266" t="s">
        <v>5572</v>
      </c>
      <c r="H266" t="s">
        <v>4957</v>
      </c>
      <c r="I266" s="79" t="str">
        <f>IF(Tabla13[[#This Row],[RUT]]=774097899,"DIST",_xlfn.XLOOKUP(Tabla13[[#This Row],[VENDEDOR]],dimensiones!$C$21:$C$28,dimensiones!$D$21:$D$28,""))</f>
        <v>SANT1</v>
      </c>
      <c r="J266" s="125" t="str">
        <f>_xlfn.XLOOKUP(Tabla13[[#This Row],[REGION]],dimensiones!C:C,dimensiones!D:D,"")</f>
        <v>Región de Metropolitana de Santiago</v>
      </c>
    </row>
    <row r="267" spans="1:10" ht="14.25" customHeight="1" x14ac:dyDescent="0.25">
      <c r="A267">
        <v>611010311</v>
      </c>
      <c r="B267" t="s">
        <v>2641</v>
      </c>
      <c r="C267" t="s">
        <v>4168</v>
      </c>
      <c r="D267">
        <v>13</v>
      </c>
      <c r="E267" t="s">
        <v>4445</v>
      </c>
      <c r="F267" t="s">
        <v>2640</v>
      </c>
      <c r="G267" t="s">
        <v>5571</v>
      </c>
      <c r="H267" t="s">
        <v>4957</v>
      </c>
      <c r="I267" s="79" t="str">
        <f>IF(Tabla13[[#This Row],[RUT]]=774097899,"DIST",_xlfn.XLOOKUP(Tabla13[[#This Row],[VENDEDOR]],dimensiones!$C$21:$C$28,dimensiones!$D$21:$D$28,""))</f>
        <v>ATEL</v>
      </c>
      <c r="J267" s="125" t="str">
        <f>_xlfn.XLOOKUP(Tabla13[[#This Row],[REGION]],dimensiones!C:C,dimensiones!D:D,"")</f>
        <v>Región de Metropolitana de Santiago</v>
      </c>
    </row>
    <row r="268" spans="1:10" ht="14.25" customHeight="1" x14ac:dyDescent="0.25">
      <c r="A268">
        <v>611010826</v>
      </c>
      <c r="B268" t="s">
        <v>4060</v>
      </c>
      <c r="C268" t="s">
        <v>4181</v>
      </c>
      <c r="D268">
        <v>15</v>
      </c>
      <c r="E268" t="s">
        <v>4445</v>
      </c>
      <c r="F268" t="s">
        <v>4059</v>
      </c>
      <c r="G268" t="s">
        <v>5571</v>
      </c>
      <c r="H268" t="s">
        <v>4957</v>
      </c>
      <c r="I268" s="79" t="str">
        <f>IF(Tabla13[[#This Row],[RUT]]=774097899,"DIST",_xlfn.XLOOKUP(Tabla13[[#This Row],[VENDEDOR]],dimensiones!$C$21:$C$28,dimensiones!$D$21:$D$28,""))</f>
        <v>ATEL</v>
      </c>
      <c r="J268" s="125" t="str">
        <f>_xlfn.XLOOKUP(Tabla13[[#This Row],[REGION]],dimensiones!C:C,dimensiones!D:D,"")</f>
        <v>Región de Arica y Parinacota</v>
      </c>
    </row>
    <row r="269" spans="1:10" ht="14.25" customHeight="1" x14ac:dyDescent="0.25">
      <c r="A269">
        <v>611010869</v>
      </c>
      <c r="B269" t="s">
        <v>166</v>
      </c>
      <c r="C269" t="s">
        <v>4182</v>
      </c>
      <c r="D269">
        <v>2</v>
      </c>
      <c r="E269" t="s">
        <v>4445</v>
      </c>
      <c r="F269" t="s">
        <v>1434</v>
      </c>
      <c r="G269" t="s">
        <v>5572</v>
      </c>
      <c r="H269" t="s">
        <v>4957</v>
      </c>
      <c r="I269" s="79" t="str">
        <f>IF(Tabla13[[#This Row],[RUT]]=774097899,"DIST",_xlfn.XLOOKUP(Tabla13[[#This Row],[VENDEDOR]],dimensiones!$C$21:$C$28,dimensiones!$D$21:$D$28,""))</f>
        <v>ATEL</v>
      </c>
      <c r="J269" s="125" t="str">
        <f>_xlfn.XLOOKUP(Tabla13[[#This Row],[REGION]],dimensiones!C:C,dimensiones!D:D,"")</f>
        <v>Región de Antofagasta</v>
      </c>
    </row>
    <row r="270" spans="1:10" ht="14.25" customHeight="1" x14ac:dyDescent="0.25">
      <c r="A270">
        <v>611020171</v>
      </c>
      <c r="B270" t="s">
        <v>10</v>
      </c>
      <c r="C270" t="s">
        <v>4175</v>
      </c>
      <c r="D270">
        <v>5</v>
      </c>
      <c r="E270" t="s">
        <v>2372</v>
      </c>
      <c r="F270" t="s">
        <v>1329</v>
      </c>
      <c r="G270" t="s">
        <v>5572</v>
      </c>
      <c r="H270" t="s">
        <v>4957</v>
      </c>
      <c r="I270" s="79" t="str">
        <f>IF(Tabla13[[#This Row],[RUT]]=774097899,"DIST",_xlfn.XLOOKUP(Tabla13[[#This Row],[VENDEDOR]],dimensiones!$C$21:$C$28,dimensiones!$D$21:$D$28,""))</f>
        <v>NOR1</v>
      </c>
      <c r="J270" s="125" t="str">
        <f>_xlfn.XLOOKUP(Tabla13[[#This Row],[REGION]],dimensiones!C:C,dimensiones!D:D,"")</f>
        <v>Región de Valparaíso</v>
      </c>
    </row>
    <row r="271" spans="1:10" ht="14.25" customHeight="1" x14ac:dyDescent="0.25">
      <c r="A271">
        <v>611020252</v>
      </c>
      <c r="B271" t="s">
        <v>11</v>
      </c>
      <c r="C271" t="s">
        <v>4183</v>
      </c>
      <c r="D271">
        <v>8</v>
      </c>
      <c r="E271" t="s">
        <v>4464</v>
      </c>
      <c r="F271" t="s">
        <v>3614</v>
      </c>
      <c r="G271" t="s">
        <v>5572</v>
      </c>
      <c r="H271" t="s">
        <v>4957</v>
      </c>
      <c r="I271" s="79" t="str">
        <f>IF(Tabla13[[#This Row],[RUT]]=774097899,"DIST",_xlfn.XLOOKUP(Tabla13[[#This Row],[VENDEDOR]],dimensiones!$C$21:$C$28,dimensiones!$D$21:$D$28,""))</f>
        <v>SUR1</v>
      </c>
      <c r="J271" s="125" t="str">
        <f>_xlfn.XLOOKUP(Tabla13[[#This Row],[REGION]],dimensiones!C:C,dimensiones!D:D,"")</f>
        <v>Región de Biobío</v>
      </c>
    </row>
    <row r="272" spans="1:10" ht="14.25" customHeight="1" x14ac:dyDescent="0.25">
      <c r="A272">
        <v>611020295</v>
      </c>
      <c r="B272" t="s">
        <v>167</v>
      </c>
      <c r="C272" t="s">
        <v>4185</v>
      </c>
      <c r="D272">
        <v>12</v>
      </c>
      <c r="E272" t="s">
        <v>4445</v>
      </c>
      <c r="F272" t="s">
        <v>2213</v>
      </c>
      <c r="G272" t="s">
        <v>5572</v>
      </c>
      <c r="H272" t="s">
        <v>4957</v>
      </c>
      <c r="I272" s="79" t="str">
        <f>IF(Tabla13[[#This Row],[RUT]]=774097899,"DIST",_xlfn.XLOOKUP(Tabla13[[#This Row],[VENDEDOR]],dimensiones!$C$21:$C$28,dimensiones!$D$21:$D$28,""))</f>
        <v>ATEL</v>
      </c>
      <c r="J272" s="125" t="str">
        <f>_xlfn.XLOOKUP(Tabla13[[#This Row],[REGION]],dimensiones!C:C,dimensiones!D:D,"")</f>
        <v>Región de Magallanes y de la Antártica Chilena</v>
      </c>
    </row>
    <row r="273" spans="1:10" ht="14.25" customHeight="1" x14ac:dyDescent="0.25">
      <c r="A273">
        <v>611020678</v>
      </c>
      <c r="B273" t="s">
        <v>168</v>
      </c>
      <c r="C273" t="s">
        <v>4183</v>
      </c>
      <c r="D273">
        <v>8</v>
      </c>
      <c r="E273" t="s">
        <v>4445</v>
      </c>
      <c r="F273" t="s">
        <v>2286</v>
      </c>
      <c r="G273" t="s">
        <v>5571</v>
      </c>
      <c r="H273" t="s">
        <v>4957</v>
      </c>
      <c r="I273" s="79" t="str">
        <f>IF(Tabla13[[#This Row],[RUT]]=774097899,"DIST",_xlfn.XLOOKUP(Tabla13[[#This Row],[VENDEDOR]],dimensiones!$C$21:$C$28,dimensiones!$D$21:$D$28,""))</f>
        <v>ATEL</v>
      </c>
      <c r="J273" s="125" t="str">
        <f>_xlfn.XLOOKUP(Tabla13[[#This Row],[REGION]],dimensiones!C:C,dimensiones!D:D,"")</f>
        <v>Región de Biobío</v>
      </c>
    </row>
    <row r="274" spans="1:10" ht="14.25" customHeight="1" x14ac:dyDescent="0.25">
      <c r="A274">
        <v>611030061</v>
      </c>
      <c r="B274" t="s">
        <v>1021</v>
      </c>
      <c r="C274" t="s">
        <v>4186</v>
      </c>
      <c r="D274">
        <v>1</v>
      </c>
      <c r="E274" t="s">
        <v>4453</v>
      </c>
      <c r="F274" t="s">
        <v>4074</v>
      </c>
      <c r="G274" t="s">
        <v>5568</v>
      </c>
      <c r="H274" t="s">
        <v>4957</v>
      </c>
      <c r="I274" s="79" t="str">
        <f>IF(Tabla13[[#This Row],[RUT]]=774097899,"DIST",_xlfn.XLOOKUP(Tabla13[[#This Row],[VENDEDOR]],dimensiones!$C$21:$C$28,dimensiones!$D$21:$D$28,""))</f>
        <v>SANT2</v>
      </c>
      <c r="J274" s="125" t="str">
        <f>_xlfn.XLOOKUP(Tabla13[[#This Row],[REGION]],dimensiones!C:C,dimensiones!D:D,"")</f>
        <v>Región de Tarapacá</v>
      </c>
    </row>
    <row r="275" spans="1:10" ht="14.25" customHeight="1" x14ac:dyDescent="0.25">
      <c r="A275" t="s">
        <v>143</v>
      </c>
      <c r="B275" t="s">
        <v>144</v>
      </c>
      <c r="C275" t="s">
        <v>4465</v>
      </c>
      <c r="D275">
        <v>13</v>
      </c>
      <c r="E275" t="s">
        <v>4457</v>
      </c>
      <c r="F275" t="s">
        <v>3804</v>
      </c>
      <c r="G275" t="s">
        <v>5572</v>
      </c>
      <c r="H275" t="s">
        <v>4957</v>
      </c>
      <c r="I275" s="79" t="str">
        <f>IF(Tabla13[[#This Row],[RUT]]=774097899,"DIST",_xlfn.XLOOKUP(Tabla13[[#This Row],[VENDEDOR]],dimensiones!$C$21:$C$28,dimensiones!$D$21:$D$28,""))</f>
        <v>SANT1</v>
      </c>
      <c r="J275" s="125" t="str">
        <f>_xlfn.XLOOKUP(Tabla13[[#This Row],[REGION]],dimensiones!C:C,dimensiones!D:D,"")</f>
        <v>Región de Metropolitana de Santiago</v>
      </c>
    </row>
    <row r="276" spans="1:10" ht="14.25" customHeight="1" x14ac:dyDescent="0.25">
      <c r="A276">
        <v>611030193</v>
      </c>
      <c r="B276" t="s">
        <v>169</v>
      </c>
      <c r="C276" t="s">
        <v>4182</v>
      </c>
      <c r="D276">
        <v>2</v>
      </c>
      <c r="E276" t="s">
        <v>4445</v>
      </c>
      <c r="F276" t="s">
        <v>4079</v>
      </c>
      <c r="G276" t="s">
        <v>5571</v>
      </c>
      <c r="H276" t="s">
        <v>4957</v>
      </c>
      <c r="I276" s="79" t="str">
        <f>IF(Tabla13[[#This Row],[RUT]]=774097899,"DIST",_xlfn.XLOOKUP(Tabla13[[#This Row],[VENDEDOR]],dimensiones!$C$21:$C$28,dimensiones!$D$21:$D$28,""))</f>
        <v>ATEL</v>
      </c>
      <c r="J276" s="125" t="str">
        <f>_xlfn.XLOOKUP(Tabla13[[#This Row],[REGION]],dimensiones!C:C,dimensiones!D:D,"")</f>
        <v>Región de Antofagasta</v>
      </c>
    </row>
    <row r="277" spans="1:10" ht="14.25" customHeight="1" x14ac:dyDescent="0.25">
      <c r="A277">
        <v>611030355</v>
      </c>
      <c r="B277" t="s">
        <v>1000</v>
      </c>
      <c r="C277" t="s">
        <v>4411</v>
      </c>
      <c r="D277">
        <v>13</v>
      </c>
      <c r="E277" t="s">
        <v>4445</v>
      </c>
      <c r="F277" t="s">
        <v>4081</v>
      </c>
      <c r="G277" t="s">
        <v>5571</v>
      </c>
      <c r="H277" t="s">
        <v>4957</v>
      </c>
      <c r="I277" s="79" t="str">
        <f>IF(Tabla13[[#This Row],[RUT]]=774097899,"DIST",_xlfn.XLOOKUP(Tabla13[[#This Row],[VENDEDOR]],dimensiones!$C$21:$C$28,dimensiones!$D$21:$D$28,""))</f>
        <v>ATEL</v>
      </c>
      <c r="J277" s="125" t="str">
        <f>_xlfn.XLOOKUP(Tabla13[[#This Row],[REGION]],dimensiones!C:C,dimensiones!D:D,"")</f>
        <v>Región de Metropolitana de Santiago</v>
      </c>
    </row>
    <row r="278" spans="1:10" ht="14.25" customHeight="1" x14ac:dyDescent="0.25">
      <c r="A278">
        <v>611070004</v>
      </c>
      <c r="B278" t="s">
        <v>4084</v>
      </c>
      <c r="C278" t="s">
        <v>4391</v>
      </c>
      <c r="D278">
        <v>13</v>
      </c>
      <c r="E278" t="s">
        <v>4445</v>
      </c>
      <c r="F278" t="s">
        <v>4083</v>
      </c>
      <c r="G278" t="s">
        <v>5571</v>
      </c>
      <c r="H278" t="s">
        <v>4957</v>
      </c>
      <c r="I278" s="79" t="str">
        <f>IF(Tabla13[[#This Row],[RUT]]=774097899,"DIST",_xlfn.XLOOKUP(Tabla13[[#This Row],[VENDEDOR]],dimensiones!$C$21:$C$28,dimensiones!$D$21:$D$28,""))</f>
        <v>ATEL</v>
      </c>
      <c r="J278" s="125" t="str">
        <f>_xlfn.XLOOKUP(Tabla13[[#This Row],[REGION]],dimensiones!C:C,dimensiones!D:D,"")</f>
        <v>Región de Metropolitana de Santiago</v>
      </c>
    </row>
    <row r="279" spans="1:10" ht="14.25" customHeight="1" x14ac:dyDescent="0.25">
      <c r="A279" t="s">
        <v>622</v>
      </c>
      <c r="B279" t="s">
        <v>623</v>
      </c>
      <c r="C279" t="s">
        <v>4177</v>
      </c>
      <c r="D279">
        <v>13</v>
      </c>
      <c r="E279" t="s">
        <v>4445</v>
      </c>
      <c r="F279" t="s">
        <v>3649</v>
      </c>
      <c r="G279" t="s">
        <v>5571</v>
      </c>
      <c r="H279" t="s">
        <v>4957</v>
      </c>
      <c r="I279" s="79" t="str">
        <f>IF(Tabla13[[#This Row],[RUT]]=774097899,"DIST",_xlfn.XLOOKUP(Tabla13[[#This Row],[VENDEDOR]],dimensiones!$C$21:$C$28,dimensiones!$D$21:$D$28,""))</f>
        <v>ATEL</v>
      </c>
      <c r="J279" s="125" t="str">
        <f>_xlfn.XLOOKUP(Tabla13[[#This Row],[REGION]],dimensiones!C:C,dimensiones!D:D,"")</f>
        <v>Región de Metropolitana de Santiago</v>
      </c>
    </row>
    <row r="280" spans="1:10" ht="14.25" customHeight="1" x14ac:dyDescent="0.25">
      <c r="A280">
        <v>613080007</v>
      </c>
      <c r="B280" t="s">
        <v>170</v>
      </c>
      <c r="C280" t="s">
        <v>4466</v>
      </c>
      <c r="D280">
        <v>3</v>
      </c>
      <c r="E280" t="s">
        <v>4445</v>
      </c>
      <c r="F280" t="s">
        <v>4086</v>
      </c>
      <c r="G280" t="s">
        <v>5571</v>
      </c>
      <c r="H280" t="s">
        <v>4957</v>
      </c>
      <c r="I280" s="79" t="str">
        <f>IF(Tabla13[[#This Row],[RUT]]=774097899,"DIST",_xlfn.XLOOKUP(Tabla13[[#This Row],[VENDEDOR]],dimensiones!$C$21:$C$28,dimensiones!$D$21:$D$28,""))</f>
        <v>ATEL</v>
      </c>
      <c r="J280" s="125" t="str">
        <f>_xlfn.XLOOKUP(Tabla13[[#This Row],[REGION]],dimensiones!C:C,dimensiones!D:D,"")</f>
        <v>Región de Atacama</v>
      </c>
    </row>
    <row r="281" spans="1:10" ht="14.25" customHeight="1" x14ac:dyDescent="0.25">
      <c r="A281">
        <v>613130004</v>
      </c>
      <c r="B281" t="s">
        <v>989</v>
      </c>
      <c r="C281" t="s">
        <v>4467</v>
      </c>
      <c r="D281">
        <v>14</v>
      </c>
      <c r="E281" t="s">
        <v>4445</v>
      </c>
      <c r="F281" t="s">
        <v>4088</v>
      </c>
      <c r="G281" t="s">
        <v>5574</v>
      </c>
      <c r="H281" t="s">
        <v>4957</v>
      </c>
      <c r="I281" s="79" t="str">
        <f>IF(Tabla13[[#This Row],[RUT]]=774097899,"DIST",_xlfn.XLOOKUP(Tabla13[[#This Row],[VENDEDOR]],dimensiones!$C$21:$C$28,dimensiones!$D$21:$D$28,""))</f>
        <v>ATEL</v>
      </c>
      <c r="J281" s="125" t="str">
        <f>_xlfn.XLOOKUP(Tabla13[[#This Row],[REGION]],dimensiones!C:C,dimensiones!D:D,"")</f>
        <v>Región de Los Ríos</v>
      </c>
    </row>
    <row r="282" spans="1:10" ht="14.25" customHeight="1" x14ac:dyDescent="0.25">
      <c r="A282">
        <v>615130036</v>
      </c>
      <c r="B282" t="s">
        <v>7</v>
      </c>
      <c r="C282" t="s">
        <v>4465</v>
      </c>
      <c r="D282">
        <v>13</v>
      </c>
      <c r="E282" t="s">
        <v>4457</v>
      </c>
      <c r="F282" t="s">
        <v>2590</v>
      </c>
      <c r="G282" t="s">
        <v>5571</v>
      </c>
      <c r="H282" t="s">
        <v>4957</v>
      </c>
      <c r="I282" s="79" t="str">
        <f>IF(Tabla13[[#This Row],[RUT]]=774097899,"DIST",_xlfn.XLOOKUP(Tabla13[[#This Row],[VENDEDOR]],dimensiones!$C$21:$C$28,dimensiones!$D$21:$D$28,""))</f>
        <v>SANT1</v>
      </c>
      <c r="J282" s="125" t="str">
        <f>_xlfn.XLOOKUP(Tabla13[[#This Row],[REGION]],dimensiones!C:C,dimensiones!D:D,"")</f>
        <v>Región de Metropolitana de Santiago</v>
      </c>
    </row>
    <row r="283" spans="1:10" ht="14.25" customHeight="1" x14ac:dyDescent="0.25">
      <c r="A283" t="s">
        <v>624</v>
      </c>
      <c r="B283" t="s">
        <v>625</v>
      </c>
      <c r="C283" t="s">
        <v>4459</v>
      </c>
      <c r="D283">
        <v>4</v>
      </c>
      <c r="E283" t="s">
        <v>4445</v>
      </c>
      <c r="F283" t="s">
        <v>4093</v>
      </c>
      <c r="G283" t="s">
        <v>5571</v>
      </c>
      <c r="H283" t="s">
        <v>4957</v>
      </c>
      <c r="I283" s="79" t="str">
        <f>IF(Tabla13[[#This Row],[RUT]]=774097899,"DIST",_xlfn.XLOOKUP(Tabla13[[#This Row],[VENDEDOR]],dimensiones!$C$21:$C$28,dimensiones!$D$21:$D$28,""))</f>
        <v>ATEL</v>
      </c>
      <c r="J283" s="125" t="str">
        <f>_xlfn.XLOOKUP(Tabla13[[#This Row],[REGION]],dimensiones!C:C,dimensiones!D:D,"")</f>
        <v>Región de Coquimbo</v>
      </c>
    </row>
    <row r="284" spans="1:10" ht="14.25" customHeight="1" x14ac:dyDescent="0.25">
      <c r="A284">
        <v>616020366</v>
      </c>
      <c r="B284" t="s">
        <v>13</v>
      </c>
      <c r="C284" t="s">
        <v>4192</v>
      </c>
      <c r="D284">
        <v>5</v>
      </c>
      <c r="E284" t="s">
        <v>2372</v>
      </c>
      <c r="F284" t="s">
        <v>4095</v>
      </c>
      <c r="G284" t="s">
        <v>5572</v>
      </c>
      <c r="H284" t="s">
        <v>4957</v>
      </c>
      <c r="I284" s="79" t="str">
        <f>IF(Tabla13[[#This Row],[RUT]]=774097899,"DIST",_xlfn.XLOOKUP(Tabla13[[#This Row],[VENDEDOR]],dimensiones!$C$21:$C$28,dimensiones!$D$21:$D$28,""))</f>
        <v>NOR1</v>
      </c>
      <c r="J284" s="125" t="str">
        <f>_xlfn.XLOOKUP(Tabla13[[#This Row],[REGION]],dimensiones!C:C,dimensiones!D:D,"")</f>
        <v>Región de Valparaíso</v>
      </c>
    </row>
    <row r="285" spans="1:10" ht="14.25" customHeight="1" x14ac:dyDescent="0.25">
      <c r="A285">
        <v>616020382</v>
      </c>
      <c r="B285" t="s">
        <v>742</v>
      </c>
      <c r="C285" t="s">
        <v>4174</v>
      </c>
      <c r="D285">
        <v>5</v>
      </c>
      <c r="E285" t="s">
        <v>2372</v>
      </c>
      <c r="F285" t="s">
        <v>3290</v>
      </c>
      <c r="G285" t="s">
        <v>5572</v>
      </c>
      <c r="H285" t="s">
        <v>4957</v>
      </c>
      <c r="I285" s="79" t="str">
        <f>IF(Tabla13[[#This Row],[RUT]]=774097899,"DIST",_xlfn.XLOOKUP(Tabla13[[#This Row],[VENDEDOR]],dimensiones!$C$21:$C$28,dimensiones!$D$21:$D$28,""))</f>
        <v>NOR1</v>
      </c>
      <c r="J285" s="125" t="str">
        <f>_xlfn.XLOOKUP(Tabla13[[#This Row],[REGION]],dimensiones!C:C,dimensiones!D:D,"")</f>
        <v>Región de Valparaíso</v>
      </c>
    </row>
    <row r="286" spans="1:10" ht="14.25" customHeight="1" x14ac:dyDescent="0.25">
      <c r="A286">
        <v>616020404</v>
      </c>
      <c r="B286" t="s">
        <v>4428</v>
      </c>
      <c r="C286" t="s">
        <v>4256</v>
      </c>
      <c r="D286">
        <v>5</v>
      </c>
      <c r="E286" t="s">
        <v>4445</v>
      </c>
      <c r="F286" t="s">
        <v>4468</v>
      </c>
      <c r="G286" t="s">
        <v>5572</v>
      </c>
      <c r="H286" t="s">
        <v>4957</v>
      </c>
      <c r="I286" s="79" t="str">
        <f>IF(Tabla13[[#This Row],[RUT]]=774097899,"DIST",_xlfn.XLOOKUP(Tabla13[[#This Row],[VENDEDOR]],dimensiones!$C$21:$C$28,dimensiones!$D$21:$D$28,""))</f>
        <v>ATEL</v>
      </c>
      <c r="J286" s="125" t="str">
        <f>_xlfn.XLOOKUP(Tabla13[[#This Row],[REGION]],dimensiones!C:C,dimensiones!D:D,"")</f>
        <v>Región de Valparaíso</v>
      </c>
    </row>
    <row r="287" spans="1:10" ht="14.25" customHeight="1" x14ac:dyDescent="0.25">
      <c r="A287">
        <v>616020420</v>
      </c>
      <c r="B287" t="s">
        <v>764</v>
      </c>
      <c r="C287" t="s">
        <v>4469</v>
      </c>
      <c r="D287">
        <v>5</v>
      </c>
      <c r="E287" t="s">
        <v>4445</v>
      </c>
      <c r="F287" t="s">
        <v>1375</v>
      </c>
      <c r="G287" t="s">
        <v>5572</v>
      </c>
      <c r="H287" t="s">
        <v>4957</v>
      </c>
      <c r="I287" s="79" t="str">
        <f>IF(Tabla13[[#This Row],[RUT]]=774097899,"DIST",_xlfn.XLOOKUP(Tabla13[[#This Row],[VENDEDOR]],dimensiones!$C$21:$C$28,dimensiones!$D$21:$D$28,""))</f>
        <v>ATEL</v>
      </c>
      <c r="J287" s="125" t="str">
        <f>_xlfn.XLOOKUP(Tabla13[[#This Row],[REGION]],dimensiones!C:C,dimensiones!D:D,"")</f>
        <v>Región de Valparaíso</v>
      </c>
    </row>
    <row r="288" spans="1:10" ht="14.25" customHeight="1" x14ac:dyDescent="0.25">
      <c r="A288">
        <v>616020544</v>
      </c>
      <c r="B288" t="s">
        <v>14</v>
      </c>
      <c r="C288" t="s">
        <v>4459</v>
      </c>
      <c r="D288">
        <v>5</v>
      </c>
      <c r="E288" t="s">
        <v>2372</v>
      </c>
      <c r="F288" t="s">
        <v>1785</v>
      </c>
      <c r="G288" t="s">
        <v>5572</v>
      </c>
      <c r="H288" t="s">
        <v>4957</v>
      </c>
      <c r="I288" s="79" t="str">
        <f>IF(Tabla13[[#This Row],[RUT]]=774097899,"DIST",_xlfn.XLOOKUP(Tabla13[[#This Row],[VENDEDOR]],dimensiones!$C$21:$C$28,dimensiones!$D$21:$D$28,""))</f>
        <v>NOR1</v>
      </c>
      <c r="J288" s="125" t="str">
        <f>_xlfn.XLOOKUP(Tabla13[[#This Row],[REGION]],dimensiones!C:C,dimensiones!D:D,"")</f>
        <v>Región de Valparaíso</v>
      </c>
    </row>
    <row r="289" spans="1:10" ht="14.25" customHeight="1" x14ac:dyDescent="0.25">
      <c r="A289">
        <v>616020579</v>
      </c>
      <c r="B289" t="s">
        <v>15</v>
      </c>
      <c r="C289" t="s">
        <v>4459</v>
      </c>
      <c r="D289">
        <v>5</v>
      </c>
      <c r="E289" t="s">
        <v>2372</v>
      </c>
      <c r="F289" t="s">
        <v>3727</v>
      </c>
      <c r="G289" t="s">
        <v>5572</v>
      </c>
      <c r="H289" t="s">
        <v>4957</v>
      </c>
      <c r="I289" s="79" t="str">
        <f>IF(Tabla13[[#This Row],[RUT]]=774097899,"DIST",_xlfn.XLOOKUP(Tabla13[[#This Row],[VENDEDOR]],dimensiones!$C$21:$C$28,dimensiones!$D$21:$D$28,""))</f>
        <v>NOR1</v>
      </c>
      <c r="J289" s="125" t="str">
        <f>_xlfn.XLOOKUP(Tabla13[[#This Row],[REGION]],dimensiones!C:C,dimensiones!D:D,"")</f>
        <v>Región de Valparaíso</v>
      </c>
    </row>
    <row r="290" spans="1:10" ht="14.25" customHeight="1" x14ac:dyDescent="0.25">
      <c r="A290">
        <v>616020676</v>
      </c>
      <c r="B290" t="s">
        <v>4104</v>
      </c>
      <c r="C290" t="s">
        <v>4193</v>
      </c>
      <c r="D290">
        <v>5</v>
      </c>
      <c r="E290" t="s">
        <v>4445</v>
      </c>
      <c r="F290" t="s">
        <v>4103</v>
      </c>
      <c r="G290" t="s">
        <v>5572</v>
      </c>
      <c r="H290" t="s">
        <v>4957</v>
      </c>
      <c r="I290" s="79" t="str">
        <f>IF(Tabla13[[#This Row],[RUT]]=774097899,"DIST",_xlfn.XLOOKUP(Tabla13[[#This Row],[VENDEDOR]],dimensiones!$C$21:$C$28,dimensiones!$D$21:$D$28,""))</f>
        <v>ATEL</v>
      </c>
      <c r="J290" s="125" t="str">
        <f>_xlfn.XLOOKUP(Tabla13[[#This Row],[REGION]],dimensiones!C:C,dimensiones!D:D,"")</f>
        <v>Región de Valparaíso</v>
      </c>
    </row>
    <row r="291" spans="1:10" ht="14.25" customHeight="1" x14ac:dyDescent="0.25">
      <c r="A291">
        <v>616021176</v>
      </c>
      <c r="B291" t="s">
        <v>16</v>
      </c>
      <c r="C291" t="s">
        <v>4470</v>
      </c>
      <c r="D291">
        <v>13</v>
      </c>
      <c r="E291" t="s">
        <v>4445</v>
      </c>
      <c r="F291" t="s">
        <v>1480</v>
      </c>
      <c r="G291" t="s">
        <v>5571</v>
      </c>
      <c r="H291" t="s">
        <v>4957</v>
      </c>
      <c r="I291" s="79" t="str">
        <f>IF(Tabla13[[#This Row],[RUT]]=774097899,"DIST",_xlfn.XLOOKUP(Tabla13[[#This Row],[VENDEDOR]],dimensiones!$C$21:$C$28,dimensiones!$D$21:$D$28,""))</f>
        <v>ATEL</v>
      </c>
      <c r="J291" s="125" t="str">
        <f>_xlfn.XLOOKUP(Tabla13[[#This Row],[REGION]],dimensiones!C:C,dimensiones!D:D,"")</f>
        <v>Región de Metropolitana de Santiago</v>
      </c>
    </row>
    <row r="292" spans="1:10" ht="14.25" customHeight="1" x14ac:dyDescent="0.25">
      <c r="A292">
        <v>616021214</v>
      </c>
      <c r="B292" t="s">
        <v>172</v>
      </c>
      <c r="C292" t="s">
        <v>4194</v>
      </c>
      <c r="D292">
        <v>13</v>
      </c>
      <c r="E292" t="s">
        <v>4445</v>
      </c>
      <c r="F292" t="s">
        <v>2973</v>
      </c>
      <c r="G292" t="s">
        <v>5572</v>
      </c>
      <c r="H292" t="s">
        <v>4957</v>
      </c>
      <c r="I292" s="79" t="str">
        <f>IF(Tabla13[[#This Row],[RUT]]=774097899,"DIST",_xlfn.XLOOKUP(Tabla13[[#This Row],[VENDEDOR]],dimensiones!$C$21:$C$28,dimensiones!$D$21:$D$28,""))</f>
        <v>ATEL</v>
      </c>
      <c r="J292" s="125" t="str">
        <f>_xlfn.XLOOKUP(Tabla13[[#This Row],[REGION]],dimensiones!C:C,dimensiones!D:D,"")</f>
        <v>Región de Metropolitana de Santiago</v>
      </c>
    </row>
    <row r="293" spans="1:10" ht="14.25" customHeight="1" x14ac:dyDescent="0.25">
      <c r="A293">
        <v>616021222</v>
      </c>
      <c r="B293" t="s">
        <v>173</v>
      </c>
      <c r="C293" t="s">
        <v>4196</v>
      </c>
      <c r="D293">
        <v>13</v>
      </c>
      <c r="E293" t="s">
        <v>4445</v>
      </c>
      <c r="F293" t="s">
        <v>2170</v>
      </c>
      <c r="G293" t="s">
        <v>5572</v>
      </c>
      <c r="H293" t="s">
        <v>4957</v>
      </c>
      <c r="I293" s="79" t="str">
        <f>IF(Tabla13[[#This Row],[RUT]]=774097899,"DIST",_xlfn.XLOOKUP(Tabla13[[#This Row],[VENDEDOR]],dimensiones!$C$21:$C$28,dimensiones!$D$21:$D$28,""))</f>
        <v>ATEL</v>
      </c>
      <c r="J293" s="125" t="str">
        <f>_xlfn.XLOOKUP(Tabla13[[#This Row],[REGION]],dimensiones!C:C,dimensiones!D:D,"")</f>
        <v>Región de Metropolitana de Santiago</v>
      </c>
    </row>
    <row r="294" spans="1:10" ht="14.25" customHeight="1" x14ac:dyDescent="0.25">
      <c r="A294">
        <v>616021230</v>
      </c>
      <c r="B294" t="s">
        <v>17</v>
      </c>
      <c r="C294" t="s">
        <v>4197</v>
      </c>
      <c r="D294">
        <v>13</v>
      </c>
      <c r="E294" t="s">
        <v>4457</v>
      </c>
      <c r="F294" t="s">
        <v>4156</v>
      </c>
      <c r="G294" t="s">
        <v>5572</v>
      </c>
      <c r="H294" t="s">
        <v>4957</v>
      </c>
      <c r="I294" s="79" t="str">
        <f>IF(Tabla13[[#This Row],[RUT]]=774097899,"DIST",_xlfn.XLOOKUP(Tabla13[[#This Row],[VENDEDOR]],dimensiones!$C$21:$C$28,dimensiones!$D$21:$D$28,""))</f>
        <v>SANT1</v>
      </c>
      <c r="J294" s="125" t="str">
        <f>_xlfn.XLOOKUP(Tabla13[[#This Row],[REGION]],dimensiones!C:C,dimensiones!D:D,"")</f>
        <v>Región de Metropolitana de Santiago</v>
      </c>
    </row>
    <row r="295" spans="1:10" ht="14.25" customHeight="1" x14ac:dyDescent="0.25">
      <c r="A295">
        <v>616021257</v>
      </c>
      <c r="B295" t="s">
        <v>2542</v>
      </c>
      <c r="C295" t="s">
        <v>4471</v>
      </c>
      <c r="D295">
        <v>13</v>
      </c>
      <c r="E295" t="s">
        <v>4445</v>
      </c>
      <c r="F295" t="s">
        <v>2541</v>
      </c>
      <c r="G295" t="s">
        <v>5572</v>
      </c>
      <c r="H295" t="s">
        <v>4957</v>
      </c>
      <c r="I295" s="79" t="str">
        <f>IF(Tabla13[[#This Row],[RUT]]=774097899,"DIST",_xlfn.XLOOKUP(Tabla13[[#This Row],[VENDEDOR]],dimensiones!$C$21:$C$28,dimensiones!$D$21:$D$28,""))</f>
        <v>ATEL</v>
      </c>
      <c r="J295" s="125" t="str">
        <f>_xlfn.XLOOKUP(Tabla13[[#This Row],[REGION]],dimensiones!C:C,dimensiones!D:D,"")</f>
        <v>Región de Metropolitana de Santiago</v>
      </c>
    </row>
    <row r="296" spans="1:10" ht="14.25" customHeight="1" x14ac:dyDescent="0.25">
      <c r="A296">
        <v>616021265</v>
      </c>
      <c r="B296" t="s">
        <v>18</v>
      </c>
      <c r="C296" t="s">
        <v>4198</v>
      </c>
      <c r="D296">
        <v>5</v>
      </c>
      <c r="E296" t="s">
        <v>2372</v>
      </c>
      <c r="F296" t="s">
        <v>1940</v>
      </c>
      <c r="G296" t="s">
        <v>5572</v>
      </c>
      <c r="H296" t="s">
        <v>4957</v>
      </c>
      <c r="I296" s="79" t="str">
        <f>IF(Tabla13[[#This Row],[RUT]]=774097899,"DIST",_xlfn.XLOOKUP(Tabla13[[#This Row],[VENDEDOR]],dimensiones!$C$21:$C$28,dimensiones!$D$21:$D$28,""))</f>
        <v>NOR1</v>
      </c>
      <c r="J296" s="125" t="str">
        <f>_xlfn.XLOOKUP(Tabla13[[#This Row],[REGION]],dimensiones!C:C,dimensiones!D:D,"")</f>
        <v>Región de Valparaíso</v>
      </c>
    </row>
    <row r="297" spans="1:10" ht="14.25" customHeight="1" x14ac:dyDescent="0.25">
      <c r="A297" t="s">
        <v>626</v>
      </c>
      <c r="B297" t="s">
        <v>627</v>
      </c>
      <c r="C297" t="s">
        <v>4472</v>
      </c>
      <c r="D297">
        <v>6</v>
      </c>
      <c r="E297" t="s">
        <v>4445</v>
      </c>
      <c r="F297" t="s">
        <v>1465</v>
      </c>
      <c r="G297" t="s">
        <v>5572</v>
      </c>
      <c r="H297" t="s">
        <v>4957</v>
      </c>
      <c r="I297" s="79" t="str">
        <f>IF(Tabla13[[#This Row],[RUT]]=774097899,"DIST",_xlfn.XLOOKUP(Tabla13[[#This Row],[VENDEDOR]],dimensiones!$C$21:$C$28,dimensiones!$D$21:$D$28,""))</f>
        <v>ATEL</v>
      </c>
      <c r="J297" s="125" t="str">
        <f>_xlfn.XLOOKUP(Tabla13[[#This Row],[REGION]],dimensiones!C:C,dimensiones!D:D,"")</f>
        <v>Región de Libertador General Bernardo O'Higgins</v>
      </c>
    </row>
    <row r="298" spans="1:10" ht="14.25" customHeight="1" x14ac:dyDescent="0.25">
      <c r="A298">
        <v>616021346</v>
      </c>
      <c r="B298" t="s">
        <v>765</v>
      </c>
      <c r="C298" t="s">
        <v>4199</v>
      </c>
      <c r="D298">
        <v>6</v>
      </c>
      <c r="E298" t="s">
        <v>4445</v>
      </c>
      <c r="F298" t="s">
        <v>2145</v>
      </c>
      <c r="G298" t="s">
        <v>5572</v>
      </c>
      <c r="H298" t="s">
        <v>4957</v>
      </c>
      <c r="I298" s="79" t="str">
        <f>IF(Tabla13[[#This Row],[RUT]]=774097899,"DIST",_xlfn.XLOOKUP(Tabla13[[#This Row],[VENDEDOR]],dimensiones!$C$21:$C$28,dimensiones!$D$21:$D$28,""))</f>
        <v>ATEL</v>
      </c>
      <c r="J298" s="125" t="str">
        <f>_xlfn.XLOOKUP(Tabla13[[#This Row],[REGION]],dimensiones!C:C,dimensiones!D:D,"")</f>
        <v>Región de Libertador General Bernardo O'Higgins</v>
      </c>
    </row>
    <row r="299" spans="1:10" ht="14.25" customHeight="1" x14ac:dyDescent="0.25">
      <c r="A299">
        <v>616021389</v>
      </c>
      <c r="B299" t="s">
        <v>175</v>
      </c>
      <c r="C299" t="s">
        <v>4178</v>
      </c>
      <c r="D299">
        <v>6</v>
      </c>
      <c r="E299" t="s">
        <v>4445</v>
      </c>
      <c r="F299" t="s">
        <v>3938</v>
      </c>
      <c r="G299" t="s">
        <v>5572</v>
      </c>
      <c r="H299" t="s">
        <v>4957</v>
      </c>
      <c r="I299" s="79" t="str">
        <f>IF(Tabla13[[#This Row],[RUT]]=774097899,"DIST",_xlfn.XLOOKUP(Tabla13[[#This Row],[VENDEDOR]],dimensiones!$C$21:$C$28,dimensiones!$D$21:$D$28,""))</f>
        <v>ATEL</v>
      </c>
      <c r="J299" s="125" t="str">
        <f>_xlfn.XLOOKUP(Tabla13[[#This Row],[REGION]],dimensiones!C:C,dimensiones!D:D,"")</f>
        <v>Región de Libertador General Bernardo O'Higgins</v>
      </c>
    </row>
    <row r="300" spans="1:10" ht="14.25" customHeight="1" x14ac:dyDescent="0.25">
      <c r="A300">
        <v>616021400</v>
      </c>
      <c r="B300" t="s">
        <v>176</v>
      </c>
      <c r="C300" t="s">
        <v>4200</v>
      </c>
      <c r="D300">
        <v>6</v>
      </c>
      <c r="E300" t="s">
        <v>4445</v>
      </c>
      <c r="F300" t="s">
        <v>3763</v>
      </c>
      <c r="G300" t="s">
        <v>5572</v>
      </c>
      <c r="H300" t="s">
        <v>4957</v>
      </c>
      <c r="I300" s="79" t="str">
        <f>IF(Tabla13[[#This Row],[RUT]]=774097899,"DIST",_xlfn.XLOOKUP(Tabla13[[#This Row],[VENDEDOR]],dimensiones!$C$21:$C$28,dimensiones!$D$21:$D$28,""))</f>
        <v>ATEL</v>
      </c>
      <c r="J300" s="125" t="str">
        <f>_xlfn.XLOOKUP(Tabla13[[#This Row],[REGION]],dimensiones!C:C,dimensiones!D:D,"")</f>
        <v>Región de Libertador General Bernardo O'Higgins</v>
      </c>
    </row>
    <row r="301" spans="1:10" ht="14.25" customHeight="1" x14ac:dyDescent="0.25">
      <c r="A301">
        <v>616021419</v>
      </c>
      <c r="B301" t="s">
        <v>177</v>
      </c>
      <c r="C301" t="s">
        <v>4473</v>
      </c>
      <c r="D301">
        <v>6</v>
      </c>
      <c r="E301" t="s">
        <v>4445</v>
      </c>
      <c r="F301" t="s">
        <v>1818</v>
      </c>
      <c r="G301" t="s">
        <v>5572</v>
      </c>
      <c r="H301" t="s">
        <v>4957</v>
      </c>
      <c r="I301" s="79" t="str">
        <f>IF(Tabla13[[#This Row],[RUT]]=774097899,"DIST",_xlfn.XLOOKUP(Tabla13[[#This Row],[VENDEDOR]],dimensiones!$C$21:$C$28,dimensiones!$D$21:$D$28,""))</f>
        <v>ATEL</v>
      </c>
      <c r="J301" s="125" t="str">
        <f>_xlfn.XLOOKUP(Tabla13[[#This Row],[REGION]],dimensiones!C:C,dimensiones!D:D,"")</f>
        <v>Región de Libertador General Bernardo O'Higgins</v>
      </c>
    </row>
    <row r="302" spans="1:10" ht="14.25" customHeight="1" x14ac:dyDescent="0.25">
      <c r="A302">
        <v>616021427</v>
      </c>
      <c r="B302" t="s">
        <v>178</v>
      </c>
      <c r="C302" t="s">
        <v>4201</v>
      </c>
      <c r="D302">
        <v>6</v>
      </c>
      <c r="E302" t="s">
        <v>4445</v>
      </c>
      <c r="F302" t="s">
        <v>2441</v>
      </c>
      <c r="G302" t="s">
        <v>5572</v>
      </c>
      <c r="H302" t="s">
        <v>4957</v>
      </c>
      <c r="I302" s="79" t="str">
        <f>IF(Tabla13[[#This Row],[RUT]]=774097899,"DIST",_xlfn.XLOOKUP(Tabla13[[#This Row],[VENDEDOR]],dimensiones!$C$21:$C$28,dimensiones!$D$21:$D$28,""))</f>
        <v>ATEL</v>
      </c>
      <c r="J302" s="125" t="str">
        <f>_xlfn.XLOOKUP(Tabla13[[#This Row],[REGION]],dimensiones!C:C,dimensiones!D:D,"")</f>
        <v>Región de Libertador General Bernardo O'Higgins</v>
      </c>
    </row>
    <row r="303" spans="1:10" ht="14.25" customHeight="1" x14ac:dyDescent="0.25">
      <c r="A303">
        <v>616021435</v>
      </c>
      <c r="B303" t="s">
        <v>179</v>
      </c>
      <c r="C303" t="s">
        <v>4202</v>
      </c>
      <c r="D303">
        <v>6</v>
      </c>
      <c r="E303" t="s">
        <v>4445</v>
      </c>
      <c r="F303" t="s">
        <v>1449</v>
      </c>
      <c r="G303" t="s">
        <v>5572</v>
      </c>
      <c r="H303" t="s">
        <v>4957</v>
      </c>
      <c r="I303" s="79" t="str">
        <f>IF(Tabla13[[#This Row],[RUT]]=774097899,"DIST",_xlfn.XLOOKUP(Tabla13[[#This Row],[VENDEDOR]],dimensiones!$C$21:$C$28,dimensiones!$D$21:$D$28,""))</f>
        <v>ATEL</v>
      </c>
      <c r="J303" s="125" t="str">
        <f>_xlfn.XLOOKUP(Tabla13[[#This Row],[REGION]],dimensiones!C:C,dimensiones!D:D,"")</f>
        <v>Región de Libertador General Bernardo O'Higgins</v>
      </c>
    </row>
    <row r="304" spans="1:10" ht="14.25" customHeight="1" x14ac:dyDescent="0.25">
      <c r="A304">
        <v>616021451</v>
      </c>
      <c r="B304" t="s">
        <v>180</v>
      </c>
      <c r="C304" t="s">
        <v>4203</v>
      </c>
      <c r="D304">
        <v>6</v>
      </c>
      <c r="E304" t="s">
        <v>4445</v>
      </c>
      <c r="F304" t="s">
        <v>1584</v>
      </c>
      <c r="G304" t="s">
        <v>5572</v>
      </c>
      <c r="H304" t="s">
        <v>4957</v>
      </c>
      <c r="I304" s="79" t="str">
        <f>IF(Tabla13[[#This Row],[RUT]]=774097899,"DIST",_xlfn.XLOOKUP(Tabla13[[#This Row],[VENDEDOR]],dimensiones!$C$21:$C$28,dimensiones!$D$21:$D$28,""))</f>
        <v>ATEL</v>
      </c>
      <c r="J304" s="125" t="str">
        <f>_xlfn.XLOOKUP(Tabla13[[#This Row],[REGION]],dimensiones!C:C,dimensiones!D:D,"")</f>
        <v>Región de Libertador General Bernardo O'Higgins</v>
      </c>
    </row>
    <row r="305" spans="1:10" ht="14.25" customHeight="1" x14ac:dyDescent="0.25">
      <c r="A305" t="s">
        <v>628</v>
      </c>
      <c r="B305" t="s">
        <v>629</v>
      </c>
      <c r="C305" t="s">
        <v>4204</v>
      </c>
      <c r="D305">
        <v>6</v>
      </c>
      <c r="E305" t="s">
        <v>4445</v>
      </c>
      <c r="F305" t="s">
        <v>4128</v>
      </c>
      <c r="G305" t="s">
        <v>5572</v>
      </c>
      <c r="H305" t="s">
        <v>4957</v>
      </c>
      <c r="I305" s="79" t="str">
        <f>IF(Tabla13[[#This Row],[RUT]]=774097899,"DIST",_xlfn.XLOOKUP(Tabla13[[#This Row],[VENDEDOR]],dimensiones!$C$21:$C$28,dimensiones!$D$21:$D$28,""))</f>
        <v>ATEL</v>
      </c>
      <c r="J305" s="125" t="str">
        <f>_xlfn.XLOOKUP(Tabla13[[#This Row],[REGION]],dimensiones!C:C,dimensiones!D:D,"")</f>
        <v>Región de Libertador General Bernardo O'Higgins</v>
      </c>
    </row>
    <row r="306" spans="1:10" ht="14.25" customHeight="1" x14ac:dyDescent="0.25">
      <c r="A306">
        <v>616021478</v>
      </c>
      <c r="B306" t="s">
        <v>766</v>
      </c>
      <c r="C306" t="s">
        <v>4205</v>
      </c>
      <c r="D306">
        <v>6</v>
      </c>
      <c r="E306" t="s">
        <v>4445</v>
      </c>
      <c r="F306" t="s">
        <v>1306</v>
      </c>
      <c r="G306" t="s">
        <v>5572</v>
      </c>
      <c r="H306" t="s">
        <v>4957</v>
      </c>
      <c r="I306" s="79" t="str">
        <f>IF(Tabla13[[#This Row],[RUT]]=774097899,"DIST",_xlfn.XLOOKUP(Tabla13[[#This Row],[VENDEDOR]],dimensiones!$C$21:$C$28,dimensiones!$D$21:$D$28,""))</f>
        <v>ATEL</v>
      </c>
      <c r="J306" s="125" t="str">
        <f>_xlfn.XLOOKUP(Tabla13[[#This Row],[REGION]],dimensiones!C:C,dimensiones!D:D,"")</f>
        <v>Región de Libertador General Bernardo O'Higgins</v>
      </c>
    </row>
    <row r="307" spans="1:10" ht="14.25" customHeight="1" x14ac:dyDescent="0.25">
      <c r="A307">
        <v>616021486</v>
      </c>
      <c r="B307" t="s">
        <v>181</v>
      </c>
      <c r="C307" t="s">
        <v>4206</v>
      </c>
      <c r="D307">
        <v>6</v>
      </c>
      <c r="E307" t="s">
        <v>4445</v>
      </c>
      <c r="F307" t="s">
        <v>2362</v>
      </c>
      <c r="G307" t="s">
        <v>5572</v>
      </c>
      <c r="H307" t="s">
        <v>4957</v>
      </c>
      <c r="I307" s="79" t="str">
        <f>IF(Tabla13[[#This Row],[RUT]]=774097899,"DIST",_xlfn.XLOOKUP(Tabla13[[#This Row],[VENDEDOR]],dimensiones!$C$21:$C$28,dimensiones!$D$21:$D$28,""))</f>
        <v>ATEL</v>
      </c>
      <c r="J307" s="125" t="str">
        <f>_xlfn.XLOOKUP(Tabla13[[#This Row],[REGION]],dimensiones!C:C,dimensiones!D:D,"")</f>
        <v>Región de Libertador General Bernardo O'Higgins</v>
      </c>
    </row>
    <row r="308" spans="1:10" ht="14.25" customHeight="1" x14ac:dyDescent="0.25">
      <c r="A308">
        <v>616021508</v>
      </c>
      <c r="B308" t="s">
        <v>182</v>
      </c>
      <c r="C308" t="s">
        <v>4207</v>
      </c>
      <c r="D308">
        <v>6</v>
      </c>
      <c r="E308" t="s">
        <v>4445</v>
      </c>
      <c r="F308" t="s">
        <v>1604</v>
      </c>
      <c r="G308" t="s">
        <v>5572</v>
      </c>
      <c r="H308" t="s">
        <v>4957</v>
      </c>
      <c r="I308" s="79" t="str">
        <f>IF(Tabla13[[#This Row],[RUT]]=774097899,"DIST",_xlfn.XLOOKUP(Tabla13[[#This Row],[VENDEDOR]],dimensiones!$C$21:$C$28,dimensiones!$D$21:$D$28,""))</f>
        <v>ATEL</v>
      </c>
      <c r="J308" s="125" t="str">
        <f>_xlfn.XLOOKUP(Tabla13[[#This Row],[REGION]],dimensiones!C:C,dimensiones!D:D,"")</f>
        <v>Región de Libertador General Bernardo O'Higgins</v>
      </c>
    </row>
    <row r="309" spans="1:10" ht="14.25" customHeight="1" x14ac:dyDescent="0.25">
      <c r="A309">
        <v>616021516</v>
      </c>
      <c r="B309" t="s">
        <v>183</v>
      </c>
      <c r="C309" t="s">
        <v>4474</v>
      </c>
      <c r="D309">
        <v>6</v>
      </c>
      <c r="E309" t="s">
        <v>4445</v>
      </c>
      <c r="F309" t="s">
        <v>4137</v>
      </c>
      <c r="G309" t="s">
        <v>5572</v>
      </c>
      <c r="H309" t="s">
        <v>4957</v>
      </c>
      <c r="I309" s="79" t="str">
        <f>IF(Tabla13[[#This Row],[RUT]]=774097899,"DIST",_xlfn.XLOOKUP(Tabla13[[#This Row],[VENDEDOR]],dimensiones!$C$21:$C$28,dimensiones!$D$21:$D$28,""))</f>
        <v>ATEL</v>
      </c>
      <c r="J309" s="125" t="str">
        <f>_xlfn.XLOOKUP(Tabla13[[#This Row],[REGION]],dimensiones!C:C,dimensiones!D:D,"")</f>
        <v>Región de Libertador General Bernardo O'Higgins</v>
      </c>
    </row>
    <row r="310" spans="1:10" ht="14.25" customHeight="1" x14ac:dyDescent="0.25">
      <c r="A310">
        <v>616021524</v>
      </c>
      <c r="B310" t="s">
        <v>184</v>
      </c>
      <c r="C310" t="s">
        <v>4208</v>
      </c>
      <c r="D310">
        <v>6</v>
      </c>
      <c r="E310" t="s">
        <v>4445</v>
      </c>
      <c r="F310" t="s">
        <v>2786</v>
      </c>
      <c r="G310" t="s">
        <v>5572</v>
      </c>
      <c r="H310" t="s">
        <v>4957</v>
      </c>
      <c r="I310" s="79" t="str">
        <f>IF(Tabla13[[#This Row],[RUT]]=774097899,"DIST",_xlfn.XLOOKUP(Tabla13[[#This Row],[VENDEDOR]],dimensiones!$C$21:$C$28,dimensiones!$D$21:$D$28,""))</f>
        <v>ATEL</v>
      </c>
      <c r="J310" s="125" t="str">
        <f>_xlfn.XLOOKUP(Tabla13[[#This Row],[REGION]],dimensiones!C:C,dimensiones!D:D,"")</f>
        <v>Región de Libertador General Bernardo O'Higgins</v>
      </c>
    </row>
    <row r="311" spans="1:10" ht="14.25" customHeight="1" x14ac:dyDescent="0.25">
      <c r="A311">
        <v>616021532</v>
      </c>
      <c r="B311" t="s">
        <v>185</v>
      </c>
      <c r="C311" t="s">
        <v>4209</v>
      </c>
      <c r="D311">
        <v>6</v>
      </c>
      <c r="E311" t="s">
        <v>4445</v>
      </c>
      <c r="F311" t="s">
        <v>1385</v>
      </c>
      <c r="G311" t="s">
        <v>5572</v>
      </c>
      <c r="H311" t="s">
        <v>4957</v>
      </c>
      <c r="I311" s="79" t="str">
        <f>IF(Tabla13[[#This Row],[RUT]]=774097899,"DIST",_xlfn.XLOOKUP(Tabla13[[#This Row],[VENDEDOR]],dimensiones!$C$21:$C$28,dimensiones!$D$21:$D$28,""))</f>
        <v>ATEL</v>
      </c>
      <c r="J311" s="125" t="str">
        <f>_xlfn.XLOOKUP(Tabla13[[#This Row],[REGION]],dimensiones!C:C,dimensiones!D:D,"")</f>
        <v>Región de Libertador General Bernardo O'Higgins</v>
      </c>
    </row>
    <row r="312" spans="1:10" ht="14.25" customHeight="1" x14ac:dyDescent="0.25">
      <c r="A312">
        <v>616021893</v>
      </c>
      <c r="B312" t="s">
        <v>19</v>
      </c>
      <c r="C312" t="s">
        <v>4460</v>
      </c>
      <c r="D312">
        <v>8</v>
      </c>
      <c r="E312" t="s">
        <v>4464</v>
      </c>
      <c r="F312" t="s">
        <v>2243</v>
      </c>
      <c r="G312" t="s">
        <v>5572</v>
      </c>
      <c r="H312" t="s">
        <v>4957</v>
      </c>
      <c r="I312" s="79" t="str">
        <f>IF(Tabla13[[#This Row],[RUT]]=774097899,"DIST",_xlfn.XLOOKUP(Tabla13[[#This Row],[VENDEDOR]],dimensiones!$C$21:$C$28,dimensiones!$D$21:$D$28,""))</f>
        <v>SUR1</v>
      </c>
      <c r="J312" s="125" t="str">
        <f>_xlfn.XLOOKUP(Tabla13[[#This Row],[REGION]],dimensiones!C:C,dimensiones!D:D,"")</f>
        <v>Región de Biobío</v>
      </c>
    </row>
    <row r="313" spans="1:10" ht="14.25" customHeight="1" x14ac:dyDescent="0.25">
      <c r="A313" t="s">
        <v>630</v>
      </c>
      <c r="B313" t="s">
        <v>631</v>
      </c>
      <c r="C313" t="s">
        <v>4210</v>
      </c>
      <c r="D313">
        <v>16</v>
      </c>
      <c r="E313" t="s">
        <v>4445</v>
      </c>
      <c r="F313" t="s">
        <v>2356</v>
      </c>
      <c r="G313" t="s">
        <v>5572</v>
      </c>
      <c r="H313" t="s">
        <v>4957</v>
      </c>
      <c r="I313" s="79" t="str">
        <f>IF(Tabla13[[#This Row],[RUT]]=774097899,"DIST",_xlfn.XLOOKUP(Tabla13[[#This Row],[VENDEDOR]],dimensiones!$C$21:$C$28,dimensiones!$D$21:$D$28,""))</f>
        <v>ATEL</v>
      </c>
      <c r="J313" s="125" t="str">
        <f>_xlfn.XLOOKUP(Tabla13[[#This Row],[REGION]],dimensiones!C:C,dimensiones!D:D,"")</f>
        <v>Región de Ñuble</v>
      </c>
    </row>
    <row r="314" spans="1:10" ht="14.25" customHeight="1" x14ac:dyDescent="0.25">
      <c r="A314">
        <v>616021982</v>
      </c>
      <c r="B314" t="s">
        <v>20</v>
      </c>
      <c r="C314" t="s">
        <v>4211</v>
      </c>
      <c r="D314">
        <v>8</v>
      </c>
      <c r="E314" t="s">
        <v>4464</v>
      </c>
      <c r="F314" t="s">
        <v>1888</v>
      </c>
      <c r="G314" t="s">
        <v>5572</v>
      </c>
      <c r="H314" t="s">
        <v>4957</v>
      </c>
      <c r="I314" s="79" t="str">
        <f>IF(Tabla13[[#This Row],[RUT]]=774097899,"DIST",_xlfn.XLOOKUP(Tabla13[[#This Row],[VENDEDOR]],dimensiones!$C$21:$C$28,dimensiones!$D$21:$D$28,""))</f>
        <v>SUR1</v>
      </c>
      <c r="J314" s="125" t="str">
        <f>_xlfn.XLOOKUP(Tabla13[[#This Row],[REGION]],dimensiones!C:C,dimensiones!D:D,"")</f>
        <v>Región de Biobío</v>
      </c>
    </row>
    <row r="315" spans="1:10" ht="14.25" customHeight="1" x14ac:dyDescent="0.25">
      <c r="A315">
        <v>616021990</v>
      </c>
      <c r="B315" t="s">
        <v>186</v>
      </c>
      <c r="C315" t="s">
        <v>4212</v>
      </c>
      <c r="D315">
        <v>8</v>
      </c>
      <c r="E315" t="s">
        <v>4445</v>
      </c>
      <c r="F315" t="s">
        <v>4147</v>
      </c>
      <c r="G315" t="s">
        <v>5572</v>
      </c>
      <c r="H315" t="s">
        <v>4957</v>
      </c>
      <c r="I315" s="79" t="str">
        <f>IF(Tabla13[[#This Row],[RUT]]=774097899,"DIST",_xlfn.XLOOKUP(Tabla13[[#This Row],[VENDEDOR]],dimensiones!$C$21:$C$28,dimensiones!$D$21:$D$28,""))</f>
        <v>ATEL</v>
      </c>
      <c r="J315" s="125" t="str">
        <f>_xlfn.XLOOKUP(Tabla13[[#This Row],[REGION]],dimensiones!C:C,dimensiones!D:D,"")</f>
        <v>Región de Biobío</v>
      </c>
    </row>
    <row r="316" spans="1:10" ht="14.25" customHeight="1" x14ac:dyDescent="0.25">
      <c r="A316">
        <v>616022016</v>
      </c>
      <c r="B316" t="s">
        <v>1669</v>
      </c>
      <c r="C316" t="s">
        <v>4352</v>
      </c>
      <c r="D316">
        <v>8</v>
      </c>
      <c r="E316" t="s">
        <v>4464</v>
      </c>
      <c r="F316" t="s">
        <v>1668</v>
      </c>
      <c r="G316" t="s">
        <v>5572</v>
      </c>
      <c r="H316" t="s">
        <v>4957</v>
      </c>
      <c r="I316" s="79" t="str">
        <f>IF(Tabla13[[#This Row],[RUT]]=774097899,"DIST",_xlfn.XLOOKUP(Tabla13[[#This Row],[VENDEDOR]],dimensiones!$C$21:$C$28,dimensiones!$D$21:$D$28,""))</f>
        <v>SUR1</v>
      </c>
      <c r="J316" s="125" t="str">
        <f>_xlfn.XLOOKUP(Tabla13[[#This Row],[REGION]],dimensiones!C:C,dimensiones!D:D,"")</f>
        <v>Región de Biobío</v>
      </c>
    </row>
    <row r="317" spans="1:10" ht="14.25" customHeight="1" x14ac:dyDescent="0.25">
      <c r="A317">
        <v>616022032</v>
      </c>
      <c r="B317" t="s">
        <v>21</v>
      </c>
      <c r="C317" t="s">
        <v>4377</v>
      </c>
      <c r="D317">
        <v>8</v>
      </c>
      <c r="E317" t="s">
        <v>4464</v>
      </c>
      <c r="F317" t="s">
        <v>1572</v>
      </c>
      <c r="G317" t="s">
        <v>5572</v>
      </c>
      <c r="H317" t="s">
        <v>4957</v>
      </c>
      <c r="I317" s="79" t="str">
        <f>IF(Tabla13[[#This Row],[RUT]]=774097899,"DIST",_xlfn.XLOOKUP(Tabla13[[#This Row],[VENDEDOR]],dimensiones!$C$21:$C$28,dimensiones!$D$21:$D$28,""))</f>
        <v>SUR1</v>
      </c>
      <c r="J317" s="125" t="str">
        <f>_xlfn.XLOOKUP(Tabla13[[#This Row],[REGION]],dimensiones!C:C,dimensiones!D:D,"")</f>
        <v>Región de Biobío</v>
      </c>
    </row>
    <row r="318" spans="1:10" ht="14.25" customHeight="1" x14ac:dyDescent="0.25">
      <c r="A318">
        <v>616022040</v>
      </c>
      <c r="B318" t="s">
        <v>187</v>
      </c>
      <c r="C318" t="s">
        <v>4213</v>
      </c>
      <c r="D318">
        <v>8</v>
      </c>
      <c r="E318" t="s">
        <v>4445</v>
      </c>
      <c r="F318" t="s">
        <v>3792</v>
      </c>
      <c r="G318" t="s">
        <v>5572</v>
      </c>
      <c r="H318" t="s">
        <v>4957</v>
      </c>
      <c r="I318" s="79" t="str">
        <f>IF(Tabla13[[#This Row],[RUT]]=774097899,"DIST",_xlfn.XLOOKUP(Tabla13[[#This Row],[VENDEDOR]],dimensiones!$C$21:$C$28,dimensiones!$D$21:$D$28,""))</f>
        <v>ATEL</v>
      </c>
      <c r="J318" s="125" t="str">
        <f>_xlfn.XLOOKUP(Tabla13[[#This Row],[REGION]],dimensiones!C:C,dimensiones!D:D,"")</f>
        <v>Región de Biobío</v>
      </c>
    </row>
    <row r="319" spans="1:10" ht="14.25" customHeight="1" x14ac:dyDescent="0.25">
      <c r="A319">
        <v>616022091</v>
      </c>
      <c r="B319" t="s">
        <v>22</v>
      </c>
      <c r="C319" t="s">
        <v>4214</v>
      </c>
      <c r="D319">
        <v>8</v>
      </c>
      <c r="E319" t="s">
        <v>4464</v>
      </c>
      <c r="F319" t="s">
        <v>1476</v>
      </c>
      <c r="G319" t="s">
        <v>5572</v>
      </c>
      <c r="H319" t="s">
        <v>4957</v>
      </c>
      <c r="I319" s="79" t="str">
        <f>IF(Tabla13[[#This Row],[RUT]]=774097899,"DIST",_xlfn.XLOOKUP(Tabla13[[#This Row],[VENDEDOR]],dimensiones!$C$21:$C$28,dimensiones!$D$21:$D$28,""))</f>
        <v>SUR1</v>
      </c>
      <c r="J319" s="125" t="str">
        <f>_xlfn.XLOOKUP(Tabla13[[#This Row],[REGION]],dimensiones!C:C,dimensiones!D:D,"")</f>
        <v>Región de Biobío</v>
      </c>
    </row>
    <row r="320" spans="1:10" ht="14.25" customHeight="1" x14ac:dyDescent="0.25">
      <c r="A320">
        <v>616022113</v>
      </c>
      <c r="B320" t="s">
        <v>744</v>
      </c>
      <c r="C320" t="s">
        <v>4215</v>
      </c>
      <c r="D320">
        <v>8</v>
      </c>
      <c r="E320" t="s">
        <v>4464</v>
      </c>
      <c r="F320" t="s">
        <v>1288</v>
      </c>
      <c r="G320" t="s">
        <v>5572</v>
      </c>
      <c r="H320" t="s">
        <v>4957</v>
      </c>
      <c r="I320" s="79" t="str">
        <f>IF(Tabla13[[#This Row],[RUT]]=774097899,"DIST",_xlfn.XLOOKUP(Tabla13[[#This Row],[VENDEDOR]],dimensiones!$C$21:$C$28,dimensiones!$D$21:$D$28,""))</f>
        <v>SUR1</v>
      </c>
      <c r="J320" s="125" t="str">
        <f>_xlfn.XLOOKUP(Tabla13[[#This Row],[REGION]],dimensiones!C:C,dimensiones!D:D,"")</f>
        <v>Región de Biobío</v>
      </c>
    </row>
    <row r="321" spans="1:10" ht="14.25" customHeight="1" x14ac:dyDescent="0.25">
      <c r="A321">
        <v>616022121</v>
      </c>
      <c r="B321" t="s">
        <v>188</v>
      </c>
      <c r="C321" t="s">
        <v>4289</v>
      </c>
      <c r="D321">
        <v>8</v>
      </c>
      <c r="E321" t="s">
        <v>4464</v>
      </c>
      <c r="F321" t="s">
        <v>3175</v>
      </c>
      <c r="G321" t="s">
        <v>5572</v>
      </c>
      <c r="H321" t="s">
        <v>4957</v>
      </c>
      <c r="I321" s="79" t="str">
        <f>IF(Tabla13[[#This Row],[RUT]]=774097899,"DIST",_xlfn.XLOOKUP(Tabla13[[#This Row],[VENDEDOR]],dimensiones!$C$21:$C$28,dimensiones!$D$21:$D$28,""))</f>
        <v>SUR1</v>
      </c>
      <c r="J321" s="125" t="str">
        <f>_xlfn.XLOOKUP(Tabla13[[#This Row],[REGION]],dimensiones!C:C,dimensiones!D:D,"")</f>
        <v>Región de Biobío</v>
      </c>
    </row>
    <row r="322" spans="1:10" ht="14.25" customHeight="1" x14ac:dyDescent="0.25">
      <c r="A322" t="s">
        <v>145</v>
      </c>
      <c r="B322" t="s">
        <v>146</v>
      </c>
      <c r="C322" t="s">
        <v>4354</v>
      </c>
      <c r="D322">
        <v>8</v>
      </c>
      <c r="E322" t="s">
        <v>4464</v>
      </c>
      <c r="F322" t="s">
        <v>3667</v>
      </c>
      <c r="G322" t="s">
        <v>5572</v>
      </c>
      <c r="H322" t="s">
        <v>4957</v>
      </c>
      <c r="I322" s="79" t="str">
        <f>IF(Tabla13[[#This Row],[RUT]]=774097899,"DIST",_xlfn.XLOOKUP(Tabla13[[#This Row],[VENDEDOR]],dimensiones!$C$21:$C$28,dimensiones!$D$21:$D$28,""))</f>
        <v>SUR1</v>
      </c>
      <c r="J322" s="125" t="str">
        <f>_xlfn.XLOOKUP(Tabla13[[#This Row],[REGION]],dimensiones!C:C,dimensiones!D:D,"")</f>
        <v>Región de Biobío</v>
      </c>
    </row>
    <row r="323" spans="1:10" ht="14.25" customHeight="1" x14ac:dyDescent="0.25">
      <c r="A323">
        <v>616022202</v>
      </c>
      <c r="B323" t="s">
        <v>189</v>
      </c>
      <c r="C323" t="s">
        <v>4216</v>
      </c>
      <c r="D323">
        <v>8</v>
      </c>
      <c r="E323" t="s">
        <v>4445</v>
      </c>
      <c r="F323" t="s">
        <v>2151</v>
      </c>
      <c r="G323" t="s">
        <v>5572</v>
      </c>
      <c r="H323" t="s">
        <v>4957</v>
      </c>
      <c r="I323" s="79" t="str">
        <f>IF(Tabla13[[#This Row],[RUT]]=774097899,"DIST",_xlfn.XLOOKUP(Tabla13[[#This Row],[VENDEDOR]],dimensiones!$C$21:$C$28,dimensiones!$D$21:$D$28,""))</f>
        <v>ATEL</v>
      </c>
      <c r="J323" s="125" t="str">
        <f>_xlfn.XLOOKUP(Tabla13[[#This Row],[REGION]],dimensiones!C:C,dimensiones!D:D,"")</f>
        <v>Región de Biobío</v>
      </c>
    </row>
    <row r="324" spans="1:10" ht="14.25" customHeight="1" x14ac:dyDescent="0.25">
      <c r="A324">
        <v>616022229</v>
      </c>
      <c r="B324" t="s">
        <v>23</v>
      </c>
      <c r="C324" t="s">
        <v>4389</v>
      </c>
      <c r="D324">
        <v>9</v>
      </c>
      <c r="E324" t="s">
        <v>4464</v>
      </c>
      <c r="F324" t="s">
        <v>3844</v>
      </c>
      <c r="G324" t="s">
        <v>5572</v>
      </c>
      <c r="H324" t="s">
        <v>4957</v>
      </c>
      <c r="I324" s="79" t="str">
        <f>IF(Tabla13[[#This Row],[RUT]]=774097899,"DIST",_xlfn.XLOOKUP(Tabla13[[#This Row],[VENDEDOR]],dimensiones!$C$21:$C$28,dimensiones!$D$21:$D$28,""))</f>
        <v>SUR1</v>
      </c>
      <c r="J324" s="125" t="str">
        <f>_xlfn.XLOOKUP(Tabla13[[#This Row],[REGION]],dimensiones!C:C,dimensiones!D:D,"")</f>
        <v>Región de La Araucanía</v>
      </c>
    </row>
    <row r="325" spans="1:10" ht="14.25" customHeight="1" x14ac:dyDescent="0.25">
      <c r="A325">
        <v>616022237</v>
      </c>
      <c r="B325" t="s">
        <v>190</v>
      </c>
      <c r="C325" t="s">
        <v>4217</v>
      </c>
      <c r="D325">
        <v>9</v>
      </c>
      <c r="E325" t="s">
        <v>4445</v>
      </c>
      <c r="F325" t="s">
        <v>1577</v>
      </c>
      <c r="G325" t="s">
        <v>5572</v>
      </c>
      <c r="H325" t="s">
        <v>4957</v>
      </c>
      <c r="I325" s="79" t="str">
        <f>IF(Tabla13[[#This Row],[RUT]]=774097899,"DIST",_xlfn.XLOOKUP(Tabla13[[#This Row],[VENDEDOR]],dimensiones!$C$21:$C$28,dimensiones!$D$21:$D$28,""))</f>
        <v>ATEL</v>
      </c>
      <c r="J325" s="125" t="str">
        <f>_xlfn.XLOOKUP(Tabla13[[#This Row],[REGION]],dimensiones!C:C,dimensiones!D:D,"")</f>
        <v>Región de La Araucanía</v>
      </c>
    </row>
    <row r="326" spans="1:10" ht="14.25" customHeight="1" x14ac:dyDescent="0.25">
      <c r="A326">
        <v>616022245</v>
      </c>
      <c r="B326" t="s">
        <v>886</v>
      </c>
      <c r="C326" t="s">
        <v>4476</v>
      </c>
      <c r="D326">
        <v>9</v>
      </c>
      <c r="E326" t="s">
        <v>4445</v>
      </c>
      <c r="F326" t="s">
        <v>1193</v>
      </c>
      <c r="G326" t="s">
        <v>5572</v>
      </c>
      <c r="H326" t="s">
        <v>4957</v>
      </c>
      <c r="I326" s="79" t="str">
        <f>IF(Tabla13[[#This Row],[RUT]]=774097899,"DIST",_xlfn.XLOOKUP(Tabla13[[#This Row],[VENDEDOR]],dimensiones!$C$21:$C$28,dimensiones!$D$21:$D$28,""))</f>
        <v>ATEL</v>
      </c>
      <c r="J326" s="125" t="str">
        <f>_xlfn.XLOOKUP(Tabla13[[#This Row],[REGION]],dimensiones!C:C,dimensiones!D:D,"")</f>
        <v>Región de La Araucanía</v>
      </c>
    </row>
    <row r="327" spans="1:10" ht="14.25" customHeight="1" x14ac:dyDescent="0.25">
      <c r="A327">
        <v>616022261</v>
      </c>
      <c r="B327" t="s">
        <v>1962</v>
      </c>
      <c r="C327" t="s">
        <v>4477</v>
      </c>
      <c r="D327">
        <v>9</v>
      </c>
      <c r="E327" t="s">
        <v>4445</v>
      </c>
      <c r="F327" t="s">
        <v>1961</v>
      </c>
      <c r="G327" t="s">
        <v>5572</v>
      </c>
      <c r="H327" t="s">
        <v>4957</v>
      </c>
      <c r="I327" s="79" t="str">
        <f>IF(Tabla13[[#This Row],[RUT]]=774097899,"DIST",_xlfn.XLOOKUP(Tabla13[[#This Row],[VENDEDOR]],dimensiones!$C$21:$C$28,dimensiones!$D$21:$D$28,""))</f>
        <v>ATEL</v>
      </c>
      <c r="J327" s="125" t="str">
        <f>_xlfn.XLOOKUP(Tabla13[[#This Row],[REGION]],dimensiones!C:C,dimensiones!D:D,"")</f>
        <v>Región de La Araucanía</v>
      </c>
    </row>
    <row r="328" spans="1:10" ht="14.25" customHeight="1" x14ac:dyDescent="0.25">
      <c r="A328">
        <v>616022296</v>
      </c>
      <c r="B328" t="s">
        <v>24</v>
      </c>
      <c r="C328" t="s">
        <v>4925</v>
      </c>
      <c r="D328">
        <v>9</v>
      </c>
      <c r="E328" t="s">
        <v>4454</v>
      </c>
      <c r="F328" t="s">
        <v>2573</v>
      </c>
      <c r="G328" t="s">
        <v>5572</v>
      </c>
      <c r="H328" t="s">
        <v>4957</v>
      </c>
      <c r="I328" s="79" t="str">
        <f>IF(Tabla13[[#This Row],[RUT]]=774097899,"DIST",_xlfn.XLOOKUP(Tabla13[[#This Row],[VENDEDOR]],dimensiones!$C$21:$C$28,dimensiones!$D$21:$D$28,""))</f>
        <v>SUR2</v>
      </c>
      <c r="J328" s="125" t="str">
        <f>_xlfn.XLOOKUP(Tabla13[[#This Row],[REGION]],dimensiones!C:C,dimensiones!D:D,"")</f>
        <v>Región de La Araucanía</v>
      </c>
    </row>
    <row r="329" spans="1:10" ht="14.25" customHeight="1" x14ac:dyDescent="0.25">
      <c r="A329">
        <v>616022326</v>
      </c>
      <c r="B329" t="s">
        <v>26</v>
      </c>
      <c r="C329" t="s">
        <v>4218</v>
      </c>
      <c r="D329">
        <v>9</v>
      </c>
      <c r="E329" t="s">
        <v>4454</v>
      </c>
      <c r="F329" t="s">
        <v>2654</v>
      </c>
      <c r="G329" t="s">
        <v>5572</v>
      </c>
      <c r="H329" t="s">
        <v>4957</v>
      </c>
      <c r="I329" s="79" t="str">
        <f>IF(Tabla13[[#This Row],[RUT]]=774097899,"DIST",_xlfn.XLOOKUP(Tabla13[[#This Row],[VENDEDOR]],dimensiones!$C$21:$C$28,dimensiones!$D$21:$D$28,""))</f>
        <v>SUR2</v>
      </c>
      <c r="J329" s="125" t="str">
        <f>_xlfn.XLOOKUP(Tabla13[[#This Row],[REGION]],dimensiones!C:C,dimensiones!D:D,"")</f>
        <v>Región de La Araucanía</v>
      </c>
    </row>
    <row r="330" spans="1:10" ht="14.25" customHeight="1" x14ac:dyDescent="0.25">
      <c r="A330">
        <v>616022369</v>
      </c>
      <c r="B330" t="s">
        <v>27</v>
      </c>
      <c r="C330" t="s">
        <v>4362</v>
      </c>
      <c r="D330">
        <v>9</v>
      </c>
      <c r="E330" t="s">
        <v>4454</v>
      </c>
      <c r="F330" t="s">
        <v>1793</v>
      </c>
      <c r="G330" t="s">
        <v>5572</v>
      </c>
      <c r="H330" t="s">
        <v>4957</v>
      </c>
      <c r="I330" s="79" t="str">
        <f>IF(Tabla13[[#This Row],[RUT]]=774097899,"DIST",_xlfn.XLOOKUP(Tabla13[[#This Row],[VENDEDOR]],dimensiones!$C$21:$C$28,dimensiones!$D$21:$D$28,""))</f>
        <v>SUR2</v>
      </c>
      <c r="J330" s="125" t="str">
        <f>_xlfn.XLOOKUP(Tabla13[[#This Row],[REGION]],dimensiones!C:C,dimensiones!D:D,"")</f>
        <v>Región de La Araucanía</v>
      </c>
    </row>
    <row r="331" spans="1:10" ht="14.25" customHeight="1" x14ac:dyDescent="0.25">
      <c r="A331">
        <v>616022385</v>
      </c>
      <c r="B331" t="s">
        <v>3028</v>
      </c>
      <c r="C331" t="s">
        <v>4478</v>
      </c>
      <c r="D331">
        <v>9</v>
      </c>
      <c r="E331" t="s">
        <v>4454</v>
      </c>
      <c r="F331" t="s">
        <v>3027</v>
      </c>
      <c r="G331" t="s">
        <v>5572</v>
      </c>
      <c r="H331" t="s">
        <v>4957</v>
      </c>
      <c r="I331" s="79" t="str">
        <f>IF(Tabla13[[#This Row],[RUT]]=774097899,"DIST",_xlfn.XLOOKUP(Tabla13[[#This Row],[VENDEDOR]],dimensiones!$C$21:$C$28,dimensiones!$D$21:$D$28,""))</f>
        <v>SUR2</v>
      </c>
      <c r="J331" s="125" t="str">
        <f>_xlfn.XLOOKUP(Tabla13[[#This Row],[REGION]],dimensiones!C:C,dimensiones!D:D,"")</f>
        <v>Región de La Araucanía</v>
      </c>
    </row>
    <row r="332" spans="1:10" ht="14.25" customHeight="1" x14ac:dyDescent="0.25">
      <c r="A332">
        <v>616022407</v>
      </c>
      <c r="B332" t="s">
        <v>191</v>
      </c>
      <c r="C332" t="s">
        <v>4219</v>
      </c>
      <c r="D332">
        <v>9</v>
      </c>
      <c r="E332" t="s">
        <v>4445</v>
      </c>
      <c r="F332" t="s">
        <v>1207</v>
      </c>
      <c r="G332" t="s">
        <v>5572</v>
      </c>
      <c r="H332" t="s">
        <v>4957</v>
      </c>
      <c r="I332" s="79" t="str">
        <f>IF(Tabla13[[#This Row],[RUT]]=774097899,"DIST",_xlfn.XLOOKUP(Tabla13[[#This Row],[VENDEDOR]],dimensiones!$C$21:$C$28,dimensiones!$D$21:$D$28,""))</f>
        <v>ATEL</v>
      </c>
      <c r="J332" s="125" t="str">
        <f>_xlfn.XLOOKUP(Tabla13[[#This Row],[REGION]],dimensiones!C:C,dimensiones!D:D,"")</f>
        <v>Región de La Araucanía</v>
      </c>
    </row>
    <row r="333" spans="1:10" ht="14.25" customHeight="1" x14ac:dyDescent="0.25">
      <c r="A333">
        <v>616022415</v>
      </c>
      <c r="B333" t="s">
        <v>192</v>
      </c>
      <c r="C333" t="s">
        <v>4479</v>
      </c>
      <c r="D333">
        <v>9</v>
      </c>
      <c r="E333" t="s">
        <v>4445</v>
      </c>
      <c r="F333" t="s">
        <v>2178</v>
      </c>
      <c r="G333" t="s">
        <v>5572</v>
      </c>
      <c r="H333" t="s">
        <v>4957</v>
      </c>
      <c r="I333" s="79" t="str">
        <f>IF(Tabla13[[#This Row],[RUT]]=774097899,"DIST",_xlfn.XLOOKUP(Tabla13[[#This Row],[VENDEDOR]],dimensiones!$C$21:$C$28,dimensiones!$D$21:$D$28,""))</f>
        <v>ATEL</v>
      </c>
      <c r="J333" s="125" t="str">
        <f>_xlfn.XLOOKUP(Tabla13[[#This Row],[REGION]],dimensiones!C:C,dimensiones!D:D,"")</f>
        <v>Región de La Araucanía</v>
      </c>
    </row>
    <row r="334" spans="1:10" ht="14.25" customHeight="1" x14ac:dyDescent="0.25">
      <c r="A334">
        <v>616022423</v>
      </c>
      <c r="B334" t="s">
        <v>193</v>
      </c>
      <c r="C334" t="s">
        <v>4480</v>
      </c>
      <c r="D334">
        <v>9</v>
      </c>
      <c r="E334" t="s">
        <v>4445</v>
      </c>
      <c r="F334" t="s">
        <v>1443</v>
      </c>
      <c r="G334" t="s">
        <v>5572</v>
      </c>
      <c r="H334" t="s">
        <v>4957</v>
      </c>
      <c r="I334" s="79" t="str">
        <f>IF(Tabla13[[#This Row],[RUT]]=774097899,"DIST",_xlfn.XLOOKUP(Tabla13[[#This Row],[VENDEDOR]],dimensiones!$C$21:$C$28,dimensiones!$D$21:$D$28,""))</f>
        <v>ATEL</v>
      </c>
      <c r="J334" s="125" t="str">
        <f>_xlfn.XLOOKUP(Tabla13[[#This Row],[REGION]],dimensiones!C:C,dimensiones!D:D,"")</f>
        <v>Región de La Araucanía</v>
      </c>
    </row>
    <row r="335" spans="1:10" ht="14.25" customHeight="1" x14ac:dyDescent="0.25">
      <c r="A335">
        <v>616022431</v>
      </c>
      <c r="B335" t="s">
        <v>1734</v>
      </c>
      <c r="C335" t="s">
        <v>4481</v>
      </c>
      <c r="D335">
        <v>9</v>
      </c>
      <c r="E335" t="s">
        <v>4445</v>
      </c>
      <c r="F335" t="s">
        <v>1733</v>
      </c>
      <c r="G335" t="s">
        <v>5572</v>
      </c>
      <c r="H335" t="s">
        <v>4957</v>
      </c>
      <c r="I335" s="79" t="str">
        <f>IF(Tabla13[[#This Row],[RUT]]=774097899,"DIST",_xlfn.XLOOKUP(Tabla13[[#This Row],[VENDEDOR]],dimensiones!$C$21:$C$28,dimensiones!$D$21:$D$28,""))</f>
        <v>ATEL</v>
      </c>
      <c r="J335" s="125" t="str">
        <f>_xlfn.XLOOKUP(Tabla13[[#This Row],[REGION]],dimensiones!C:C,dimensiones!D:D,"")</f>
        <v>Región de La Araucanía</v>
      </c>
    </row>
    <row r="336" spans="1:10" ht="14.25" customHeight="1" x14ac:dyDescent="0.25">
      <c r="A336" t="s">
        <v>632</v>
      </c>
      <c r="B336" t="s">
        <v>633</v>
      </c>
      <c r="C336" t="s">
        <v>4220</v>
      </c>
      <c r="D336">
        <v>9</v>
      </c>
      <c r="E336" t="s">
        <v>4445</v>
      </c>
      <c r="F336" t="s">
        <v>2062</v>
      </c>
      <c r="G336" t="s">
        <v>5572</v>
      </c>
      <c r="H336" t="s">
        <v>4957</v>
      </c>
      <c r="I336" s="79" t="str">
        <f>IF(Tabla13[[#This Row],[RUT]]=774097899,"DIST",_xlfn.XLOOKUP(Tabla13[[#This Row],[VENDEDOR]],dimensiones!$C$21:$C$28,dimensiones!$D$21:$D$28,""))</f>
        <v>ATEL</v>
      </c>
      <c r="J336" s="125" t="str">
        <f>_xlfn.XLOOKUP(Tabla13[[#This Row],[REGION]],dimensiones!C:C,dimensiones!D:D,"")</f>
        <v>Región de La Araucanía</v>
      </c>
    </row>
    <row r="337" spans="1:10" ht="14.25" customHeight="1" x14ac:dyDescent="0.25">
      <c r="A337">
        <v>616022458</v>
      </c>
      <c r="B337" t="s">
        <v>2314</v>
      </c>
      <c r="C337" t="s">
        <v>4221</v>
      </c>
      <c r="D337">
        <v>9</v>
      </c>
      <c r="E337" t="s">
        <v>4445</v>
      </c>
      <c r="F337" t="s">
        <v>2313</v>
      </c>
      <c r="G337" t="s">
        <v>5571</v>
      </c>
      <c r="H337" t="s">
        <v>4957</v>
      </c>
      <c r="I337" s="79" t="str">
        <f>IF(Tabla13[[#This Row],[RUT]]=774097899,"DIST",_xlfn.XLOOKUP(Tabla13[[#This Row],[VENDEDOR]],dimensiones!$C$21:$C$28,dimensiones!$D$21:$D$28,""))</f>
        <v>ATEL</v>
      </c>
      <c r="J337" s="125" t="str">
        <f>_xlfn.XLOOKUP(Tabla13[[#This Row],[REGION]],dimensiones!C:C,dimensiones!D:D,"")</f>
        <v>Región de La Araucanía</v>
      </c>
    </row>
    <row r="338" spans="1:10" ht="14.25" customHeight="1" x14ac:dyDescent="0.25">
      <c r="A338">
        <v>616022466</v>
      </c>
      <c r="B338" t="s">
        <v>195</v>
      </c>
      <c r="C338" t="s">
        <v>4222</v>
      </c>
      <c r="D338">
        <v>9</v>
      </c>
      <c r="E338" t="s">
        <v>4445</v>
      </c>
      <c r="F338" t="s">
        <v>1218</v>
      </c>
      <c r="G338" t="s">
        <v>5572</v>
      </c>
      <c r="H338" t="s">
        <v>4957</v>
      </c>
      <c r="I338" s="79" t="str">
        <f>IF(Tabla13[[#This Row],[RUT]]=774097899,"DIST",_xlfn.XLOOKUP(Tabla13[[#This Row],[VENDEDOR]],dimensiones!$C$21:$C$28,dimensiones!$D$21:$D$28,""))</f>
        <v>ATEL</v>
      </c>
      <c r="J338" s="125" t="str">
        <f>_xlfn.XLOOKUP(Tabla13[[#This Row],[REGION]],dimensiones!C:C,dimensiones!D:D,"")</f>
        <v>Región de La Araucanía</v>
      </c>
    </row>
    <row r="339" spans="1:10" ht="14.25" customHeight="1" x14ac:dyDescent="0.25">
      <c r="A339">
        <v>616022474</v>
      </c>
      <c r="B339" t="s">
        <v>196</v>
      </c>
      <c r="C339" t="s">
        <v>4366</v>
      </c>
      <c r="D339">
        <v>9</v>
      </c>
      <c r="E339" t="s">
        <v>4445</v>
      </c>
      <c r="F339" t="s">
        <v>1220</v>
      </c>
      <c r="G339" t="s">
        <v>5572</v>
      </c>
      <c r="H339" t="s">
        <v>4957</v>
      </c>
      <c r="I339" s="79" t="str">
        <f>IF(Tabla13[[#This Row],[RUT]]=774097899,"DIST",_xlfn.XLOOKUP(Tabla13[[#This Row],[VENDEDOR]],dimensiones!$C$21:$C$28,dimensiones!$D$21:$D$28,""))</f>
        <v>ATEL</v>
      </c>
      <c r="J339" s="125" t="str">
        <f>_xlfn.XLOOKUP(Tabla13[[#This Row],[REGION]],dimensiones!C:C,dimensiones!D:D,"")</f>
        <v>Región de La Araucanía</v>
      </c>
    </row>
    <row r="340" spans="1:10" ht="14.25" customHeight="1" x14ac:dyDescent="0.25">
      <c r="A340">
        <v>616022482</v>
      </c>
      <c r="B340" t="s">
        <v>745</v>
      </c>
      <c r="C340" t="s">
        <v>4223</v>
      </c>
      <c r="D340">
        <v>9</v>
      </c>
      <c r="E340" t="s">
        <v>4454</v>
      </c>
      <c r="F340" t="s">
        <v>1346</v>
      </c>
      <c r="G340" t="s">
        <v>5572</v>
      </c>
      <c r="H340" t="s">
        <v>4957</v>
      </c>
      <c r="I340" s="79" t="str">
        <f>IF(Tabla13[[#This Row],[RUT]]=774097899,"DIST",_xlfn.XLOOKUP(Tabla13[[#This Row],[VENDEDOR]],dimensiones!$C$21:$C$28,dimensiones!$D$21:$D$28,""))</f>
        <v>SUR2</v>
      </c>
      <c r="J340" s="125" t="str">
        <f>_xlfn.XLOOKUP(Tabla13[[#This Row],[REGION]],dimensiones!C:C,dimensiones!D:D,"")</f>
        <v>Región de La Araucanía</v>
      </c>
    </row>
    <row r="341" spans="1:10" ht="14.25" customHeight="1" x14ac:dyDescent="0.25">
      <c r="A341">
        <v>616022601</v>
      </c>
      <c r="B341" t="s">
        <v>29</v>
      </c>
      <c r="C341" t="s">
        <v>4224</v>
      </c>
      <c r="D341">
        <v>10</v>
      </c>
      <c r="E341" t="s">
        <v>4454</v>
      </c>
      <c r="F341" t="s">
        <v>3295</v>
      </c>
      <c r="G341" t="s">
        <v>5572</v>
      </c>
      <c r="H341" t="s">
        <v>4957</v>
      </c>
      <c r="I341" s="79" t="str">
        <f>IF(Tabla13[[#This Row],[RUT]]=774097899,"DIST",_xlfn.XLOOKUP(Tabla13[[#This Row],[VENDEDOR]],dimensiones!$C$21:$C$28,dimensiones!$D$21:$D$28,""))</f>
        <v>SUR2</v>
      </c>
      <c r="J341" s="125" t="str">
        <f>_xlfn.XLOOKUP(Tabla13[[#This Row],[REGION]],dimensiones!C:C,dimensiones!D:D,"")</f>
        <v>Región de Los Lagos</v>
      </c>
    </row>
    <row r="342" spans="1:10" ht="14.25" customHeight="1" x14ac:dyDescent="0.25">
      <c r="A342" t="s">
        <v>634</v>
      </c>
      <c r="B342" t="s">
        <v>635</v>
      </c>
      <c r="C342" t="s">
        <v>4225</v>
      </c>
      <c r="D342">
        <v>10</v>
      </c>
      <c r="E342" t="s">
        <v>4445</v>
      </c>
      <c r="F342" t="s">
        <v>1709</v>
      </c>
      <c r="G342" t="s">
        <v>5572</v>
      </c>
      <c r="H342" t="s">
        <v>4957</v>
      </c>
      <c r="I342" s="79" t="str">
        <f>IF(Tabla13[[#This Row],[RUT]]=774097899,"DIST",_xlfn.XLOOKUP(Tabla13[[#This Row],[VENDEDOR]],dimensiones!$C$21:$C$28,dimensiones!$D$21:$D$28,""))</f>
        <v>ATEL</v>
      </c>
      <c r="J342" s="125" t="str">
        <f>_xlfn.XLOOKUP(Tabla13[[#This Row],[REGION]],dimensiones!C:C,dimensiones!D:D,"")</f>
        <v>Región de Los Lagos</v>
      </c>
    </row>
    <row r="343" spans="1:10" ht="14.25" customHeight="1" x14ac:dyDescent="0.25">
      <c r="A343">
        <v>616022628</v>
      </c>
      <c r="B343" t="s">
        <v>197</v>
      </c>
      <c r="C343" t="s">
        <v>4482</v>
      </c>
      <c r="D343">
        <v>10</v>
      </c>
      <c r="E343" t="s">
        <v>4445</v>
      </c>
      <c r="F343" t="s">
        <v>1869</v>
      </c>
      <c r="G343" t="s">
        <v>5572</v>
      </c>
      <c r="H343" t="s">
        <v>4957</v>
      </c>
      <c r="I343" s="79" t="str">
        <f>IF(Tabla13[[#This Row],[RUT]]=774097899,"DIST",_xlfn.XLOOKUP(Tabla13[[#This Row],[VENDEDOR]],dimensiones!$C$21:$C$28,dimensiones!$D$21:$D$28,""))</f>
        <v>ATEL</v>
      </c>
      <c r="J343" s="125" t="str">
        <f>_xlfn.XLOOKUP(Tabla13[[#This Row],[REGION]],dimensiones!C:C,dimensiones!D:D,"")</f>
        <v>Región de Los Lagos</v>
      </c>
    </row>
    <row r="344" spans="1:10" ht="14.25" customHeight="1" x14ac:dyDescent="0.25">
      <c r="A344">
        <v>616022687</v>
      </c>
      <c r="B344" t="s">
        <v>198</v>
      </c>
      <c r="C344" t="s">
        <v>4226</v>
      </c>
      <c r="D344">
        <v>10</v>
      </c>
      <c r="E344" t="s">
        <v>4445</v>
      </c>
      <c r="F344" t="s">
        <v>1230</v>
      </c>
      <c r="G344" t="s">
        <v>5572</v>
      </c>
      <c r="H344" t="s">
        <v>4957</v>
      </c>
      <c r="I344" s="79" t="str">
        <f>IF(Tabla13[[#This Row],[RUT]]=774097899,"DIST",_xlfn.XLOOKUP(Tabla13[[#This Row],[VENDEDOR]],dimensiones!$C$21:$C$28,dimensiones!$D$21:$D$28,""))</f>
        <v>ATEL</v>
      </c>
      <c r="J344" s="125" t="str">
        <f>_xlfn.XLOOKUP(Tabla13[[#This Row],[REGION]],dimensiones!C:C,dimensiones!D:D,"")</f>
        <v>Región de Los Lagos</v>
      </c>
    </row>
    <row r="345" spans="1:10" ht="14.25" customHeight="1" x14ac:dyDescent="0.25">
      <c r="A345">
        <v>616022709</v>
      </c>
      <c r="B345" t="s">
        <v>199</v>
      </c>
      <c r="C345" t="s">
        <v>4227</v>
      </c>
      <c r="D345">
        <v>10</v>
      </c>
      <c r="E345" t="s">
        <v>4445</v>
      </c>
      <c r="F345" t="s">
        <v>3032</v>
      </c>
      <c r="G345" t="s">
        <v>5572</v>
      </c>
      <c r="H345" t="s">
        <v>4957</v>
      </c>
      <c r="I345" s="79" t="str">
        <f>IF(Tabla13[[#This Row],[RUT]]=774097899,"DIST",_xlfn.XLOOKUP(Tabla13[[#This Row],[VENDEDOR]],dimensiones!$C$21:$C$28,dimensiones!$D$21:$D$28,""))</f>
        <v>ATEL</v>
      </c>
      <c r="J345" s="125" t="str">
        <f>_xlfn.XLOOKUP(Tabla13[[#This Row],[REGION]],dimensiones!C:C,dimensiones!D:D,"")</f>
        <v>Región de Los Lagos</v>
      </c>
    </row>
    <row r="346" spans="1:10" ht="14.25" customHeight="1" x14ac:dyDescent="0.25">
      <c r="A346">
        <v>616022717</v>
      </c>
      <c r="B346" t="s">
        <v>200</v>
      </c>
      <c r="C346" t="s">
        <v>4228</v>
      </c>
      <c r="D346">
        <v>10</v>
      </c>
      <c r="E346" t="s">
        <v>4445</v>
      </c>
      <c r="F346" t="s">
        <v>1233</v>
      </c>
      <c r="G346" t="s">
        <v>5572</v>
      </c>
      <c r="H346" t="s">
        <v>4957</v>
      </c>
      <c r="I346" s="79" t="str">
        <f>IF(Tabla13[[#This Row],[RUT]]=774097899,"DIST",_xlfn.XLOOKUP(Tabla13[[#This Row],[VENDEDOR]],dimensiones!$C$21:$C$28,dimensiones!$D$21:$D$28,""))</f>
        <v>ATEL</v>
      </c>
      <c r="J346" s="125" t="str">
        <f>_xlfn.XLOOKUP(Tabla13[[#This Row],[REGION]],dimensiones!C:C,dimensiones!D:D,"")</f>
        <v>Región de Los Lagos</v>
      </c>
    </row>
    <row r="347" spans="1:10" ht="14.25" customHeight="1" x14ac:dyDescent="0.25">
      <c r="A347">
        <v>616022725</v>
      </c>
      <c r="B347" t="s">
        <v>201</v>
      </c>
      <c r="C347" t="s">
        <v>4483</v>
      </c>
      <c r="D347">
        <v>10</v>
      </c>
      <c r="E347" t="s">
        <v>4445</v>
      </c>
      <c r="F347" t="s">
        <v>1235</v>
      </c>
      <c r="G347" t="s">
        <v>5572</v>
      </c>
      <c r="H347" t="s">
        <v>4957</v>
      </c>
      <c r="I347" s="79" t="str">
        <f>IF(Tabla13[[#This Row],[RUT]]=774097899,"DIST",_xlfn.XLOOKUP(Tabla13[[#This Row],[VENDEDOR]],dimensiones!$C$21:$C$28,dimensiones!$D$21:$D$28,""))</f>
        <v>ATEL</v>
      </c>
      <c r="J347" s="125" t="str">
        <f>_xlfn.XLOOKUP(Tabla13[[#This Row],[REGION]],dimensiones!C:C,dimensiones!D:D,"")</f>
        <v>Región de Los Lagos</v>
      </c>
    </row>
    <row r="348" spans="1:10" ht="14.25" customHeight="1" x14ac:dyDescent="0.25">
      <c r="A348">
        <v>616022733</v>
      </c>
      <c r="B348" t="s">
        <v>30</v>
      </c>
      <c r="C348" t="s">
        <v>4229</v>
      </c>
      <c r="D348">
        <v>10</v>
      </c>
      <c r="E348" t="s">
        <v>4454</v>
      </c>
      <c r="F348" t="s">
        <v>2232</v>
      </c>
      <c r="G348" t="s">
        <v>5572</v>
      </c>
      <c r="H348" t="s">
        <v>4957</v>
      </c>
      <c r="I348" s="79" t="str">
        <f>IF(Tabla13[[#This Row],[RUT]]=774097899,"DIST",_xlfn.XLOOKUP(Tabla13[[#This Row],[VENDEDOR]],dimensiones!$C$21:$C$28,dimensiones!$D$21:$D$28,""))</f>
        <v>SUR2</v>
      </c>
      <c r="J348" s="125" t="str">
        <f>_xlfn.XLOOKUP(Tabla13[[#This Row],[REGION]],dimensiones!C:C,dimensiones!D:D,"")</f>
        <v>Región de Los Lagos</v>
      </c>
    </row>
    <row r="349" spans="1:10" ht="14.25" customHeight="1" x14ac:dyDescent="0.25">
      <c r="A349">
        <v>616022741</v>
      </c>
      <c r="B349" t="s">
        <v>887</v>
      </c>
      <c r="C349" t="s">
        <v>4826</v>
      </c>
      <c r="D349">
        <v>10</v>
      </c>
      <c r="E349" t="s">
        <v>4445</v>
      </c>
      <c r="F349" t="s">
        <v>1239</v>
      </c>
      <c r="G349" t="s">
        <v>5572</v>
      </c>
      <c r="H349" t="s">
        <v>4957</v>
      </c>
      <c r="I349" s="79" t="str">
        <f>IF(Tabla13[[#This Row],[RUT]]=774097899,"DIST",_xlfn.XLOOKUP(Tabla13[[#This Row],[VENDEDOR]],dimensiones!$C$21:$C$28,dimensiones!$D$21:$D$28,""))</f>
        <v>ATEL</v>
      </c>
      <c r="J349" s="125" t="str">
        <f>_xlfn.XLOOKUP(Tabla13[[#This Row],[REGION]],dimensiones!C:C,dimensiones!D:D,"")</f>
        <v>Región de Los Lagos</v>
      </c>
    </row>
    <row r="350" spans="1:10" ht="14.25" customHeight="1" x14ac:dyDescent="0.25">
      <c r="A350" t="s">
        <v>636</v>
      </c>
      <c r="B350" t="s">
        <v>637</v>
      </c>
      <c r="C350" t="s">
        <v>4230</v>
      </c>
      <c r="D350">
        <v>10</v>
      </c>
      <c r="E350" t="s">
        <v>4454</v>
      </c>
      <c r="F350" t="s">
        <v>1402</v>
      </c>
      <c r="G350" t="s">
        <v>5572</v>
      </c>
      <c r="H350" t="s">
        <v>4957</v>
      </c>
      <c r="I350" s="79" t="str">
        <f>IF(Tabla13[[#This Row],[RUT]]=774097899,"DIST",_xlfn.XLOOKUP(Tabla13[[#This Row],[VENDEDOR]],dimensiones!$C$21:$C$28,dimensiones!$D$21:$D$28,""))</f>
        <v>SUR2</v>
      </c>
      <c r="J350" s="125" t="str">
        <f>_xlfn.XLOOKUP(Tabla13[[#This Row],[REGION]],dimensiones!C:C,dimensiones!D:D,"")</f>
        <v>Región de Los Lagos</v>
      </c>
    </row>
    <row r="351" spans="1:10" ht="14.25" customHeight="1" x14ac:dyDescent="0.25">
      <c r="A351">
        <v>616022768</v>
      </c>
      <c r="B351" t="s">
        <v>1276</v>
      </c>
      <c r="C351" t="s">
        <v>4484</v>
      </c>
      <c r="D351">
        <v>10</v>
      </c>
      <c r="E351" t="s">
        <v>4445</v>
      </c>
      <c r="F351" t="s">
        <v>1275</v>
      </c>
      <c r="G351" t="s">
        <v>5572</v>
      </c>
      <c r="H351" t="s">
        <v>4957</v>
      </c>
      <c r="I351" s="79" t="str">
        <f>IF(Tabla13[[#This Row],[RUT]]=774097899,"DIST",_xlfn.XLOOKUP(Tabla13[[#This Row],[VENDEDOR]],dimensiones!$C$21:$C$28,dimensiones!$D$21:$D$28,""))</f>
        <v>ATEL</v>
      </c>
      <c r="J351" s="125" t="str">
        <f>_xlfn.XLOOKUP(Tabla13[[#This Row],[REGION]],dimensiones!C:C,dimensiones!D:D,"")</f>
        <v>Región de Los Lagos</v>
      </c>
    </row>
    <row r="352" spans="1:10" ht="14.25" customHeight="1" x14ac:dyDescent="0.25">
      <c r="A352">
        <v>616022784</v>
      </c>
      <c r="B352" t="s">
        <v>203</v>
      </c>
      <c r="C352" t="s">
        <v>4231</v>
      </c>
      <c r="D352">
        <v>10</v>
      </c>
      <c r="E352" t="s">
        <v>4445</v>
      </c>
      <c r="F352" t="s">
        <v>2656</v>
      </c>
      <c r="G352" t="s">
        <v>5572</v>
      </c>
      <c r="H352" t="s">
        <v>4957</v>
      </c>
      <c r="I352" s="79" t="str">
        <f>IF(Tabla13[[#This Row],[RUT]]=774097899,"DIST",_xlfn.XLOOKUP(Tabla13[[#This Row],[VENDEDOR]],dimensiones!$C$21:$C$28,dimensiones!$D$21:$D$28,""))</f>
        <v>ATEL</v>
      </c>
      <c r="J352" s="125" t="str">
        <f>_xlfn.XLOOKUP(Tabla13[[#This Row],[REGION]],dimensiones!C:C,dimensiones!D:D,"")</f>
        <v>Región de Los Lagos</v>
      </c>
    </row>
    <row r="353" spans="1:10" ht="14.25" customHeight="1" x14ac:dyDescent="0.25">
      <c r="A353">
        <v>616022792</v>
      </c>
      <c r="B353" t="s">
        <v>204</v>
      </c>
      <c r="C353" t="s">
        <v>4485</v>
      </c>
      <c r="D353">
        <v>11</v>
      </c>
      <c r="E353" t="s">
        <v>4445</v>
      </c>
      <c r="F353" t="s">
        <v>2351</v>
      </c>
      <c r="G353" t="s">
        <v>5572</v>
      </c>
      <c r="H353" t="s">
        <v>4957</v>
      </c>
      <c r="I353" s="79" t="str">
        <f>IF(Tabla13[[#This Row],[RUT]]=774097899,"DIST",_xlfn.XLOOKUP(Tabla13[[#This Row],[VENDEDOR]],dimensiones!$C$21:$C$28,dimensiones!$D$21:$D$28,""))</f>
        <v>ATEL</v>
      </c>
      <c r="J353" s="125" t="str">
        <f>_xlfn.XLOOKUP(Tabla13[[#This Row],[REGION]],dimensiones!C:C,dimensiones!D:D,"")</f>
        <v>Región de Aysén del General Carlos Ibáñez del Campo</v>
      </c>
    </row>
    <row r="354" spans="1:10" ht="14.25" customHeight="1" x14ac:dyDescent="0.25">
      <c r="A354">
        <v>616022806</v>
      </c>
      <c r="B354" t="s">
        <v>205</v>
      </c>
      <c r="C354" t="s">
        <v>4233</v>
      </c>
      <c r="D354">
        <v>11</v>
      </c>
      <c r="E354" t="s">
        <v>4445</v>
      </c>
      <c r="F354" t="s">
        <v>1512</v>
      </c>
      <c r="G354" t="s">
        <v>5572</v>
      </c>
      <c r="H354" t="s">
        <v>4957</v>
      </c>
      <c r="I354" s="79" t="str">
        <f>IF(Tabla13[[#This Row],[RUT]]=774097899,"DIST",_xlfn.XLOOKUP(Tabla13[[#This Row],[VENDEDOR]],dimensiones!$C$21:$C$28,dimensiones!$D$21:$D$28,""))</f>
        <v>ATEL</v>
      </c>
      <c r="J354" s="125" t="str">
        <f>_xlfn.XLOOKUP(Tabla13[[#This Row],[REGION]],dimensiones!C:C,dimensiones!D:D,"")</f>
        <v>Región de Aysén del General Carlos Ibáñez del Campo</v>
      </c>
    </row>
    <row r="355" spans="1:10" ht="14.25" customHeight="1" x14ac:dyDescent="0.25">
      <c r="A355">
        <v>616022814</v>
      </c>
      <c r="B355" t="s">
        <v>888</v>
      </c>
      <c r="C355" t="s">
        <v>4234</v>
      </c>
      <c r="D355">
        <v>11</v>
      </c>
      <c r="E355" t="s">
        <v>4445</v>
      </c>
      <c r="F355" t="s">
        <v>4139</v>
      </c>
      <c r="G355" t="s">
        <v>5572</v>
      </c>
      <c r="H355" t="s">
        <v>4957</v>
      </c>
      <c r="I355" s="79" t="str">
        <f>IF(Tabla13[[#This Row],[RUT]]=774097899,"DIST",_xlfn.XLOOKUP(Tabla13[[#This Row],[VENDEDOR]],dimensiones!$C$21:$C$28,dimensiones!$D$21:$D$28,""))</f>
        <v>ATEL</v>
      </c>
      <c r="J355" s="125" t="str">
        <f>_xlfn.XLOOKUP(Tabla13[[#This Row],[REGION]],dimensiones!C:C,dimensiones!D:D,"")</f>
        <v>Región de Aysén del General Carlos Ibáñez del Campo</v>
      </c>
    </row>
    <row r="356" spans="1:10" ht="14.25" customHeight="1" x14ac:dyDescent="0.25">
      <c r="A356" t="s">
        <v>638</v>
      </c>
      <c r="B356" t="s">
        <v>639</v>
      </c>
      <c r="C356" t="s">
        <v>4235</v>
      </c>
      <c r="D356">
        <v>11</v>
      </c>
      <c r="E356" t="s">
        <v>4445</v>
      </c>
      <c r="F356" t="s">
        <v>1226</v>
      </c>
      <c r="G356" t="s">
        <v>5572</v>
      </c>
      <c r="H356" t="s">
        <v>4957</v>
      </c>
      <c r="I356" s="79" t="str">
        <f>IF(Tabla13[[#This Row],[RUT]]=774097899,"DIST",_xlfn.XLOOKUP(Tabla13[[#This Row],[VENDEDOR]],dimensiones!$C$21:$C$28,dimensiones!$D$21:$D$28,""))</f>
        <v>ATEL</v>
      </c>
      <c r="J356" s="125" t="str">
        <f>_xlfn.XLOOKUP(Tabla13[[#This Row],[REGION]],dimensiones!C:C,dimensiones!D:D,"")</f>
        <v>Región de Aysén del General Carlos Ibáñez del Campo</v>
      </c>
    </row>
    <row r="357" spans="1:10" ht="14.25" customHeight="1" x14ac:dyDescent="0.25">
      <c r="A357">
        <v>616022938</v>
      </c>
      <c r="B357" t="s">
        <v>769</v>
      </c>
      <c r="C357" t="s">
        <v>4486</v>
      </c>
      <c r="D357">
        <v>11</v>
      </c>
      <c r="E357" t="s">
        <v>4445</v>
      </c>
      <c r="F357" t="s">
        <v>1455</v>
      </c>
      <c r="G357" t="s">
        <v>5572</v>
      </c>
      <c r="H357" t="s">
        <v>4957</v>
      </c>
      <c r="I357" s="79" t="str">
        <f>IF(Tabla13[[#This Row],[RUT]]=774097899,"DIST",_xlfn.XLOOKUP(Tabla13[[#This Row],[VENDEDOR]],dimensiones!$C$21:$C$28,dimensiones!$D$21:$D$28,""))</f>
        <v>ATEL</v>
      </c>
      <c r="J357" s="125" t="str">
        <f>_xlfn.XLOOKUP(Tabla13[[#This Row],[REGION]],dimensiones!C:C,dimensiones!D:D,"")</f>
        <v>Región de Aysén del General Carlos Ibáñez del Campo</v>
      </c>
    </row>
    <row r="358" spans="1:10" ht="14.25" customHeight="1" x14ac:dyDescent="0.25">
      <c r="A358">
        <v>616022954</v>
      </c>
      <c r="B358" t="s">
        <v>2083</v>
      </c>
      <c r="C358" t="s">
        <v>4460</v>
      </c>
      <c r="D358">
        <v>8</v>
      </c>
      <c r="E358" t="s">
        <v>4464</v>
      </c>
      <c r="F358" t="s">
        <v>2082</v>
      </c>
      <c r="G358" t="s">
        <v>5572</v>
      </c>
      <c r="H358" t="s">
        <v>4957</v>
      </c>
      <c r="I358" s="79" t="str">
        <f>IF(Tabla13[[#This Row],[RUT]]=774097899,"DIST",_xlfn.XLOOKUP(Tabla13[[#This Row],[VENDEDOR]],dimensiones!$C$21:$C$28,dimensiones!$D$21:$D$28,""))</f>
        <v>SUR1</v>
      </c>
      <c r="J358" s="125" t="str">
        <f>_xlfn.XLOOKUP(Tabla13[[#This Row],[REGION]],dimensiones!C:C,dimensiones!D:D,"")</f>
        <v>Región de Biobío</v>
      </c>
    </row>
    <row r="359" spans="1:10" ht="14.25" customHeight="1" x14ac:dyDescent="0.25">
      <c r="A359">
        <v>616022997</v>
      </c>
      <c r="B359" t="s">
        <v>206</v>
      </c>
      <c r="C359" t="s">
        <v>4487</v>
      </c>
      <c r="D359">
        <v>9</v>
      </c>
      <c r="E359" t="s">
        <v>4445</v>
      </c>
      <c r="F359" t="s">
        <v>1938</v>
      </c>
      <c r="G359" t="s">
        <v>5572</v>
      </c>
      <c r="H359" t="s">
        <v>4957</v>
      </c>
      <c r="I359" s="79" t="str">
        <f>IF(Tabla13[[#This Row],[RUT]]=774097899,"DIST",_xlfn.XLOOKUP(Tabla13[[#This Row],[VENDEDOR]],dimensiones!$C$21:$C$28,dimensiones!$D$21:$D$28,""))</f>
        <v>ATEL</v>
      </c>
      <c r="J359" s="125" t="str">
        <f>_xlfn.XLOOKUP(Tabla13[[#This Row],[REGION]],dimensiones!C:C,dimensiones!D:D,"")</f>
        <v>Región de La Araucanía</v>
      </c>
    </row>
    <row r="360" spans="1:10" ht="14.25" customHeight="1" x14ac:dyDescent="0.25">
      <c r="A360" t="s">
        <v>640</v>
      </c>
      <c r="B360" t="s">
        <v>641</v>
      </c>
      <c r="C360" t="s">
        <v>4488</v>
      </c>
      <c r="D360">
        <v>10</v>
      </c>
      <c r="E360" t="s">
        <v>4445</v>
      </c>
      <c r="F360" t="s">
        <v>1262</v>
      </c>
      <c r="G360" t="s">
        <v>5572</v>
      </c>
      <c r="H360" t="s">
        <v>4957</v>
      </c>
      <c r="I360" s="79" t="str">
        <f>IF(Tabla13[[#This Row],[RUT]]=774097899,"DIST",_xlfn.XLOOKUP(Tabla13[[#This Row],[VENDEDOR]],dimensiones!$C$21:$C$28,dimensiones!$D$21:$D$28,""))</f>
        <v>ATEL</v>
      </c>
      <c r="J360" s="125" t="str">
        <f>_xlfn.XLOOKUP(Tabla13[[#This Row],[REGION]],dimensiones!C:C,dimensiones!D:D,"")</f>
        <v>Región de Los Lagos</v>
      </c>
    </row>
    <row r="361" spans="1:10" ht="14.25" customHeight="1" x14ac:dyDescent="0.25">
      <c r="A361">
        <v>616023128</v>
      </c>
      <c r="B361" t="s">
        <v>889</v>
      </c>
      <c r="C361" t="s">
        <v>4236</v>
      </c>
      <c r="D361">
        <v>10</v>
      </c>
      <c r="E361" t="s">
        <v>4445</v>
      </c>
      <c r="F361" t="s">
        <v>1185</v>
      </c>
      <c r="G361" t="s">
        <v>5572</v>
      </c>
      <c r="H361" t="s">
        <v>4957</v>
      </c>
      <c r="I361" s="79" t="str">
        <f>IF(Tabla13[[#This Row],[RUT]]=774097899,"DIST",_xlfn.XLOOKUP(Tabla13[[#This Row],[VENDEDOR]],dimensiones!$C$21:$C$28,dimensiones!$D$21:$D$28,""))</f>
        <v>ATEL</v>
      </c>
      <c r="J361" s="125" t="str">
        <f>_xlfn.XLOOKUP(Tabla13[[#This Row],[REGION]],dimensiones!C:C,dimensiones!D:D,"")</f>
        <v>Región de Los Lagos</v>
      </c>
    </row>
    <row r="362" spans="1:10" ht="14.25" customHeight="1" x14ac:dyDescent="0.25">
      <c r="A362">
        <v>616060007</v>
      </c>
      <c r="B362" t="s">
        <v>5673</v>
      </c>
      <c r="C362" t="s">
        <v>4181</v>
      </c>
      <c r="D362">
        <v>15</v>
      </c>
      <c r="E362" t="s">
        <v>4445</v>
      </c>
      <c r="F362" t="s">
        <v>5183</v>
      </c>
      <c r="G362" t="s">
        <v>5571</v>
      </c>
      <c r="H362" t="s">
        <v>4957</v>
      </c>
      <c r="I362" s="79" t="str">
        <f>IF(Tabla13[[#This Row],[RUT]]=774097899,"DIST",_xlfn.XLOOKUP(Tabla13[[#This Row],[VENDEDOR]],dimensiones!$C$21:$C$28,dimensiones!$D$21:$D$28,""))</f>
        <v>ATEL</v>
      </c>
      <c r="J362" s="125" t="str">
        <f>_xlfn.XLOOKUP(Tabla13[[#This Row],[REGION]],dimensiones!C:C,dimensiones!D:D,"")</f>
        <v>Región de Arica y Parinacota</v>
      </c>
    </row>
    <row r="363" spans="1:10" ht="14.25" customHeight="1" x14ac:dyDescent="0.25">
      <c r="A363">
        <v>616060015</v>
      </c>
      <c r="B363" t="s">
        <v>2467</v>
      </c>
      <c r="C363" t="s">
        <v>4181</v>
      </c>
      <c r="D363">
        <v>15</v>
      </c>
      <c r="E363" t="s">
        <v>4445</v>
      </c>
      <c r="F363" t="s">
        <v>2466</v>
      </c>
      <c r="G363" t="s">
        <v>5571</v>
      </c>
      <c r="H363" t="s">
        <v>4957</v>
      </c>
      <c r="I363" s="79" t="str">
        <f>IF(Tabla13[[#This Row],[RUT]]=774097899,"DIST",_xlfn.XLOOKUP(Tabla13[[#This Row],[VENDEDOR]],dimensiones!$C$21:$C$28,dimensiones!$D$21:$D$28,""))</f>
        <v>ATEL</v>
      </c>
      <c r="J363" s="125" t="str">
        <f>_xlfn.XLOOKUP(Tabla13[[#This Row],[REGION]],dimensiones!C:C,dimensiones!D:D,"")</f>
        <v>Región de Arica y Parinacota</v>
      </c>
    </row>
    <row r="364" spans="1:10" ht="14.25" customHeight="1" x14ac:dyDescent="0.25">
      <c r="A364">
        <v>616061003</v>
      </c>
      <c r="B364" t="s">
        <v>771</v>
      </c>
      <c r="C364" t="s">
        <v>4186</v>
      </c>
      <c r="D364">
        <v>1</v>
      </c>
      <c r="E364" t="s">
        <v>4453</v>
      </c>
      <c r="F364" t="s">
        <v>2303</v>
      </c>
      <c r="G364" t="s">
        <v>5571</v>
      </c>
      <c r="H364" t="s">
        <v>4957</v>
      </c>
      <c r="I364" s="79" t="str">
        <f>IF(Tabla13[[#This Row],[RUT]]=774097899,"DIST",_xlfn.XLOOKUP(Tabla13[[#This Row],[VENDEDOR]],dimensiones!$C$21:$C$28,dimensiones!$D$21:$D$28,""))</f>
        <v>SANT2</v>
      </c>
      <c r="J364" s="125" t="str">
        <f>_xlfn.XLOOKUP(Tabla13[[#This Row],[REGION]],dimensiones!C:C,dimensiones!D:D,"")</f>
        <v>Región de Tarapacá</v>
      </c>
    </row>
    <row r="365" spans="1:10" ht="14.25" customHeight="1" x14ac:dyDescent="0.25">
      <c r="A365" t="s">
        <v>642</v>
      </c>
      <c r="B365" t="s">
        <v>2331</v>
      </c>
      <c r="C365" t="s">
        <v>4182</v>
      </c>
      <c r="D365">
        <v>2</v>
      </c>
      <c r="E365" t="s">
        <v>4445</v>
      </c>
      <c r="F365" t="s">
        <v>2330</v>
      </c>
      <c r="G365" t="s">
        <v>5571</v>
      </c>
      <c r="H365" t="s">
        <v>4957</v>
      </c>
      <c r="I365" s="79" t="str">
        <f>IF(Tabla13[[#This Row],[RUT]]=774097899,"DIST",_xlfn.XLOOKUP(Tabla13[[#This Row],[VENDEDOR]],dimensiones!$C$21:$C$28,dimensiones!$D$21:$D$28,""))</f>
        <v>ATEL</v>
      </c>
      <c r="J365" s="125" t="str">
        <f>_xlfn.XLOOKUP(Tabla13[[#This Row],[REGION]],dimensiones!C:C,dimensiones!D:D,"")</f>
        <v>Región de Antofagasta</v>
      </c>
    </row>
    <row r="366" spans="1:10" ht="14.25" customHeight="1" x14ac:dyDescent="0.25">
      <c r="A366">
        <v>616062018</v>
      </c>
      <c r="B366" t="s">
        <v>207</v>
      </c>
      <c r="C366" t="s">
        <v>4182</v>
      </c>
      <c r="D366">
        <v>2</v>
      </c>
      <c r="E366" t="s">
        <v>4445</v>
      </c>
      <c r="F366" t="s">
        <v>3875</v>
      </c>
      <c r="G366" t="s">
        <v>5572</v>
      </c>
      <c r="H366" t="s">
        <v>4957</v>
      </c>
      <c r="I366" s="79" t="str">
        <f>IF(Tabla13[[#This Row],[RUT]]=774097899,"DIST",_xlfn.XLOOKUP(Tabla13[[#This Row],[VENDEDOR]],dimensiones!$C$21:$C$28,dimensiones!$D$21:$D$28,""))</f>
        <v>ATEL</v>
      </c>
      <c r="J366" s="125" t="str">
        <f>_xlfn.XLOOKUP(Tabla13[[#This Row],[REGION]],dimensiones!C:C,dimensiones!D:D,"")</f>
        <v>Región de Antofagasta</v>
      </c>
    </row>
    <row r="367" spans="1:10" ht="14.25" customHeight="1" x14ac:dyDescent="0.25">
      <c r="A367">
        <v>616062026</v>
      </c>
      <c r="B367" t="s">
        <v>208</v>
      </c>
      <c r="C367" t="s">
        <v>4237</v>
      </c>
      <c r="D367">
        <v>2</v>
      </c>
      <c r="E367" t="s">
        <v>4445</v>
      </c>
      <c r="F367" t="s">
        <v>3731</v>
      </c>
      <c r="G367" t="s">
        <v>5572</v>
      </c>
      <c r="H367" t="s">
        <v>4957</v>
      </c>
      <c r="I367" s="79" t="str">
        <f>IF(Tabla13[[#This Row],[RUT]]=774097899,"DIST",_xlfn.XLOOKUP(Tabla13[[#This Row],[VENDEDOR]],dimensiones!$C$21:$C$28,dimensiones!$D$21:$D$28,""))</f>
        <v>ATEL</v>
      </c>
      <c r="J367" s="125" t="str">
        <f>_xlfn.XLOOKUP(Tabla13[[#This Row],[REGION]],dimensiones!C:C,dimensiones!D:D,"")</f>
        <v>Región de Antofagasta</v>
      </c>
    </row>
    <row r="368" spans="1:10" ht="14.25" customHeight="1" x14ac:dyDescent="0.25">
      <c r="A368">
        <v>616062034</v>
      </c>
      <c r="B368" t="s">
        <v>209</v>
      </c>
      <c r="C368" t="s">
        <v>4238</v>
      </c>
      <c r="D368">
        <v>2</v>
      </c>
      <c r="E368" t="s">
        <v>4445</v>
      </c>
      <c r="F368" t="s">
        <v>2512</v>
      </c>
      <c r="G368" t="s">
        <v>5572</v>
      </c>
      <c r="H368" t="s">
        <v>4957</v>
      </c>
      <c r="I368" s="79" t="str">
        <f>IF(Tabla13[[#This Row],[RUT]]=774097899,"DIST",_xlfn.XLOOKUP(Tabla13[[#This Row],[VENDEDOR]],dimensiones!$C$21:$C$28,dimensiones!$D$21:$D$28,""))</f>
        <v>ATEL</v>
      </c>
      <c r="J368" s="125" t="str">
        <f>_xlfn.XLOOKUP(Tabla13[[#This Row],[REGION]],dimensiones!C:C,dimensiones!D:D,"")</f>
        <v>Región de Antofagasta</v>
      </c>
    </row>
    <row r="369" spans="1:10" ht="14.25" customHeight="1" x14ac:dyDescent="0.25">
      <c r="A369">
        <v>616062042</v>
      </c>
      <c r="B369" t="s">
        <v>210</v>
      </c>
      <c r="C369" t="s">
        <v>4239</v>
      </c>
      <c r="D369">
        <v>2</v>
      </c>
      <c r="E369" t="s">
        <v>4445</v>
      </c>
      <c r="F369" t="s">
        <v>1950</v>
      </c>
      <c r="G369" t="s">
        <v>5572</v>
      </c>
      <c r="H369" t="s">
        <v>4957</v>
      </c>
      <c r="I369" s="79" t="str">
        <f>IF(Tabla13[[#This Row],[RUT]]=774097899,"DIST",_xlfn.XLOOKUP(Tabla13[[#This Row],[VENDEDOR]],dimensiones!$C$21:$C$28,dimensiones!$D$21:$D$28,""))</f>
        <v>ATEL</v>
      </c>
      <c r="J369" s="125" t="str">
        <f>_xlfn.XLOOKUP(Tabla13[[#This Row],[REGION]],dimensiones!C:C,dimensiones!D:D,"")</f>
        <v>Región de Antofagasta</v>
      </c>
    </row>
    <row r="370" spans="1:10" ht="14.25" customHeight="1" x14ac:dyDescent="0.25">
      <c r="A370">
        <v>616062050</v>
      </c>
      <c r="B370" t="s">
        <v>211</v>
      </c>
      <c r="C370" t="s">
        <v>4240</v>
      </c>
      <c r="D370">
        <v>2</v>
      </c>
      <c r="E370" t="s">
        <v>4445</v>
      </c>
      <c r="F370" t="s">
        <v>2443</v>
      </c>
      <c r="G370" t="s">
        <v>5572</v>
      </c>
      <c r="H370" t="s">
        <v>4957</v>
      </c>
      <c r="I370" s="79" t="str">
        <f>IF(Tabla13[[#This Row],[RUT]]=774097899,"DIST",_xlfn.XLOOKUP(Tabla13[[#This Row],[VENDEDOR]],dimensiones!$C$21:$C$28,dimensiones!$D$21:$D$28,""))</f>
        <v>ATEL</v>
      </c>
      <c r="J370" s="125" t="str">
        <f>_xlfn.XLOOKUP(Tabla13[[#This Row],[REGION]],dimensiones!C:C,dimensiones!D:D,"")</f>
        <v>Región de Antofagasta</v>
      </c>
    </row>
    <row r="371" spans="1:10" ht="14.25" customHeight="1" x14ac:dyDescent="0.25">
      <c r="A371">
        <v>616063006</v>
      </c>
      <c r="B371" t="s">
        <v>772</v>
      </c>
      <c r="C371" t="s">
        <v>4466</v>
      </c>
      <c r="D371">
        <v>3</v>
      </c>
      <c r="E371" t="s">
        <v>4445</v>
      </c>
      <c r="F371" t="s">
        <v>1282</v>
      </c>
      <c r="G371" t="s">
        <v>5571</v>
      </c>
      <c r="H371" t="s">
        <v>4957</v>
      </c>
      <c r="I371" s="79" t="str">
        <f>IF(Tabla13[[#This Row],[RUT]]=774097899,"DIST",_xlfn.XLOOKUP(Tabla13[[#This Row],[VENDEDOR]],dimensiones!$C$21:$C$28,dimensiones!$D$21:$D$28,""))</f>
        <v>ATEL</v>
      </c>
      <c r="J371" s="125" t="str">
        <f>_xlfn.XLOOKUP(Tabla13[[#This Row],[REGION]],dimensiones!C:C,dimensiones!D:D,"")</f>
        <v>Región de Atacama</v>
      </c>
    </row>
    <row r="372" spans="1:10" ht="14.25" customHeight="1" x14ac:dyDescent="0.25">
      <c r="A372">
        <v>616063030</v>
      </c>
      <c r="B372" t="s">
        <v>212</v>
      </c>
      <c r="C372" t="s">
        <v>4241</v>
      </c>
      <c r="D372">
        <v>3</v>
      </c>
      <c r="E372" t="s">
        <v>4445</v>
      </c>
      <c r="F372" t="s">
        <v>2158</v>
      </c>
      <c r="G372" t="s">
        <v>5572</v>
      </c>
      <c r="H372" t="s">
        <v>4957</v>
      </c>
      <c r="I372" s="79" t="str">
        <f>IF(Tabla13[[#This Row],[RUT]]=774097899,"DIST",_xlfn.XLOOKUP(Tabla13[[#This Row],[VENDEDOR]],dimensiones!$C$21:$C$28,dimensiones!$D$21:$D$28,""))</f>
        <v>ATEL</v>
      </c>
      <c r="J372" s="125" t="str">
        <f>_xlfn.XLOOKUP(Tabla13[[#This Row],[REGION]],dimensiones!C:C,dimensiones!D:D,"")</f>
        <v>Región de Atacama</v>
      </c>
    </row>
    <row r="373" spans="1:10" ht="14.25" customHeight="1" x14ac:dyDescent="0.25">
      <c r="A373">
        <v>616063057</v>
      </c>
      <c r="B373" t="s">
        <v>213</v>
      </c>
      <c r="C373" t="s">
        <v>4242</v>
      </c>
      <c r="D373">
        <v>3</v>
      </c>
      <c r="E373" t="s">
        <v>4445</v>
      </c>
      <c r="F373" t="s">
        <v>3068</v>
      </c>
      <c r="G373" t="s">
        <v>5572</v>
      </c>
      <c r="H373" t="s">
        <v>4957</v>
      </c>
      <c r="I373" s="79" t="str">
        <f>IF(Tabla13[[#This Row],[RUT]]=774097899,"DIST",_xlfn.XLOOKUP(Tabla13[[#This Row],[VENDEDOR]],dimensiones!$C$21:$C$28,dimensiones!$D$21:$D$28,""))</f>
        <v>ATEL</v>
      </c>
      <c r="J373" s="125" t="str">
        <f>_xlfn.XLOOKUP(Tabla13[[#This Row],[REGION]],dimensiones!C:C,dimensiones!D:D,"")</f>
        <v>Región de Atacama</v>
      </c>
    </row>
    <row r="374" spans="1:10" ht="14.25" customHeight="1" x14ac:dyDescent="0.25">
      <c r="A374">
        <v>616063065</v>
      </c>
      <c r="B374" t="s">
        <v>214</v>
      </c>
      <c r="C374" t="s">
        <v>4243</v>
      </c>
      <c r="D374">
        <v>3</v>
      </c>
      <c r="E374" t="s">
        <v>4445</v>
      </c>
      <c r="F374" t="s">
        <v>3199</v>
      </c>
      <c r="G374" t="s">
        <v>5572</v>
      </c>
      <c r="H374" t="s">
        <v>4957</v>
      </c>
      <c r="I374" s="79" t="str">
        <f>IF(Tabla13[[#This Row],[RUT]]=774097899,"DIST",_xlfn.XLOOKUP(Tabla13[[#This Row],[VENDEDOR]],dimensiones!$C$21:$C$28,dimensiones!$D$21:$D$28,""))</f>
        <v>ATEL</v>
      </c>
      <c r="J374" s="125" t="str">
        <f>_xlfn.XLOOKUP(Tabla13[[#This Row],[REGION]],dimensiones!C:C,dimensiones!D:D,"")</f>
        <v>Región de Atacama</v>
      </c>
    </row>
    <row r="375" spans="1:10" ht="14.25" customHeight="1" x14ac:dyDescent="0.25">
      <c r="A375">
        <v>616063073</v>
      </c>
      <c r="B375" t="s">
        <v>215</v>
      </c>
      <c r="C375" t="s">
        <v>4466</v>
      </c>
      <c r="D375">
        <v>3</v>
      </c>
      <c r="E375" t="s">
        <v>4445</v>
      </c>
      <c r="F375" t="s">
        <v>4158</v>
      </c>
      <c r="G375" t="s">
        <v>5572</v>
      </c>
      <c r="H375" t="s">
        <v>4957</v>
      </c>
      <c r="I375" s="79" t="str">
        <f>IF(Tabla13[[#This Row],[RUT]]=774097899,"DIST",_xlfn.XLOOKUP(Tabla13[[#This Row],[VENDEDOR]],dimensiones!$C$21:$C$28,dimensiones!$D$21:$D$28,""))</f>
        <v>ATEL</v>
      </c>
      <c r="J375" s="125" t="str">
        <f>_xlfn.XLOOKUP(Tabla13[[#This Row],[REGION]],dimensiones!C:C,dimensiones!D:D,"")</f>
        <v>Región de Atacama</v>
      </c>
    </row>
    <row r="376" spans="1:10" ht="14.25" customHeight="1" x14ac:dyDescent="0.25">
      <c r="A376" t="s">
        <v>643</v>
      </c>
      <c r="B376" t="s">
        <v>644</v>
      </c>
      <c r="C376" t="s">
        <v>4396</v>
      </c>
      <c r="D376">
        <v>3</v>
      </c>
      <c r="E376" t="s">
        <v>4445</v>
      </c>
      <c r="F376" t="s">
        <v>4155</v>
      </c>
      <c r="G376" t="s">
        <v>5572</v>
      </c>
      <c r="H376" t="s">
        <v>4957</v>
      </c>
      <c r="I376" s="79" t="str">
        <f>IF(Tabla13[[#This Row],[RUT]]=774097899,"DIST",_xlfn.XLOOKUP(Tabla13[[#This Row],[VENDEDOR]],dimensiones!$C$21:$C$28,dimensiones!$D$21:$D$28,""))</f>
        <v>ATEL</v>
      </c>
      <c r="J376" s="125" t="str">
        <f>_xlfn.XLOOKUP(Tabla13[[#This Row],[REGION]],dimensiones!C:C,dimensiones!D:D,"")</f>
        <v>Región de Atacama</v>
      </c>
    </row>
    <row r="377" spans="1:10" ht="14.25" customHeight="1" x14ac:dyDescent="0.25">
      <c r="A377">
        <v>616064002</v>
      </c>
      <c r="B377" t="s">
        <v>216</v>
      </c>
      <c r="C377" t="s">
        <v>4171</v>
      </c>
      <c r="D377">
        <v>4</v>
      </c>
      <c r="E377" t="s">
        <v>4445</v>
      </c>
      <c r="F377" t="s">
        <v>1316</v>
      </c>
      <c r="G377" t="s">
        <v>5571</v>
      </c>
      <c r="H377" t="s">
        <v>4957</v>
      </c>
      <c r="I377" s="79" t="str">
        <f>IF(Tabla13[[#This Row],[RUT]]=774097899,"DIST",_xlfn.XLOOKUP(Tabla13[[#This Row],[VENDEDOR]],dimensiones!$C$21:$C$28,dimensiones!$D$21:$D$28,""))</f>
        <v>ATEL</v>
      </c>
      <c r="J377" s="125" t="str">
        <f>_xlfn.XLOOKUP(Tabla13[[#This Row],[REGION]],dimensiones!C:C,dimensiones!D:D,"")</f>
        <v>Región de Coquimbo</v>
      </c>
    </row>
    <row r="378" spans="1:10" ht="14.25" customHeight="1" x14ac:dyDescent="0.25">
      <c r="A378">
        <v>616064010</v>
      </c>
      <c r="B378" t="s">
        <v>3071</v>
      </c>
      <c r="C378" t="s">
        <v>4244</v>
      </c>
      <c r="D378">
        <v>4</v>
      </c>
      <c r="E378" t="s">
        <v>4445</v>
      </c>
      <c r="F378" t="s">
        <v>3070</v>
      </c>
      <c r="G378" t="s">
        <v>5572</v>
      </c>
      <c r="H378" t="s">
        <v>4957</v>
      </c>
      <c r="I378" s="79" t="str">
        <f>IF(Tabla13[[#This Row],[RUT]]=774097899,"DIST",_xlfn.XLOOKUP(Tabla13[[#This Row],[VENDEDOR]],dimensiones!$C$21:$C$28,dimensiones!$D$21:$D$28,""))</f>
        <v>ATEL</v>
      </c>
      <c r="J378" s="125" t="str">
        <f>_xlfn.XLOOKUP(Tabla13[[#This Row],[REGION]],dimensiones!C:C,dimensiones!D:D,"")</f>
        <v>Región de Coquimbo</v>
      </c>
    </row>
    <row r="379" spans="1:10" ht="14.25" customHeight="1" x14ac:dyDescent="0.25">
      <c r="A379">
        <v>616064029</v>
      </c>
      <c r="B379" t="s">
        <v>32</v>
      </c>
      <c r="C379" t="s">
        <v>4171</v>
      </c>
      <c r="D379">
        <v>4</v>
      </c>
      <c r="E379" t="s">
        <v>2372</v>
      </c>
      <c r="F379" t="s">
        <v>1339</v>
      </c>
      <c r="G379" t="s">
        <v>5572</v>
      </c>
      <c r="H379" t="s">
        <v>4957</v>
      </c>
      <c r="I379" s="79" t="str">
        <f>IF(Tabla13[[#This Row],[RUT]]=774097899,"DIST",_xlfn.XLOOKUP(Tabla13[[#This Row],[VENDEDOR]],dimensiones!$C$21:$C$28,dimensiones!$D$21:$D$28,""))</f>
        <v>NOR1</v>
      </c>
      <c r="J379" s="125" t="str">
        <f>_xlfn.XLOOKUP(Tabla13[[#This Row],[REGION]],dimensiones!C:C,dimensiones!D:D,"")</f>
        <v>Región de Coquimbo</v>
      </c>
    </row>
    <row r="380" spans="1:10" ht="14.25" customHeight="1" x14ac:dyDescent="0.25">
      <c r="A380">
        <v>616064037</v>
      </c>
      <c r="B380" t="s">
        <v>33</v>
      </c>
      <c r="C380" t="s">
        <v>4245</v>
      </c>
      <c r="D380">
        <v>4</v>
      </c>
      <c r="E380" t="s">
        <v>2372</v>
      </c>
      <c r="F380" t="s">
        <v>4151</v>
      </c>
      <c r="G380" t="s">
        <v>5572</v>
      </c>
      <c r="H380" t="s">
        <v>4957</v>
      </c>
      <c r="I380" s="79" t="str">
        <f>IF(Tabla13[[#This Row],[RUT]]=774097899,"DIST",_xlfn.XLOOKUP(Tabla13[[#This Row],[VENDEDOR]],dimensiones!$C$21:$C$28,dimensiones!$D$21:$D$28,""))</f>
        <v>NOR1</v>
      </c>
      <c r="J380" s="125" t="str">
        <f>_xlfn.XLOOKUP(Tabla13[[#This Row],[REGION]],dimensiones!C:C,dimensiones!D:D,"")</f>
        <v>Región de Coquimbo</v>
      </c>
    </row>
    <row r="381" spans="1:10" ht="14.25" customHeight="1" x14ac:dyDescent="0.25">
      <c r="A381">
        <v>616064045</v>
      </c>
      <c r="B381" t="s">
        <v>34</v>
      </c>
      <c r="C381" t="s">
        <v>4397</v>
      </c>
      <c r="D381">
        <v>4</v>
      </c>
      <c r="E381" t="s">
        <v>2372</v>
      </c>
      <c r="F381" t="s">
        <v>1391</v>
      </c>
      <c r="G381" t="s">
        <v>5572</v>
      </c>
      <c r="H381" t="s">
        <v>4957</v>
      </c>
      <c r="I381" s="79" t="str">
        <f>IF(Tabla13[[#This Row],[RUT]]=774097899,"DIST",_xlfn.XLOOKUP(Tabla13[[#This Row],[VENDEDOR]],dimensiones!$C$21:$C$28,dimensiones!$D$21:$D$28,""))</f>
        <v>NOR1</v>
      </c>
      <c r="J381" s="125" t="str">
        <f>_xlfn.XLOOKUP(Tabla13[[#This Row],[REGION]],dimensiones!C:C,dimensiones!D:D,"")</f>
        <v>Región de Coquimbo</v>
      </c>
    </row>
    <row r="382" spans="1:10" ht="14.25" customHeight="1" x14ac:dyDescent="0.25">
      <c r="A382">
        <v>616064053</v>
      </c>
      <c r="B382" t="s">
        <v>218</v>
      </c>
      <c r="C382" t="s">
        <v>4246</v>
      </c>
      <c r="D382">
        <v>4</v>
      </c>
      <c r="E382" t="s">
        <v>4445</v>
      </c>
      <c r="F382" t="s">
        <v>1575</v>
      </c>
      <c r="G382" t="s">
        <v>5572</v>
      </c>
      <c r="H382" t="s">
        <v>4957</v>
      </c>
      <c r="I382" s="79" t="str">
        <f>IF(Tabla13[[#This Row],[RUT]]=774097899,"DIST",_xlfn.XLOOKUP(Tabla13[[#This Row],[VENDEDOR]],dimensiones!$C$21:$C$28,dimensiones!$D$21:$D$28,""))</f>
        <v>ATEL</v>
      </c>
      <c r="J382" s="125" t="str">
        <f>_xlfn.XLOOKUP(Tabla13[[#This Row],[REGION]],dimensiones!C:C,dimensiones!D:D,"")</f>
        <v>Región de Coquimbo</v>
      </c>
    </row>
    <row r="383" spans="1:10" ht="14.25" customHeight="1" x14ac:dyDescent="0.25">
      <c r="A383">
        <v>616064061</v>
      </c>
      <c r="B383" t="s">
        <v>219</v>
      </c>
      <c r="C383" t="s">
        <v>4489</v>
      </c>
      <c r="D383">
        <v>4</v>
      </c>
      <c r="E383" t="s">
        <v>4445</v>
      </c>
      <c r="F383" t="s">
        <v>1304</v>
      </c>
      <c r="G383" t="s">
        <v>5572</v>
      </c>
      <c r="H383" t="s">
        <v>4957</v>
      </c>
      <c r="I383" s="79" t="str">
        <f>IF(Tabla13[[#This Row],[RUT]]=774097899,"DIST",_xlfn.XLOOKUP(Tabla13[[#This Row],[VENDEDOR]],dimensiones!$C$21:$C$28,dimensiones!$D$21:$D$28,""))</f>
        <v>ATEL</v>
      </c>
      <c r="J383" s="125" t="str">
        <f>_xlfn.XLOOKUP(Tabla13[[#This Row],[REGION]],dimensiones!C:C,dimensiones!D:D,"")</f>
        <v>Región de Coquimbo</v>
      </c>
    </row>
    <row r="384" spans="1:10" ht="14.25" customHeight="1" x14ac:dyDescent="0.25">
      <c r="A384" t="s">
        <v>645</v>
      </c>
      <c r="B384" t="s">
        <v>646</v>
      </c>
      <c r="C384" t="s">
        <v>4398</v>
      </c>
      <c r="D384">
        <v>4</v>
      </c>
      <c r="E384" t="s">
        <v>4445</v>
      </c>
      <c r="F384" t="s">
        <v>1232</v>
      </c>
      <c r="G384" t="s">
        <v>5572</v>
      </c>
      <c r="H384" t="s">
        <v>4957</v>
      </c>
      <c r="I384" s="79" t="str">
        <f>IF(Tabla13[[#This Row],[RUT]]=774097899,"DIST",_xlfn.XLOOKUP(Tabla13[[#This Row],[VENDEDOR]],dimensiones!$C$21:$C$28,dimensiones!$D$21:$D$28,""))</f>
        <v>ATEL</v>
      </c>
      <c r="J384" s="125" t="str">
        <f>_xlfn.XLOOKUP(Tabla13[[#This Row],[REGION]],dimensiones!C:C,dimensiones!D:D,"")</f>
        <v>Región de Coquimbo</v>
      </c>
    </row>
    <row r="385" spans="1:10" ht="14.25" customHeight="1" x14ac:dyDescent="0.25">
      <c r="A385">
        <v>616064088</v>
      </c>
      <c r="B385" t="s">
        <v>220</v>
      </c>
      <c r="C385" t="s">
        <v>4247</v>
      </c>
      <c r="D385">
        <v>4</v>
      </c>
      <c r="E385" t="s">
        <v>4445</v>
      </c>
      <c r="F385" t="s">
        <v>3526</v>
      </c>
      <c r="G385" t="s">
        <v>5572</v>
      </c>
      <c r="H385" t="s">
        <v>4957</v>
      </c>
      <c r="I385" s="79" t="str">
        <f>IF(Tabla13[[#This Row],[RUT]]=774097899,"DIST",_xlfn.XLOOKUP(Tabla13[[#This Row],[VENDEDOR]],dimensiones!$C$21:$C$28,dimensiones!$D$21:$D$28,""))</f>
        <v>ATEL</v>
      </c>
      <c r="J385" s="125" t="str">
        <f>_xlfn.XLOOKUP(Tabla13[[#This Row],[REGION]],dimensiones!C:C,dimensiones!D:D,"")</f>
        <v>Región de Coquimbo</v>
      </c>
    </row>
    <row r="386" spans="1:10" ht="14.25" customHeight="1" x14ac:dyDescent="0.25">
      <c r="A386">
        <v>616064096</v>
      </c>
      <c r="B386" t="s">
        <v>221</v>
      </c>
      <c r="C386" t="s">
        <v>4248</v>
      </c>
      <c r="D386">
        <v>4</v>
      </c>
      <c r="E386" t="s">
        <v>4445</v>
      </c>
      <c r="F386" t="s">
        <v>4143</v>
      </c>
      <c r="G386" t="s">
        <v>5572</v>
      </c>
      <c r="H386" t="s">
        <v>4957</v>
      </c>
      <c r="I386" s="79" t="str">
        <f>IF(Tabla13[[#This Row],[RUT]]=774097899,"DIST",_xlfn.XLOOKUP(Tabla13[[#This Row],[VENDEDOR]],dimensiones!$C$21:$C$28,dimensiones!$D$21:$D$28,""))</f>
        <v>ATEL</v>
      </c>
      <c r="J386" s="125" t="str">
        <f>_xlfn.XLOOKUP(Tabla13[[#This Row],[REGION]],dimensiones!C:C,dimensiones!D:D,"")</f>
        <v>Región de Coquimbo</v>
      </c>
    </row>
    <row r="387" spans="1:10" ht="14.25" customHeight="1" x14ac:dyDescent="0.25">
      <c r="A387">
        <v>616065009</v>
      </c>
      <c r="B387" t="s">
        <v>35</v>
      </c>
      <c r="C387" t="s">
        <v>4459</v>
      </c>
      <c r="D387">
        <v>5</v>
      </c>
      <c r="E387" t="s">
        <v>2372</v>
      </c>
      <c r="F387" t="s">
        <v>2271</v>
      </c>
      <c r="G387" t="s">
        <v>5571</v>
      </c>
      <c r="H387" t="s">
        <v>4957</v>
      </c>
      <c r="I387" s="79" t="str">
        <f>IF(Tabla13[[#This Row],[RUT]]=774097899,"DIST",_xlfn.XLOOKUP(Tabla13[[#This Row],[VENDEDOR]],dimensiones!$C$21:$C$28,dimensiones!$D$21:$D$28,""))</f>
        <v>NOR1</v>
      </c>
      <c r="J387" s="125" t="str">
        <f>_xlfn.XLOOKUP(Tabla13[[#This Row],[REGION]],dimensiones!C:C,dimensiones!D:D,"")</f>
        <v>Región de Valparaíso</v>
      </c>
    </row>
    <row r="388" spans="1:10" ht="14.25" customHeight="1" x14ac:dyDescent="0.25">
      <c r="A388">
        <v>616066005</v>
      </c>
      <c r="B388" t="s">
        <v>222</v>
      </c>
      <c r="C388" t="s">
        <v>4175</v>
      </c>
      <c r="D388">
        <v>5</v>
      </c>
      <c r="E388" t="s">
        <v>4445</v>
      </c>
      <c r="F388" t="s">
        <v>3085</v>
      </c>
      <c r="G388" t="s">
        <v>5571</v>
      </c>
      <c r="H388" t="s">
        <v>4957</v>
      </c>
      <c r="I388" s="79" t="str">
        <f>IF(Tabla13[[#This Row],[RUT]]=774097899,"DIST",_xlfn.XLOOKUP(Tabla13[[#This Row],[VENDEDOR]],dimensiones!$C$21:$C$28,dimensiones!$D$21:$D$28,""))</f>
        <v>ATEL</v>
      </c>
      <c r="J388" s="125" t="str">
        <f>_xlfn.XLOOKUP(Tabla13[[#This Row],[REGION]],dimensiones!C:C,dimensiones!D:D,"")</f>
        <v>Región de Valparaíso</v>
      </c>
    </row>
    <row r="389" spans="1:10" ht="14.25" customHeight="1" x14ac:dyDescent="0.25">
      <c r="A389">
        <v>616066021</v>
      </c>
      <c r="B389" t="s">
        <v>36</v>
      </c>
      <c r="C389" t="s">
        <v>4175</v>
      </c>
      <c r="D389">
        <v>5</v>
      </c>
      <c r="E389" t="s">
        <v>2372</v>
      </c>
      <c r="F389" t="s">
        <v>2736</v>
      </c>
      <c r="G389" t="s">
        <v>5572</v>
      </c>
      <c r="H389" t="s">
        <v>4957</v>
      </c>
      <c r="I389" s="79" t="str">
        <f>IF(Tabla13[[#This Row],[RUT]]=774097899,"DIST",_xlfn.XLOOKUP(Tabla13[[#This Row],[VENDEDOR]],dimensiones!$C$21:$C$28,dimensiones!$D$21:$D$28,""))</f>
        <v>NOR1</v>
      </c>
      <c r="J389" s="125" t="str">
        <f>_xlfn.XLOOKUP(Tabla13[[#This Row],[REGION]],dimensiones!C:C,dimensiones!D:D,"")</f>
        <v>Región de Valparaíso</v>
      </c>
    </row>
    <row r="390" spans="1:10" ht="14.25" customHeight="1" x14ac:dyDescent="0.25">
      <c r="A390" t="s">
        <v>147</v>
      </c>
      <c r="B390" t="s">
        <v>760</v>
      </c>
      <c r="C390" t="s">
        <v>4313</v>
      </c>
      <c r="D390">
        <v>5</v>
      </c>
      <c r="E390" t="s">
        <v>4445</v>
      </c>
      <c r="F390" t="s">
        <v>3091</v>
      </c>
      <c r="G390" t="s">
        <v>5572</v>
      </c>
      <c r="H390" t="s">
        <v>4957</v>
      </c>
      <c r="I390" s="79" t="str">
        <f>IF(Tabla13[[#This Row],[RUT]]=774097899,"DIST",_xlfn.XLOOKUP(Tabla13[[#This Row],[VENDEDOR]],dimensiones!$C$21:$C$28,dimensiones!$D$21:$D$28,""))</f>
        <v>ATEL</v>
      </c>
      <c r="J390" s="125" t="str">
        <f>_xlfn.XLOOKUP(Tabla13[[#This Row],[REGION]],dimensiones!C:C,dimensiones!D:D,"")</f>
        <v>Región de Valparaíso</v>
      </c>
    </row>
    <row r="391" spans="1:10" ht="14.25" customHeight="1" x14ac:dyDescent="0.25">
      <c r="A391">
        <v>616066048</v>
      </c>
      <c r="B391" t="s">
        <v>37</v>
      </c>
      <c r="C391" t="s">
        <v>4490</v>
      </c>
      <c r="D391">
        <v>5</v>
      </c>
      <c r="E391" t="s">
        <v>2372</v>
      </c>
      <c r="F391" t="s">
        <v>1994</v>
      </c>
      <c r="G391" t="s">
        <v>5572</v>
      </c>
      <c r="H391" t="s">
        <v>4957</v>
      </c>
      <c r="I391" s="79" t="str">
        <f>IF(Tabla13[[#This Row],[RUT]]=774097899,"DIST",_xlfn.XLOOKUP(Tabla13[[#This Row],[VENDEDOR]],dimensiones!$C$21:$C$28,dimensiones!$D$21:$D$28,""))</f>
        <v>NOR1</v>
      </c>
      <c r="J391" s="125" t="str">
        <f>_xlfn.XLOOKUP(Tabla13[[#This Row],[REGION]],dimensiones!C:C,dimensiones!D:D,"")</f>
        <v>Región de Valparaíso</v>
      </c>
    </row>
    <row r="392" spans="1:10" ht="14.25" customHeight="1" x14ac:dyDescent="0.25">
      <c r="A392">
        <v>616066056</v>
      </c>
      <c r="B392" t="s">
        <v>38</v>
      </c>
      <c r="C392" t="s">
        <v>4250</v>
      </c>
      <c r="D392">
        <v>5</v>
      </c>
      <c r="E392" t="s">
        <v>4445</v>
      </c>
      <c r="F392" t="s">
        <v>3854</v>
      </c>
      <c r="G392" t="s">
        <v>5572</v>
      </c>
      <c r="H392" t="s">
        <v>4957</v>
      </c>
      <c r="I392" s="79" t="str">
        <f>IF(Tabla13[[#This Row],[RUT]]=774097899,"DIST",_xlfn.XLOOKUP(Tabla13[[#This Row],[VENDEDOR]],dimensiones!$C$21:$C$28,dimensiones!$D$21:$D$28,""))</f>
        <v>ATEL</v>
      </c>
      <c r="J392" s="125" t="str">
        <f>_xlfn.XLOOKUP(Tabla13[[#This Row],[REGION]],dimensiones!C:C,dimensiones!D:D,"")</f>
        <v>Región de Valparaíso</v>
      </c>
    </row>
    <row r="393" spans="1:10" ht="14.25" customHeight="1" x14ac:dyDescent="0.25">
      <c r="A393">
        <v>616066064</v>
      </c>
      <c r="B393" t="s">
        <v>39</v>
      </c>
      <c r="C393" t="s">
        <v>4249</v>
      </c>
      <c r="D393">
        <v>5</v>
      </c>
      <c r="E393" t="s">
        <v>4445</v>
      </c>
      <c r="F393" t="s">
        <v>3779</v>
      </c>
      <c r="G393" t="s">
        <v>5572</v>
      </c>
      <c r="H393" t="s">
        <v>4957</v>
      </c>
      <c r="I393" s="79" t="str">
        <f>IF(Tabla13[[#This Row],[RUT]]=774097899,"DIST",_xlfn.XLOOKUP(Tabla13[[#This Row],[VENDEDOR]],dimensiones!$C$21:$C$28,dimensiones!$D$21:$D$28,""))</f>
        <v>ATEL</v>
      </c>
      <c r="J393" s="125" t="str">
        <f>_xlfn.XLOOKUP(Tabla13[[#This Row],[REGION]],dimensiones!C:C,dimensiones!D:D,"")</f>
        <v>Región de Valparaíso</v>
      </c>
    </row>
    <row r="394" spans="1:10" ht="14.25" customHeight="1" x14ac:dyDescent="0.25">
      <c r="A394">
        <v>616066072</v>
      </c>
      <c r="B394" t="s">
        <v>890</v>
      </c>
      <c r="C394" t="s">
        <v>4249</v>
      </c>
      <c r="D394">
        <v>5</v>
      </c>
      <c r="E394" t="s">
        <v>4445</v>
      </c>
      <c r="F394" t="s">
        <v>1320</v>
      </c>
      <c r="G394" t="s">
        <v>5572</v>
      </c>
      <c r="H394" t="s">
        <v>4957</v>
      </c>
      <c r="I394" s="79" t="str">
        <f>IF(Tabla13[[#This Row],[RUT]]=774097899,"DIST",_xlfn.XLOOKUP(Tabla13[[#This Row],[VENDEDOR]],dimensiones!$C$21:$C$28,dimensiones!$D$21:$D$28,""))</f>
        <v>ATEL</v>
      </c>
      <c r="J394" s="125" t="str">
        <f>_xlfn.XLOOKUP(Tabla13[[#This Row],[REGION]],dimensiones!C:C,dimensiones!D:D,"")</f>
        <v>Región de Valparaíso</v>
      </c>
    </row>
    <row r="395" spans="1:10" ht="14.25" customHeight="1" x14ac:dyDescent="0.25">
      <c r="A395">
        <v>616066080</v>
      </c>
      <c r="B395" t="s">
        <v>40</v>
      </c>
      <c r="C395" t="s">
        <v>4251</v>
      </c>
      <c r="D395">
        <v>5</v>
      </c>
      <c r="E395" t="s">
        <v>2372</v>
      </c>
      <c r="F395" t="s">
        <v>2126</v>
      </c>
      <c r="G395" t="s">
        <v>5572</v>
      </c>
      <c r="H395" t="s">
        <v>4957</v>
      </c>
      <c r="I395" s="79" t="str">
        <f>IF(Tabla13[[#This Row],[RUT]]=774097899,"DIST",_xlfn.XLOOKUP(Tabla13[[#This Row],[VENDEDOR]],dimensiones!$C$21:$C$28,dimensiones!$D$21:$D$28,""))</f>
        <v>NOR1</v>
      </c>
      <c r="J395" s="125" t="str">
        <f>_xlfn.XLOOKUP(Tabla13[[#This Row],[REGION]],dimensiones!C:C,dimensiones!D:D,"")</f>
        <v>Región de Valparaíso</v>
      </c>
    </row>
    <row r="396" spans="1:10" ht="14.25" customHeight="1" x14ac:dyDescent="0.25">
      <c r="A396">
        <v>616066099</v>
      </c>
      <c r="B396" t="s">
        <v>41</v>
      </c>
      <c r="C396" t="s">
        <v>4252</v>
      </c>
      <c r="D396">
        <v>5</v>
      </c>
      <c r="E396" t="s">
        <v>4445</v>
      </c>
      <c r="F396" t="s">
        <v>1324</v>
      </c>
      <c r="G396" t="s">
        <v>5572</v>
      </c>
      <c r="H396" t="s">
        <v>4957</v>
      </c>
      <c r="I396" s="79" t="str">
        <f>IF(Tabla13[[#This Row],[RUT]]=774097899,"DIST",_xlfn.XLOOKUP(Tabla13[[#This Row],[VENDEDOR]],dimensiones!$C$21:$C$28,dimensiones!$D$21:$D$28,""))</f>
        <v>ATEL</v>
      </c>
      <c r="J396" s="125" t="str">
        <f>_xlfn.XLOOKUP(Tabla13[[#This Row],[REGION]],dimensiones!C:C,dimensiones!D:D,"")</f>
        <v>Región de Valparaíso</v>
      </c>
    </row>
    <row r="397" spans="1:10" ht="14.25" customHeight="1" x14ac:dyDescent="0.25">
      <c r="A397">
        <v>616066102</v>
      </c>
      <c r="B397" t="s">
        <v>223</v>
      </c>
      <c r="C397" t="s">
        <v>4253</v>
      </c>
      <c r="D397">
        <v>5</v>
      </c>
      <c r="E397" t="s">
        <v>4445</v>
      </c>
      <c r="F397" t="s">
        <v>3192</v>
      </c>
      <c r="G397" t="s">
        <v>5572</v>
      </c>
      <c r="H397" t="s">
        <v>4957</v>
      </c>
      <c r="I397" s="79" t="str">
        <f>IF(Tabla13[[#This Row],[RUT]]=774097899,"DIST",_xlfn.XLOOKUP(Tabla13[[#This Row],[VENDEDOR]],dimensiones!$C$21:$C$28,dimensiones!$D$21:$D$28,""))</f>
        <v>ATEL</v>
      </c>
      <c r="J397" s="125" t="str">
        <f>_xlfn.XLOOKUP(Tabla13[[#This Row],[REGION]],dimensiones!C:C,dimensiones!D:D,"")</f>
        <v>Región de Valparaíso</v>
      </c>
    </row>
    <row r="398" spans="1:10" ht="14.25" customHeight="1" x14ac:dyDescent="0.25">
      <c r="A398">
        <v>616066110</v>
      </c>
      <c r="B398" t="s">
        <v>42</v>
      </c>
      <c r="C398" t="s">
        <v>4305</v>
      </c>
      <c r="D398">
        <v>5</v>
      </c>
      <c r="E398" t="s">
        <v>4445</v>
      </c>
      <c r="F398" t="s">
        <v>1328</v>
      </c>
      <c r="G398" t="s">
        <v>5572</v>
      </c>
      <c r="H398" t="s">
        <v>4957</v>
      </c>
      <c r="I398" s="79" t="str">
        <f>IF(Tabla13[[#This Row],[RUT]]=774097899,"DIST",_xlfn.XLOOKUP(Tabla13[[#This Row],[VENDEDOR]],dimensiones!$C$21:$C$28,dimensiones!$D$21:$D$28,""))</f>
        <v>ATEL</v>
      </c>
      <c r="J398" s="125" t="str">
        <f>_xlfn.XLOOKUP(Tabla13[[#This Row],[REGION]],dimensiones!C:C,dimensiones!D:D,"")</f>
        <v>Región de Valparaíso</v>
      </c>
    </row>
    <row r="399" spans="1:10" ht="14.25" customHeight="1" x14ac:dyDescent="0.25">
      <c r="A399">
        <v>616066129</v>
      </c>
      <c r="B399" t="s">
        <v>773</v>
      </c>
      <c r="C399" t="s">
        <v>4255</v>
      </c>
      <c r="D399">
        <v>5</v>
      </c>
      <c r="E399" t="s">
        <v>4445</v>
      </c>
      <c r="F399" t="s">
        <v>1514</v>
      </c>
      <c r="G399" t="s">
        <v>5572</v>
      </c>
      <c r="H399" t="s">
        <v>4957</v>
      </c>
      <c r="I399" s="79" t="str">
        <f>IF(Tabla13[[#This Row],[RUT]]=774097899,"DIST",_xlfn.XLOOKUP(Tabla13[[#This Row],[VENDEDOR]],dimensiones!$C$21:$C$28,dimensiones!$D$21:$D$28,""))</f>
        <v>ATEL</v>
      </c>
      <c r="J399" s="125" t="str">
        <f>_xlfn.XLOOKUP(Tabla13[[#This Row],[REGION]],dimensiones!C:C,dimensiones!D:D,"")</f>
        <v>Región de Valparaíso</v>
      </c>
    </row>
    <row r="400" spans="1:10" ht="14.25" customHeight="1" x14ac:dyDescent="0.25">
      <c r="A400">
        <v>616067001</v>
      </c>
      <c r="B400" t="s">
        <v>1332</v>
      </c>
      <c r="C400" t="s">
        <v>4174</v>
      </c>
      <c r="D400">
        <v>5</v>
      </c>
      <c r="E400" t="s">
        <v>4445</v>
      </c>
      <c r="F400" t="s">
        <v>1331</v>
      </c>
      <c r="G400" t="s">
        <v>5571</v>
      </c>
      <c r="H400" t="s">
        <v>4957</v>
      </c>
      <c r="I400" s="79" t="str">
        <f>IF(Tabla13[[#This Row],[RUT]]=774097899,"DIST",_xlfn.XLOOKUP(Tabla13[[#This Row],[VENDEDOR]],dimensiones!$C$21:$C$28,dimensiones!$D$21:$D$28,""))</f>
        <v>ATEL</v>
      </c>
      <c r="J400" s="125" t="str">
        <f>_xlfn.XLOOKUP(Tabla13[[#This Row],[REGION]],dimensiones!C:C,dimensiones!D:D,"")</f>
        <v>Región de Valparaíso</v>
      </c>
    </row>
    <row r="401" spans="1:10" ht="14.25" customHeight="1" x14ac:dyDescent="0.25">
      <c r="A401">
        <v>616067036</v>
      </c>
      <c r="B401" t="s">
        <v>774</v>
      </c>
      <c r="C401" t="s">
        <v>4256</v>
      </c>
      <c r="D401">
        <v>5</v>
      </c>
      <c r="E401" t="s">
        <v>4445</v>
      </c>
      <c r="F401" t="s">
        <v>1731</v>
      </c>
      <c r="G401" t="s">
        <v>5572</v>
      </c>
      <c r="H401" t="s">
        <v>4957</v>
      </c>
      <c r="I401" s="79" t="str">
        <f>IF(Tabla13[[#This Row],[RUT]]=774097899,"DIST",_xlfn.XLOOKUP(Tabla13[[#This Row],[VENDEDOR]],dimensiones!$C$21:$C$28,dimensiones!$D$21:$D$28,""))</f>
        <v>ATEL</v>
      </c>
      <c r="J401" s="125" t="str">
        <f>_xlfn.XLOOKUP(Tabla13[[#This Row],[REGION]],dimensiones!C:C,dimensiones!D:D,"")</f>
        <v>Región de Valparaíso</v>
      </c>
    </row>
    <row r="402" spans="1:10" ht="14.25" customHeight="1" x14ac:dyDescent="0.25">
      <c r="A402">
        <v>616068008</v>
      </c>
      <c r="B402" t="s">
        <v>224</v>
      </c>
      <c r="C402" t="s">
        <v>4178</v>
      </c>
      <c r="D402">
        <v>6</v>
      </c>
      <c r="E402" t="s">
        <v>4445</v>
      </c>
      <c r="F402" t="s">
        <v>1335</v>
      </c>
      <c r="G402" t="s">
        <v>5571</v>
      </c>
      <c r="H402" t="s">
        <v>4957</v>
      </c>
      <c r="I402" s="79" t="str">
        <f>IF(Tabla13[[#This Row],[RUT]]=774097899,"DIST",_xlfn.XLOOKUP(Tabla13[[#This Row],[VENDEDOR]],dimensiones!$C$21:$C$28,dimensiones!$D$21:$D$28,""))</f>
        <v>ATEL</v>
      </c>
      <c r="J402" s="125" t="str">
        <f>_xlfn.XLOOKUP(Tabla13[[#This Row],[REGION]],dimensiones!C:C,dimensiones!D:D,"")</f>
        <v>Región de Libertador General Bernardo O'Higgins</v>
      </c>
    </row>
    <row r="403" spans="1:10" ht="14.25" customHeight="1" x14ac:dyDescent="0.25">
      <c r="A403">
        <v>616069004</v>
      </c>
      <c r="B403" t="s">
        <v>225</v>
      </c>
      <c r="C403" t="s">
        <v>4257</v>
      </c>
      <c r="D403">
        <v>7</v>
      </c>
      <c r="E403" t="s">
        <v>4445</v>
      </c>
      <c r="F403" t="s">
        <v>1337</v>
      </c>
      <c r="G403" t="s">
        <v>5571</v>
      </c>
      <c r="H403" t="s">
        <v>4957</v>
      </c>
      <c r="I403" s="79" t="str">
        <f>IF(Tabla13[[#This Row],[RUT]]=774097899,"DIST",_xlfn.XLOOKUP(Tabla13[[#This Row],[VENDEDOR]],dimensiones!$C$21:$C$28,dimensiones!$D$21:$D$28,""))</f>
        <v>ATEL</v>
      </c>
      <c r="J403" s="125" t="str">
        <f>_xlfn.XLOOKUP(Tabla13[[#This Row],[REGION]],dimensiones!C:C,dimensiones!D:D,"")</f>
        <v>Región de Maule</v>
      </c>
    </row>
    <row r="404" spans="1:10" ht="14.25" customHeight="1" x14ac:dyDescent="0.25">
      <c r="A404">
        <v>616069012</v>
      </c>
      <c r="B404" t="s">
        <v>226</v>
      </c>
      <c r="C404" t="s">
        <v>4257</v>
      </c>
      <c r="D404">
        <v>7</v>
      </c>
      <c r="E404" t="s">
        <v>4445</v>
      </c>
      <c r="F404" t="s">
        <v>2255</v>
      </c>
      <c r="G404" t="s">
        <v>5572</v>
      </c>
      <c r="H404" t="s">
        <v>4957</v>
      </c>
      <c r="I404" s="79" t="str">
        <f>IF(Tabla13[[#This Row],[RUT]]=774097899,"DIST",_xlfn.XLOOKUP(Tabla13[[#This Row],[VENDEDOR]],dimensiones!$C$21:$C$28,dimensiones!$D$21:$D$28,""))</f>
        <v>ATEL</v>
      </c>
      <c r="J404" s="125" t="str">
        <f>_xlfn.XLOOKUP(Tabla13[[#This Row],[REGION]],dimensiones!C:C,dimensiones!D:D,"")</f>
        <v>Región de Maule</v>
      </c>
    </row>
    <row r="405" spans="1:10" ht="14.25" customHeight="1" x14ac:dyDescent="0.25">
      <c r="A405">
        <v>616069039</v>
      </c>
      <c r="B405" t="s">
        <v>775</v>
      </c>
      <c r="C405" t="s">
        <v>4491</v>
      </c>
      <c r="D405">
        <v>7</v>
      </c>
      <c r="E405" t="s">
        <v>4445</v>
      </c>
      <c r="F405" t="s">
        <v>2206</v>
      </c>
      <c r="G405" t="s">
        <v>5572</v>
      </c>
      <c r="H405" t="s">
        <v>4957</v>
      </c>
      <c r="I405" s="79" t="str">
        <f>IF(Tabla13[[#This Row],[RUT]]=774097899,"DIST",_xlfn.XLOOKUP(Tabla13[[#This Row],[VENDEDOR]],dimensiones!$C$21:$C$28,dimensiones!$D$21:$D$28,""))</f>
        <v>ATEL</v>
      </c>
      <c r="J405" s="125" t="str">
        <f>_xlfn.XLOOKUP(Tabla13[[#This Row],[REGION]],dimensiones!C:C,dimensiones!D:D,"")</f>
        <v>Región de Maule</v>
      </c>
    </row>
    <row r="406" spans="1:10" ht="14.25" customHeight="1" x14ac:dyDescent="0.25">
      <c r="A406">
        <v>616069055</v>
      </c>
      <c r="B406" t="s">
        <v>227</v>
      </c>
      <c r="C406" t="s">
        <v>4492</v>
      </c>
      <c r="D406">
        <v>7</v>
      </c>
      <c r="E406" t="s">
        <v>4445</v>
      </c>
      <c r="F406" t="s">
        <v>1344</v>
      </c>
      <c r="G406" t="s">
        <v>5572</v>
      </c>
      <c r="H406" t="s">
        <v>4957</v>
      </c>
      <c r="I406" s="79" t="str">
        <f>IF(Tabla13[[#This Row],[RUT]]=774097899,"DIST",_xlfn.XLOOKUP(Tabla13[[#This Row],[VENDEDOR]],dimensiones!$C$21:$C$28,dimensiones!$D$21:$D$28,""))</f>
        <v>ATEL</v>
      </c>
      <c r="J406" s="125" t="str">
        <f>_xlfn.XLOOKUP(Tabla13[[#This Row],[REGION]],dimensiones!C:C,dimensiones!D:D,"")</f>
        <v>Región de Maule</v>
      </c>
    </row>
    <row r="407" spans="1:10" ht="14.25" customHeight="1" x14ac:dyDescent="0.25">
      <c r="A407">
        <v>616069063</v>
      </c>
      <c r="B407" t="s">
        <v>228</v>
      </c>
      <c r="C407" t="s">
        <v>4493</v>
      </c>
      <c r="D407">
        <v>7</v>
      </c>
      <c r="E407" t="s">
        <v>4445</v>
      </c>
      <c r="F407" t="s">
        <v>3897</v>
      </c>
      <c r="G407" t="s">
        <v>5572</v>
      </c>
      <c r="H407" t="s">
        <v>4957</v>
      </c>
      <c r="I407" s="79" t="str">
        <f>IF(Tabla13[[#This Row],[RUT]]=774097899,"DIST",_xlfn.XLOOKUP(Tabla13[[#This Row],[VENDEDOR]],dimensiones!$C$21:$C$28,dimensiones!$D$21:$D$28,""))</f>
        <v>ATEL</v>
      </c>
      <c r="J407" s="125" t="str">
        <f>_xlfn.XLOOKUP(Tabla13[[#This Row],[REGION]],dimensiones!C:C,dimensiones!D:D,"")</f>
        <v>Región de Maule</v>
      </c>
    </row>
    <row r="408" spans="1:10" ht="14.25" customHeight="1" x14ac:dyDescent="0.25">
      <c r="A408">
        <v>616069071</v>
      </c>
      <c r="B408" t="s">
        <v>229</v>
      </c>
      <c r="C408" t="s">
        <v>4258</v>
      </c>
      <c r="D408">
        <v>7</v>
      </c>
      <c r="E408" t="s">
        <v>4445</v>
      </c>
      <c r="F408" t="s">
        <v>1875</v>
      </c>
      <c r="G408" t="s">
        <v>5572</v>
      </c>
      <c r="H408" t="s">
        <v>4957</v>
      </c>
      <c r="I408" s="79" t="str">
        <f>IF(Tabla13[[#This Row],[RUT]]=774097899,"DIST",_xlfn.XLOOKUP(Tabla13[[#This Row],[VENDEDOR]],dimensiones!$C$21:$C$28,dimensiones!$D$21:$D$28,""))</f>
        <v>ATEL</v>
      </c>
      <c r="J408" s="125" t="str">
        <f>_xlfn.XLOOKUP(Tabla13[[#This Row],[REGION]],dimensiones!C:C,dimensiones!D:D,"")</f>
        <v>Región de Maule</v>
      </c>
    </row>
    <row r="409" spans="1:10" ht="14.25" customHeight="1" x14ac:dyDescent="0.25">
      <c r="A409" t="s">
        <v>647</v>
      </c>
      <c r="B409" t="s">
        <v>648</v>
      </c>
      <c r="C409" t="s">
        <v>4260</v>
      </c>
      <c r="D409">
        <v>7</v>
      </c>
      <c r="E409" t="s">
        <v>4445</v>
      </c>
      <c r="F409" t="s">
        <v>2376</v>
      </c>
      <c r="G409" t="s">
        <v>5572</v>
      </c>
      <c r="H409" t="s">
        <v>4957</v>
      </c>
      <c r="I409" s="79" t="str">
        <f>IF(Tabla13[[#This Row],[RUT]]=774097899,"DIST",_xlfn.XLOOKUP(Tabla13[[#This Row],[VENDEDOR]],dimensiones!$C$21:$C$28,dimensiones!$D$21:$D$28,""))</f>
        <v>ATEL</v>
      </c>
      <c r="J409" s="125" t="str">
        <f>_xlfn.XLOOKUP(Tabla13[[#This Row],[REGION]],dimensiones!C:C,dimensiones!D:D,"")</f>
        <v>Región de Maule</v>
      </c>
    </row>
    <row r="410" spans="1:10" ht="14.25" customHeight="1" x14ac:dyDescent="0.25">
      <c r="A410">
        <v>616069101</v>
      </c>
      <c r="B410" t="s">
        <v>230</v>
      </c>
      <c r="C410" t="s">
        <v>4261</v>
      </c>
      <c r="D410">
        <v>7</v>
      </c>
      <c r="E410" t="s">
        <v>4445</v>
      </c>
      <c r="F410" t="s">
        <v>1623</v>
      </c>
      <c r="G410" t="s">
        <v>5572</v>
      </c>
      <c r="H410" t="s">
        <v>4957</v>
      </c>
      <c r="I410" s="79" t="str">
        <f>IF(Tabla13[[#This Row],[RUT]]=774097899,"DIST",_xlfn.XLOOKUP(Tabla13[[#This Row],[VENDEDOR]],dimensiones!$C$21:$C$28,dimensiones!$D$21:$D$28,""))</f>
        <v>ATEL</v>
      </c>
      <c r="J410" s="125" t="str">
        <f>_xlfn.XLOOKUP(Tabla13[[#This Row],[REGION]],dimensiones!C:C,dimensiones!D:D,"")</f>
        <v>Región de Maule</v>
      </c>
    </row>
    <row r="411" spans="1:10" ht="14.25" customHeight="1" x14ac:dyDescent="0.25">
      <c r="A411" t="s">
        <v>649</v>
      </c>
      <c r="B411" t="s">
        <v>650</v>
      </c>
      <c r="C411" t="s">
        <v>4494</v>
      </c>
      <c r="D411">
        <v>7</v>
      </c>
      <c r="E411" t="s">
        <v>4445</v>
      </c>
      <c r="F411" t="s">
        <v>1350</v>
      </c>
      <c r="G411" t="s">
        <v>5572</v>
      </c>
      <c r="H411" t="s">
        <v>4957</v>
      </c>
      <c r="I411" s="79" t="str">
        <f>IF(Tabla13[[#This Row],[RUT]]=774097899,"DIST",_xlfn.XLOOKUP(Tabla13[[#This Row],[VENDEDOR]],dimensiones!$C$21:$C$28,dimensiones!$D$21:$D$28,""))</f>
        <v>ATEL</v>
      </c>
      <c r="J411" s="125" t="str">
        <f>_xlfn.XLOOKUP(Tabla13[[#This Row],[REGION]],dimensiones!C:C,dimensiones!D:D,"")</f>
        <v>Región de Maule</v>
      </c>
    </row>
    <row r="412" spans="1:10" ht="14.25" customHeight="1" x14ac:dyDescent="0.25">
      <c r="A412">
        <v>616069128</v>
      </c>
      <c r="B412" t="s">
        <v>231</v>
      </c>
      <c r="C412" t="s">
        <v>4262</v>
      </c>
      <c r="D412">
        <v>7</v>
      </c>
      <c r="E412" t="s">
        <v>4445</v>
      </c>
      <c r="F412" t="s">
        <v>1729</v>
      </c>
      <c r="G412" t="s">
        <v>5572</v>
      </c>
      <c r="H412" t="s">
        <v>4957</v>
      </c>
      <c r="I412" s="79" t="str">
        <f>IF(Tabla13[[#This Row],[RUT]]=774097899,"DIST",_xlfn.XLOOKUP(Tabla13[[#This Row],[VENDEDOR]],dimensiones!$C$21:$C$28,dimensiones!$D$21:$D$28,""))</f>
        <v>ATEL</v>
      </c>
      <c r="J412" s="125" t="str">
        <f>_xlfn.XLOOKUP(Tabla13[[#This Row],[REGION]],dimensiones!C:C,dimensiones!D:D,"")</f>
        <v>Región de Maule</v>
      </c>
    </row>
    <row r="413" spans="1:10" ht="14.25" customHeight="1" x14ac:dyDescent="0.25">
      <c r="A413">
        <v>616069136</v>
      </c>
      <c r="B413" t="s">
        <v>776</v>
      </c>
      <c r="C413" t="s">
        <v>4341</v>
      </c>
      <c r="D413">
        <v>7</v>
      </c>
      <c r="E413" t="s">
        <v>4445</v>
      </c>
      <c r="F413" t="s">
        <v>3800</v>
      </c>
      <c r="G413" t="s">
        <v>5572</v>
      </c>
      <c r="H413" t="s">
        <v>4957</v>
      </c>
      <c r="I413" s="79" t="str">
        <f>IF(Tabla13[[#This Row],[RUT]]=774097899,"DIST",_xlfn.XLOOKUP(Tabla13[[#This Row],[VENDEDOR]],dimensiones!$C$21:$C$28,dimensiones!$D$21:$D$28,""))</f>
        <v>ATEL</v>
      </c>
      <c r="J413" s="125" t="str">
        <f>_xlfn.XLOOKUP(Tabla13[[#This Row],[REGION]],dimensiones!C:C,dimensiones!D:D,"")</f>
        <v>Región de Maule</v>
      </c>
    </row>
    <row r="414" spans="1:10" ht="14.25" customHeight="1" x14ac:dyDescent="0.25">
      <c r="A414">
        <v>616069152</v>
      </c>
      <c r="B414" t="s">
        <v>232</v>
      </c>
      <c r="C414" t="s">
        <v>4263</v>
      </c>
      <c r="D414">
        <v>7</v>
      </c>
      <c r="E414" t="s">
        <v>4445</v>
      </c>
      <c r="F414" t="s">
        <v>1355</v>
      </c>
      <c r="G414" t="s">
        <v>5572</v>
      </c>
      <c r="H414" t="s">
        <v>4957</v>
      </c>
      <c r="I414" s="79" t="str">
        <f>IF(Tabla13[[#This Row],[RUT]]=774097899,"DIST",_xlfn.XLOOKUP(Tabla13[[#This Row],[VENDEDOR]],dimensiones!$C$21:$C$28,dimensiones!$D$21:$D$28,""))</f>
        <v>ATEL</v>
      </c>
      <c r="J414" s="125" t="str">
        <f>_xlfn.XLOOKUP(Tabla13[[#This Row],[REGION]],dimensiones!C:C,dimensiones!D:D,"")</f>
        <v>Región de Maule</v>
      </c>
    </row>
    <row r="415" spans="1:10" ht="14.25" customHeight="1" x14ac:dyDescent="0.25">
      <c r="A415">
        <v>616069179</v>
      </c>
      <c r="B415" t="s">
        <v>233</v>
      </c>
      <c r="C415" t="s">
        <v>4264</v>
      </c>
      <c r="D415">
        <v>7</v>
      </c>
      <c r="E415" t="s">
        <v>4445</v>
      </c>
      <c r="F415" t="s">
        <v>1946</v>
      </c>
      <c r="G415" t="s">
        <v>5572</v>
      </c>
      <c r="H415" t="s">
        <v>4957</v>
      </c>
      <c r="I415" s="79" t="str">
        <f>IF(Tabla13[[#This Row],[RUT]]=774097899,"DIST",_xlfn.XLOOKUP(Tabla13[[#This Row],[VENDEDOR]],dimensiones!$C$21:$C$28,dimensiones!$D$21:$D$28,""))</f>
        <v>ATEL</v>
      </c>
      <c r="J415" s="125" t="str">
        <f>_xlfn.XLOOKUP(Tabla13[[#This Row],[REGION]],dimensiones!C:C,dimensiones!D:D,"")</f>
        <v>Región de Maule</v>
      </c>
    </row>
    <row r="416" spans="1:10" ht="14.25" customHeight="1" x14ac:dyDescent="0.25">
      <c r="A416">
        <v>616069187</v>
      </c>
      <c r="B416" t="s">
        <v>777</v>
      </c>
      <c r="C416" t="s">
        <v>4266</v>
      </c>
      <c r="D416">
        <v>7</v>
      </c>
      <c r="E416" t="s">
        <v>4445</v>
      </c>
      <c r="F416" t="s">
        <v>2504</v>
      </c>
      <c r="G416" t="s">
        <v>5572</v>
      </c>
      <c r="H416" t="s">
        <v>4957</v>
      </c>
      <c r="I416" s="79" t="str">
        <f>IF(Tabla13[[#This Row],[RUT]]=774097899,"DIST",_xlfn.XLOOKUP(Tabla13[[#This Row],[VENDEDOR]],dimensiones!$C$21:$C$28,dimensiones!$D$21:$D$28,""))</f>
        <v>ATEL</v>
      </c>
      <c r="J416" s="125" t="str">
        <f>_xlfn.XLOOKUP(Tabla13[[#This Row],[REGION]],dimensiones!C:C,dimensiones!D:D,"")</f>
        <v>Región de Maule</v>
      </c>
    </row>
    <row r="417" spans="1:10" ht="14.25" customHeight="1" x14ac:dyDescent="0.25">
      <c r="A417">
        <v>616070002</v>
      </c>
      <c r="B417" t="s">
        <v>234</v>
      </c>
      <c r="C417" t="s">
        <v>4495</v>
      </c>
      <c r="D417">
        <v>16</v>
      </c>
      <c r="E417" t="s">
        <v>4445</v>
      </c>
      <c r="F417" t="s">
        <v>3107</v>
      </c>
      <c r="G417" t="s">
        <v>5571</v>
      </c>
      <c r="H417" t="s">
        <v>4957</v>
      </c>
      <c r="I417" s="79" t="str">
        <f>IF(Tabla13[[#This Row],[RUT]]=774097899,"DIST",_xlfn.XLOOKUP(Tabla13[[#This Row],[VENDEDOR]],dimensiones!$C$21:$C$28,dimensiones!$D$21:$D$28,""))</f>
        <v>ATEL</v>
      </c>
      <c r="J417" s="125" t="str">
        <f>_xlfn.XLOOKUP(Tabla13[[#This Row],[REGION]],dimensiones!C:C,dimensiones!D:D,"")</f>
        <v>Región de Ñuble</v>
      </c>
    </row>
    <row r="418" spans="1:10" ht="14.25" customHeight="1" x14ac:dyDescent="0.25">
      <c r="A418">
        <v>616070010</v>
      </c>
      <c r="B418" t="s">
        <v>43</v>
      </c>
      <c r="C418" t="s">
        <v>4495</v>
      </c>
      <c r="D418">
        <v>16</v>
      </c>
      <c r="E418" t="s">
        <v>4464</v>
      </c>
      <c r="F418" t="s">
        <v>3856</v>
      </c>
      <c r="G418" t="s">
        <v>5572</v>
      </c>
      <c r="H418" t="s">
        <v>4957</v>
      </c>
      <c r="I418" s="79" t="str">
        <f>IF(Tabla13[[#This Row],[RUT]]=774097899,"DIST",_xlfn.XLOOKUP(Tabla13[[#This Row],[VENDEDOR]],dimensiones!$C$21:$C$28,dimensiones!$D$21:$D$28,""))</f>
        <v>SUR1</v>
      </c>
      <c r="J418" s="125" t="str">
        <f>_xlfn.XLOOKUP(Tabla13[[#This Row],[REGION]],dimensiones!C:C,dimensiones!D:D,"")</f>
        <v>Región de Ñuble</v>
      </c>
    </row>
    <row r="419" spans="1:10" ht="14.25" customHeight="1" x14ac:dyDescent="0.25">
      <c r="A419">
        <v>616070029</v>
      </c>
      <c r="B419" t="s">
        <v>44</v>
      </c>
      <c r="C419" t="s">
        <v>4345</v>
      </c>
      <c r="D419">
        <v>16</v>
      </c>
      <c r="E419" t="s">
        <v>4464</v>
      </c>
      <c r="F419" t="s">
        <v>3753</v>
      </c>
      <c r="G419" t="s">
        <v>5572</v>
      </c>
      <c r="H419" t="s">
        <v>4957</v>
      </c>
      <c r="I419" s="79" t="str">
        <f>IF(Tabla13[[#This Row],[RUT]]=774097899,"DIST",_xlfn.XLOOKUP(Tabla13[[#This Row],[VENDEDOR]],dimensiones!$C$21:$C$28,dimensiones!$D$21:$D$28,""))</f>
        <v>SUR1</v>
      </c>
      <c r="J419" s="125" t="str">
        <f>_xlfn.XLOOKUP(Tabla13[[#This Row],[REGION]],dimensiones!C:C,dimensiones!D:D,"")</f>
        <v>Región de Ñuble</v>
      </c>
    </row>
    <row r="420" spans="1:10" ht="14.25" customHeight="1" x14ac:dyDescent="0.25">
      <c r="A420">
        <v>616070037</v>
      </c>
      <c r="B420" t="s">
        <v>235</v>
      </c>
      <c r="C420" t="s">
        <v>4267</v>
      </c>
      <c r="D420">
        <v>16</v>
      </c>
      <c r="E420" t="s">
        <v>4445</v>
      </c>
      <c r="F420" t="s">
        <v>1972</v>
      </c>
      <c r="G420" t="s">
        <v>5572</v>
      </c>
      <c r="H420" t="s">
        <v>4957</v>
      </c>
      <c r="I420" s="79" t="str">
        <f>IF(Tabla13[[#This Row],[RUT]]=774097899,"DIST",_xlfn.XLOOKUP(Tabla13[[#This Row],[VENDEDOR]],dimensiones!$C$21:$C$28,dimensiones!$D$21:$D$28,""))</f>
        <v>ATEL</v>
      </c>
      <c r="J420" s="125" t="str">
        <f>_xlfn.XLOOKUP(Tabla13[[#This Row],[REGION]],dimensiones!C:C,dimensiones!D:D,"")</f>
        <v>Región de Ñuble</v>
      </c>
    </row>
    <row r="421" spans="1:10" ht="14.25" customHeight="1" x14ac:dyDescent="0.25">
      <c r="A421">
        <v>616070045</v>
      </c>
      <c r="B421" t="s">
        <v>236</v>
      </c>
      <c r="C421" t="s">
        <v>4268</v>
      </c>
      <c r="D421">
        <v>16</v>
      </c>
      <c r="E421" t="s">
        <v>4445</v>
      </c>
      <c r="F421" t="s">
        <v>1639</v>
      </c>
      <c r="G421" t="s">
        <v>5572</v>
      </c>
      <c r="H421" t="s">
        <v>4957</v>
      </c>
      <c r="I421" s="79" t="str">
        <f>IF(Tabla13[[#This Row],[RUT]]=774097899,"DIST",_xlfn.XLOOKUP(Tabla13[[#This Row],[VENDEDOR]],dimensiones!$C$21:$C$28,dimensiones!$D$21:$D$28,""))</f>
        <v>ATEL</v>
      </c>
      <c r="J421" s="125" t="str">
        <f>_xlfn.XLOOKUP(Tabla13[[#This Row],[REGION]],dimensiones!C:C,dimensiones!D:D,"")</f>
        <v>Región de Ñuble</v>
      </c>
    </row>
    <row r="422" spans="1:10" ht="14.25" customHeight="1" x14ac:dyDescent="0.25">
      <c r="A422">
        <v>616070053</v>
      </c>
      <c r="B422" t="s">
        <v>778</v>
      </c>
      <c r="C422" t="s">
        <v>4269</v>
      </c>
      <c r="D422">
        <v>16</v>
      </c>
      <c r="E422" t="s">
        <v>4445</v>
      </c>
      <c r="F422" t="s">
        <v>2250</v>
      </c>
      <c r="G422" t="s">
        <v>5572</v>
      </c>
      <c r="H422" t="s">
        <v>4957</v>
      </c>
      <c r="I422" s="79" t="str">
        <f>IF(Tabla13[[#This Row],[RUT]]=774097899,"DIST",_xlfn.XLOOKUP(Tabla13[[#This Row],[VENDEDOR]],dimensiones!$C$21:$C$28,dimensiones!$D$21:$D$28,""))</f>
        <v>ATEL</v>
      </c>
      <c r="J422" s="125" t="str">
        <f>_xlfn.XLOOKUP(Tabla13[[#This Row],[REGION]],dimensiones!C:C,dimensiones!D:D,"")</f>
        <v>Región de Ñuble</v>
      </c>
    </row>
    <row r="423" spans="1:10" ht="14.25" customHeight="1" x14ac:dyDescent="0.25">
      <c r="A423">
        <v>616070061</v>
      </c>
      <c r="B423" t="s">
        <v>237</v>
      </c>
      <c r="C423" t="s">
        <v>4270</v>
      </c>
      <c r="D423">
        <v>16</v>
      </c>
      <c r="E423" t="s">
        <v>4445</v>
      </c>
      <c r="F423" t="s">
        <v>1373</v>
      </c>
      <c r="G423" t="s">
        <v>5571</v>
      </c>
      <c r="H423" t="s">
        <v>4957</v>
      </c>
      <c r="I423" s="79" t="str">
        <f>IF(Tabla13[[#This Row],[RUT]]=774097899,"DIST",_xlfn.XLOOKUP(Tabla13[[#This Row],[VENDEDOR]],dimensiones!$C$21:$C$28,dimensiones!$D$21:$D$28,""))</f>
        <v>ATEL</v>
      </c>
      <c r="J423" s="125" t="str">
        <f>_xlfn.XLOOKUP(Tabla13[[#This Row],[REGION]],dimensiones!C:C,dimensiones!D:D,"")</f>
        <v>Región de Ñuble</v>
      </c>
    </row>
    <row r="424" spans="1:10" ht="14.25" customHeight="1" x14ac:dyDescent="0.25">
      <c r="A424">
        <v>616071009</v>
      </c>
      <c r="B424" t="s">
        <v>238</v>
      </c>
      <c r="C424" t="s">
        <v>4460</v>
      </c>
      <c r="D424">
        <v>8</v>
      </c>
      <c r="E424" t="s">
        <v>4445</v>
      </c>
      <c r="F424" t="s">
        <v>1377</v>
      </c>
      <c r="G424" t="s">
        <v>5571</v>
      </c>
      <c r="H424" t="s">
        <v>4957</v>
      </c>
      <c r="I424" s="79" t="str">
        <f>IF(Tabla13[[#This Row],[RUT]]=774097899,"DIST",_xlfn.XLOOKUP(Tabla13[[#This Row],[VENDEDOR]],dimensiones!$C$21:$C$28,dimensiones!$D$21:$D$28,""))</f>
        <v>ATEL</v>
      </c>
      <c r="J424" s="125" t="str">
        <f>_xlfn.XLOOKUP(Tabla13[[#This Row],[REGION]],dimensiones!C:C,dimensiones!D:D,"")</f>
        <v>Región de Biobío</v>
      </c>
    </row>
    <row r="425" spans="1:10" ht="14.25" customHeight="1" x14ac:dyDescent="0.25">
      <c r="A425">
        <v>616071033</v>
      </c>
      <c r="B425" t="s">
        <v>239</v>
      </c>
      <c r="C425" t="s">
        <v>4271</v>
      </c>
      <c r="D425">
        <v>8</v>
      </c>
      <c r="E425" t="s">
        <v>4445</v>
      </c>
      <c r="F425" t="s">
        <v>2195</v>
      </c>
      <c r="G425" t="s">
        <v>5572</v>
      </c>
      <c r="H425" t="s">
        <v>4957</v>
      </c>
      <c r="I425" s="79" t="str">
        <f>IF(Tabla13[[#This Row],[RUT]]=774097899,"DIST",_xlfn.XLOOKUP(Tabla13[[#This Row],[VENDEDOR]],dimensiones!$C$21:$C$28,dimensiones!$D$21:$D$28,""))</f>
        <v>ATEL</v>
      </c>
      <c r="J425" s="125" t="str">
        <f>_xlfn.XLOOKUP(Tabla13[[#This Row],[REGION]],dimensiones!C:C,dimensiones!D:D,"")</f>
        <v>Región de Biobío</v>
      </c>
    </row>
    <row r="426" spans="1:10" ht="14.25" customHeight="1" x14ac:dyDescent="0.25">
      <c r="A426">
        <v>616071041</v>
      </c>
      <c r="B426" t="s">
        <v>45</v>
      </c>
      <c r="C426" t="s">
        <v>4460</v>
      </c>
      <c r="D426">
        <v>8</v>
      </c>
      <c r="E426" t="s">
        <v>4464</v>
      </c>
      <c r="F426" t="s">
        <v>1381</v>
      </c>
      <c r="G426" t="s">
        <v>5572</v>
      </c>
      <c r="H426" t="s">
        <v>4957</v>
      </c>
      <c r="I426" s="79" t="str">
        <f>IF(Tabla13[[#This Row],[RUT]]=774097899,"DIST",_xlfn.XLOOKUP(Tabla13[[#This Row],[VENDEDOR]],dimensiones!$C$21:$C$28,dimensiones!$D$21:$D$28,""))</f>
        <v>SUR1</v>
      </c>
      <c r="J426" s="125" t="str">
        <f>_xlfn.XLOOKUP(Tabla13[[#This Row],[REGION]],dimensiones!C:C,dimensiones!D:D,"")</f>
        <v>Región de Biobío</v>
      </c>
    </row>
    <row r="427" spans="1:10" ht="14.25" customHeight="1" x14ac:dyDescent="0.25">
      <c r="A427">
        <v>616072005</v>
      </c>
      <c r="B427" t="s">
        <v>240</v>
      </c>
      <c r="C427" t="s">
        <v>4184</v>
      </c>
      <c r="D427">
        <v>8</v>
      </c>
      <c r="E427" t="s">
        <v>4445</v>
      </c>
      <c r="F427" t="s">
        <v>4162</v>
      </c>
      <c r="G427" t="s">
        <v>5571</v>
      </c>
      <c r="H427" t="s">
        <v>4957</v>
      </c>
      <c r="I427" s="79" t="str">
        <f>IF(Tabla13[[#This Row],[RUT]]=774097899,"DIST",_xlfn.XLOOKUP(Tabla13[[#This Row],[VENDEDOR]],dimensiones!$C$21:$C$28,dimensiones!$D$21:$D$28,""))</f>
        <v>ATEL</v>
      </c>
      <c r="J427" s="125" t="str">
        <f>_xlfn.XLOOKUP(Tabla13[[#This Row],[REGION]],dimensiones!C:C,dimensiones!D:D,"")</f>
        <v>Región de Biobío</v>
      </c>
    </row>
    <row r="428" spans="1:10" ht="14.25" customHeight="1" x14ac:dyDescent="0.25">
      <c r="A428">
        <v>616072013</v>
      </c>
      <c r="B428" t="s">
        <v>46</v>
      </c>
      <c r="C428" t="s">
        <v>4496</v>
      </c>
      <c r="D428">
        <v>8</v>
      </c>
      <c r="E428" t="s">
        <v>4464</v>
      </c>
      <c r="F428" t="s">
        <v>1672</v>
      </c>
      <c r="G428" t="s">
        <v>5572</v>
      </c>
      <c r="H428" t="s">
        <v>4957</v>
      </c>
      <c r="I428" s="79" t="str">
        <f>IF(Tabla13[[#This Row],[RUT]]=774097899,"DIST",_xlfn.XLOOKUP(Tabla13[[#This Row],[VENDEDOR]],dimensiones!$C$21:$C$28,dimensiones!$D$21:$D$28,""))</f>
        <v>SUR1</v>
      </c>
      <c r="J428" s="125" t="str">
        <f>_xlfn.XLOOKUP(Tabla13[[#This Row],[REGION]],dimensiones!C:C,dimensiones!D:D,"")</f>
        <v>Región de Biobío</v>
      </c>
    </row>
    <row r="429" spans="1:10" ht="14.25" customHeight="1" x14ac:dyDescent="0.25">
      <c r="A429">
        <v>616072021</v>
      </c>
      <c r="B429" t="s">
        <v>47</v>
      </c>
      <c r="C429" t="s">
        <v>4183</v>
      </c>
      <c r="D429">
        <v>8</v>
      </c>
      <c r="E429" t="s">
        <v>4464</v>
      </c>
      <c r="F429" t="s">
        <v>3902</v>
      </c>
      <c r="G429" t="s">
        <v>5572</v>
      </c>
      <c r="H429" t="s">
        <v>4957</v>
      </c>
      <c r="I429" s="79" t="str">
        <f>IF(Tabla13[[#This Row],[RUT]]=774097899,"DIST",_xlfn.XLOOKUP(Tabla13[[#This Row],[VENDEDOR]],dimensiones!$C$21:$C$28,dimensiones!$D$21:$D$28,""))</f>
        <v>SUR1</v>
      </c>
      <c r="J429" s="125" t="str">
        <f>_xlfn.XLOOKUP(Tabla13[[#This Row],[REGION]],dimensiones!C:C,dimensiones!D:D,"")</f>
        <v>Región de Biobío</v>
      </c>
    </row>
    <row r="430" spans="1:10" ht="14.25" customHeight="1" x14ac:dyDescent="0.25">
      <c r="A430" t="s">
        <v>148</v>
      </c>
      <c r="B430" t="s">
        <v>149</v>
      </c>
      <c r="C430" t="s">
        <v>4497</v>
      </c>
      <c r="D430">
        <v>8</v>
      </c>
      <c r="E430" t="s">
        <v>4464</v>
      </c>
      <c r="F430" t="s">
        <v>3880</v>
      </c>
      <c r="G430" t="s">
        <v>5572</v>
      </c>
      <c r="H430" t="s">
        <v>4957</v>
      </c>
      <c r="I430" s="79" t="str">
        <f>IF(Tabla13[[#This Row],[RUT]]=774097899,"DIST",_xlfn.XLOOKUP(Tabla13[[#This Row],[VENDEDOR]],dimensiones!$C$21:$C$28,dimensiones!$D$21:$D$28,""))</f>
        <v>SUR1</v>
      </c>
      <c r="J430" s="125" t="str">
        <f>_xlfn.XLOOKUP(Tabla13[[#This Row],[REGION]],dimensiones!C:C,dimensiones!D:D,"")</f>
        <v>Región de Biobío</v>
      </c>
    </row>
    <row r="431" spans="1:10" ht="14.25" customHeight="1" x14ac:dyDescent="0.25">
      <c r="A431">
        <v>616073028</v>
      </c>
      <c r="B431" t="s">
        <v>241</v>
      </c>
      <c r="C431" t="s">
        <v>4498</v>
      </c>
      <c r="D431">
        <v>8</v>
      </c>
      <c r="E431" t="s">
        <v>4445</v>
      </c>
      <c r="F431" t="s">
        <v>2102</v>
      </c>
      <c r="G431" t="s">
        <v>5572</v>
      </c>
      <c r="H431" t="s">
        <v>4957</v>
      </c>
      <c r="I431" s="79" t="str">
        <f>IF(Tabla13[[#This Row],[RUT]]=774097899,"DIST",_xlfn.XLOOKUP(Tabla13[[#This Row],[VENDEDOR]],dimensiones!$C$21:$C$28,dimensiones!$D$21:$D$28,""))</f>
        <v>ATEL</v>
      </c>
      <c r="J431" s="125" t="str">
        <f>_xlfn.XLOOKUP(Tabla13[[#This Row],[REGION]],dimensiones!C:C,dimensiones!D:D,"")</f>
        <v>Región de Biobío</v>
      </c>
    </row>
    <row r="432" spans="1:10" ht="14.25" customHeight="1" x14ac:dyDescent="0.25">
      <c r="A432">
        <v>616073044</v>
      </c>
      <c r="B432" t="s">
        <v>891</v>
      </c>
      <c r="C432" t="s">
        <v>4499</v>
      </c>
      <c r="D432">
        <v>8</v>
      </c>
      <c r="E432" t="s">
        <v>4445</v>
      </c>
      <c r="F432" t="s">
        <v>1392</v>
      </c>
      <c r="G432" t="s">
        <v>5572</v>
      </c>
      <c r="H432" t="s">
        <v>4957</v>
      </c>
      <c r="I432" s="79" t="str">
        <f>IF(Tabla13[[#This Row],[RUT]]=774097899,"DIST",_xlfn.XLOOKUP(Tabla13[[#This Row],[VENDEDOR]],dimensiones!$C$21:$C$28,dimensiones!$D$21:$D$28,""))</f>
        <v>ATEL</v>
      </c>
      <c r="J432" s="125" t="str">
        <f>_xlfn.XLOOKUP(Tabla13[[#This Row],[REGION]],dimensiones!C:C,dimensiones!D:D,"")</f>
        <v>Región de Biobío</v>
      </c>
    </row>
    <row r="433" spans="1:10" ht="14.25" customHeight="1" x14ac:dyDescent="0.25">
      <c r="A433">
        <v>616073052</v>
      </c>
      <c r="B433" t="s">
        <v>242</v>
      </c>
      <c r="C433" t="s">
        <v>4347</v>
      </c>
      <c r="D433">
        <v>8</v>
      </c>
      <c r="E433" t="s">
        <v>4445</v>
      </c>
      <c r="F433" t="s">
        <v>1394</v>
      </c>
      <c r="G433" t="s">
        <v>5572</v>
      </c>
      <c r="H433" t="s">
        <v>4957</v>
      </c>
      <c r="I433" s="79" t="str">
        <f>IF(Tabla13[[#This Row],[RUT]]=774097899,"DIST",_xlfn.XLOOKUP(Tabla13[[#This Row],[VENDEDOR]],dimensiones!$C$21:$C$28,dimensiones!$D$21:$D$28,""))</f>
        <v>ATEL</v>
      </c>
      <c r="J433" s="125" t="str">
        <f>_xlfn.XLOOKUP(Tabla13[[#This Row],[REGION]],dimensiones!C:C,dimensiones!D:D,"")</f>
        <v>Región de Biobío</v>
      </c>
    </row>
    <row r="434" spans="1:10" ht="14.25" customHeight="1" x14ac:dyDescent="0.25">
      <c r="A434">
        <v>616073060</v>
      </c>
      <c r="B434" t="s">
        <v>243</v>
      </c>
      <c r="C434" t="s">
        <v>4274</v>
      </c>
      <c r="D434">
        <v>8</v>
      </c>
      <c r="E434" t="s">
        <v>4445</v>
      </c>
      <c r="F434" t="s">
        <v>1389</v>
      </c>
      <c r="G434" t="s">
        <v>5572</v>
      </c>
      <c r="H434" t="s">
        <v>4957</v>
      </c>
      <c r="I434" s="79" t="str">
        <f>IF(Tabla13[[#This Row],[RUT]]=774097899,"DIST",_xlfn.XLOOKUP(Tabla13[[#This Row],[VENDEDOR]],dimensiones!$C$21:$C$28,dimensiones!$D$21:$D$28,""))</f>
        <v>ATEL</v>
      </c>
      <c r="J434" s="125" t="str">
        <f>_xlfn.XLOOKUP(Tabla13[[#This Row],[REGION]],dimensiones!C:C,dimensiones!D:D,"")</f>
        <v>Región de Biobío</v>
      </c>
    </row>
    <row r="435" spans="1:10" ht="14.25" customHeight="1" x14ac:dyDescent="0.25">
      <c r="A435">
        <v>616073079</v>
      </c>
      <c r="B435" t="s">
        <v>244</v>
      </c>
      <c r="C435" t="s">
        <v>4275</v>
      </c>
      <c r="D435">
        <v>8</v>
      </c>
      <c r="E435" t="s">
        <v>4445</v>
      </c>
      <c r="F435" t="s">
        <v>1544</v>
      </c>
      <c r="G435" t="s">
        <v>5572</v>
      </c>
      <c r="H435" t="s">
        <v>4957</v>
      </c>
      <c r="I435" s="79" t="str">
        <f>IF(Tabla13[[#This Row],[RUT]]=774097899,"DIST",_xlfn.XLOOKUP(Tabla13[[#This Row],[VENDEDOR]],dimensiones!$C$21:$C$28,dimensiones!$D$21:$D$28,""))</f>
        <v>ATEL</v>
      </c>
      <c r="J435" s="125" t="str">
        <f>_xlfn.XLOOKUP(Tabla13[[#This Row],[REGION]],dimensiones!C:C,dimensiones!D:D,"")</f>
        <v>Región de Biobío</v>
      </c>
    </row>
    <row r="436" spans="1:10" ht="14.25" customHeight="1" x14ac:dyDescent="0.25">
      <c r="A436">
        <v>616074016</v>
      </c>
      <c r="B436" t="s">
        <v>48</v>
      </c>
      <c r="C436" t="s">
        <v>4364</v>
      </c>
      <c r="D436">
        <v>9</v>
      </c>
      <c r="E436" t="s">
        <v>4454</v>
      </c>
      <c r="F436" t="s">
        <v>3754</v>
      </c>
      <c r="G436" t="s">
        <v>5572</v>
      </c>
      <c r="H436" t="s">
        <v>4957</v>
      </c>
      <c r="I436" s="79" t="str">
        <f>IF(Tabla13[[#This Row],[RUT]]=774097899,"DIST",_xlfn.XLOOKUP(Tabla13[[#This Row],[VENDEDOR]],dimensiones!$C$21:$C$28,dimensiones!$D$21:$D$28,""))</f>
        <v>SUR2</v>
      </c>
      <c r="J436" s="125" t="str">
        <f>_xlfn.XLOOKUP(Tabla13[[#This Row],[REGION]],dimensiones!C:C,dimensiones!D:D,"")</f>
        <v>Región de La Araucanía</v>
      </c>
    </row>
    <row r="437" spans="1:10" ht="14.25" customHeight="1" x14ac:dyDescent="0.25">
      <c r="A437">
        <v>616074024</v>
      </c>
      <c r="B437" t="s">
        <v>245</v>
      </c>
      <c r="C437" t="s">
        <v>4276</v>
      </c>
      <c r="D437">
        <v>9</v>
      </c>
      <c r="E437" t="s">
        <v>4445</v>
      </c>
      <c r="F437" t="s">
        <v>1398</v>
      </c>
      <c r="G437" t="s">
        <v>5572</v>
      </c>
      <c r="H437" t="s">
        <v>4957</v>
      </c>
      <c r="I437" s="79" t="str">
        <f>IF(Tabla13[[#This Row],[RUT]]=774097899,"DIST",_xlfn.XLOOKUP(Tabla13[[#This Row],[VENDEDOR]],dimensiones!$C$21:$C$28,dimensiones!$D$21:$D$28,""))</f>
        <v>ATEL</v>
      </c>
      <c r="J437" s="125" t="str">
        <f>_xlfn.XLOOKUP(Tabla13[[#This Row],[REGION]],dimensiones!C:C,dimensiones!D:D,"")</f>
        <v>Región de La Araucanía</v>
      </c>
    </row>
    <row r="438" spans="1:10" ht="14.25" customHeight="1" x14ac:dyDescent="0.25">
      <c r="A438">
        <v>616075004</v>
      </c>
      <c r="B438" t="s">
        <v>892</v>
      </c>
      <c r="C438" t="s">
        <v>4170</v>
      </c>
      <c r="D438">
        <v>14</v>
      </c>
      <c r="E438" t="s">
        <v>4445</v>
      </c>
      <c r="F438" t="s">
        <v>1400</v>
      </c>
      <c r="G438" t="s">
        <v>5571</v>
      </c>
      <c r="H438" t="s">
        <v>4957</v>
      </c>
      <c r="I438" s="79" t="str">
        <f>IF(Tabla13[[#This Row],[RUT]]=774097899,"DIST",_xlfn.XLOOKUP(Tabla13[[#This Row],[VENDEDOR]],dimensiones!$C$21:$C$28,dimensiones!$D$21:$D$28,""))</f>
        <v>ATEL</v>
      </c>
      <c r="J438" s="125" t="str">
        <f>_xlfn.XLOOKUP(Tabla13[[#This Row],[REGION]],dimensiones!C:C,dimensiones!D:D,"")</f>
        <v>Región de Los Ríos</v>
      </c>
    </row>
    <row r="439" spans="1:10" ht="14.25" customHeight="1" x14ac:dyDescent="0.25">
      <c r="A439">
        <v>616075020</v>
      </c>
      <c r="B439" t="s">
        <v>49</v>
      </c>
      <c r="C439" t="s">
        <v>4170</v>
      </c>
      <c r="D439">
        <v>14</v>
      </c>
      <c r="E439" t="s">
        <v>4454</v>
      </c>
      <c r="F439" t="s">
        <v>2643</v>
      </c>
      <c r="G439" t="s">
        <v>5572</v>
      </c>
      <c r="H439" t="s">
        <v>4957</v>
      </c>
      <c r="I439" s="79" t="str">
        <f>IF(Tabla13[[#This Row],[RUT]]=774097899,"DIST",_xlfn.XLOOKUP(Tabla13[[#This Row],[VENDEDOR]],dimensiones!$C$21:$C$28,dimensiones!$D$21:$D$28,""))</f>
        <v>SUR2</v>
      </c>
      <c r="J439" s="125" t="str">
        <f>_xlfn.XLOOKUP(Tabla13[[#This Row],[REGION]],dimensiones!C:C,dimensiones!D:D,"")</f>
        <v>Región de Los Ríos</v>
      </c>
    </row>
    <row r="440" spans="1:10" ht="14.25" customHeight="1" x14ac:dyDescent="0.25">
      <c r="A440">
        <v>616075039</v>
      </c>
      <c r="B440" t="s">
        <v>50</v>
      </c>
      <c r="C440" t="s">
        <v>4467</v>
      </c>
      <c r="D440">
        <v>14</v>
      </c>
      <c r="E440" t="s">
        <v>4454</v>
      </c>
      <c r="F440" t="s">
        <v>2526</v>
      </c>
      <c r="G440" t="s">
        <v>5572</v>
      </c>
      <c r="H440" t="s">
        <v>4957</v>
      </c>
      <c r="I440" s="79" t="str">
        <f>IF(Tabla13[[#This Row],[RUT]]=774097899,"DIST",_xlfn.XLOOKUP(Tabla13[[#This Row],[VENDEDOR]],dimensiones!$C$21:$C$28,dimensiones!$D$21:$D$28,""))</f>
        <v>SUR2</v>
      </c>
      <c r="J440" s="125" t="str">
        <f>_xlfn.XLOOKUP(Tabla13[[#This Row],[REGION]],dimensiones!C:C,dimensiones!D:D,"")</f>
        <v>Región de Los Ríos</v>
      </c>
    </row>
    <row r="441" spans="1:10" ht="14.25" customHeight="1" x14ac:dyDescent="0.25">
      <c r="A441">
        <v>616075047</v>
      </c>
      <c r="B441" t="s">
        <v>779</v>
      </c>
      <c r="C441" t="s">
        <v>4277</v>
      </c>
      <c r="D441">
        <v>14</v>
      </c>
      <c r="E441" t="s">
        <v>4445</v>
      </c>
      <c r="F441" t="s">
        <v>2319</v>
      </c>
      <c r="G441" t="s">
        <v>5572</v>
      </c>
      <c r="H441" t="s">
        <v>4957</v>
      </c>
      <c r="I441" s="79" t="str">
        <f>IF(Tabla13[[#This Row],[RUT]]=774097899,"DIST",_xlfn.XLOOKUP(Tabla13[[#This Row],[VENDEDOR]],dimensiones!$C$21:$C$28,dimensiones!$D$21:$D$28,""))</f>
        <v>ATEL</v>
      </c>
      <c r="J441" s="125" t="str">
        <f>_xlfn.XLOOKUP(Tabla13[[#This Row],[REGION]],dimensiones!C:C,dimensiones!D:D,"")</f>
        <v>Región de Los Ríos</v>
      </c>
    </row>
    <row r="442" spans="1:10" ht="14.25" customHeight="1" x14ac:dyDescent="0.25">
      <c r="A442">
        <v>616075055</v>
      </c>
      <c r="B442" t="s">
        <v>893</v>
      </c>
      <c r="C442" t="s">
        <v>4278</v>
      </c>
      <c r="D442">
        <v>14</v>
      </c>
      <c r="E442" t="s">
        <v>4445</v>
      </c>
      <c r="F442" t="s">
        <v>1807</v>
      </c>
      <c r="G442" t="s">
        <v>5572</v>
      </c>
      <c r="H442" t="s">
        <v>4957</v>
      </c>
      <c r="I442" s="79" t="str">
        <f>IF(Tabla13[[#This Row],[RUT]]=774097899,"DIST",_xlfn.XLOOKUP(Tabla13[[#This Row],[VENDEDOR]],dimensiones!$C$21:$C$28,dimensiones!$D$21:$D$28,""))</f>
        <v>ATEL</v>
      </c>
      <c r="J442" s="125" t="str">
        <f>_xlfn.XLOOKUP(Tabla13[[#This Row],[REGION]],dimensiones!C:C,dimensiones!D:D,"")</f>
        <v>Región de Los Ríos</v>
      </c>
    </row>
    <row r="443" spans="1:10" ht="14.25" customHeight="1" x14ac:dyDescent="0.25">
      <c r="A443">
        <v>616075071</v>
      </c>
      <c r="B443" t="s">
        <v>246</v>
      </c>
      <c r="C443" t="s">
        <v>4279</v>
      </c>
      <c r="D443">
        <v>14</v>
      </c>
      <c r="E443" t="s">
        <v>4445</v>
      </c>
      <c r="F443" t="s">
        <v>1410</v>
      </c>
      <c r="G443" t="s">
        <v>5572</v>
      </c>
      <c r="H443" t="s">
        <v>4957</v>
      </c>
      <c r="I443" s="79" t="str">
        <f>IF(Tabla13[[#This Row],[RUT]]=774097899,"DIST",_xlfn.XLOOKUP(Tabla13[[#This Row],[VENDEDOR]],dimensiones!$C$21:$C$28,dimensiones!$D$21:$D$28,""))</f>
        <v>ATEL</v>
      </c>
      <c r="J443" s="125" t="str">
        <f>_xlfn.XLOOKUP(Tabla13[[#This Row],[REGION]],dimensiones!C:C,dimensiones!D:D,"")</f>
        <v>Región de Los Ríos</v>
      </c>
    </row>
    <row r="444" spans="1:10" ht="14.25" customHeight="1" x14ac:dyDescent="0.25">
      <c r="A444" t="s">
        <v>651</v>
      </c>
      <c r="B444" t="s">
        <v>652</v>
      </c>
      <c r="C444" t="s">
        <v>4500</v>
      </c>
      <c r="D444">
        <v>14</v>
      </c>
      <c r="E444" t="s">
        <v>4445</v>
      </c>
      <c r="F444" t="s">
        <v>1886</v>
      </c>
      <c r="G444" t="s">
        <v>5572</v>
      </c>
      <c r="H444" t="s">
        <v>4957</v>
      </c>
      <c r="I444" s="79" t="str">
        <f>IF(Tabla13[[#This Row],[RUT]]=774097899,"DIST",_xlfn.XLOOKUP(Tabla13[[#This Row],[VENDEDOR]],dimensiones!$C$21:$C$28,dimensiones!$D$21:$D$28,""))</f>
        <v>ATEL</v>
      </c>
      <c r="J444" s="125" t="str">
        <f>_xlfn.XLOOKUP(Tabla13[[#This Row],[REGION]],dimensiones!C:C,dimensiones!D:D,"")</f>
        <v>Región de Los Ríos</v>
      </c>
    </row>
    <row r="445" spans="1:10" ht="14.25" customHeight="1" x14ac:dyDescent="0.25">
      <c r="A445">
        <v>616075098</v>
      </c>
      <c r="B445" t="s">
        <v>247</v>
      </c>
      <c r="C445" t="s">
        <v>4281</v>
      </c>
      <c r="D445">
        <v>14</v>
      </c>
      <c r="E445" t="s">
        <v>4445</v>
      </c>
      <c r="F445" t="s">
        <v>1414</v>
      </c>
      <c r="G445" t="s">
        <v>5572</v>
      </c>
      <c r="H445" t="s">
        <v>4957</v>
      </c>
      <c r="I445" s="79" t="str">
        <f>IF(Tabla13[[#This Row],[RUT]]=774097899,"DIST",_xlfn.XLOOKUP(Tabla13[[#This Row],[VENDEDOR]],dimensiones!$C$21:$C$28,dimensiones!$D$21:$D$28,""))</f>
        <v>ATEL</v>
      </c>
      <c r="J445" s="125" t="str">
        <f>_xlfn.XLOOKUP(Tabla13[[#This Row],[REGION]],dimensiones!C:C,dimensiones!D:D,"")</f>
        <v>Región de Los Ríos</v>
      </c>
    </row>
    <row r="446" spans="1:10" ht="14.25" customHeight="1" x14ac:dyDescent="0.25">
      <c r="A446">
        <v>616076000</v>
      </c>
      <c r="B446" t="s">
        <v>248</v>
      </c>
      <c r="C446" t="s">
        <v>4224</v>
      </c>
      <c r="D446">
        <v>10</v>
      </c>
      <c r="E446" t="s">
        <v>4445</v>
      </c>
      <c r="F446" t="s">
        <v>1416</v>
      </c>
      <c r="G446" t="s">
        <v>5571</v>
      </c>
      <c r="H446" t="s">
        <v>4957</v>
      </c>
      <c r="I446" s="79" t="str">
        <f>IF(Tabla13[[#This Row],[RUT]]=774097899,"DIST",_xlfn.XLOOKUP(Tabla13[[#This Row],[VENDEDOR]],dimensiones!$C$21:$C$28,dimensiones!$D$21:$D$28,""))</f>
        <v>ATEL</v>
      </c>
      <c r="J446" s="125" t="str">
        <f>_xlfn.XLOOKUP(Tabla13[[#This Row],[REGION]],dimensiones!C:C,dimensiones!D:D,"")</f>
        <v>Región de Los Lagos</v>
      </c>
    </row>
    <row r="447" spans="1:10" ht="14.25" customHeight="1" x14ac:dyDescent="0.25">
      <c r="A447">
        <v>616076027</v>
      </c>
      <c r="B447" t="s">
        <v>249</v>
      </c>
      <c r="C447" t="s">
        <v>4282</v>
      </c>
      <c r="D447">
        <v>10</v>
      </c>
      <c r="E447" t="s">
        <v>4445</v>
      </c>
      <c r="F447" t="s">
        <v>2369</v>
      </c>
      <c r="G447" t="s">
        <v>5572</v>
      </c>
      <c r="H447" t="s">
        <v>4957</v>
      </c>
      <c r="I447" s="79" t="str">
        <f>IF(Tabla13[[#This Row],[RUT]]=774097899,"DIST",_xlfn.XLOOKUP(Tabla13[[#This Row],[VENDEDOR]],dimensiones!$C$21:$C$28,dimensiones!$D$21:$D$28,""))</f>
        <v>ATEL</v>
      </c>
      <c r="J447" s="125" t="str">
        <f>_xlfn.XLOOKUP(Tabla13[[#This Row],[REGION]],dimensiones!C:C,dimensiones!D:D,"")</f>
        <v>Región de Los Lagos</v>
      </c>
    </row>
    <row r="448" spans="1:10" ht="14.25" customHeight="1" x14ac:dyDescent="0.25">
      <c r="A448">
        <v>616077007</v>
      </c>
      <c r="B448" t="s">
        <v>4502</v>
      </c>
      <c r="C448" t="s">
        <v>4292</v>
      </c>
      <c r="D448">
        <v>10</v>
      </c>
      <c r="E448" t="s">
        <v>4445</v>
      </c>
      <c r="F448" t="s">
        <v>4501</v>
      </c>
      <c r="G448" t="s">
        <v>5572</v>
      </c>
      <c r="H448" t="s">
        <v>4957</v>
      </c>
      <c r="I448" s="79" t="str">
        <f>IF(Tabla13[[#This Row],[RUT]]=774097899,"DIST",_xlfn.XLOOKUP(Tabla13[[#This Row],[VENDEDOR]],dimensiones!$C$21:$C$28,dimensiones!$D$21:$D$28,""))</f>
        <v>ATEL</v>
      </c>
      <c r="J448" s="125" t="str">
        <f>_xlfn.XLOOKUP(Tabla13[[#This Row],[REGION]],dimensiones!C:C,dimensiones!D:D,"")</f>
        <v>Región de Los Lagos</v>
      </c>
    </row>
    <row r="449" spans="1:10" ht="14.25" customHeight="1" x14ac:dyDescent="0.25">
      <c r="A449">
        <v>616078003</v>
      </c>
      <c r="B449" t="s">
        <v>958</v>
      </c>
      <c r="C449" t="s">
        <v>4232</v>
      </c>
      <c r="D449">
        <v>11</v>
      </c>
      <c r="E449" t="s">
        <v>4445</v>
      </c>
      <c r="F449" t="s">
        <v>1420</v>
      </c>
      <c r="G449" t="s">
        <v>5571</v>
      </c>
      <c r="H449" t="s">
        <v>4957</v>
      </c>
      <c r="I449" s="79" t="str">
        <f>IF(Tabla13[[#This Row],[RUT]]=774097899,"DIST",_xlfn.XLOOKUP(Tabla13[[#This Row],[VENDEDOR]],dimensiones!$C$21:$C$28,dimensiones!$D$21:$D$28,""))</f>
        <v>ATEL</v>
      </c>
      <c r="J449" s="125" t="str">
        <f>_xlfn.XLOOKUP(Tabla13[[#This Row],[REGION]],dimensiones!C:C,dimensiones!D:D,"")</f>
        <v>Región de Aysén del General Carlos Ibáñez del Campo</v>
      </c>
    </row>
    <row r="450" spans="1:10" ht="14.25" customHeight="1" x14ac:dyDescent="0.25">
      <c r="A450" t="s">
        <v>653</v>
      </c>
      <c r="B450" t="s">
        <v>654</v>
      </c>
      <c r="C450" t="s">
        <v>4185</v>
      </c>
      <c r="D450">
        <v>12</v>
      </c>
      <c r="E450" t="s">
        <v>4445</v>
      </c>
      <c r="F450" t="s">
        <v>1650</v>
      </c>
      <c r="G450" t="s">
        <v>5571</v>
      </c>
      <c r="H450" t="s">
        <v>4957</v>
      </c>
      <c r="I450" s="79" t="str">
        <f>IF(Tabla13[[#This Row],[RUT]]=774097899,"DIST",_xlfn.XLOOKUP(Tabla13[[#This Row],[VENDEDOR]],dimensiones!$C$21:$C$28,dimensiones!$D$21:$D$28,""))</f>
        <v>ATEL</v>
      </c>
      <c r="J450" s="125" t="str">
        <f>_xlfn.XLOOKUP(Tabla13[[#This Row],[REGION]],dimensiones!C:C,dimensiones!D:D,"")</f>
        <v>Región de Magallanes y de la Antártica Chilena</v>
      </c>
    </row>
    <row r="451" spans="1:10" ht="14.25" customHeight="1" x14ac:dyDescent="0.25">
      <c r="A451">
        <v>616079018</v>
      </c>
      <c r="B451" t="s">
        <v>250</v>
      </c>
      <c r="C451" t="s">
        <v>4185</v>
      </c>
      <c r="D451">
        <v>12</v>
      </c>
      <c r="E451" t="s">
        <v>4445</v>
      </c>
      <c r="F451" t="s">
        <v>3867</v>
      </c>
      <c r="G451" t="s">
        <v>5572</v>
      </c>
      <c r="H451" t="s">
        <v>4957</v>
      </c>
      <c r="I451" s="79" t="str">
        <f>IF(Tabla13[[#This Row],[RUT]]=774097899,"DIST",_xlfn.XLOOKUP(Tabla13[[#This Row],[VENDEDOR]],dimensiones!$C$21:$C$28,dimensiones!$D$21:$D$28,""))</f>
        <v>ATEL</v>
      </c>
      <c r="J451" s="125" t="str">
        <f>_xlfn.XLOOKUP(Tabla13[[#This Row],[REGION]],dimensiones!C:C,dimensiones!D:D,"")</f>
        <v>Región de Magallanes y de la Antártica Chilena</v>
      </c>
    </row>
    <row r="452" spans="1:10" ht="14.25" customHeight="1" x14ac:dyDescent="0.25">
      <c r="A452">
        <v>616079034</v>
      </c>
      <c r="B452" t="s">
        <v>251</v>
      </c>
      <c r="C452" t="s">
        <v>4283</v>
      </c>
      <c r="D452">
        <v>12</v>
      </c>
      <c r="E452" t="s">
        <v>4445</v>
      </c>
      <c r="F452" t="s">
        <v>1300</v>
      </c>
      <c r="G452" t="s">
        <v>5572</v>
      </c>
      <c r="H452" t="s">
        <v>4957</v>
      </c>
      <c r="I452" s="79" t="str">
        <f>IF(Tabla13[[#This Row],[RUT]]=774097899,"DIST",_xlfn.XLOOKUP(Tabla13[[#This Row],[VENDEDOR]],dimensiones!$C$21:$C$28,dimensiones!$D$21:$D$28,""))</f>
        <v>ATEL</v>
      </c>
      <c r="J452" s="125" t="str">
        <f>_xlfn.XLOOKUP(Tabla13[[#This Row],[REGION]],dimensiones!C:C,dimensiones!D:D,"")</f>
        <v>Región de Magallanes y de la Antártica Chilena</v>
      </c>
    </row>
    <row r="453" spans="1:10" ht="14.25" customHeight="1" x14ac:dyDescent="0.25">
      <c r="A453">
        <v>616079042</v>
      </c>
      <c r="B453" t="s">
        <v>252</v>
      </c>
      <c r="C453" t="s">
        <v>4503</v>
      </c>
      <c r="D453">
        <v>12</v>
      </c>
      <c r="E453" t="s">
        <v>4445</v>
      </c>
      <c r="F453" t="s">
        <v>2289</v>
      </c>
      <c r="G453" t="s">
        <v>5572</v>
      </c>
      <c r="H453" t="s">
        <v>4957</v>
      </c>
      <c r="I453" s="79" t="str">
        <f>IF(Tabla13[[#This Row],[RUT]]=774097899,"DIST",_xlfn.XLOOKUP(Tabla13[[#This Row],[VENDEDOR]],dimensiones!$C$21:$C$28,dimensiones!$D$21:$D$28,""))</f>
        <v>ATEL</v>
      </c>
      <c r="J453" s="125" t="str">
        <f>_xlfn.XLOOKUP(Tabla13[[#This Row],[REGION]],dimensiones!C:C,dimensiones!D:D,"")</f>
        <v>Región de Magallanes y de la Antártica Chilena</v>
      </c>
    </row>
    <row r="454" spans="1:10" ht="14.25" customHeight="1" x14ac:dyDescent="0.25">
      <c r="A454">
        <v>616080024</v>
      </c>
      <c r="B454" t="s">
        <v>51</v>
      </c>
      <c r="C454" t="s">
        <v>4458</v>
      </c>
      <c r="D454">
        <v>13</v>
      </c>
      <c r="E454" t="s">
        <v>4453</v>
      </c>
      <c r="F454" t="s">
        <v>2263</v>
      </c>
      <c r="G454" t="s">
        <v>5572</v>
      </c>
      <c r="H454" t="s">
        <v>4957</v>
      </c>
      <c r="I454" s="79" t="str">
        <f>IF(Tabla13[[#This Row],[RUT]]=774097899,"DIST",_xlfn.XLOOKUP(Tabla13[[#This Row],[VENDEDOR]],dimensiones!$C$21:$C$28,dimensiones!$D$21:$D$28,""))</f>
        <v>SANT2</v>
      </c>
      <c r="J454" s="125" t="str">
        <f>_xlfn.XLOOKUP(Tabla13[[#This Row],[REGION]],dimensiones!C:C,dimensiones!D:D,"")</f>
        <v>Región de Metropolitana de Santiago</v>
      </c>
    </row>
    <row r="455" spans="1:10" ht="14.25" customHeight="1" x14ac:dyDescent="0.25">
      <c r="A455">
        <v>616080032</v>
      </c>
      <c r="B455" t="s">
        <v>3334</v>
      </c>
      <c r="C455" t="s">
        <v>4410</v>
      </c>
      <c r="D455">
        <v>13</v>
      </c>
      <c r="E455" t="s">
        <v>4453</v>
      </c>
      <c r="F455" t="s">
        <v>3333</v>
      </c>
      <c r="G455" t="s">
        <v>5571</v>
      </c>
      <c r="H455" t="s">
        <v>4957</v>
      </c>
      <c r="I455" s="79" t="str">
        <f>IF(Tabla13[[#This Row],[RUT]]=774097899,"DIST",_xlfn.XLOOKUP(Tabla13[[#This Row],[VENDEDOR]],dimensiones!$C$21:$C$28,dimensiones!$D$21:$D$28,""))</f>
        <v>SANT2</v>
      </c>
      <c r="J455" s="125" t="str">
        <f>_xlfn.XLOOKUP(Tabla13[[#This Row],[REGION]],dimensiones!C:C,dimensiones!D:D,"")</f>
        <v>Región de Metropolitana de Santiago</v>
      </c>
    </row>
    <row r="456" spans="1:10" ht="14.25" customHeight="1" x14ac:dyDescent="0.25">
      <c r="A456">
        <v>616080040</v>
      </c>
      <c r="B456" t="s">
        <v>52</v>
      </c>
      <c r="C456" t="s">
        <v>4458</v>
      </c>
      <c r="D456">
        <v>13</v>
      </c>
      <c r="E456" t="s">
        <v>4453</v>
      </c>
      <c r="F456" t="s">
        <v>3143</v>
      </c>
      <c r="G456" t="s">
        <v>5572</v>
      </c>
      <c r="H456" t="s">
        <v>4957</v>
      </c>
      <c r="I456" s="79" t="str">
        <f>IF(Tabla13[[#This Row],[RUT]]=774097899,"DIST",_xlfn.XLOOKUP(Tabla13[[#This Row],[VENDEDOR]],dimensiones!$C$21:$C$28,dimensiones!$D$21:$D$28,""))</f>
        <v>SANT2</v>
      </c>
      <c r="J456" s="125" t="str">
        <f>_xlfn.XLOOKUP(Tabla13[[#This Row],[REGION]],dimensiones!C:C,dimensiones!D:D,"")</f>
        <v>Región de Metropolitana de Santiago</v>
      </c>
    </row>
    <row r="457" spans="1:10" ht="14.25" customHeight="1" x14ac:dyDescent="0.25">
      <c r="A457">
        <v>616080067</v>
      </c>
      <c r="B457" t="s">
        <v>780</v>
      </c>
      <c r="C457" t="s">
        <v>4284</v>
      </c>
      <c r="D457">
        <v>13</v>
      </c>
      <c r="E457" t="s">
        <v>4445</v>
      </c>
      <c r="F457" t="s">
        <v>1842</v>
      </c>
      <c r="G457" t="s">
        <v>5572</v>
      </c>
      <c r="H457" t="s">
        <v>4957</v>
      </c>
      <c r="I457" s="79" t="str">
        <f>IF(Tabla13[[#This Row],[RUT]]=774097899,"DIST",_xlfn.XLOOKUP(Tabla13[[#This Row],[VENDEDOR]],dimensiones!$C$21:$C$28,dimensiones!$D$21:$D$28,""))</f>
        <v>ATEL</v>
      </c>
      <c r="J457" s="125" t="str">
        <f>_xlfn.XLOOKUP(Tabla13[[#This Row],[REGION]],dimensiones!C:C,dimensiones!D:D,"")</f>
        <v>Región de Metropolitana de Santiago</v>
      </c>
    </row>
    <row r="458" spans="1:10" ht="14.25" customHeight="1" x14ac:dyDescent="0.25">
      <c r="A458">
        <v>616081012</v>
      </c>
      <c r="B458" t="s">
        <v>53</v>
      </c>
      <c r="C458" t="s">
        <v>4173</v>
      </c>
      <c r="D458">
        <v>13</v>
      </c>
      <c r="E458" t="s">
        <v>4453</v>
      </c>
      <c r="F458" t="s">
        <v>1264</v>
      </c>
      <c r="G458" t="s">
        <v>5572</v>
      </c>
      <c r="H458" t="s">
        <v>4957</v>
      </c>
      <c r="I458" s="79" t="str">
        <f>IF(Tabla13[[#This Row],[RUT]]=774097899,"DIST",_xlfn.XLOOKUP(Tabla13[[#This Row],[VENDEDOR]],dimensiones!$C$21:$C$28,dimensiones!$D$21:$D$28,""))</f>
        <v>SANT2</v>
      </c>
      <c r="J458" s="125" t="str">
        <f>_xlfn.XLOOKUP(Tabla13[[#This Row],[REGION]],dimensiones!C:C,dimensiones!D:D,"")</f>
        <v>Región de Metropolitana de Santiago</v>
      </c>
    </row>
    <row r="459" spans="1:10" ht="14.25" customHeight="1" x14ac:dyDescent="0.25">
      <c r="A459">
        <v>616081020</v>
      </c>
      <c r="B459" t="s">
        <v>54</v>
      </c>
      <c r="C459" t="s">
        <v>4416</v>
      </c>
      <c r="D459">
        <v>13</v>
      </c>
      <c r="E459" t="s">
        <v>4453</v>
      </c>
      <c r="F459" t="s">
        <v>1310</v>
      </c>
      <c r="G459" t="s">
        <v>5572</v>
      </c>
      <c r="H459" t="s">
        <v>4957</v>
      </c>
      <c r="I459" s="79" t="str">
        <f>IF(Tabla13[[#This Row],[RUT]]=774097899,"DIST",_xlfn.XLOOKUP(Tabla13[[#This Row],[VENDEDOR]],dimensiones!$C$21:$C$28,dimensiones!$D$21:$D$28,""))</f>
        <v>SANT2</v>
      </c>
      <c r="J459" s="125" t="str">
        <f>_xlfn.XLOOKUP(Tabla13[[#This Row],[REGION]],dimensiones!C:C,dimensiones!D:D,"")</f>
        <v>Región de Metropolitana de Santiago</v>
      </c>
    </row>
    <row r="460" spans="1:10" ht="14.25" customHeight="1" x14ac:dyDescent="0.25">
      <c r="A460">
        <v>616081047</v>
      </c>
      <c r="B460" t="s">
        <v>55</v>
      </c>
      <c r="C460" t="s">
        <v>4416</v>
      </c>
      <c r="D460">
        <v>13</v>
      </c>
      <c r="E460" t="s">
        <v>4453</v>
      </c>
      <c r="F460" t="s">
        <v>1441</v>
      </c>
      <c r="G460" t="s">
        <v>5571</v>
      </c>
      <c r="H460" t="s">
        <v>4957</v>
      </c>
      <c r="I460" s="79" t="str">
        <f>IF(Tabla13[[#This Row],[RUT]]=774097899,"DIST",_xlfn.XLOOKUP(Tabla13[[#This Row],[VENDEDOR]],dimensiones!$C$21:$C$28,dimensiones!$D$21:$D$28,""))</f>
        <v>SANT2</v>
      </c>
      <c r="J460" s="125" t="str">
        <f>_xlfn.XLOOKUP(Tabla13[[#This Row],[REGION]],dimensiones!C:C,dimensiones!D:D,"")</f>
        <v>Región de Metropolitana de Santiago</v>
      </c>
    </row>
    <row r="461" spans="1:10" ht="14.25" customHeight="1" x14ac:dyDescent="0.25">
      <c r="A461">
        <v>616081055</v>
      </c>
      <c r="B461" t="s">
        <v>781</v>
      </c>
      <c r="C461" t="s">
        <v>4285</v>
      </c>
      <c r="D461">
        <v>13</v>
      </c>
      <c r="E461" t="s">
        <v>4445</v>
      </c>
      <c r="F461" t="s">
        <v>2323</v>
      </c>
      <c r="G461" t="s">
        <v>5572</v>
      </c>
      <c r="H461" t="s">
        <v>4957</v>
      </c>
      <c r="I461" s="79" t="str">
        <f>IF(Tabla13[[#This Row],[RUT]]=774097899,"DIST",_xlfn.XLOOKUP(Tabla13[[#This Row],[VENDEDOR]],dimensiones!$C$21:$C$28,dimensiones!$D$21:$D$28,""))</f>
        <v>ATEL</v>
      </c>
      <c r="J461" s="125" t="str">
        <f>_xlfn.XLOOKUP(Tabla13[[#This Row],[REGION]],dimensiones!C:C,dimensiones!D:D,"")</f>
        <v>Región de Metropolitana de Santiago</v>
      </c>
    </row>
    <row r="462" spans="1:10" ht="14.25" customHeight="1" x14ac:dyDescent="0.25">
      <c r="A462">
        <v>616081063</v>
      </c>
      <c r="B462" t="s">
        <v>953</v>
      </c>
      <c r="C462" t="s">
        <v>4381</v>
      </c>
      <c r="D462">
        <v>13</v>
      </c>
      <c r="E462" t="s">
        <v>4445</v>
      </c>
      <c r="F462" t="s">
        <v>1445</v>
      </c>
      <c r="G462" t="s">
        <v>5571</v>
      </c>
      <c r="H462" t="s">
        <v>4957</v>
      </c>
      <c r="I462" s="79" t="str">
        <f>IF(Tabla13[[#This Row],[RUT]]=774097899,"DIST",_xlfn.XLOOKUP(Tabla13[[#This Row],[VENDEDOR]],dimensiones!$C$21:$C$28,dimensiones!$D$21:$D$28,""))</f>
        <v>ATEL</v>
      </c>
      <c r="J462" s="125" t="str">
        <f>_xlfn.XLOOKUP(Tabla13[[#This Row],[REGION]],dimensiones!C:C,dimensiones!D:D,"")</f>
        <v>Región de Metropolitana de Santiago</v>
      </c>
    </row>
    <row r="463" spans="1:10" ht="14.25" customHeight="1" x14ac:dyDescent="0.25">
      <c r="A463">
        <v>616081071</v>
      </c>
      <c r="B463" t="s">
        <v>56</v>
      </c>
      <c r="C463" t="s">
        <v>4287</v>
      </c>
      <c r="D463">
        <v>13</v>
      </c>
      <c r="E463" t="s">
        <v>4457</v>
      </c>
      <c r="F463" t="s">
        <v>3377</v>
      </c>
      <c r="G463" t="s">
        <v>5572</v>
      </c>
      <c r="H463" t="s">
        <v>4957</v>
      </c>
      <c r="I463" s="79" t="str">
        <f>IF(Tabla13[[#This Row],[RUT]]=774097899,"DIST",_xlfn.XLOOKUP(Tabla13[[#This Row],[VENDEDOR]],dimensiones!$C$21:$C$28,dimensiones!$D$21:$D$28,""))</f>
        <v>SANT1</v>
      </c>
      <c r="J463" s="125" t="str">
        <f>_xlfn.XLOOKUP(Tabla13[[#This Row],[REGION]],dimensiones!C:C,dimensiones!D:D,"")</f>
        <v>Región de Metropolitana de Santiago</v>
      </c>
    </row>
    <row r="464" spans="1:10" ht="14.25" customHeight="1" x14ac:dyDescent="0.25">
      <c r="A464" t="s">
        <v>655</v>
      </c>
      <c r="B464" t="s">
        <v>656</v>
      </c>
      <c r="C464" t="s">
        <v>4416</v>
      </c>
      <c r="D464">
        <v>13</v>
      </c>
      <c r="E464" t="s">
        <v>4445</v>
      </c>
      <c r="F464" t="s">
        <v>4097</v>
      </c>
      <c r="G464" t="s">
        <v>5571</v>
      </c>
      <c r="H464" t="s">
        <v>4957</v>
      </c>
      <c r="I464" s="79" t="str">
        <f>IF(Tabla13[[#This Row],[RUT]]=774097899,"DIST",_xlfn.XLOOKUP(Tabla13[[#This Row],[VENDEDOR]],dimensiones!$C$21:$C$28,dimensiones!$D$21:$D$28,""))</f>
        <v>ATEL</v>
      </c>
      <c r="J464" s="125" t="str">
        <f>_xlfn.XLOOKUP(Tabla13[[#This Row],[REGION]],dimensiones!C:C,dimensiones!D:D,"")</f>
        <v>Región de Metropolitana de Santiago</v>
      </c>
    </row>
    <row r="465" spans="1:10" ht="14.25" customHeight="1" x14ac:dyDescent="0.25">
      <c r="A465">
        <v>616082000</v>
      </c>
      <c r="B465" t="s">
        <v>253</v>
      </c>
      <c r="C465" t="s">
        <v>4168</v>
      </c>
      <c r="D465">
        <v>13</v>
      </c>
      <c r="E465" t="s">
        <v>4445</v>
      </c>
      <c r="F465" t="s">
        <v>2382</v>
      </c>
      <c r="G465" t="s">
        <v>5572</v>
      </c>
      <c r="H465" t="s">
        <v>4957</v>
      </c>
      <c r="I465" s="79" t="str">
        <f>IF(Tabla13[[#This Row],[RUT]]=774097899,"DIST",_xlfn.XLOOKUP(Tabla13[[#This Row],[VENDEDOR]],dimensiones!$C$21:$C$28,dimensiones!$D$21:$D$28,""))</f>
        <v>ATEL</v>
      </c>
      <c r="J465" s="125" t="str">
        <f>_xlfn.XLOOKUP(Tabla13[[#This Row],[REGION]],dimensiones!C:C,dimensiones!D:D,"")</f>
        <v>Región de Metropolitana de Santiago</v>
      </c>
    </row>
    <row r="466" spans="1:10" ht="14.25" customHeight="1" x14ac:dyDescent="0.25">
      <c r="A466">
        <v>616082035</v>
      </c>
      <c r="B466" t="s">
        <v>57</v>
      </c>
      <c r="C466" t="s">
        <v>4168</v>
      </c>
      <c r="D466">
        <v>13</v>
      </c>
      <c r="E466" t="s">
        <v>4453</v>
      </c>
      <c r="F466" t="s">
        <v>2222</v>
      </c>
      <c r="G466" t="s">
        <v>5571</v>
      </c>
      <c r="H466" t="s">
        <v>4957</v>
      </c>
      <c r="I466" s="79" t="str">
        <f>IF(Tabla13[[#This Row],[RUT]]=774097899,"DIST",_xlfn.XLOOKUP(Tabla13[[#This Row],[VENDEDOR]],dimensiones!$C$21:$C$28,dimensiones!$D$21:$D$28,""))</f>
        <v>SANT2</v>
      </c>
      <c r="J466" s="125" t="str">
        <f>_xlfn.XLOOKUP(Tabla13[[#This Row],[REGION]],dimensiones!C:C,dimensiones!D:D,"")</f>
        <v>Región de Metropolitana de Santiago</v>
      </c>
    </row>
    <row r="467" spans="1:10" ht="14.25" customHeight="1" x14ac:dyDescent="0.25">
      <c r="A467">
        <v>616082043</v>
      </c>
      <c r="B467" t="s">
        <v>58</v>
      </c>
      <c r="C467" t="s">
        <v>4168</v>
      </c>
      <c r="D467">
        <v>13</v>
      </c>
      <c r="E467" t="s">
        <v>4457</v>
      </c>
      <c r="F467" t="s">
        <v>2138</v>
      </c>
      <c r="G467" t="s">
        <v>5572</v>
      </c>
      <c r="H467" t="s">
        <v>4957</v>
      </c>
      <c r="I467" s="79" t="str">
        <f>IF(Tabla13[[#This Row],[RUT]]=774097899,"DIST",_xlfn.XLOOKUP(Tabla13[[#This Row],[VENDEDOR]],dimensiones!$C$21:$C$28,dimensiones!$D$21:$D$28,""))</f>
        <v>SANT1</v>
      </c>
      <c r="J467" s="125" t="str">
        <f>_xlfn.XLOOKUP(Tabla13[[#This Row],[REGION]],dimensiones!C:C,dimensiones!D:D,"")</f>
        <v>Región de Metropolitana de Santiago</v>
      </c>
    </row>
    <row r="468" spans="1:10" ht="14.25" customHeight="1" x14ac:dyDescent="0.25">
      <c r="A468">
        <v>616082051</v>
      </c>
      <c r="B468" t="s">
        <v>59</v>
      </c>
      <c r="C468" t="s">
        <v>4400</v>
      </c>
      <c r="D468">
        <v>13</v>
      </c>
      <c r="E468" t="s">
        <v>4457</v>
      </c>
      <c r="F468" t="s">
        <v>3237</v>
      </c>
      <c r="G468" t="s">
        <v>5572</v>
      </c>
      <c r="H468" t="s">
        <v>4957</v>
      </c>
      <c r="I468" s="79" t="str">
        <f>IF(Tabla13[[#This Row],[RUT]]=774097899,"DIST",_xlfn.XLOOKUP(Tabla13[[#This Row],[VENDEDOR]],dimensiones!$C$21:$C$28,dimensiones!$D$21:$D$28,""))</f>
        <v>SANT1</v>
      </c>
      <c r="J468" s="125" t="str">
        <f>_xlfn.XLOOKUP(Tabla13[[#This Row],[REGION]],dimensiones!C:C,dimensiones!D:D,"")</f>
        <v>Región de Metropolitana de Santiago</v>
      </c>
    </row>
    <row r="469" spans="1:10" ht="14.25" customHeight="1" x14ac:dyDescent="0.25">
      <c r="A469">
        <v>616084003</v>
      </c>
      <c r="B469" t="s">
        <v>1460</v>
      </c>
      <c r="C469" t="s">
        <v>4391</v>
      </c>
      <c r="D469">
        <v>13</v>
      </c>
      <c r="E469" t="s">
        <v>4445</v>
      </c>
      <c r="F469" t="s">
        <v>1459</v>
      </c>
      <c r="G469" t="s">
        <v>5571</v>
      </c>
      <c r="H469" t="s">
        <v>4957</v>
      </c>
      <c r="I469" s="79" t="str">
        <f>IF(Tabla13[[#This Row],[RUT]]=774097899,"DIST",_xlfn.XLOOKUP(Tabla13[[#This Row],[VENDEDOR]],dimensiones!$C$21:$C$28,dimensiones!$D$21:$D$28,""))</f>
        <v>ATEL</v>
      </c>
      <c r="J469" s="125" t="str">
        <f>_xlfn.XLOOKUP(Tabla13[[#This Row],[REGION]],dimensiones!C:C,dimensiones!D:D,"")</f>
        <v>Región de Metropolitana de Santiago</v>
      </c>
    </row>
    <row r="470" spans="1:10" ht="14.25" customHeight="1" x14ac:dyDescent="0.25">
      <c r="A470" t="s">
        <v>657</v>
      </c>
      <c r="B470" t="s">
        <v>658</v>
      </c>
      <c r="C470" t="s">
        <v>4391</v>
      </c>
      <c r="D470">
        <v>13</v>
      </c>
      <c r="E470" t="s">
        <v>4445</v>
      </c>
      <c r="F470" t="s">
        <v>3929</v>
      </c>
      <c r="G470" t="s">
        <v>5572</v>
      </c>
      <c r="H470" t="s">
        <v>4957</v>
      </c>
      <c r="I470" s="79" t="str">
        <f>IF(Tabla13[[#This Row],[RUT]]=774097899,"DIST",_xlfn.XLOOKUP(Tabla13[[#This Row],[VENDEDOR]],dimensiones!$C$21:$C$28,dimensiones!$D$21:$D$28,""))</f>
        <v>ATEL</v>
      </c>
      <c r="J470" s="125" t="str">
        <f>_xlfn.XLOOKUP(Tabla13[[#This Row],[REGION]],dimensiones!C:C,dimensiones!D:D,"")</f>
        <v>Región de Metropolitana de Santiago</v>
      </c>
    </row>
    <row r="471" spans="1:10" ht="14.25" customHeight="1" x14ac:dyDescent="0.25">
      <c r="A471">
        <v>616084038</v>
      </c>
      <c r="B471" t="s">
        <v>2354</v>
      </c>
      <c r="C471" t="s">
        <v>4391</v>
      </c>
      <c r="D471">
        <v>13</v>
      </c>
      <c r="E471" t="s">
        <v>4445</v>
      </c>
      <c r="F471" t="s">
        <v>2353</v>
      </c>
      <c r="G471" t="s">
        <v>5572</v>
      </c>
      <c r="H471" t="s">
        <v>4957</v>
      </c>
      <c r="I471" s="79" t="str">
        <f>IF(Tabla13[[#This Row],[RUT]]=774097899,"DIST",_xlfn.XLOOKUP(Tabla13[[#This Row],[VENDEDOR]],dimensiones!$C$21:$C$28,dimensiones!$D$21:$D$28,""))</f>
        <v>ATEL</v>
      </c>
      <c r="J471" s="125" t="str">
        <f>_xlfn.XLOOKUP(Tabla13[[#This Row],[REGION]],dimensiones!C:C,dimensiones!D:D,"")</f>
        <v>Región de Metropolitana de Santiago</v>
      </c>
    </row>
    <row r="472" spans="1:10" ht="14.25" customHeight="1" x14ac:dyDescent="0.25">
      <c r="A472">
        <v>616084046</v>
      </c>
      <c r="B472" t="s">
        <v>60</v>
      </c>
      <c r="C472" t="s">
        <v>4458</v>
      </c>
      <c r="D472">
        <v>13</v>
      </c>
      <c r="E472" t="s">
        <v>4453</v>
      </c>
      <c r="F472" t="s">
        <v>2092</v>
      </c>
      <c r="G472" t="s">
        <v>5572</v>
      </c>
      <c r="H472" t="s">
        <v>4957</v>
      </c>
      <c r="I472" s="79" t="str">
        <f>IF(Tabla13[[#This Row],[RUT]]=774097899,"DIST",_xlfn.XLOOKUP(Tabla13[[#This Row],[VENDEDOR]],dimensiones!$C$21:$C$28,dimensiones!$D$21:$D$28,""))</f>
        <v>SANT2</v>
      </c>
      <c r="J472" s="125" t="str">
        <f>_xlfn.XLOOKUP(Tabla13[[#This Row],[REGION]],dimensiones!C:C,dimensiones!D:D,"")</f>
        <v>Región de Metropolitana de Santiago</v>
      </c>
    </row>
    <row r="473" spans="1:10" ht="14.25" customHeight="1" x14ac:dyDescent="0.25">
      <c r="A473">
        <v>616084062</v>
      </c>
      <c r="B473" t="s">
        <v>61</v>
      </c>
      <c r="C473" t="s">
        <v>4391</v>
      </c>
      <c r="D473">
        <v>13</v>
      </c>
      <c r="E473" t="s">
        <v>4453</v>
      </c>
      <c r="F473" t="s">
        <v>3707</v>
      </c>
      <c r="G473" t="s">
        <v>5572</v>
      </c>
      <c r="H473" t="s">
        <v>4957</v>
      </c>
      <c r="I473" s="79" t="str">
        <f>IF(Tabla13[[#This Row],[RUT]]=774097899,"DIST",_xlfn.XLOOKUP(Tabla13[[#This Row],[VENDEDOR]],dimensiones!$C$21:$C$28,dimensiones!$D$21:$D$28,""))</f>
        <v>SANT2</v>
      </c>
      <c r="J473" s="125" t="str">
        <f>_xlfn.XLOOKUP(Tabla13[[#This Row],[REGION]],dimensiones!C:C,dimensiones!D:D,"")</f>
        <v>Región de Metropolitana de Santiago</v>
      </c>
    </row>
    <row r="474" spans="1:10" ht="14.25" customHeight="1" x14ac:dyDescent="0.25">
      <c r="A474">
        <v>616084070</v>
      </c>
      <c r="B474" t="s">
        <v>255</v>
      </c>
      <c r="C474" t="s">
        <v>4391</v>
      </c>
      <c r="D474">
        <v>13</v>
      </c>
      <c r="E474" t="s">
        <v>4445</v>
      </c>
      <c r="F474" t="s">
        <v>2815</v>
      </c>
      <c r="G474" t="s">
        <v>5572</v>
      </c>
      <c r="H474" t="s">
        <v>4957</v>
      </c>
      <c r="I474" s="79" t="str">
        <f>IF(Tabla13[[#This Row],[RUT]]=774097899,"DIST",_xlfn.XLOOKUP(Tabla13[[#This Row],[VENDEDOR]],dimensiones!$C$21:$C$28,dimensiones!$D$21:$D$28,""))</f>
        <v>ATEL</v>
      </c>
      <c r="J474" s="125" t="str">
        <f>_xlfn.XLOOKUP(Tabla13[[#This Row],[REGION]],dimensiones!C:C,dimensiones!D:D,"")</f>
        <v>Región de Metropolitana de Santiago</v>
      </c>
    </row>
    <row r="475" spans="1:10" ht="14.25" customHeight="1" x14ac:dyDescent="0.25">
      <c r="A475">
        <v>616084089</v>
      </c>
      <c r="B475" t="s">
        <v>256</v>
      </c>
      <c r="C475" t="s">
        <v>4391</v>
      </c>
      <c r="D475">
        <v>13</v>
      </c>
      <c r="E475" t="s">
        <v>4445</v>
      </c>
      <c r="F475" t="s">
        <v>2482</v>
      </c>
      <c r="G475" t="s">
        <v>5572</v>
      </c>
      <c r="H475" t="s">
        <v>4957</v>
      </c>
      <c r="I475" s="79" t="str">
        <f>IF(Tabla13[[#This Row],[RUT]]=774097899,"DIST",_xlfn.XLOOKUP(Tabla13[[#This Row],[VENDEDOR]],dimensiones!$C$21:$C$28,dimensiones!$D$21:$D$28,""))</f>
        <v>ATEL</v>
      </c>
      <c r="J475" s="125" t="str">
        <f>_xlfn.XLOOKUP(Tabla13[[#This Row],[REGION]],dimensiones!C:C,dimensiones!D:D,"")</f>
        <v>Región de Metropolitana de Santiago</v>
      </c>
    </row>
    <row r="476" spans="1:10" ht="14.25" customHeight="1" x14ac:dyDescent="0.25">
      <c r="A476" t="s">
        <v>659</v>
      </c>
      <c r="B476" t="s">
        <v>660</v>
      </c>
      <c r="C476" t="s">
        <v>4381</v>
      </c>
      <c r="D476">
        <v>13</v>
      </c>
      <c r="E476" t="s">
        <v>4445</v>
      </c>
      <c r="F476" t="s">
        <v>1474</v>
      </c>
      <c r="G476" t="s">
        <v>5571</v>
      </c>
      <c r="H476" t="s">
        <v>4957</v>
      </c>
      <c r="I476" s="79" t="str">
        <f>IF(Tabla13[[#This Row],[RUT]]=774097899,"DIST",_xlfn.XLOOKUP(Tabla13[[#This Row],[VENDEDOR]],dimensiones!$C$21:$C$28,dimensiones!$D$21:$D$28,""))</f>
        <v>ATEL</v>
      </c>
      <c r="J476" s="125" t="str">
        <f>_xlfn.XLOOKUP(Tabla13[[#This Row],[REGION]],dimensiones!C:C,dimensiones!D:D,"")</f>
        <v>Región de Metropolitana de Santiago</v>
      </c>
    </row>
    <row r="477" spans="1:10" ht="14.25" customHeight="1" x14ac:dyDescent="0.25">
      <c r="A477">
        <v>616085026</v>
      </c>
      <c r="B477" t="s">
        <v>62</v>
      </c>
      <c r="C477" t="s">
        <v>4286</v>
      </c>
      <c r="D477">
        <v>13</v>
      </c>
      <c r="E477" t="s">
        <v>4457</v>
      </c>
      <c r="F477" t="s">
        <v>2628</v>
      </c>
      <c r="G477" t="s">
        <v>5572</v>
      </c>
      <c r="H477" t="s">
        <v>4957</v>
      </c>
      <c r="I477" s="79" t="str">
        <f>IF(Tabla13[[#This Row],[RUT]]=774097899,"DIST",_xlfn.XLOOKUP(Tabla13[[#This Row],[VENDEDOR]],dimensiones!$C$21:$C$28,dimensiones!$D$21:$D$28,""))</f>
        <v>SANT1</v>
      </c>
      <c r="J477" s="125" t="str">
        <f>_xlfn.XLOOKUP(Tabla13[[#This Row],[REGION]],dimensiones!C:C,dimensiones!D:D,"")</f>
        <v>Región de Metropolitana de Santiago</v>
      </c>
    </row>
    <row r="478" spans="1:10" ht="14.25" customHeight="1" x14ac:dyDescent="0.25">
      <c r="A478">
        <v>616085034</v>
      </c>
      <c r="B478" t="s">
        <v>257</v>
      </c>
      <c r="C478" t="s">
        <v>4504</v>
      </c>
      <c r="D478">
        <v>13</v>
      </c>
      <c r="E478" t="s">
        <v>4445</v>
      </c>
      <c r="F478" t="s">
        <v>1478</v>
      </c>
      <c r="G478" t="s">
        <v>5572</v>
      </c>
      <c r="H478" t="s">
        <v>4957</v>
      </c>
      <c r="I478" s="79" t="str">
        <f>IF(Tabla13[[#This Row],[RUT]]=774097899,"DIST",_xlfn.XLOOKUP(Tabla13[[#This Row],[VENDEDOR]],dimensiones!$C$21:$C$28,dimensiones!$D$21:$D$28,""))</f>
        <v>ATEL</v>
      </c>
      <c r="J478" s="125" t="str">
        <f>_xlfn.XLOOKUP(Tabla13[[#This Row],[REGION]],dimensiones!C:C,dimensiones!D:D,"")</f>
        <v>Región de Metropolitana de Santiago</v>
      </c>
    </row>
    <row r="479" spans="1:10" ht="14.25" customHeight="1" x14ac:dyDescent="0.25">
      <c r="A479">
        <v>616086022</v>
      </c>
      <c r="B479" t="s">
        <v>63</v>
      </c>
      <c r="C479" t="s">
        <v>4168</v>
      </c>
      <c r="D479">
        <v>13</v>
      </c>
      <c r="E479" t="s">
        <v>4457</v>
      </c>
      <c r="F479" t="s">
        <v>2064</v>
      </c>
      <c r="G479" t="s">
        <v>5572</v>
      </c>
      <c r="H479" t="s">
        <v>4957</v>
      </c>
      <c r="I479" s="79" t="str">
        <f>IF(Tabla13[[#This Row],[RUT]]=774097899,"DIST",_xlfn.XLOOKUP(Tabla13[[#This Row],[VENDEDOR]],dimensiones!$C$21:$C$28,dimensiones!$D$21:$D$28,""))</f>
        <v>SANT1</v>
      </c>
      <c r="J479" s="125" t="str">
        <f>_xlfn.XLOOKUP(Tabla13[[#This Row],[REGION]],dimensiones!C:C,dimensiones!D:D,"")</f>
        <v>Región de Metropolitana de Santiago</v>
      </c>
    </row>
    <row r="480" spans="1:10" ht="14.25" customHeight="1" x14ac:dyDescent="0.25">
      <c r="A480">
        <v>616086049</v>
      </c>
      <c r="B480" t="s">
        <v>64</v>
      </c>
      <c r="C480" t="s">
        <v>4168</v>
      </c>
      <c r="D480">
        <v>13</v>
      </c>
      <c r="E480" t="s">
        <v>4453</v>
      </c>
      <c r="F480" t="s">
        <v>2136</v>
      </c>
      <c r="G480" t="s">
        <v>5572</v>
      </c>
      <c r="H480" t="s">
        <v>4957</v>
      </c>
      <c r="I480" s="79" t="str">
        <f>IF(Tabla13[[#This Row],[RUT]]=774097899,"DIST",_xlfn.XLOOKUP(Tabla13[[#This Row],[VENDEDOR]],dimensiones!$C$21:$C$28,dimensiones!$D$21:$D$28,""))</f>
        <v>SANT2</v>
      </c>
      <c r="J480" s="125" t="str">
        <f>_xlfn.XLOOKUP(Tabla13[[#This Row],[REGION]],dimensiones!C:C,dimensiones!D:D,"")</f>
        <v>Región de Metropolitana de Santiago</v>
      </c>
    </row>
    <row r="481" spans="1:10" ht="14.25" customHeight="1" x14ac:dyDescent="0.25">
      <c r="A481">
        <v>616086057</v>
      </c>
      <c r="B481" t="s">
        <v>258</v>
      </c>
      <c r="C481" t="s">
        <v>4168</v>
      </c>
      <c r="D481">
        <v>13</v>
      </c>
      <c r="E481" t="s">
        <v>4445</v>
      </c>
      <c r="F481" t="s">
        <v>4101</v>
      </c>
      <c r="G481" t="s">
        <v>5571</v>
      </c>
      <c r="H481" t="s">
        <v>4957</v>
      </c>
      <c r="I481" s="79" t="str">
        <f>IF(Tabla13[[#This Row],[RUT]]=774097899,"DIST",_xlfn.XLOOKUP(Tabla13[[#This Row],[VENDEDOR]],dimensiones!$C$21:$C$28,dimensiones!$D$21:$D$28,""))</f>
        <v>ATEL</v>
      </c>
      <c r="J481" s="125" t="str">
        <f>_xlfn.XLOOKUP(Tabla13[[#This Row],[REGION]],dimensiones!C:C,dimensiones!D:D,"")</f>
        <v>Región de Metropolitana de Santiago</v>
      </c>
    </row>
    <row r="482" spans="1:10" ht="14.25" customHeight="1" x14ac:dyDescent="0.25">
      <c r="A482">
        <v>616087002</v>
      </c>
      <c r="B482" t="s">
        <v>1056</v>
      </c>
      <c r="C482" t="s">
        <v>4395</v>
      </c>
      <c r="D482">
        <v>13</v>
      </c>
      <c r="E482" t="s">
        <v>4445</v>
      </c>
      <c r="F482" t="s">
        <v>1487</v>
      </c>
      <c r="G482" t="s">
        <v>5571</v>
      </c>
      <c r="H482" t="s">
        <v>4957</v>
      </c>
      <c r="I482" s="79" t="str">
        <f>IF(Tabla13[[#This Row],[RUT]]=774097899,"DIST",_xlfn.XLOOKUP(Tabla13[[#This Row],[VENDEDOR]],dimensiones!$C$21:$C$28,dimensiones!$D$21:$D$28,""))</f>
        <v>ATEL</v>
      </c>
      <c r="J482" s="125" t="str">
        <f>_xlfn.XLOOKUP(Tabla13[[#This Row],[REGION]],dimensiones!C:C,dimensiones!D:D,"")</f>
        <v>Región de Metropolitana de Santiago</v>
      </c>
    </row>
    <row r="483" spans="1:10" ht="14.25" customHeight="1" x14ac:dyDescent="0.25">
      <c r="A483" t="s">
        <v>661</v>
      </c>
      <c r="B483" t="s">
        <v>662</v>
      </c>
      <c r="C483" t="s">
        <v>4212</v>
      </c>
      <c r="D483">
        <v>8</v>
      </c>
      <c r="E483" t="s">
        <v>4445</v>
      </c>
      <c r="F483" t="s">
        <v>1489</v>
      </c>
      <c r="G483" t="s">
        <v>5575</v>
      </c>
      <c r="H483" t="s">
        <v>4957</v>
      </c>
      <c r="I483" s="79" t="str">
        <f>IF(Tabla13[[#This Row],[RUT]]=774097899,"DIST",_xlfn.XLOOKUP(Tabla13[[#This Row],[VENDEDOR]],dimensiones!$C$21:$C$28,dimensiones!$D$21:$D$28,""))</f>
        <v>ATEL</v>
      </c>
      <c r="J483" s="125" t="str">
        <f>_xlfn.XLOOKUP(Tabla13[[#This Row],[REGION]],dimensiones!C:C,dimensiones!D:D,"")</f>
        <v>Región de Biobío</v>
      </c>
    </row>
    <row r="484" spans="1:10" ht="14.25" customHeight="1" x14ac:dyDescent="0.25">
      <c r="A484">
        <v>619292006</v>
      </c>
      <c r="B484" t="s">
        <v>5533</v>
      </c>
      <c r="C484" t="s">
        <v>4399</v>
      </c>
      <c r="D484">
        <v>13</v>
      </c>
      <c r="E484" t="s">
        <v>4445</v>
      </c>
      <c r="F484" t="s">
        <v>5534</v>
      </c>
      <c r="G484" t="s">
        <v>5572</v>
      </c>
      <c r="H484" t="s">
        <v>4957</v>
      </c>
      <c r="I484" s="79" t="str">
        <f>IF(Tabla13[[#This Row],[RUT]]=774097899,"DIST",_xlfn.XLOOKUP(Tabla13[[#This Row],[VENDEDOR]],dimensiones!$C$21:$C$28,dimensiones!$D$21:$D$28,""))</f>
        <v>ATEL</v>
      </c>
      <c r="J484" s="125" t="str">
        <f>_xlfn.XLOOKUP(Tabla13[[#This Row],[REGION]],dimensiones!C:C,dimensiones!D:D,"")</f>
        <v>Región de Metropolitana de Santiago</v>
      </c>
    </row>
    <row r="485" spans="1:10" ht="14.25" customHeight="1" x14ac:dyDescent="0.25">
      <c r="A485">
        <v>619301005</v>
      </c>
      <c r="B485" t="s">
        <v>5449</v>
      </c>
      <c r="C485" t="s">
        <v>4175</v>
      </c>
      <c r="D485">
        <v>5</v>
      </c>
      <c r="E485" t="s">
        <v>4445</v>
      </c>
      <c r="F485" t="s">
        <v>5450</v>
      </c>
      <c r="G485" t="s">
        <v>5571</v>
      </c>
      <c r="H485" t="s">
        <v>4957</v>
      </c>
      <c r="I485" s="79" t="str">
        <f>IF(Tabla13[[#This Row],[RUT]]=774097899,"DIST",_xlfn.XLOOKUP(Tabla13[[#This Row],[VENDEDOR]],dimensiones!$C$21:$C$28,dimensiones!$D$21:$D$28,""))</f>
        <v>ATEL</v>
      </c>
      <c r="J485" s="125" t="str">
        <f>_xlfn.XLOOKUP(Tabla13[[#This Row],[REGION]],dimensiones!C:C,dimensiones!D:D,"")</f>
        <v>Región de Valparaíso</v>
      </c>
    </row>
    <row r="486" spans="1:10" ht="14.25" customHeight="1" x14ac:dyDescent="0.25">
      <c r="A486">
        <v>619318005</v>
      </c>
      <c r="B486" t="s">
        <v>747</v>
      </c>
      <c r="C486" t="s">
        <v>4495</v>
      </c>
      <c r="D486">
        <v>16</v>
      </c>
      <c r="E486" t="s">
        <v>4464</v>
      </c>
      <c r="F486" t="s">
        <v>4002</v>
      </c>
      <c r="G486" t="s">
        <v>5571</v>
      </c>
      <c r="H486" t="s">
        <v>4957</v>
      </c>
      <c r="I486" s="79" t="str">
        <f>IF(Tabla13[[#This Row],[RUT]]=774097899,"DIST",_xlfn.XLOOKUP(Tabla13[[#This Row],[VENDEDOR]],dimensiones!$C$21:$C$28,dimensiones!$D$21:$D$28,""))</f>
        <v>SUR1</v>
      </c>
      <c r="J486" s="125" t="str">
        <f>_xlfn.XLOOKUP(Tabla13[[#This Row],[REGION]],dimensiones!C:C,dimensiones!D:D,"")</f>
        <v>Región de Ñuble</v>
      </c>
    </row>
    <row r="487" spans="1:10" ht="14.25" customHeight="1" x14ac:dyDescent="0.25">
      <c r="A487">
        <v>619322002</v>
      </c>
      <c r="B487" t="s">
        <v>259</v>
      </c>
      <c r="C487" t="s">
        <v>4505</v>
      </c>
      <c r="D487">
        <v>10</v>
      </c>
      <c r="E487" t="s">
        <v>4445</v>
      </c>
      <c r="F487" t="s">
        <v>1835</v>
      </c>
      <c r="G487" t="s">
        <v>5575</v>
      </c>
      <c r="H487" t="s">
        <v>4957</v>
      </c>
      <c r="I487" s="79" t="str">
        <f>IF(Tabla13[[#This Row],[RUT]]=774097899,"DIST",_xlfn.XLOOKUP(Tabla13[[#This Row],[VENDEDOR]],dimensiones!$C$21:$C$28,dimensiones!$D$21:$D$28,""))</f>
        <v>ATEL</v>
      </c>
      <c r="J487" s="125" t="str">
        <f>_xlfn.XLOOKUP(Tabla13[[#This Row],[REGION]],dimensiones!C:C,dimensiones!D:D,"")</f>
        <v>Región de Los Lagos</v>
      </c>
    </row>
    <row r="488" spans="1:10" ht="14.25" customHeight="1" x14ac:dyDescent="0.25">
      <c r="A488">
        <v>619334000</v>
      </c>
      <c r="B488" t="s">
        <v>260</v>
      </c>
      <c r="C488" t="s">
        <v>4456</v>
      </c>
      <c r="D488">
        <v>13</v>
      </c>
      <c r="E488" t="s">
        <v>4445</v>
      </c>
      <c r="F488" t="s">
        <v>1491</v>
      </c>
      <c r="G488" t="s">
        <v>5572</v>
      </c>
      <c r="H488" t="s">
        <v>4957</v>
      </c>
      <c r="I488" s="79" t="str">
        <f>IF(Tabla13[[#This Row],[RUT]]=774097899,"DIST",_xlfn.XLOOKUP(Tabla13[[#This Row],[VENDEDOR]],dimensiones!$C$21:$C$28,dimensiones!$D$21:$D$28,""))</f>
        <v>ATEL</v>
      </c>
      <c r="J488" s="125" t="str">
        <f>_xlfn.XLOOKUP(Tabla13[[#This Row],[REGION]],dimensiones!C:C,dimensiones!D:D,"")</f>
        <v>Región de Metropolitana de Santiago</v>
      </c>
    </row>
    <row r="489" spans="1:10" ht="14.25" customHeight="1" x14ac:dyDescent="0.25">
      <c r="A489">
        <v>619385004</v>
      </c>
      <c r="B489" t="s">
        <v>261</v>
      </c>
      <c r="C489" t="s">
        <v>4452</v>
      </c>
      <c r="D489">
        <v>13</v>
      </c>
      <c r="E489" t="s">
        <v>4445</v>
      </c>
      <c r="F489" t="s">
        <v>1493</v>
      </c>
      <c r="G489" t="s">
        <v>5571</v>
      </c>
      <c r="H489" t="s">
        <v>4957</v>
      </c>
      <c r="I489" s="79" t="str">
        <f>IF(Tabla13[[#This Row],[RUT]]=774097899,"DIST",_xlfn.XLOOKUP(Tabla13[[#This Row],[VENDEDOR]],dimensiones!$C$21:$C$28,dimensiones!$D$21:$D$28,""))</f>
        <v>ATEL</v>
      </c>
      <c r="J489" s="125" t="str">
        <f>_xlfn.XLOOKUP(Tabla13[[#This Row],[REGION]],dimensiones!C:C,dimensiones!D:D,"")</f>
        <v>Región de Metropolitana de Santiago</v>
      </c>
    </row>
    <row r="490" spans="1:10" ht="14.25" customHeight="1" x14ac:dyDescent="0.25">
      <c r="A490">
        <v>619394003</v>
      </c>
      <c r="B490" t="s">
        <v>956</v>
      </c>
      <c r="C490" t="s">
        <v>4168</v>
      </c>
      <c r="D490">
        <v>13</v>
      </c>
      <c r="E490" t="s">
        <v>4445</v>
      </c>
      <c r="F490" t="s">
        <v>1495</v>
      </c>
      <c r="G490" t="s">
        <v>5571</v>
      </c>
      <c r="H490" t="s">
        <v>4957</v>
      </c>
      <c r="I490" s="79" t="str">
        <f>IF(Tabla13[[#This Row],[RUT]]=774097899,"DIST",_xlfn.XLOOKUP(Tabla13[[#This Row],[VENDEDOR]],dimensiones!$C$21:$C$28,dimensiones!$D$21:$D$28,""))</f>
        <v>ATEL</v>
      </c>
      <c r="J490" s="125" t="str">
        <f>_xlfn.XLOOKUP(Tabla13[[#This Row],[REGION]],dimensiones!C:C,dimensiones!D:D,"")</f>
        <v>Región de Metropolitana de Santiago</v>
      </c>
    </row>
    <row r="491" spans="1:10" ht="14.25" customHeight="1" x14ac:dyDescent="0.25">
      <c r="A491">
        <v>619523008</v>
      </c>
      <c r="B491" t="s">
        <v>262</v>
      </c>
      <c r="C491" t="s">
        <v>4186</v>
      </c>
      <c r="D491">
        <v>1</v>
      </c>
      <c r="E491" t="s">
        <v>4453</v>
      </c>
      <c r="F491" t="s">
        <v>1497</v>
      </c>
      <c r="G491" t="s">
        <v>5571</v>
      </c>
      <c r="H491" t="s">
        <v>4957</v>
      </c>
      <c r="I491" s="79" t="str">
        <f>IF(Tabla13[[#This Row],[RUT]]=774097899,"DIST",_xlfn.XLOOKUP(Tabla13[[#This Row],[VENDEDOR]],dimensiones!$C$21:$C$28,dimensiones!$D$21:$D$28,""))</f>
        <v>SANT2</v>
      </c>
      <c r="J491" s="125" t="str">
        <f>_xlfn.XLOOKUP(Tabla13[[#This Row],[REGION]],dimensiones!C:C,dimensiones!D:D,"")</f>
        <v>Región de Tarapacá</v>
      </c>
    </row>
    <row r="492" spans="1:10" ht="14.25" customHeight="1" x14ac:dyDescent="0.25">
      <c r="A492">
        <v>619532007</v>
      </c>
      <c r="B492" t="s">
        <v>748</v>
      </c>
      <c r="C492" t="s">
        <v>4470</v>
      </c>
      <c r="D492">
        <v>13</v>
      </c>
      <c r="E492" t="s">
        <v>4445</v>
      </c>
      <c r="F492" t="s">
        <v>3149</v>
      </c>
      <c r="G492" t="s">
        <v>5572</v>
      </c>
      <c r="H492" t="s">
        <v>4957</v>
      </c>
      <c r="I492" s="79" t="str">
        <f>IF(Tabla13[[#This Row],[RUT]]=774097899,"DIST",_xlfn.XLOOKUP(Tabla13[[#This Row],[VENDEDOR]],dimensiones!$C$21:$C$28,dimensiones!$D$21:$D$28,""))</f>
        <v>ATEL</v>
      </c>
      <c r="J492" s="125" t="str">
        <f>_xlfn.XLOOKUP(Tabla13[[#This Row],[REGION]],dimensiones!C:C,dimensiones!D:D,"")</f>
        <v>Región de Metropolitana de Santiago</v>
      </c>
    </row>
    <row r="493" spans="1:10" ht="14.25" customHeight="1" x14ac:dyDescent="0.25">
      <c r="A493">
        <v>619545001</v>
      </c>
      <c r="B493" t="s">
        <v>263</v>
      </c>
      <c r="C493" t="s">
        <v>4289</v>
      </c>
      <c r="D493">
        <v>8</v>
      </c>
      <c r="E493" t="s">
        <v>4445</v>
      </c>
      <c r="F493" t="s">
        <v>1501</v>
      </c>
      <c r="G493" t="s">
        <v>5571</v>
      </c>
      <c r="H493" t="s">
        <v>4957</v>
      </c>
      <c r="I493" s="79" t="str">
        <f>IF(Tabla13[[#This Row],[RUT]]=774097899,"DIST",_xlfn.XLOOKUP(Tabla13[[#This Row],[VENDEDOR]],dimensiones!$C$21:$C$28,dimensiones!$D$21:$D$28,""))</f>
        <v>ATEL</v>
      </c>
      <c r="J493" s="125" t="str">
        <f>_xlfn.XLOOKUP(Tabla13[[#This Row],[REGION]],dimensiones!C:C,dimensiones!D:D,"")</f>
        <v>Región de Biobío</v>
      </c>
    </row>
    <row r="494" spans="1:10" ht="14.25" customHeight="1" x14ac:dyDescent="0.25">
      <c r="A494">
        <v>619550005</v>
      </c>
      <c r="B494" t="s">
        <v>65</v>
      </c>
      <c r="C494" t="s">
        <v>4290</v>
      </c>
      <c r="D494">
        <v>9</v>
      </c>
      <c r="E494" t="s">
        <v>4454</v>
      </c>
      <c r="F494" t="s">
        <v>1447</v>
      </c>
      <c r="G494" t="s">
        <v>5575</v>
      </c>
      <c r="H494" t="s">
        <v>4957</v>
      </c>
      <c r="I494" s="79" t="str">
        <f>IF(Tabla13[[#This Row],[RUT]]=774097899,"DIST",_xlfn.XLOOKUP(Tabla13[[#This Row],[VENDEDOR]],dimensiones!$C$21:$C$28,dimensiones!$D$21:$D$28,""))</f>
        <v>SUR2</v>
      </c>
      <c r="J494" s="125" t="str">
        <f>_xlfn.XLOOKUP(Tabla13[[#This Row],[REGION]],dimensiones!C:C,dimensiones!D:D,"")</f>
        <v>Región de La Araucanía</v>
      </c>
    </row>
    <row r="495" spans="1:10" ht="14.25" customHeight="1" x14ac:dyDescent="0.25">
      <c r="A495">
        <v>619585003</v>
      </c>
      <c r="B495" t="s">
        <v>66</v>
      </c>
      <c r="C495" t="s">
        <v>4506</v>
      </c>
      <c r="D495">
        <v>13</v>
      </c>
      <c r="E495" t="s">
        <v>4457</v>
      </c>
      <c r="F495" t="s">
        <v>2413</v>
      </c>
      <c r="G495" t="s">
        <v>5572</v>
      </c>
      <c r="H495" t="s">
        <v>4957</v>
      </c>
      <c r="I495" s="79" t="str">
        <f>IF(Tabla13[[#This Row],[RUT]]=774097899,"DIST",_xlfn.XLOOKUP(Tabla13[[#This Row],[VENDEDOR]],dimensiones!$C$21:$C$28,dimensiones!$D$21:$D$28,""))</f>
        <v>SANT1</v>
      </c>
      <c r="J495" s="125" t="str">
        <f>_xlfn.XLOOKUP(Tabla13[[#This Row],[REGION]],dimensiones!C:C,dimensiones!D:D,"")</f>
        <v>Región de Metropolitana de Santiago</v>
      </c>
    </row>
    <row r="496" spans="1:10" ht="14.25" customHeight="1" x14ac:dyDescent="0.25">
      <c r="A496">
        <v>619598008</v>
      </c>
      <c r="B496" t="s">
        <v>67</v>
      </c>
      <c r="C496" t="s">
        <v>4470</v>
      </c>
      <c r="D496">
        <v>13</v>
      </c>
      <c r="E496" t="s">
        <v>4457</v>
      </c>
      <c r="F496" t="s">
        <v>3702</v>
      </c>
      <c r="G496" t="s">
        <v>5572</v>
      </c>
      <c r="H496" t="s">
        <v>4957</v>
      </c>
      <c r="I496" s="79" t="str">
        <f>IF(Tabla13[[#This Row],[RUT]]=774097899,"DIST",_xlfn.XLOOKUP(Tabla13[[#This Row],[VENDEDOR]],dimensiones!$C$21:$C$28,dimensiones!$D$21:$D$28,""))</f>
        <v>SANT1</v>
      </c>
      <c r="J496" s="125" t="str">
        <f>_xlfn.XLOOKUP(Tabla13[[#This Row],[REGION]],dimensiones!C:C,dimensiones!D:D,"")</f>
        <v>Región de Metropolitana de Santiago</v>
      </c>
    </row>
    <row r="497" spans="1:10" ht="14.25" customHeight="1" x14ac:dyDescent="0.25">
      <c r="A497">
        <v>619728009</v>
      </c>
      <c r="B497" t="s">
        <v>264</v>
      </c>
      <c r="C497" t="s">
        <v>4507</v>
      </c>
      <c r="D497">
        <v>16</v>
      </c>
      <c r="E497" t="s">
        <v>4445</v>
      </c>
      <c r="F497" t="s">
        <v>1508</v>
      </c>
      <c r="G497" t="s">
        <v>5575</v>
      </c>
      <c r="H497" t="s">
        <v>4957</v>
      </c>
      <c r="I497" s="79" t="str">
        <f>IF(Tabla13[[#This Row],[RUT]]=774097899,"DIST",_xlfn.XLOOKUP(Tabla13[[#This Row],[VENDEDOR]],dimensiones!$C$21:$C$28,dimensiones!$D$21:$D$28,""))</f>
        <v>ATEL</v>
      </c>
      <c r="J497" s="125" t="str">
        <f>_xlfn.XLOOKUP(Tabla13[[#This Row],[REGION]],dimensiones!C:C,dimensiones!D:D,"")</f>
        <v>Región de Ñuble</v>
      </c>
    </row>
    <row r="498" spans="1:10" ht="14.25" customHeight="1" x14ac:dyDescent="0.25">
      <c r="A498">
        <v>619742001</v>
      </c>
      <c r="B498" t="s">
        <v>5589</v>
      </c>
      <c r="C498" t="s">
        <v>4463</v>
      </c>
      <c r="D498">
        <v>13</v>
      </c>
      <c r="E498" t="s">
        <v>4445</v>
      </c>
      <c r="F498" t="s">
        <v>4890</v>
      </c>
      <c r="G498" t="s">
        <v>5571</v>
      </c>
      <c r="H498" t="s">
        <v>4957</v>
      </c>
      <c r="I498" s="79" t="str">
        <f>IF(Tabla13[[#This Row],[RUT]]=774097899,"DIST",_xlfn.XLOOKUP(Tabla13[[#This Row],[VENDEDOR]],dimensiones!$C$21:$C$28,dimensiones!$D$21:$D$28,""))</f>
        <v>ATEL</v>
      </c>
      <c r="J498" s="125" t="str">
        <f>_xlfn.XLOOKUP(Tabla13[[#This Row],[REGION]],dimensiones!C:C,dimensiones!D:D,"")</f>
        <v>Región de Metropolitana de Santiago</v>
      </c>
    </row>
    <row r="499" spans="1:10" ht="14.25" customHeight="1" x14ac:dyDescent="0.25">
      <c r="A499">
        <v>619746007</v>
      </c>
      <c r="B499" t="s">
        <v>265</v>
      </c>
      <c r="C499" t="s">
        <v>4232</v>
      </c>
      <c r="D499">
        <v>11</v>
      </c>
      <c r="E499" t="s">
        <v>4445</v>
      </c>
      <c r="F499" t="s">
        <v>1292</v>
      </c>
      <c r="G499" t="s">
        <v>5571</v>
      </c>
      <c r="H499" t="s">
        <v>4957</v>
      </c>
      <c r="I499" s="79" t="str">
        <f>IF(Tabla13[[#This Row],[RUT]]=774097899,"DIST",_xlfn.XLOOKUP(Tabla13[[#This Row],[VENDEDOR]],dimensiones!$C$21:$C$28,dimensiones!$D$21:$D$28,""))</f>
        <v>ATEL</v>
      </c>
      <c r="J499" s="125" t="str">
        <f>_xlfn.XLOOKUP(Tabla13[[#This Row],[REGION]],dimensiones!C:C,dimensiones!D:D,"")</f>
        <v>Región de Aysén del General Carlos Ibáñez del Campo</v>
      </c>
    </row>
    <row r="500" spans="1:10" ht="14.25" customHeight="1" x14ac:dyDescent="0.25">
      <c r="A500">
        <v>619751000</v>
      </c>
      <c r="B500" t="s">
        <v>68</v>
      </c>
      <c r="C500" t="s">
        <v>4292</v>
      </c>
      <c r="D500">
        <v>10</v>
      </c>
      <c r="E500" t="s">
        <v>4454</v>
      </c>
      <c r="F500" t="s">
        <v>2149</v>
      </c>
      <c r="G500" t="s">
        <v>5572</v>
      </c>
      <c r="H500" t="s">
        <v>4957</v>
      </c>
      <c r="I500" s="79" t="str">
        <f>IF(Tabla13[[#This Row],[RUT]]=774097899,"DIST",_xlfn.XLOOKUP(Tabla13[[#This Row],[VENDEDOR]],dimensiones!$C$21:$C$28,dimensiones!$D$21:$D$28,""))</f>
        <v>SUR2</v>
      </c>
      <c r="J500" s="125" t="str">
        <f>_xlfn.XLOOKUP(Tabla13[[#This Row],[REGION]],dimensiones!C:C,dimensiones!D:D,"")</f>
        <v>Región de Los Lagos</v>
      </c>
    </row>
    <row r="501" spans="1:10" ht="14.25" customHeight="1" x14ac:dyDescent="0.25">
      <c r="A501">
        <v>619758005</v>
      </c>
      <c r="B501" t="s">
        <v>782</v>
      </c>
      <c r="C501" t="s">
        <v>4293</v>
      </c>
      <c r="D501">
        <v>10</v>
      </c>
      <c r="E501" t="s">
        <v>4454</v>
      </c>
      <c r="F501" t="s">
        <v>3568</v>
      </c>
      <c r="G501" t="s">
        <v>5572</v>
      </c>
      <c r="H501" t="s">
        <v>4957</v>
      </c>
      <c r="I501" s="79" t="str">
        <f>IF(Tabla13[[#This Row],[RUT]]=774097899,"DIST",_xlfn.XLOOKUP(Tabla13[[#This Row],[VENDEDOR]],dimensiones!$C$21:$C$28,dimensiones!$D$21:$D$28,""))</f>
        <v>SUR2</v>
      </c>
      <c r="J501" s="125" t="str">
        <f>_xlfn.XLOOKUP(Tabla13[[#This Row],[REGION]],dimensiones!C:C,dimensiones!D:D,"")</f>
        <v>Región de Los Lagos</v>
      </c>
    </row>
    <row r="502" spans="1:10" ht="14.25" customHeight="1" x14ac:dyDescent="0.25">
      <c r="A502" t="s">
        <v>1025</v>
      </c>
      <c r="B502" t="s">
        <v>3329</v>
      </c>
      <c r="C502" t="s">
        <v>4292</v>
      </c>
      <c r="D502">
        <v>10</v>
      </c>
      <c r="E502" t="s">
        <v>4445</v>
      </c>
      <c r="F502" t="s">
        <v>3328</v>
      </c>
      <c r="G502" t="s">
        <v>5572</v>
      </c>
      <c r="H502" t="s">
        <v>4957</v>
      </c>
      <c r="I502" s="79" t="str">
        <f>IF(Tabla13[[#This Row],[RUT]]=774097899,"DIST",_xlfn.XLOOKUP(Tabla13[[#This Row],[VENDEDOR]],dimensiones!$C$21:$C$28,dimensiones!$D$21:$D$28,""))</f>
        <v>ATEL</v>
      </c>
      <c r="J502" s="125" t="str">
        <f>_xlfn.XLOOKUP(Tabla13[[#This Row],[REGION]],dimensiones!C:C,dimensiones!D:D,"")</f>
        <v>Región de Los Lagos</v>
      </c>
    </row>
    <row r="503" spans="1:10" ht="14.25" customHeight="1" x14ac:dyDescent="0.25">
      <c r="A503" t="s">
        <v>4421</v>
      </c>
      <c r="B503" t="s">
        <v>4422</v>
      </c>
      <c r="C503" t="s">
        <v>4456</v>
      </c>
      <c r="D503">
        <v>13</v>
      </c>
      <c r="E503" t="s">
        <v>4445</v>
      </c>
      <c r="F503" t="s">
        <v>4508</v>
      </c>
      <c r="G503" t="s">
        <v>5571</v>
      </c>
      <c r="H503" t="s">
        <v>4957</v>
      </c>
      <c r="I503" s="79" t="str">
        <f>IF(Tabla13[[#This Row],[RUT]]=774097899,"DIST",_xlfn.XLOOKUP(Tabla13[[#This Row],[VENDEDOR]],dimensiones!$C$21:$C$28,dimensiones!$D$21:$D$28,""))</f>
        <v>ATEL</v>
      </c>
      <c r="J503" s="125" t="str">
        <f>_xlfn.XLOOKUP(Tabla13[[#This Row],[REGION]],dimensiones!C:C,dimensiones!D:D,"")</f>
        <v>Región de Metropolitana de Santiago</v>
      </c>
    </row>
    <row r="504" spans="1:10" ht="14.25" customHeight="1" x14ac:dyDescent="0.25">
      <c r="A504">
        <v>619787307</v>
      </c>
      <c r="B504" t="s">
        <v>266</v>
      </c>
      <c r="C504" t="s">
        <v>4509</v>
      </c>
      <c r="D504">
        <v>10</v>
      </c>
      <c r="E504" t="s">
        <v>4445</v>
      </c>
      <c r="F504" t="s">
        <v>1518</v>
      </c>
      <c r="G504" t="s">
        <v>5572</v>
      </c>
      <c r="H504" t="s">
        <v>4957</v>
      </c>
      <c r="I504" s="79" t="str">
        <f>IF(Tabla13[[#This Row],[RUT]]=774097899,"DIST",_xlfn.XLOOKUP(Tabla13[[#This Row],[VENDEDOR]],dimensiones!$C$21:$C$28,dimensiones!$D$21:$D$28,""))</f>
        <v>ATEL</v>
      </c>
      <c r="J504" s="125" t="str">
        <f>_xlfn.XLOOKUP(Tabla13[[#This Row],[REGION]],dimensiones!C:C,dimensiones!D:D,"")</f>
        <v>Región de Los Lagos</v>
      </c>
    </row>
    <row r="505" spans="1:10" ht="14.25" customHeight="1" x14ac:dyDescent="0.25">
      <c r="A505">
        <v>619790200</v>
      </c>
      <c r="B505" t="s">
        <v>1030</v>
      </c>
      <c r="C505" t="s">
        <v>4181</v>
      </c>
      <c r="D505">
        <v>1</v>
      </c>
      <c r="E505" t="s">
        <v>4445</v>
      </c>
      <c r="F505" t="s">
        <v>1520</v>
      </c>
      <c r="G505" t="s">
        <v>5571</v>
      </c>
      <c r="H505" t="s">
        <v>4957</v>
      </c>
      <c r="I505" s="79" t="str">
        <f>IF(Tabla13[[#This Row],[RUT]]=774097899,"DIST",_xlfn.XLOOKUP(Tabla13[[#This Row],[VENDEDOR]],dimensiones!$C$21:$C$28,dimensiones!$D$21:$D$28,""))</f>
        <v>ATEL</v>
      </c>
      <c r="J505" s="125" t="str">
        <f>_xlfn.XLOOKUP(Tabla13[[#This Row],[REGION]],dimensiones!C:C,dimensiones!D:D,"")</f>
        <v>Región de Tarapacá</v>
      </c>
    </row>
    <row r="506" spans="1:10" ht="14.25" customHeight="1" x14ac:dyDescent="0.25">
      <c r="A506">
        <v>619792106</v>
      </c>
      <c r="B506" t="s">
        <v>894</v>
      </c>
      <c r="C506" t="s">
        <v>4230</v>
      </c>
      <c r="D506">
        <v>10</v>
      </c>
      <c r="E506" t="s">
        <v>4445</v>
      </c>
      <c r="F506" t="s">
        <v>1522</v>
      </c>
      <c r="G506" t="s">
        <v>5571</v>
      </c>
      <c r="H506" t="s">
        <v>4957</v>
      </c>
      <c r="I506" s="79" t="str">
        <f>IF(Tabla13[[#This Row],[RUT]]=774097899,"DIST",_xlfn.XLOOKUP(Tabla13[[#This Row],[VENDEDOR]],dimensiones!$C$21:$C$28,dimensiones!$D$21:$D$28,""))</f>
        <v>ATEL</v>
      </c>
      <c r="J506" s="125" t="str">
        <f>_xlfn.XLOOKUP(Tabla13[[#This Row],[REGION]],dimensiones!C:C,dimensiones!D:D,"")</f>
        <v>Región de Los Lagos</v>
      </c>
    </row>
    <row r="507" spans="1:10" ht="14.25" customHeight="1" x14ac:dyDescent="0.25">
      <c r="A507" t="s">
        <v>663</v>
      </c>
      <c r="B507" t="s">
        <v>876</v>
      </c>
      <c r="C507" t="s">
        <v>4402</v>
      </c>
      <c r="D507">
        <v>13</v>
      </c>
      <c r="E507" t="s">
        <v>4445</v>
      </c>
      <c r="F507" t="s">
        <v>2184</v>
      </c>
      <c r="G507" t="s">
        <v>5572</v>
      </c>
      <c r="H507" t="s">
        <v>4957</v>
      </c>
      <c r="I507" s="79" t="str">
        <f>IF(Tabla13[[#This Row],[RUT]]=774097899,"DIST",_xlfn.XLOOKUP(Tabla13[[#This Row],[VENDEDOR]],dimensiones!$C$21:$C$28,dimensiones!$D$21:$D$28,""))</f>
        <v>ATEL</v>
      </c>
      <c r="J507" s="125" t="str">
        <f>_xlfn.XLOOKUP(Tabla13[[#This Row],[REGION]],dimensiones!C:C,dimensiones!D:D,"")</f>
        <v>Región de Metropolitana de Santiago</v>
      </c>
    </row>
    <row r="508" spans="1:10" ht="14.25" customHeight="1" x14ac:dyDescent="0.25">
      <c r="A508">
        <v>619794508</v>
      </c>
      <c r="B508" t="s">
        <v>267</v>
      </c>
      <c r="C508" t="s">
        <v>4391</v>
      </c>
      <c r="D508">
        <v>13</v>
      </c>
      <c r="E508" t="s">
        <v>4445</v>
      </c>
      <c r="F508" t="s">
        <v>2164</v>
      </c>
      <c r="G508" t="s">
        <v>5572</v>
      </c>
      <c r="H508" t="s">
        <v>4957</v>
      </c>
      <c r="I508" s="79" t="str">
        <f>IF(Tabla13[[#This Row],[RUT]]=774097899,"DIST",_xlfn.XLOOKUP(Tabla13[[#This Row],[VENDEDOR]],dimensiones!$C$21:$C$28,dimensiones!$D$21:$D$28,""))</f>
        <v>ATEL</v>
      </c>
      <c r="J508" s="125" t="str">
        <f>_xlfn.XLOOKUP(Tabla13[[#This Row],[REGION]],dimensiones!C:C,dimensiones!D:D,"")</f>
        <v>Región de Metropolitana de Santiago</v>
      </c>
    </row>
    <row r="509" spans="1:10" ht="14.25" customHeight="1" x14ac:dyDescent="0.25">
      <c r="A509">
        <v>619799100</v>
      </c>
      <c r="B509" t="s">
        <v>35</v>
      </c>
      <c r="C509" t="s">
        <v>4459</v>
      </c>
      <c r="D509">
        <v>5</v>
      </c>
      <c r="E509" t="s">
        <v>4445</v>
      </c>
      <c r="F509" t="s">
        <v>1529</v>
      </c>
      <c r="G509" t="s">
        <v>5571</v>
      </c>
      <c r="H509" t="s">
        <v>4957</v>
      </c>
      <c r="I509" s="79" t="str">
        <f>IF(Tabla13[[#This Row],[RUT]]=774097899,"DIST",_xlfn.XLOOKUP(Tabla13[[#This Row],[VENDEDOR]],dimensiones!$C$21:$C$28,dimensiones!$D$21:$D$28,""))</f>
        <v>ATEL</v>
      </c>
      <c r="J509" s="125" t="str">
        <f>_xlfn.XLOOKUP(Tabla13[[#This Row],[REGION]],dimensiones!C:C,dimensiones!D:D,"")</f>
        <v>Región de Valparaíso</v>
      </c>
    </row>
    <row r="510" spans="1:10" ht="14.25" customHeight="1" x14ac:dyDescent="0.25">
      <c r="A510">
        <v>619800702</v>
      </c>
      <c r="B510" t="s">
        <v>268</v>
      </c>
      <c r="C510" t="s">
        <v>4294</v>
      </c>
      <c r="D510">
        <v>10</v>
      </c>
      <c r="E510" t="s">
        <v>4445</v>
      </c>
      <c r="F510" t="s">
        <v>1531</v>
      </c>
      <c r="G510" t="s">
        <v>5572</v>
      </c>
      <c r="H510" t="s">
        <v>4957</v>
      </c>
      <c r="I510" s="79" t="str">
        <f>IF(Tabla13[[#This Row],[RUT]]=774097899,"DIST",_xlfn.XLOOKUP(Tabla13[[#This Row],[VENDEDOR]],dimensiones!$C$21:$C$28,dimensiones!$D$21:$D$28,""))</f>
        <v>ATEL</v>
      </c>
      <c r="J510" s="125" t="str">
        <f>_xlfn.XLOOKUP(Tabla13[[#This Row],[REGION]],dimensiones!C:C,dimensiones!D:D,"")</f>
        <v>Región de Los Lagos</v>
      </c>
    </row>
    <row r="511" spans="1:10" ht="14.25" customHeight="1" x14ac:dyDescent="0.25">
      <c r="A511" t="s">
        <v>664</v>
      </c>
      <c r="B511" t="s">
        <v>665</v>
      </c>
      <c r="C511" t="s">
        <v>4295</v>
      </c>
      <c r="D511">
        <v>10</v>
      </c>
      <c r="E511" t="s">
        <v>4445</v>
      </c>
      <c r="F511" t="s">
        <v>1533</v>
      </c>
      <c r="G511" t="s">
        <v>5572</v>
      </c>
      <c r="H511" t="s">
        <v>4957</v>
      </c>
      <c r="I511" s="79" t="str">
        <f>IF(Tabla13[[#This Row],[RUT]]=774097899,"DIST",_xlfn.XLOOKUP(Tabla13[[#This Row],[VENDEDOR]],dimensiones!$C$21:$C$28,dimensiones!$D$21:$D$28,""))</f>
        <v>ATEL</v>
      </c>
      <c r="J511" s="125" t="str">
        <f>_xlfn.XLOOKUP(Tabla13[[#This Row],[REGION]],dimensiones!C:C,dimensiones!D:D,"")</f>
        <v>Región de Los Lagos</v>
      </c>
    </row>
    <row r="512" spans="1:10" ht="14.25" customHeight="1" x14ac:dyDescent="0.25">
      <c r="A512">
        <v>619803205</v>
      </c>
      <c r="B512" t="s">
        <v>69</v>
      </c>
      <c r="C512" t="s">
        <v>4510</v>
      </c>
      <c r="D512">
        <v>13</v>
      </c>
      <c r="E512" t="s">
        <v>4457</v>
      </c>
      <c r="F512" t="s">
        <v>2288</v>
      </c>
      <c r="G512" t="s">
        <v>5572</v>
      </c>
      <c r="H512" t="s">
        <v>4957</v>
      </c>
      <c r="I512" s="79" t="str">
        <f>IF(Tabla13[[#This Row],[RUT]]=774097899,"DIST",_xlfn.XLOOKUP(Tabla13[[#This Row],[VENDEDOR]],dimensiones!$C$21:$C$28,dimensiones!$D$21:$D$28,""))</f>
        <v>SANT1</v>
      </c>
      <c r="J512" s="125" t="str">
        <f>_xlfn.XLOOKUP(Tabla13[[#This Row],[REGION]],dimensiones!C:C,dimensiones!D:D,"")</f>
        <v>Región de Metropolitana de Santiago</v>
      </c>
    </row>
    <row r="513" spans="1:10" ht="14.25" customHeight="1" x14ac:dyDescent="0.25">
      <c r="A513">
        <v>619803701</v>
      </c>
      <c r="B513" t="s">
        <v>269</v>
      </c>
      <c r="C513" t="s">
        <v>4211</v>
      </c>
      <c r="D513">
        <v>8</v>
      </c>
      <c r="E513" t="s">
        <v>4445</v>
      </c>
      <c r="F513" t="s">
        <v>1538</v>
      </c>
      <c r="G513" t="s">
        <v>5571</v>
      </c>
      <c r="H513" t="s">
        <v>4957</v>
      </c>
      <c r="I513" s="79" t="str">
        <f>IF(Tabla13[[#This Row],[RUT]]=774097899,"DIST",_xlfn.XLOOKUP(Tabla13[[#This Row],[VENDEDOR]],dimensiones!$C$21:$C$28,dimensiones!$D$21:$D$28,""))</f>
        <v>ATEL</v>
      </c>
      <c r="J513" s="125" t="str">
        <f>_xlfn.XLOOKUP(Tabla13[[#This Row],[REGION]],dimensiones!C:C,dimensiones!D:D,"")</f>
        <v>Región de Biobío</v>
      </c>
    </row>
    <row r="514" spans="1:10" ht="14.25" customHeight="1" x14ac:dyDescent="0.25">
      <c r="A514">
        <v>619804201</v>
      </c>
      <c r="B514" t="s">
        <v>270</v>
      </c>
      <c r="C514" t="s">
        <v>4175</v>
      </c>
      <c r="D514">
        <v>5</v>
      </c>
      <c r="E514" t="s">
        <v>4445</v>
      </c>
      <c r="F514" t="s">
        <v>3448</v>
      </c>
      <c r="G514" t="s">
        <v>5571</v>
      </c>
      <c r="H514" t="s">
        <v>4957</v>
      </c>
      <c r="I514" s="79" t="str">
        <f>IF(Tabla13[[#This Row],[RUT]]=774097899,"DIST",_xlfn.XLOOKUP(Tabla13[[#This Row],[VENDEDOR]],dimensiones!$C$21:$C$28,dimensiones!$D$21:$D$28,""))</f>
        <v>ATEL</v>
      </c>
      <c r="J514" s="125" t="str">
        <f>_xlfn.XLOOKUP(Tabla13[[#This Row],[REGION]],dimensiones!C:C,dimensiones!D:D,"")</f>
        <v>Región de Valparaíso</v>
      </c>
    </row>
    <row r="515" spans="1:10" ht="14.25" customHeight="1" x14ac:dyDescent="0.25">
      <c r="A515">
        <v>619805208</v>
      </c>
      <c r="B515" t="s">
        <v>5600</v>
      </c>
      <c r="C515" t="s">
        <v>4232</v>
      </c>
      <c r="D515">
        <v>11</v>
      </c>
      <c r="E515" t="s">
        <v>4445</v>
      </c>
      <c r="F515" t="s">
        <v>5601</v>
      </c>
      <c r="G515" t="s">
        <v>5573</v>
      </c>
      <c r="H515" t="s">
        <v>4915</v>
      </c>
      <c r="I515" s="79" t="str">
        <f>IF(Tabla13[[#This Row],[RUT]]=774097899,"DIST",_xlfn.XLOOKUP(Tabla13[[#This Row],[VENDEDOR]],dimensiones!$C$21:$C$28,dimensiones!$D$21:$D$28,""))</f>
        <v>ATEL</v>
      </c>
      <c r="J515" s="125" t="str">
        <f>_xlfn.XLOOKUP(Tabla13[[#This Row],[REGION]],dimensiones!C:C,dimensiones!D:D,"")</f>
        <v>Región de Aysén del General Carlos Ibáñez del Campo</v>
      </c>
    </row>
    <row r="516" spans="1:10" ht="14.25" customHeight="1" x14ac:dyDescent="0.25">
      <c r="A516">
        <v>619805305</v>
      </c>
      <c r="B516" t="s">
        <v>998</v>
      </c>
      <c r="C516" t="s">
        <v>4178</v>
      </c>
      <c r="D516">
        <v>6</v>
      </c>
      <c r="E516" t="s">
        <v>4445</v>
      </c>
      <c r="F516" t="s">
        <v>1542</v>
      </c>
      <c r="G516" t="s">
        <v>5573</v>
      </c>
      <c r="H516" t="s">
        <v>4957</v>
      </c>
      <c r="I516" s="79" t="str">
        <f>IF(Tabla13[[#This Row],[RUT]]=774097899,"DIST",_xlfn.XLOOKUP(Tabla13[[#This Row],[VENDEDOR]],dimensiones!$C$21:$C$28,dimensiones!$D$21:$D$28,""))</f>
        <v>ATEL</v>
      </c>
      <c r="J516" s="125" t="str">
        <f>_xlfn.XLOOKUP(Tabla13[[#This Row],[REGION]],dimensiones!C:C,dimensiones!D:D,"")</f>
        <v>Región de Libertador General Bernardo O'Higgins</v>
      </c>
    </row>
    <row r="517" spans="1:10" ht="14.25" customHeight="1" x14ac:dyDescent="0.25">
      <c r="A517">
        <v>619806204</v>
      </c>
      <c r="B517" t="s">
        <v>70</v>
      </c>
      <c r="C517" t="s">
        <v>4381</v>
      </c>
      <c r="D517">
        <v>13</v>
      </c>
      <c r="E517" t="s">
        <v>4457</v>
      </c>
      <c r="F517" t="s">
        <v>4160</v>
      </c>
      <c r="G517" t="s">
        <v>5572</v>
      </c>
      <c r="H517" t="s">
        <v>4957</v>
      </c>
      <c r="I517" s="79" t="str">
        <f>IF(Tabla13[[#This Row],[RUT]]=774097899,"DIST",_xlfn.XLOOKUP(Tabla13[[#This Row],[VENDEDOR]],dimensiones!$C$21:$C$28,dimensiones!$D$21:$D$28,""))</f>
        <v>SANT1</v>
      </c>
      <c r="J517" s="125" t="str">
        <f>_xlfn.XLOOKUP(Tabla13[[#This Row],[REGION]],dimensiones!C:C,dimensiones!D:D,"")</f>
        <v>Región de Metropolitana de Santiago</v>
      </c>
    </row>
    <row r="518" spans="1:10" ht="14.25" customHeight="1" x14ac:dyDescent="0.25">
      <c r="A518">
        <v>619806700</v>
      </c>
      <c r="B518" t="s">
        <v>271</v>
      </c>
      <c r="C518" t="s">
        <v>4296</v>
      </c>
      <c r="D518">
        <v>14</v>
      </c>
      <c r="E518" t="s">
        <v>4445</v>
      </c>
      <c r="F518" t="s">
        <v>1546</v>
      </c>
      <c r="G518" t="s">
        <v>5572</v>
      </c>
      <c r="H518" t="s">
        <v>4957</v>
      </c>
      <c r="I518" s="79" t="str">
        <f>IF(Tabla13[[#This Row],[RUT]]=774097899,"DIST",_xlfn.XLOOKUP(Tabla13[[#This Row],[VENDEDOR]],dimensiones!$C$21:$C$28,dimensiones!$D$21:$D$28,""))</f>
        <v>ATEL</v>
      </c>
      <c r="J518" s="125" t="str">
        <f>_xlfn.XLOOKUP(Tabla13[[#This Row],[REGION]],dimensiones!C:C,dimensiones!D:D,"")</f>
        <v>Región de Los Ríos</v>
      </c>
    </row>
    <row r="519" spans="1:10" ht="14.25" customHeight="1" x14ac:dyDescent="0.25">
      <c r="A519">
        <v>619807200</v>
      </c>
      <c r="B519" t="s">
        <v>272</v>
      </c>
      <c r="C519" t="s">
        <v>4297</v>
      </c>
      <c r="D519">
        <v>12</v>
      </c>
      <c r="E519" t="s">
        <v>4445</v>
      </c>
      <c r="F519" t="s">
        <v>4118</v>
      </c>
      <c r="G519" t="s">
        <v>5572</v>
      </c>
      <c r="H519" t="s">
        <v>4957</v>
      </c>
      <c r="I519" s="79" t="str">
        <f>IF(Tabla13[[#This Row],[RUT]]=774097899,"DIST",_xlfn.XLOOKUP(Tabla13[[#This Row],[VENDEDOR]],dimensiones!$C$21:$C$28,dimensiones!$D$21:$D$28,""))</f>
        <v>ATEL</v>
      </c>
      <c r="J519" s="125" t="str">
        <f>_xlfn.XLOOKUP(Tabla13[[#This Row],[REGION]],dimensiones!C:C,dimensiones!D:D,"")</f>
        <v>Región de Magallanes y de la Antártica Chilena</v>
      </c>
    </row>
    <row r="520" spans="1:10" ht="14.25" customHeight="1" x14ac:dyDescent="0.25">
      <c r="A520">
        <v>619807405</v>
      </c>
      <c r="B520" t="s">
        <v>273</v>
      </c>
      <c r="C520" t="s">
        <v>4830</v>
      </c>
      <c r="D520">
        <v>10</v>
      </c>
      <c r="E520" t="s">
        <v>4445</v>
      </c>
      <c r="F520" t="s">
        <v>1254</v>
      </c>
      <c r="G520" t="s">
        <v>5571</v>
      </c>
      <c r="H520" t="s">
        <v>4957</v>
      </c>
      <c r="I520" s="79" t="str">
        <f>IF(Tabla13[[#This Row],[RUT]]=774097899,"DIST",_xlfn.XLOOKUP(Tabla13[[#This Row],[VENDEDOR]],dimensiones!$C$21:$C$28,dimensiones!$D$21:$D$28,""))</f>
        <v>ATEL</v>
      </c>
      <c r="J520" s="125" t="str">
        <f>_xlfn.XLOOKUP(Tabla13[[#This Row],[REGION]],dimensiones!C:C,dimensiones!D:D,"")</f>
        <v>Región de Los Lagos</v>
      </c>
    </row>
    <row r="521" spans="1:10" ht="14.25" customHeight="1" x14ac:dyDescent="0.25">
      <c r="A521">
        <v>619990307</v>
      </c>
      <c r="B521" t="s">
        <v>1554</v>
      </c>
      <c r="C521" t="s">
        <v>4168</v>
      </c>
      <c r="D521">
        <v>13</v>
      </c>
      <c r="E521" t="s">
        <v>4445</v>
      </c>
      <c r="F521" t="s">
        <v>1553</v>
      </c>
      <c r="G521" t="s">
        <v>5572</v>
      </c>
      <c r="H521" t="s">
        <v>4957</v>
      </c>
      <c r="I521" s="79" t="str">
        <f>IF(Tabla13[[#This Row],[RUT]]=774097899,"DIST",_xlfn.XLOOKUP(Tabla13[[#This Row],[VENDEDOR]],dimensiones!$C$21:$C$28,dimensiones!$D$21:$D$28,""))</f>
        <v>ATEL</v>
      </c>
      <c r="J521" s="125" t="str">
        <f>_xlfn.XLOOKUP(Tabla13[[#This Row],[REGION]],dimensiones!C:C,dimensiones!D:D,"")</f>
        <v>Región de Metropolitana de Santiago</v>
      </c>
    </row>
    <row r="522" spans="1:10" ht="14.25" customHeight="1" x14ac:dyDescent="0.25">
      <c r="A522">
        <v>619991907</v>
      </c>
      <c r="B522" t="s">
        <v>274</v>
      </c>
      <c r="C522" t="s">
        <v>4460</v>
      </c>
      <c r="D522">
        <v>8</v>
      </c>
      <c r="E522" t="s">
        <v>4445</v>
      </c>
      <c r="F522" t="s">
        <v>2078</v>
      </c>
      <c r="G522" t="s">
        <v>5571</v>
      </c>
      <c r="H522" t="s">
        <v>4957</v>
      </c>
      <c r="I522" s="79" t="str">
        <f>IF(Tabla13[[#This Row],[RUT]]=774097899,"DIST",_xlfn.XLOOKUP(Tabla13[[#This Row],[VENDEDOR]],dimensiones!$C$21:$C$28,dimensiones!$D$21:$D$28,""))</f>
        <v>ATEL</v>
      </c>
      <c r="J522" s="125" t="str">
        <f>_xlfn.XLOOKUP(Tabla13[[#This Row],[REGION]],dimensiones!C:C,dimensiones!D:D,"")</f>
        <v>Región de Biobío</v>
      </c>
    </row>
    <row r="523" spans="1:10" ht="14.25" customHeight="1" x14ac:dyDescent="0.25">
      <c r="A523">
        <v>619992601</v>
      </c>
      <c r="B523" t="s">
        <v>1560</v>
      </c>
      <c r="C523" t="s">
        <v>4497</v>
      </c>
      <c r="D523">
        <v>8</v>
      </c>
      <c r="E523" t="s">
        <v>4445</v>
      </c>
      <c r="F523" t="s">
        <v>1559</v>
      </c>
      <c r="G523" t="s">
        <v>5572</v>
      </c>
      <c r="H523" t="s">
        <v>4957</v>
      </c>
      <c r="I523" s="79" t="str">
        <f>IF(Tabla13[[#This Row],[RUT]]=774097899,"DIST",_xlfn.XLOOKUP(Tabla13[[#This Row],[VENDEDOR]],dimensiones!$C$21:$C$28,dimensiones!$D$21:$D$28,""))</f>
        <v>ATEL</v>
      </c>
      <c r="J523" s="125" t="str">
        <f>_xlfn.XLOOKUP(Tabla13[[#This Row],[REGION]],dimensiones!C:C,dimensiones!D:D,"")</f>
        <v>Región de Biobío</v>
      </c>
    </row>
    <row r="524" spans="1:10" ht="14.25" customHeight="1" x14ac:dyDescent="0.25">
      <c r="A524">
        <v>620003808</v>
      </c>
      <c r="B524" t="s">
        <v>1425</v>
      </c>
      <c r="C524" t="s">
        <v>4182</v>
      </c>
      <c r="D524">
        <v>2</v>
      </c>
      <c r="E524" t="s">
        <v>4445</v>
      </c>
      <c r="F524" t="s">
        <v>1424</v>
      </c>
      <c r="G524" t="s">
        <v>5572</v>
      </c>
      <c r="H524" t="s">
        <v>4957</v>
      </c>
      <c r="I524" s="79" t="str">
        <f>IF(Tabla13[[#This Row],[RUT]]=774097899,"DIST",_xlfn.XLOOKUP(Tabla13[[#This Row],[VENDEDOR]],dimensiones!$C$21:$C$28,dimensiones!$D$21:$D$28,""))</f>
        <v>ATEL</v>
      </c>
      <c r="J524" s="125" t="str">
        <f>_xlfn.XLOOKUP(Tabla13[[#This Row],[REGION]],dimensiones!C:C,dimensiones!D:D,"")</f>
        <v>Región de Antofagasta</v>
      </c>
    </row>
    <row r="525" spans="1:10" ht="14.25" customHeight="1" x14ac:dyDescent="0.25">
      <c r="A525">
        <v>620005304</v>
      </c>
      <c r="B525" t="s">
        <v>277</v>
      </c>
      <c r="C525" t="s">
        <v>4186</v>
      </c>
      <c r="D525">
        <v>1</v>
      </c>
      <c r="E525" t="s">
        <v>4453</v>
      </c>
      <c r="F525" t="s">
        <v>1738</v>
      </c>
      <c r="G525" t="s">
        <v>5572</v>
      </c>
      <c r="H525" t="s">
        <v>4957</v>
      </c>
      <c r="I525" s="79" t="str">
        <f>IF(Tabla13[[#This Row],[RUT]]=774097899,"DIST",_xlfn.XLOOKUP(Tabla13[[#This Row],[VENDEDOR]],dimensiones!$C$21:$C$28,dimensiones!$D$21:$D$28,""))</f>
        <v>SANT2</v>
      </c>
      <c r="J525" s="125" t="str">
        <f>_xlfn.XLOOKUP(Tabla13[[#This Row],[REGION]],dimensiones!C:C,dimensiones!D:D,"")</f>
        <v>Región de Tarapacá</v>
      </c>
    </row>
    <row r="526" spans="1:10" ht="14.25" customHeight="1" x14ac:dyDescent="0.25">
      <c r="A526">
        <v>620005703</v>
      </c>
      <c r="B526" t="s">
        <v>1033</v>
      </c>
      <c r="C526" t="s">
        <v>4495</v>
      </c>
      <c r="D526">
        <v>16</v>
      </c>
      <c r="E526" t="s">
        <v>4445</v>
      </c>
      <c r="F526" t="s">
        <v>3284</v>
      </c>
      <c r="G526" t="s">
        <v>5571</v>
      </c>
      <c r="H526" t="s">
        <v>4957</v>
      </c>
      <c r="I526" s="79" t="str">
        <f>IF(Tabla13[[#This Row],[RUT]]=774097899,"DIST",_xlfn.XLOOKUP(Tabla13[[#This Row],[VENDEDOR]],dimensiones!$C$21:$C$28,dimensiones!$D$21:$D$28,""))</f>
        <v>ATEL</v>
      </c>
      <c r="J526" s="125" t="str">
        <f>_xlfn.XLOOKUP(Tabla13[[#This Row],[REGION]],dimensiones!C:C,dimensiones!D:D,"")</f>
        <v>Región de Ñuble</v>
      </c>
    </row>
    <row r="527" spans="1:10" ht="14.25" customHeight="1" x14ac:dyDescent="0.25">
      <c r="A527">
        <v>620006203</v>
      </c>
      <c r="B527" t="s">
        <v>895</v>
      </c>
      <c r="C527" t="s">
        <v>4469</v>
      </c>
      <c r="D527">
        <v>5</v>
      </c>
      <c r="E527" t="s">
        <v>4445</v>
      </c>
      <c r="F527" t="s">
        <v>1644</v>
      </c>
      <c r="G527" t="s">
        <v>5571</v>
      </c>
      <c r="H527" t="s">
        <v>4957</v>
      </c>
      <c r="I527" s="79" t="str">
        <f>IF(Tabla13[[#This Row],[RUT]]=774097899,"DIST",_xlfn.XLOOKUP(Tabla13[[#This Row],[VENDEDOR]],dimensiones!$C$21:$C$28,dimensiones!$D$21:$D$28,""))</f>
        <v>ATEL</v>
      </c>
      <c r="J527" s="125" t="str">
        <f>_xlfn.XLOOKUP(Tabla13[[#This Row],[REGION]],dimensiones!C:C,dimensiones!D:D,"")</f>
        <v>Región de Valparaíso</v>
      </c>
    </row>
    <row r="528" spans="1:10" ht="14.25" customHeight="1" x14ac:dyDescent="0.25">
      <c r="A528">
        <v>620007609</v>
      </c>
      <c r="B528" t="s">
        <v>4512</v>
      </c>
      <c r="C528" t="s">
        <v>4283</v>
      </c>
      <c r="D528">
        <v>12</v>
      </c>
      <c r="E528" t="s">
        <v>4445</v>
      </c>
      <c r="F528" t="s">
        <v>4511</v>
      </c>
      <c r="G528" t="s">
        <v>5571</v>
      </c>
      <c r="H528" t="s">
        <v>4957</v>
      </c>
      <c r="I528" s="79" t="str">
        <f>IF(Tabla13[[#This Row],[RUT]]=774097899,"DIST",_xlfn.XLOOKUP(Tabla13[[#This Row],[VENDEDOR]],dimensiones!$C$21:$C$28,dimensiones!$D$21:$D$28,""))</f>
        <v>ATEL</v>
      </c>
      <c r="J528" s="125" t="str">
        <f>_xlfn.XLOOKUP(Tabla13[[#This Row],[REGION]],dimensiones!C:C,dimensiones!D:D,"")</f>
        <v>Región de Magallanes y de la Antártica Chilena</v>
      </c>
    </row>
    <row r="529" spans="1:10" ht="14.25" customHeight="1" x14ac:dyDescent="0.25">
      <c r="A529">
        <v>620008303</v>
      </c>
      <c r="B529" t="s">
        <v>71</v>
      </c>
      <c r="C529" t="s">
        <v>4291</v>
      </c>
      <c r="D529">
        <v>9</v>
      </c>
      <c r="E529" t="s">
        <v>4454</v>
      </c>
      <c r="F529" t="s">
        <v>3546</v>
      </c>
      <c r="G529" t="s">
        <v>5572</v>
      </c>
      <c r="H529" t="s">
        <v>4957</v>
      </c>
      <c r="I529" s="79" t="str">
        <f>IF(Tabla13[[#This Row],[RUT]]=774097899,"DIST",_xlfn.XLOOKUP(Tabla13[[#This Row],[VENDEDOR]],dimensiones!$C$21:$C$28,dimensiones!$D$21:$D$28,""))</f>
        <v>SUR2</v>
      </c>
      <c r="J529" s="125" t="str">
        <f>_xlfn.XLOOKUP(Tabla13[[#This Row],[REGION]],dimensiones!C:C,dimensiones!D:D,"")</f>
        <v>Región de La Araucanía</v>
      </c>
    </row>
    <row r="530" spans="1:10" ht="14.25" customHeight="1" x14ac:dyDescent="0.25">
      <c r="A530">
        <v>620009407</v>
      </c>
      <c r="B530" t="s">
        <v>278</v>
      </c>
      <c r="C530" t="s">
        <v>4485</v>
      </c>
      <c r="D530">
        <v>11</v>
      </c>
      <c r="E530" t="s">
        <v>4445</v>
      </c>
      <c r="F530" t="s">
        <v>1861</v>
      </c>
      <c r="G530" t="s">
        <v>5571</v>
      </c>
      <c r="H530" t="s">
        <v>4957</v>
      </c>
      <c r="I530" s="79" t="str">
        <f>IF(Tabla13[[#This Row],[RUT]]=774097899,"DIST",_xlfn.XLOOKUP(Tabla13[[#This Row],[VENDEDOR]],dimensiones!$C$21:$C$28,dimensiones!$D$21:$D$28,""))</f>
        <v>ATEL</v>
      </c>
      <c r="J530" s="125" t="str">
        <f>_xlfn.XLOOKUP(Tabla13[[#This Row],[REGION]],dimensiones!C:C,dimensiones!D:D,"")</f>
        <v>Región de Aysén del General Carlos Ibáñez del Campo</v>
      </c>
    </row>
    <row r="531" spans="1:10" ht="14.25" customHeight="1" x14ac:dyDescent="0.25">
      <c r="A531" t="s">
        <v>666</v>
      </c>
      <c r="B531" t="s">
        <v>667</v>
      </c>
      <c r="C531" t="s">
        <v>4391</v>
      </c>
      <c r="D531">
        <v>13</v>
      </c>
      <c r="E531" t="s">
        <v>4445</v>
      </c>
      <c r="F531" t="s">
        <v>4135</v>
      </c>
      <c r="G531" t="s">
        <v>5571</v>
      </c>
      <c r="H531" t="s">
        <v>4957</v>
      </c>
      <c r="I531" s="79" t="str">
        <f>IF(Tabla13[[#This Row],[RUT]]=774097899,"DIST",_xlfn.XLOOKUP(Tabla13[[#This Row],[VENDEDOR]],dimensiones!$C$21:$C$28,dimensiones!$D$21:$D$28,""))</f>
        <v>ATEL</v>
      </c>
      <c r="J531" s="125" t="str">
        <f>_xlfn.XLOOKUP(Tabla13[[#This Row],[REGION]],dimensiones!C:C,dimensiones!D:D,"")</f>
        <v>Región de Metropolitana de Santiago</v>
      </c>
    </row>
    <row r="532" spans="1:10" ht="14.25" customHeight="1" x14ac:dyDescent="0.25">
      <c r="A532" t="s">
        <v>668</v>
      </c>
      <c r="B532" t="s">
        <v>669</v>
      </c>
      <c r="C532" t="s">
        <v>4510</v>
      </c>
      <c r="D532">
        <v>13</v>
      </c>
      <c r="E532" t="s">
        <v>4445</v>
      </c>
      <c r="F532" t="s">
        <v>1579</v>
      </c>
      <c r="G532" t="s">
        <v>5572</v>
      </c>
      <c r="H532" t="s">
        <v>4957</v>
      </c>
      <c r="I532" s="79" t="str">
        <f>IF(Tabla13[[#This Row],[RUT]]=774097899,"DIST",_xlfn.XLOOKUP(Tabla13[[#This Row],[VENDEDOR]],dimensiones!$C$21:$C$28,dimensiones!$D$21:$D$28,""))</f>
        <v>ATEL</v>
      </c>
      <c r="J532" s="125" t="str">
        <f>_xlfn.XLOOKUP(Tabla13[[#This Row],[REGION]],dimensiones!C:C,dimensiones!D:D,"")</f>
        <v>Región de Metropolitana de Santiago</v>
      </c>
    </row>
    <row r="533" spans="1:10" ht="14.25" customHeight="1" x14ac:dyDescent="0.25">
      <c r="A533">
        <v>650628438</v>
      </c>
      <c r="B533" t="s">
        <v>896</v>
      </c>
      <c r="C533" t="s">
        <v>4292</v>
      </c>
      <c r="D533">
        <v>10</v>
      </c>
      <c r="E533" t="s">
        <v>4445</v>
      </c>
      <c r="F533" t="s">
        <v>2021</v>
      </c>
      <c r="G533" t="s">
        <v>5571</v>
      </c>
      <c r="H533" t="s">
        <v>4957</v>
      </c>
      <c r="I533" s="79" t="str">
        <f>IF(Tabla13[[#This Row],[RUT]]=774097899,"DIST",_xlfn.XLOOKUP(Tabla13[[#This Row],[VENDEDOR]],dimensiones!$C$21:$C$28,dimensiones!$D$21:$D$28,""))</f>
        <v>ATEL</v>
      </c>
      <c r="J533" s="125" t="str">
        <f>_xlfn.XLOOKUP(Tabla13[[#This Row],[REGION]],dimensiones!C:C,dimensiones!D:D,"")</f>
        <v>Región de Los Lagos</v>
      </c>
    </row>
    <row r="534" spans="1:10" ht="14.25" customHeight="1" x14ac:dyDescent="0.25">
      <c r="A534">
        <v>650754859</v>
      </c>
      <c r="B534" t="s">
        <v>72</v>
      </c>
      <c r="C534" t="s">
        <v>4394</v>
      </c>
      <c r="D534">
        <v>13</v>
      </c>
      <c r="E534" t="s">
        <v>4453</v>
      </c>
      <c r="F534" t="s">
        <v>3651</v>
      </c>
      <c r="G534" t="s">
        <v>5572</v>
      </c>
      <c r="H534" t="s">
        <v>4957</v>
      </c>
      <c r="I534" s="79" t="str">
        <f>IF(Tabla13[[#This Row],[RUT]]=774097899,"DIST",_xlfn.XLOOKUP(Tabla13[[#This Row],[VENDEDOR]],dimensiones!$C$21:$C$28,dimensiones!$D$21:$D$28,""))</f>
        <v>SANT2</v>
      </c>
      <c r="J534" s="125" t="str">
        <f>_xlfn.XLOOKUP(Tabla13[[#This Row],[REGION]],dimensiones!C:C,dimensiones!D:D,"")</f>
        <v>Región de Metropolitana de Santiago</v>
      </c>
    </row>
    <row r="535" spans="1:10" ht="14.25" customHeight="1" x14ac:dyDescent="0.25">
      <c r="A535">
        <v>650842200</v>
      </c>
      <c r="B535" t="s">
        <v>5453</v>
      </c>
      <c r="C535" t="s">
        <v>4470</v>
      </c>
      <c r="D535">
        <v>13</v>
      </c>
      <c r="E535" t="s">
        <v>4445</v>
      </c>
      <c r="F535" t="s">
        <v>5454</v>
      </c>
      <c r="G535" t="s">
        <v>5571</v>
      </c>
      <c r="H535" t="s">
        <v>4957</v>
      </c>
      <c r="I535" s="79" t="str">
        <f>IF(Tabla13[[#This Row],[RUT]]=774097899,"DIST",_xlfn.XLOOKUP(Tabla13[[#This Row],[VENDEDOR]],dimensiones!$C$21:$C$28,dimensiones!$D$21:$D$28,""))</f>
        <v>ATEL</v>
      </c>
      <c r="J535" s="125" t="str">
        <f>_xlfn.XLOOKUP(Tabla13[[#This Row],[REGION]],dimensiones!C:C,dimensiones!D:D,"")</f>
        <v>Región de Metropolitana de Santiago</v>
      </c>
    </row>
    <row r="536" spans="1:10" ht="14.25" customHeight="1" x14ac:dyDescent="0.25">
      <c r="A536">
        <v>651389259</v>
      </c>
      <c r="B536" t="s">
        <v>1582</v>
      </c>
      <c r="C536" t="s">
        <v>4287</v>
      </c>
      <c r="D536">
        <v>13</v>
      </c>
      <c r="E536" t="s">
        <v>4445</v>
      </c>
      <c r="F536" t="s">
        <v>1581</v>
      </c>
      <c r="G536" t="s">
        <v>5570</v>
      </c>
      <c r="H536" t="s">
        <v>4915</v>
      </c>
      <c r="I536" s="79" t="str">
        <f>IF(Tabla13[[#This Row],[RUT]]=774097899,"DIST",_xlfn.XLOOKUP(Tabla13[[#This Row],[VENDEDOR]],dimensiones!$C$21:$C$28,dimensiones!$D$21:$D$28,""))</f>
        <v>ATEL</v>
      </c>
      <c r="J536" s="125" t="str">
        <f>_xlfn.XLOOKUP(Tabla13[[#This Row],[REGION]],dimensiones!C:C,dimensiones!D:D,"")</f>
        <v>Región de Metropolitana de Santiago</v>
      </c>
    </row>
    <row r="537" spans="1:10" ht="14.25" customHeight="1" x14ac:dyDescent="0.25">
      <c r="A537">
        <v>651442796</v>
      </c>
      <c r="B537" t="s">
        <v>5509</v>
      </c>
      <c r="C537" t="s">
        <v>4170</v>
      </c>
      <c r="D537">
        <v>14</v>
      </c>
      <c r="E537" t="s">
        <v>4445</v>
      </c>
      <c r="F537" t="s">
        <v>5510</v>
      </c>
      <c r="G537" t="s">
        <v>5571</v>
      </c>
      <c r="H537" t="s">
        <v>4957</v>
      </c>
      <c r="I537" s="79" t="str">
        <f>IF(Tabla13[[#This Row],[RUT]]=774097899,"DIST",_xlfn.XLOOKUP(Tabla13[[#This Row],[VENDEDOR]],dimensiones!$C$21:$C$28,dimensiones!$D$21:$D$28,""))</f>
        <v>ATEL</v>
      </c>
      <c r="J537" s="125" t="str">
        <f>_xlfn.XLOOKUP(Tabla13[[#This Row],[REGION]],dimensiones!C:C,dimensiones!D:D,"")</f>
        <v>Región de Los Ríos</v>
      </c>
    </row>
    <row r="538" spans="1:10" ht="14.25" customHeight="1" x14ac:dyDescent="0.25">
      <c r="A538">
        <v>651911257</v>
      </c>
      <c r="B538" t="s">
        <v>4916</v>
      </c>
      <c r="C538" t="s">
        <v>4552</v>
      </c>
      <c r="D538">
        <v>13</v>
      </c>
      <c r="E538" t="s">
        <v>4445</v>
      </c>
      <c r="F538" t="s">
        <v>4926</v>
      </c>
      <c r="G538" t="s">
        <v>5568</v>
      </c>
      <c r="H538" t="s">
        <v>4915</v>
      </c>
      <c r="I538" s="79" t="str">
        <f>IF(Tabla13[[#This Row],[RUT]]=774097899,"DIST",_xlfn.XLOOKUP(Tabla13[[#This Row],[VENDEDOR]],dimensiones!$C$21:$C$28,dimensiones!$D$21:$D$28,""))</f>
        <v>ATEL</v>
      </c>
      <c r="J538" s="125" t="str">
        <f>_xlfn.XLOOKUP(Tabla13[[#This Row],[REGION]],dimensiones!C:C,dimensiones!D:D,"")</f>
        <v>Región de Metropolitana de Santiago</v>
      </c>
    </row>
    <row r="539" spans="1:10" ht="14.25" customHeight="1" x14ac:dyDescent="0.25">
      <c r="A539">
        <v>652243002</v>
      </c>
      <c r="B539" t="s">
        <v>1096</v>
      </c>
      <c r="C539" t="s">
        <v>4232</v>
      </c>
      <c r="D539">
        <v>11</v>
      </c>
      <c r="E539" t="s">
        <v>4445</v>
      </c>
      <c r="F539" t="s">
        <v>1294</v>
      </c>
      <c r="G539" t="s">
        <v>5572</v>
      </c>
      <c r="H539" t="s">
        <v>4957</v>
      </c>
      <c r="I539" s="79" t="str">
        <f>IF(Tabla13[[#This Row],[RUT]]=774097899,"DIST",_xlfn.XLOOKUP(Tabla13[[#This Row],[VENDEDOR]],dimensiones!$C$21:$C$28,dimensiones!$D$21:$D$28,""))</f>
        <v>ATEL</v>
      </c>
      <c r="J539" s="125" t="str">
        <f>_xlfn.XLOOKUP(Tabla13[[#This Row],[REGION]],dimensiones!C:C,dimensiones!D:D,"")</f>
        <v>Región de Aysén del General Carlos Ibáñez del Campo</v>
      </c>
    </row>
    <row r="540" spans="1:10" ht="14.25" customHeight="1" x14ac:dyDescent="0.25">
      <c r="A540">
        <v>652286941</v>
      </c>
      <c r="B540" t="s">
        <v>4432</v>
      </c>
      <c r="C540" t="s">
        <v>4414</v>
      </c>
      <c r="D540">
        <v>1</v>
      </c>
      <c r="E540" t="s">
        <v>4453</v>
      </c>
      <c r="F540" t="s">
        <v>4513</v>
      </c>
      <c r="G540" t="s">
        <v>5572</v>
      </c>
      <c r="H540" t="s">
        <v>4957</v>
      </c>
      <c r="I540" s="79" t="str">
        <f>IF(Tabla13[[#This Row],[RUT]]=774097899,"DIST",_xlfn.XLOOKUP(Tabla13[[#This Row],[VENDEDOR]],dimensiones!$C$21:$C$28,dimensiones!$D$21:$D$28,""))</f>
        <v>SANT2</v>
      </c>
      <c r="J540" s="125" t="str">
        <f>_xlfn.XLOOKUP(Tabla13[[#This Row],[REGION]],dimensiones!C:C,dimensiones!D:D,"")</f>
        <v>Región de Tarapacá</v>
      </c>
    </row>
    <row r="541" spans="1:10" ht="14.25" customHeight="1" x14ac:dyDescent="0.25">
      <c r="A541">
        <v>652569307</v>
      </c>
      <c r="B541" t="s">
        <v>5721</v>
      </c>
      <c r="C541" t="s">
        <v>4395</v>
      </c>
      <c r="D541">
        <v>13</v>
      </c>
      <c r="E541" t="s">
        <v>4445</v>
      </c>
      <c r="F541" t="s">
        <v>5722</v>
      </c>
      <c r="G541" t="s">
        <v>5571</v>
      </c>
      <c r="H541" t="s">
        <v>4957</v>
      </c>
      <c r="I541" s="79" t="str">
        <f>IF(Tabla13[[#This Row],[RUT]]=774097899,"DIST",_xlfn.XLOOKUP(Tabla13[[#This Row],[VENDEDOR]],dimensiones!$C$21:$C$28,dimensiones!$D$21:$D$28,""))</f>
        <v>ATEL</v>
      </c>
      <c r="J541" s="125" t="str">
        <f>_xlfn.XLOOKUP(Tabla13[[#This Row],[REGION]],dimensiones!C:C,dimensiones!D:D,"")</f>
        <v>Región de Metropolitana de Santiago</v>
      </c>
    </row>
    <row r="542" spans="1:10" ht="14.25" customHeight="1" x14ac:dyDescent="0.25">
      <c r="A542">
        <v>652730205</v>
      </c>
      <c r="B542" t="s">
        <v>996</v>
      </c>
      <c r="C542" t="s">
        <v>4170</v>
      </c>
      <c r="D542">
        <v>14</v>
      </c>
      <c r="E542" t="s">
        <v>4445</v>
      </c>
      <c r="F542" t="s">
        <v>1586</v>
      </c>
      <c r="G542" t="s">
        <v>5572</v>
      </c>
      <c r="H542" t="s">
        <v>4957</v>
      </c>
      <c r="I542" s="79" t="str">
        <f>IF(Tabla13[[#This Row],[RUT]]=774097899,"DIST",_xlfn.XLOOKUP(Tabla13[[#This Row],[VENDEDOR]],dimensiones!$C$21:$C$28,dimensiones!$D$21:$D$28,""))</f>
        <v>ATEL</v>
      </c>
      <c r="J542" s="125" t="str">
        <f>_xlfn.XLOOKUP(Tabla13[[#This Row],[REGION]],dimensiones!C:C,dimensiones!D:D,"")</f>
        <v>Región de Los Ríos</v>
      </c>
    </row>
    <row r="543" spans="1:10" ht="14.25" customHeight="1" x14ac:dyDescent="0.25">
      <c r="A543" t="s">
        <v>670</v>
      </c>
      <c r="B543" t="s">
        <v>671</v>
      </c>
      <c r="C543" t="s">
        <v>4460</v>
      </c>
      <c r="D543">
        <v>8</v>
      </c>
      <c r="E543" t="s">
        <v>4445</v>
      </c>
      <c r="F543" t="s">
        <v>1357</v>
      </c>
      <c r="G543" t="s">
        <v>5571</v>
      </c>
      <c r="H543" t="s">
        <v>4957</v>
      </c>
      <c r="I543" s="79" t="str">
        <f>IF(Tabla13[[#This Row],[RUT]]=774097899,"DIST",_xlfn.XLOOKUP(Tabla13[[#This Row],[VENDEDOR]],dimensiones!$C$21:$C$28,dimensiones!$D$21:$D$28,""))</f>
        <v>ATEL</v>
      </c>
      <c r="J543" s="125" t="str">
        <f>_xlfn.XLOOKUP(Tabla13[[#This Row],[REGION]],dimensiones!C:C,dimensiones!D:D,"")</f>
        <v>Región de Biobío</v>
      </c>
    </row>
    <row r="544" spans="1:10" ht="14.25" customHeight="1" x14ac:dyDescent="0.25">
      <c r="A544">
        <v>653218907</v>
      </c>
      <c r="B544" t="s">
        <v>73</v>
      </c>
      <c r="C544" t="s">
        <v>4229</v>
      </c>
      <c r="D544">
        <v>10</v>
      </c>
      <c r="E544" t="s">
        <v>4454</v>
      </c>
      <c r="F544" t="s">
        <v>1675</v>
      </c>
      <c r="G544" t="s">
        <v>5575</v>
      </c>
      <c r="H544" t="s">
        <v>4957</v>
      </c>
      <c r="I544" s="79" t="str">
        <f>IF(Tabla13[[#This Row],[RUT]]=774097899,"DIST",_xlfn.XLOOKUP(Tabla13[[#This Row],[VENDEDOR]],dimensiones!$C$21:$C$28,dimensiones!$D$21:$D$28,""))</f>
        <v>SUR2</v>
      </c>
      <c r="J544" s="125" t="str">
        <f>_xlfn.XLOOKUP(Tabla13[[#This Row],[REGION]],dimensiones!C:C,dimensiones!D:D,"")</f>
        <v>Región de Los Lagos</v>
      </c>
    </row>
    <row r="545" spans="1:10" ht="14.25" customHeight="1" x14ac:dyDescent="0.25">
      <c r="A545">
        <v>654536201</v>
      </c>
      <c r="B545" t="s">
        <v>74</v>
      </c>
      <c r="C545" t="s">
        <v>4459</v>
      </c>
      <c r="D545">
        <v>5</v>
      </c>
      <c r="E545" t="s">
        <v>2372</v>
      </c>
      <c r="F545" t="s">
        <v>1592</v>
      </c>
      <c r="G545" t="s">
        <v>5571</v>
      </c>
      <c r="H545" t="s">
        <v>4957</v>
      </c>
      <c r="I545" s="79" t="str">
        <f>IF(Tabla13[[#This Row],[RUT]]=774097899,"DIST",_xlfn.XLOOKUP(Tabla13[[#This Row],[VENDEDOR]],dimensiones!$C$21:$C$28,dimensiones!$D$21:$D$28,""))</f>
        <v>NOR1</v>
      </c>
      <c r="J545" s="125" t="str">
        <f>_xlfn.XLOOKUP(Tabla13[[#This Row],[REGION]],dimensiones!C:C,dimensiones!D:D,"")</f>
        <v>Región de Valparaíso</v>
      </c>
    </row>
    <row r="546" spans="1:10" ht="14.25" customHeight="1" x14ac:dyDescent="0.25">
      <c r="A546">
        <v>654787603</v>
      </c>
      <c r="B546" t="s">
        <v>4434</v>
      </c>
      <c r="C546" t="s">
        <v>4515</v>
      </c>
      <c r="D546">
        <v>8</v>
      </c>
      <c r="E546" t="s">
        <v>4445</v>
      </c>
      <c r="F546" t="s">
        <v>4514</v>
      </c>
      <c r="G546" t="s">
        <v>5575</v>
      </c>
      <c r="H546" t="s">
        <v>4957</v>
      </c>
      <c r="I546" s="79" t="str">
        <f>IF(Tabla13[[#This Row],[RUT]]=774097899,"DIST",_xlfn.XLOOKUP(Tabla13[[#This Row],[VENDEDOR]],dimensiones!$C$21:$C$28,dimensiones!$D$21:$D$28,""))</f>
        <v>ATEL</v>
      </c>
      <c r="J546" s="125" t="str">
        <f>_xlfn.XLOOKUP(Tabla13[[#This Row],[REGION]],dimensiones!C:C,dimensiones!D:D,"")</f>
        <v>Región de Biobío</v>
      </c>
    </row>
    <row r="547" spans="1:10" ht="14.25" customHeight="1" x14ac:dyDescent="0.25">
      <c r="A547">
        <v>65624508</v>
      </c>
      <c r="B547" t="s">
        <v>5429</v>
      </c>
      <c r="C547" t="s">
        <v>4170</v>
      </c>
      <c r="D547">
        <v>14</v>
      </c>
      <c r="E547" t="s">
        <v>4445</v>
      </c>
      <c r="F547" t="s">
        <v>5430</v>
      </c>
      <c r="G547" t="s">
        <v>5568</v>
      </c>
      <c r="H547" t="s">
        <v>4915</v>
      </c>
      <c r="I547" s="79" t="str">
        <f>IF(Tabla13[[#This Row],[RUT]]=774097899,"DIST",_xlfn.XLOOKUP(Tabla13[[#This Row],[VENDEDOR]],dimensiones!$C$21:$C$28,dimensiones!$D$21:$D$28,""))</f>
        <v>ATEL</v>
      </c>
      <c r="J547" s="125" t="str">
        <f>_xlfn.XLOOKUP(Tabla13[[#This Row],[REGION]],dimensiones!C:C,dimensiones!D:D,"")</f>
        <v>Región de Los Ríos</v>
      </c>
    </row>
    <row r="548" spans="1:10" ht="14.25" customHeight="1" x14ac:dyDescent="0.25">
      <c r="A548">
        <v>656371900</v>
      </c>
      <c r="B548" t="s">
        <v>279</v>
      </c>
      <c r="C548" t="s">
        <v>4409</v>
      </c>
      <c r="D548">
        <v>13</v>
      </c>
      <c r="E548" t="s">
        <v>4445</v>
      </c>
      <c r="F548" t="s">
        <v>1312</v>
      </c>
      <c r="G548" t="s">
        <v>5573</v>
      </c>
      <c r="H548" t="s">
        <v>4915</v>
      </c>
      <c r="I548" s="79" t="str">
        <f>IF(Tabla13[[#This Row],[RUT]]=774097899,"DIST",_xlfn.XLOOKUP(Tabla13[[#This Row],[VENDEDOR]],dimensiones!$C$21:$C$28,dimensiones!$D$21:$D$28,""))</f>
        <v>ATEL</v>
      </c>
      <c r="J548" s="125" t="str">
        <f>_xlfn.XLOOKUP(Tabla13[[#This Row],[REGION]],dimensiones!C:C,dimensiones!D:D,"")</f>
        <v>Región de Metropolitana de Santiago</v>
      </c>
    </row>
    <row r="549" spans="1:10" ht="14.25" customHeight="1" x14ac:dyDescent="0.25">
      <c r="A549">
        <v>658811509</v>
      </c>
      <c r="B549" t="s">
        <v>5590</v>
      </c>
      <c r="C549" t="s">
        <v>4465</v>
      </c>
      <c r="D549">
        <v>13</v>
      </c>
      <c r="E549" t="s">
        <v>4445</v>
      </c>
      <c r="F549" t="s">
        <v>5591</v>
      </c>
      <c r="G549" t="s">
        <v>5570</v>
      </c>
      <c r="H549" t="s">
        <v>4915</v>
      </c>
      <c r="I549" s="79" t="str">
        <f>IF(Tabla13[[#This Row],[RUT]]=774097899,"DIST",_xlfn.XLOOKUP(Tabla13[[#This Row],[VENDEDOR]],dimensiones!$C$21:$C$28,dimensiones!$D$21:$D$28,""))</f>
        <v>ATEL</v>
      </c>
      <c r="J549" s="125" t="str">
        <f>_xlfn.XLOOKUP(Tabla13[[#This Row],[REGION]],dimensiones!C:C,dimensiones!D:D,"")</f>
        <v>Región de Metropolitana de Santiago</v>
      </c>
    </row>
    <row r="550" spans="1:10" ht="14.25" customHeight="1" x14ac:dyDescent="0.25">
      <c r="A550">
        <v>676078003</v>
      </c>
      <c r="B550" t="s">
        <v>958</v>
      </c>
      <c r="C550" t="s">
        <v>4233</v>
      </c>
      <c r="D550">
        <v>11</v>
      </c>
      <c r="E550" t="s">
        <v>4445</v>
      </c>
      <c r="F550" t="s">
        <v>1596</v>
      </c>
      <c r="G550" t="s">
        <v>5571</v>
      </c>
      <c r="H550" t="s">
        <v>4957</v>
      </c>
      <c r="I550" s="79" t="str">
        <f>IF(Tabla13[[#This Row],[RUT]]=774097899,"DIST",_xlfn.XLOOKUP(Tabla13[[#This Row],[VENDEDOR]],dimensiones!$C$21:$C$28,dimensiones!$D$21:$D$28,""))</f>
        <v>ATEL</v>
      </c>
      <c r="J550" s="125" t="str">
        <f>_xlfn.XLOOKUP(Tabla13[[#This Row],[REGION]],dimensiones!C:C,dimensiones!D:D,"")</f>
        <v>Región de Aysén del General Carlos Ibáñez del Campo</v>
      </c>
    </row>
    <row r="551" spans="1:10" ht="14.25" customHeight="1" x14ac:dyDescent="0.25">
      <c r="A551">
        <v>690101009</v>
      </c>
      <c r="B551" t="s">
        <v>280</v>
      </c>
      <c r="C551" t="s">
        <v>4181</v>
      </c>
      <c r="D551">
        <v>15</v>
      </c>
      <c r="E551" t="s">
        <v>4445</v>
      </c>
      <c r="F551" t="s">
        <v>1977</v>
      </c>
      <c r="G551" t="s">
        <v>5575</v>
      </c>
      <c r="H551" t="s">
        <v>4957</v>
      </c>
      <c r="I551" s="79" t="str">
        <f>IF(Tabla13[[#This Row],[RUT]]=774097899,"DIST",_xlfn.XLOOKUP(Tabla13[[#This Row],[VENDEDOR]],dimensiones!$C$21:$C$28,dimensiones!$D$21:$D$28,""))</f>
        <v>ATEL</v>
      </c>
      <c r="J551" s="125" t="str">
        <f>_xlfn.XLOOKUP(Tabla13[[#This Row],[REGION]],dimensiones!C:C,dimensiones!D:D,"")</f>
        <v>Región de Arica y Parinacota</v>
      </c>
    </row>
    <row r="552" spans="1:10" ht="14.25" customHeight="1" x14ac:dyDescent="0.25">
      <c r="A552">
        <v>690102005</v>
      </c>
      <c r="B552" t="s">
        <v>281</v>
      </c>
      <c r="C552" t="s">
        <v>4298</v>
      </c>
      <c r="D552">
        <v>1</v>
      </c>
      <c r="E552" t="s">
        <v>4445</v>
      </c>
      <c r="F552" t="s">
        <v>1600</v>
      </c>
      <c r="G552" t="s">
        <v>5575</v>
      </c>
      <c r="H552" t="s">
        <v>4957</v>
      </c>
      <c r="I552" s="79" t="str">
        <f>IF(Tabla13[[#This Row],[RUT]]=774097899,"DIST",_xlfn.XLOOKUP(Tabla13[[#This Row],[VENDEDOR]],dimensiones!$C$21:$C$28,dimensiones!$D$21:$D$28,""))</f>
        <v>ATEL</v>
      </c>
      <c r="J552" s="125" t="str">
        <f>_xlfn.XLOOKUP(Tabla13[[#This Row],[REGION]],dimensiones!C:C,dimensiones!D:D,"")</f>
        <v>Región de Tarapacá</v>
      </c>
    </row>
    <row r="553" spans="1:10" ht="14.25" customHeight="1" x14ac:dyDescent="0.25">
      <c r="A553">
        <v>690103001</v>
      </c>
      <c r="B553" t="s">
        <v>1037</v>
      </c>
      <c r="C553" t="s">
        <v>4186</v>
      </c>
      <c r="D553">
        <v>1</v>
      </c>
      <c r="E553" t="s">
        <v>4453</v>
      </c>
      <c r="F553" t="s">
        <v>2199</v>
      </c>
      <c r="G553" t="s">
        <v>5575</v>
      </c>
      <c r="H553" t="s">
        <v>4957</v>
      </c>
      <c r="I553" s="79" t="str">
        <f>IF(Tabla13[[#This Row],[RUT]]=774097899,"DIST",_xlfn.XLOOKUP(Tabla13[[#This Row],[VENDEDOR]],dimensiones!$C$21:$C$28,dimensiones!$D$21:$D$28,""))</f>
        <v>SANT2</v>
      </c>
      <c r="J553" s="125" t="str">
        <f>_xlfn.XLOOKUP(Tabla13[[#This Row],[REGION]],dimensiones!C:C,dimensiones!D:D,"")</f>
        <v>Región de Tarapacá</v>
      </c>
    </row>
    <row r="554" spans="1:10" ht="14.25" customHeight="1" x14ac:dyDescent="0.25">
      <c r="A554">
        <v>690104008</v>
      </c>
      <c r="B554" t="s">
        <v>982</v>
      </c>
      <c r="C554" t="s">
        <v>4403</v>
      </c>
      <c r="D554">
        <v>1</v>
      </c>
      <c r="E554" t="s">
        <v>4445</v>
      </c>
      <c r="F554" t="s">
        <v>1819</v>
      </c>
      <c r="G554" t="s">
        <v>5575</v>
      </c>
      <c r="H554" t="s">
        <v>4957</v>
      </c>
      <c r="I554" s="79" t="str">
        <f>IF(Tabla13[[#This Row],[RUT]]=774097899,"DIST",_xlfn.XLOOKUP(Tabla13[[#This Row],[VENDEDOR]],dimensiones!$C$21:$C$28,dimensiones!$D$21:$D$28,""))</f>
        <v>ATEL</v>
      </c>
      <c r="J554" s="125" t="str">
        <f>_xlfn.XLOOKUP(Tabla13[[#This Row],[REGION]],dimensiones!C:C,dimensiones!D:D,"")</f>
        <v>Región de Tarapacá</v>
      </c>
    </row>
    <row r="555" spans="1:10" ht="14.25" customHeight="1" x14ac:dyDescent="0.25">
      <c r="A555" t="s">
        <v>997</v>
      </c>
      <c r="B555" t="s">
        <v>993</v>
      </c>
      <c r="C555" t="s">
        <v>4237</v>
      </c>
      <c r="D555">
        <v>2</v>
      </c>
      <c r="E555" t="s">
        <v>4445</v>
      </c>
      <c r="F555" t="s">
        <v>1606</v>
      </c>
      <c r="G555" t="s">
        <v>5575</v>
      </c>
      <c r="H555" t="s">
        <v>4957</v>
      </c>
      <c r="I555" s="79" t="str">
        <f>IF(Tabla13[[#This Row],[RUT]]=774097899,"DIST",_xlfn.XLOOKUP(Tabla13[[#This Row],[VENDEDOR]],dimensiones!$C$21:$C$28,dimensiones!$D$21:$D$28,""))</f>
        <v>ATEL</v>
      </c>
      <c r="J555" s="125" t="str">
        <f>_xlfn.XLOOKUP(Tabla13[[#This Row],[REGION]],dimensiones!C:C,dimensiones!D:D,"")</f>
        <v>Región de Antofagasta</v>
      </c>
    </row>
    <row r="556" spans="1:10" ht="14.25" customHeight="1" x14ac:dyDescent="0.25">
      <c r="A556">
        <v>690301008</v>
      </c>
      <c r="B556" t="s">
        <v>282</v>
      </c>
      <c r="C556" t="s">
        <v>4182</v>
      </c>
      <c r="D556">
        <v>2</v>
      </c>
      <c r="E556" t="s">
        <v>4445</v>
      </c>
      <c r="F556" t="s">
        <v>1608</v>
      </c>
      <c r="G556" t="s">
        <v>5575</v>
      </c>
      <c r="H556" t="s">
        <v>4957</v>
      </c>
      <c r="I556" s="79" t="str">
        <f>IF(Tabla13[[#This Row],[RUT]]=774097899,"DIST",_xlfn.XLOOKUP(Tabla13[[#This Row],[VENDEDOR]],dimensiones!$C$21:$C$28,dimensiones!$D$21:$D$28,""))</f>
        <v>ATEL</v>
      </c>
      <c r="J556" s="125" t="str">
        <f>_xlfn.XLOOKUP(Tabla13[[#This Row],[REGION]],dimensiones!C:C,dimensiones!D:D,"")</f>
        <v>Región de Antofagasta</v>
      </c>
    </row>
    <row r="557" spans="1:10" ht="14.25" customHeight="1" x14ac:dyDescent="0.25">
      <c r="A557">
        <v>690302004</v>
      </c>
      <c r="B557" t="s">
        <v>283</v>
      </c>
      <c r="C557" t="s">
        <v>4466</v>
      </c>
      <c r="D557">
        <v>3</v>
      </c>
      <c r="E557" t="s">
        <v>4445</v>
      </c>
      <c r="F557" t="s">
        <v>1470</v>
      </c>
      <c r="G557" t="s">
        <v>5575</v>
      </c>
      <c r="H557" t="s">
        <v>4957</v>
      </c>
      <c r="I557" s="79" t="str">
        <f>IF(Tabla13[[#This Row],[RUT]]=774097899,"DIST",_xlfn.XLOOKUP(Tabla13[[#This Row],[VENDEDOR]],dimensiones!$C$21:$C$28,dimensiones!$D$21:$D$28,""))</f>
        <v>ATEL</v>
      </c>
      <c r="J557" s="125" t="str">
        <f>_xlfn.XLOOKUP(Tabla13[[#This Row],[REGION]],dimensiones!C:C,dimensiones!D:D,"")</f>
        <v>Región de Atacama</v>
      </c>
    </row>
    <row r="558" spans="1:10" ht="14.25" customHeight="1" x14ac:dyDescent="0.25">
      <c r="A558">
        <v>690303000</v>
      </c>
      <c r="B558" t="s">
        <v>284</v>
      </c>
      <c r="C558" t="s">
        <v>4299</v>
      </c>
      <c r="D558">
        <v>3</v>
      </c>
      <c r="E558" t="s">
        <v>4445</v>
      </c>
      <c r="F558" t="s">
        <v>1895</v>
      </c>
      <c r="G558" t="s">
        <v>5575</v>
      </c>
      <c r="H558" t="s">
        <v>4957</v>
      </c>
      <c r="I558" s="79" t="str">
        <f>IF(Tabla13[[#This Row],[RUT]]=774097899,"DIST",_xlfn.XLOOKUP(Tabla13[[#This Row],[VENDEDOR]],dimensiones!$C$21:$C$28,dimensiones!$D$21:$D$28,""))</f>
        <v>ATEL</v>
      </c>
      <c r="J558" s="125" t="str">
        <f>_xlfn.XLOOKUP(Tabla13[[#This Row],[REGION]],dimensiones!C:C,dimensiones!D:D,"")</f>
        <v>Región de Atacama</v>
      </c>
    </row>
    <row r="559" spans="1:10" ht="14.25" customHeight="1" x14ac:dyDescent="0.25">
      <c r="A559">
        <v>690304007</v>
      </c>
      <c r="B559" t="s">
        <v>285</v>
      </c>
      <c r="C559" t="s">
        <v>4300</v>
      </c>
      <c r="D559">
        <v>3</v>
      </c>
      <c r="E559" t="s">
        <v>4445</v>
      </c>
      <c r="F559" t="s">
        <v>1614</v>
      </c>
      <c r="G559" t="s">
        <v>5575</v>
      </c>
      <c r="H559" t="s">
        <v>4957</v>
      </c>
      <c r="I559" s="79" t="str">
        <f>IF(Tabla13[[#This Row],[RUT]]=774097899,"DIST",_xlfn.XLOOKUP(Tabla13[[#This Row],[VENDEDOR]],dimensiones!$C$21:$C$28,dimensiones!$D$21:$D$28,""))</f>
        <v>ATEL</v>
      </c>
      <c r="J559" s="125" t="str">
        <f>_xlfn.XLOOKUP(Tabla13[[#This Row],[REGION]],dimensiones!C:C,dimensiones!D:D,"")</f>
        <v>Región de Atacama</v>
      </c>
    </row>
    <row r="560" spans="1:10" ht="14.25" customHeight="1" x14ac:dyDescent="0.25">
      <c r="A560">
        <v>690305003</v>
      </c>
      <c r="B560" t="s">
        <v>286</v>
      </c>
      <c r="C560" t="s">
        <v>4241</v>
      </c>
      <c r="D560">
        <v>3</v>
      </c>
      <c r="E560" t="s">
        <v>4445</v>
      </c>
      <c r="F560" t="s">
        <v>1803</v>
      </c>
      <c r="G560" t="s">
        <v>5575</v>
      </c>
      <c r="H560" t="s">
        <v>4957</v>
      </c>
      <c r="I560" s="79" t="str">
        <f>IF(Tabla13[[#This Row],[RUT]]=774097899,"DIST",_xlfn.XLOOKUP(Tabla13[[#This Row],[VENDEDOR]],dimensiones!$C$21:$C$28,dimensiones!$D$21:$D$28,""))</f>
        <v>ATEL</v>
      </c>
      <c r="J560" s="125" t="str">
        <f>_xlfn.XLOOKUP(Tabla13[[#This Row],[REGION]],dimensiones!C:C,dimensiones!D:D,"")</f>
        <v>Región de Atacama</v>
      </c>
    </row>
    <row r="561" spans="1:10" ht="14.25" customHeight="1" x14ac:dyDescent="0.25">
      <c r="A561" t="s">
        <v>672</v>
      </c>
      <c r="B561" t="s">
        <v>673</v>
      </c>
      <c r="C561" t="s">
        <v>4301</v>
      </c>
      <c r="D561">
        <v>3</v>
      </c>
      <c r="E561" t="s">
        <v>4445</v>
      </c>
      <c r="F561" t="s">
        <v>1618</v>
      </c>
      <c r="G561" t="s">
        <v>5575</v>
      </c>
      <c r="H561" t="s">
        <v>4957</v>
      </c>
      <c r="I561" s="79" t="str">
        <f>IF(Tabla13[[#This Row],[RUT]]=774097899,"DIST",_xlfn.XLOOKUP(Tabla13[[#This Row],[VENDEDOR]],dimensiones!$C$21:$C$28,dimensiones!$D$21:$D$28,""))</f>
        <v>ATEL</v>
      </c>
      <c r="J561" s="125" t="str">
        <f>_xlfn.XLOOKUP(Tabla13[[#This Row],[REGION]],dimensiones!C:C,dimensiones!D:D,"")</f>
        <v>Región de Atacama</v>
      </c>
    </row>
    <row r="562" spans="1:10" ht="14.25" customHeight="1" x14ac:dyDescent="0.25">
      <c r="A562">
        <v>690307006</v>
      </c>
      <c r="B562" t="s">
        <v>5627</v>
      </c>
      <c r="C562" t="s">
        <v>4396</v>
      </c>
      <c r="D562">
        <v>3</v>
      </c>
      <c r="E562" t="s">
        <v>4445</v>
      </c>
      <c r="F562" t="s">
        <v>5628</v>
      </c>
      <c r="G562" t="s">
        <v>5575</v>
      </c>
      <c r="H562" t="s">
        <v>4957</v>
      </c>
      <c r="I562" s="79" t="str">
        <f>IF(Tabla13[[#This Row],[RUT]]=774097899,"DIST",_xlfn.XLOOKUP(Tabla13[[#This Row],[VENDEDOR]],dimensiones!$C$21:$C$28,dimensiones!$D$21:$D$28,""))</f>
        <v>ATEL</v>
      </c>
      <c r="J562" s="125" t="str">
        <f>_xlfn.XLOOKUP(Tabla13[[#This Row],[REGION]],dimensiones!C:C,dimensiones!D:D,"")</f>
        <v>Región de Atacama</v>
      </c>
    </row>
    <row r="563" spans="1:10" ht="14.25" customHeight="1" x14ac:dyDescent="0.25">
      <c r="A563">
        <v>690401002</v>
      </c>
      <c r="B563" t="s">
        <v>1621</v>
      </c>
      <c r="C563" t="s">
        <v>4171</v>
      </c>
      <c r="D563">
        <v>4</v>
      </c>
      <c r="E563" t="s">
        <v>4445</v>
      </c>
      <c r="F563" t="s">
        <v>1620</v>
      </c>
      <c r="G563" t="s">
        <v>5575</v>
      </c>
      <c r="H563" t="s">
        <v>4915</v>
      </c>
      <c r="I563" s="79" t="str">
        <f>IF(Tabla13[[#This Row],[RUT]]=774097899,"DIST",_xlfn.XLOOKUP(Tabla13[[#This Row],[VENDEDOR]],dimensiones!$C$21:$C$28,dimensiones!$D$21:$D$28,""))</f>
        <v>ATEL</v>
      </c>
      <c r="J563" s="125" t="str">
        <f>_xlfn.XLOOKUP(Tabla13[[#This Row],[REGION]],dimensiones!C:C,dimensiones!D:D,"")</f>
        <v>Región de Coquimbo</v>
      </c>
    </row>
    <row r="564" spans="1:10" ht="14.25" customHeight="1" x14ac:dyDescent="0.25">
      <c r="A564">
        <v>690402009</v>
      </c>
      <c r="B564" t="s">
        <v>4517</v>
      </c>
      <c r="C564" t="s">
        <v>4518</v>
      </c>
      <c r="D564">
        <v>4</v>
      </c>
      <c r="E564" t="s">
        <v>4445</v>
      </c>
      <c r="F564" t="s">
        <v>4516</v>
      </c>
      <c r="G564" t="s">
        <v>5575</v>
      </c>
      <c r="H564" t="s">
        <v>4957</v>
      </c>
      <c r="I564" s="79" t="str">
        <f>IF(Tabla13[[#This Row],[RUT]]=774097899,"DIST",_xlfn.XLOOKUP(Tabla13[[#This Row],[VENDEDOR]],dimensiones!$C$21:$C$28,dimensiones!$D$21:$D$28,""))</f>
        <v>ATEL</v>
      </c>
      <c r="J564" s="125" t="str">
        <f>_xlfn.XLOOKUP(Tabla13[[#This Row],[REGION]],dimensiones!C:C,dimensiones!D:D,"")</f>
        <v>Región de Coquimbo</v>
      </c>
    </row>
    <row r="565" spans="1:10" ht="14.25" customHeight="1" x14ac:dyDescent="0.25">
      <c r="A565">
        <v>690403005</v>
      </c>
      <c r="B565" t="s">
        <v>75</v>
      </c>
      <c r="C565" t="s">
        <v>4245</v>
      </c>
      <c r="D565">
        <v>4</v>
      </c>
      <c r="E565" t="s">
        <v>2372</v>
      </c>
      <c r="F565" t="s">
        <v>1612</v>
      </c>
      <c r="G565" t="s">
        <v>5575</v>
      </c>
      <c r="H565" t="s">
        <v>4957</v>
      </c>
      <c r="I565" s="79" t="str">
        <f>IF(Tabla13[[#This Row],[RUT]]=774097899,"DIST",_xlfn.XLOOKUP(Tabla13[[#This Row],[VENDEDOR]],dimensiones!$C$21:$C$28,dimensiones!$D$21:$D$28,""))</f>
        <v>NOR1</v>
      </c>
      <c r="J565" s="125" t="str">
        <f>_xlfn.XLOOKUP(Tabla13[[#This Row],[REGION]],dimensiones!C:C,dimensiones!D:D,"")</f>
        <v>Región de Coquimbo</v>
      </c>
    </row>
    <row r="566" spans="1:10" ht="14.25" customHeight="1" x14ac:dyDescent="0.25">
      <c r="A566">
        <v>690405008</v>
      </c>
      <c r="B566" t="s">
        <v>1031</v>
      </c>
      <c r="C566" t="s">
        <v>4244</v>
      </c>
      <c r="D566">
        <v>4</v>
      </c>
      <c r="E566" t="s">
        <v>4445</v>
      </c>
      <c r="F566" t="s">
        <v>1625</v>
      </c>
      <c r="G566" t="s">
        <v>5575</v>
      </c>
      <c r="H566" t="s">
        <v>4957</v>
      </c>
      <c r="I566" s="79" t="str">
        <f>IF(Tabla13[[#This Row],[RUT]]=774097899,"DIST",_xlfn.XLOOKUP(Tabla13[[#This Row],[VENDEDOR]],dimensiones!$C$21:$C$28,dimensiones!$D$21:$D$28,""))</f>
        <v>ATEL</v>
      </c>
      <c r="J566" s="125" t="str">
        <f>_xlfn.XLOOKUP(Tabla13[[#This Row],[REGION]],dimensiones!C:C,dimensiones!D:D,"")</f>
        <v>Región de Coquimbo</v>
      </c>
    </row>
    <row r="567" spans="1:10" ht="14.25" customHeight="1" x14ac:dyDescent="0.25">
      <c r="A567">
        <v>690406004</v>
      </c>
      <c r="B567" t="s">
        <v>897</v>
      </c>
      <c r="C567" t="s">
        <v>4302</v>
      </c>
      <c r="D567">
        <v>4</v>
      </c>
      <c r="E567" t="s">
        <v>4445</v>
      </c>
      <c r="F567" t="s">
        <v>1588</v>
      </c>
      <c r="G567" t="s">
        <v>5575</v>
      </c>
      <c r="H567" t="s">
        <v>4957</v>
      </c>
      <c r="I567" s="79" t="str">
        <f>IF(Tabla13[[#This Row],[RUT]]=774097899,"DIST",_xlfn.XLOOKUP(Tabla13[[#This Row],[VENDEDOR]],dimensiones!$C$21:$C$28,dimensiones!$D$21:$D$28,""))</f>
        <v>ATEL</v>
      </c>
      <c r="J567" s="125" t="str">
        <f>_xlfn.XLOOKUP(Tabla13[[#This Row],[REGION]],dimensiones!C:C,dimensiones!D:D,"")</f>
        <v>Región de Coquimbo</v>
      </c>
    </row>
    <row r="568" spans="1:10" ht="14.25" customHeight="1" x14ac:dyDescent="0.25">
      <c r="A568">
        <v>690407000</v>
      </c>
      <c r="B568" t="s">
        <v>76</v>
      </c>
      <c r="C568" t="s">
        <v>4397</v>
      </c>
      <c r="D568">
        <v>4</v>
      </c>
      <c r="E568" t="s">
        <v>2372</v>
      </c>
      <c r="F568" t="s">
        <v>3077</v>
      </c>
      <c r="G568" t="s">
        <v>5575</v>
      </c>
      <c r="H568" t="s">
        <v>4957</v>
      </c>
      <c r="I568" s="79" t="str">
        <f>IF(Tabla13[[#This Row],[RUT]]=774097899,"DIST",_xlfn.XLOOKUP(Tabla13[[#This Row],[VENDEDOR]],dimensiones!$C$21:$C$28,dimensiones!$D$21:$D$28,""))</f>
        <v>NOR1</v>
      </c>
      <c r="J568" s="125" t="str">
        <f>_xlfn.XLOOKUP(Tabla13[[#This Row],[REGION]],dimensiones!C:C,dimensiones!D:D,"")</f>
        <v>Región de Coquimbo</v>
      </c>
    </row>
    <row r="569" spans="1:10" ht="14.25" customHeight="1" x14ac:dyDescent="0.25">
      <c r="A569">
        <v>690408007</v>
      </c>
      <c r="B569" t="s">
        <v>287</v>
      </c>
      <c r="C569" t="s">
        <v>4303</v>
      </c>
      <c r="D569">
        <v>4</v>
      </c>
      <c r="E569" t="s">
        <v>4445</v>
      </c>
      <c r="F569" t="s">
        <v>1631</v>
      </c>
      <c r="G569" t="s">
        <v>5575</v>
      </c>
      <c r="H569" t="s">
        <v>4957</v>
      </c>
      <c r="I569" s="79" t="str">
        <f>IF(Tabla13[[#This Row],[RUT]]=774097899,"DIST",_xlfn.XLOOKUP(Tabla13[[#This Row],[VENDEDOR]],dimensiones!$C$21:$C$28,dimensiones!$D$21:$D$28,""))</f>
        <v>ATEL</v>
      </c>
      <c r="J569" s="125" t="str">
        <f>_xlfn.XLOOKUP(Tabla13[[#This Row],[REGION]],dimensiones!C:C,dimensiones!D:D,"")</f>
        <v>Región de Coquimbo</v>
      </c>
    </row>
    <row r="570" spans="1:10" ht="14.25" customHeight="1" x14ac:dyDescent="0.25">
      <c r="A570">
        <v>690409003</v>
      </c>
      <c r="B570" t="s">
        <v>288</v>
      </c>
      <c r="C570" t="s">
        <v>4304</v>
      </c>
      <c r="D570">
        <v>4</v>
      </c>
      <c r="E570" t="s">
        <v>4445</v>
      </c>
      <c r="F570" t="s">
        <v>1633</v>
      </c>
      <c r="G570" t="s">
        <v>5575</v>
      </c>
      <c r="H570" t="s">
        <v>4957</v>
      </c>
      <c r="I570" s="79" t="str">
        <f>IF(Tabla13[[#This Row],[RUT]]=774097899,"DIST",_xlfn.XLOOKUP(Tabla13[[#This Row],[VENDEDOR]],dimensiones!$C$21:$C$28,dimensiones!$D$21:$D$28,""))</f>
        <v>ATEL</v>
      </c>
      <c r="J570" s="125" t="str">
        <f>_xlfn.XLOOKUP(Tabla13[[#This Row],[REGION]],dimensiones!C:C,dimensiones!D:D,"")</f>
        <v>Región de Coquimbo</v>
      </c>
    </row>
    <row r="571" spans="1:10" ht="14.25" customHeight="1" x14ac:dyDescent="0.25">
      <c r="A571">
        <v>690410001</v>
      </c>
      <c r="B571" t="s">
        <v>784</v>
      </c>
      <c r="C571" t="s">
        <v>4519</v>
      </c>
      <c r="D571">
        <v>4</v>
      </c>
      <c r="E571" t="s">
        <v>4445</v>
      </c>
      <c r="F571" t="s">
        <v>1635</v>
      </c>
      <c r="G571" t="s">
        <v>5575</v>
      </c>
      <c r="H571" t="s">
        <v>4957</v>
      </c>
      <c r="I571" s="79" t="str">
        <f>IF(Tabla13[[#This Row],[RUT]]=774097899,"DIST",_xlfn.XLOOKUP(Tabla13[[#This Row],[VENDEDOR]],dimensiones!$C$21:$C$28,dimensiones!$D$21:$D$28,""))</f>
        <v>ATEL</v>
      </c>
      <c r="J571" s="125" t="str">
        <f>_xlfn.XLOOKUP(Tabla13[[#This Row],[REGION]],dimensiones!C:C,dimensiones!D:D,"")</f>
        <v>Región de Coquimbo</v>
      </c>
    </row>
    <row r="572" spans="1:10" ht="14.25" customHeight="1" x14ac:dyDescent="0.25">
      <c r="A572">
        <v>690411008</v>
      </c>
      <c r="B572" t="s">
        <v>289</v>
      </c>
      <c r="C572" t="s">
        <v>4489</v>
      </c>
      <c r="D572">
        <v>4</v>
      </c>
      <c r="E572" t="s">
        <v>4445</v>
      </c>
      <c r="F572" t="s">
        <v>1213</v>
      </c>
      <c r="G572" t="s">
        <v>5575</v>
      </c>
      <c r="H572" t="s">
        <v>4957</v>
      </c>
      <c r="I572" s="79" t="str">
        <f>IF(Tabla13[[#This Row],[RUT]]=774097899,"DIST",_xlfn.XLOOKUP(Tabla13[[#This Row],[VENDEDOR]],dimensiones!$C$21:$C$28,dimensiones!$D$21:$D$28,""))</f>
        <v>ATEL</v>
      </c>
      <c r="J572" s="125" t="str">
        <f>_xlfn.XLOOKUP(Tabla13[[#This Row],[REGION]],dimensiones!C:C,dimensiones!D:D,"")</f>
        <v>Región de Coquimbo</v>
      </c>
    </row>
    <row r="573" spans="1:10" ht="14.25" customHeight="1" x14ac:dyDescent="0.25">
      <c r="A573">
        <v>690412004</v>
      </c>
      <c r="B573" t="s">
        <v>290</v>
      </c>
      <c r="C573" t="s">
        <v>4398</v>
      </c>
      <c r="D573">
        <v>4</v>
      </c>
      <c r="E573" t="s">
        <v>4445</v>
      </c>
      <c r="F573" t="s">
        <v>3618</v>
      </c>
      <c r="G573" t="s">
        <v>5575</v>
      </c>
      <c r="H573" t="s">
        <v>4957</v>
      </c>
      <c r="I573" s="79" t="str">
        <f>IF(Tabla13[[#This Row],[RUT]]=774097899,"DIST",_xlfn.XLOOKUP(Tabla13[[#This Row],[VENDEDOR]],dimensiones!$C$21:$C$28,dimensiones!$D$21:$D$28,""))</f>
        <v>ATEL</v>
      </c>
      <c r="J573" s="125" t="str">
        <f>_xlfn.XLOOKUP(Tabla13[[#This Row],[REGION]],dimensiones!C:C,dimensiones!D:D,"")</f>
        <v>Región de Coquimbo</v>
      </c>
    </row>
    <row r="574" spans="1:10" ht="14.25" customHeight="1" x14ac:dyDescent="0.25">
      <c r="A574">
        <v>690413000</v>
      </c>
      <c r="B574" t="s">
        <v>4420</v>
      </c>
      <c r="C574" t="s">
        <v>4521</v>
      </c>
      <c r="D574">
        <v>4</v>
      </c>
      <c r="E574" t="s">
        <v>4445</v>
      </c>
      <c r="F574" t="s">
        <v>4520</v>
      </c>
      <c r="G574" t="s">
        <v>5575</v>
      </c>
      <c r="H574" t="s">
        <v>4957</v>
      </c>
      <c r="I574" s="79" t="str">
        <f>IF(Tabla13[[#This Row],[RUT]]=774097899,"DIST",_xlfn.XLOOKUP(Tabla13[[#This Row],[VENDEDOR]],dimensiones!$C$21:$C$28,dimensiones!$D$21:$D$28,""))</f>
        <v>ATEL</v>
      </c>
      <c r="J574" s="125" t="str">
        <f>_xlfn.XLOOKUP(Tabla13[[#This Row],[REGION]],dimensiones!C:C,dimensiones!D:D,"")</f>
        <v>Región de Coquimbo</v>
      </c>
    </row>
    <row r="575" spans="1:10" ht="14.25" customHeight="1" x14ac:dyDescent="0.25">
      <c r="A575">
        <v>690414007</v>
      </c>
      <c r="B575" t="s">
        <v>898</v>
      </c>
      <c r="C575" t="s">
        <v>4247</v>
      </c>
      <c r="D575">
        <v>4</v>
      </c>
      <c r="E575" t="s">
        <v>4445</v>
      </c>
      <c r="F575" t="s">
        <v>1270</v>
      </c>
      <c r="G575" t="s">
        <v>5575</v>
      </c>
      <c r="H575" t="s">
        <v>4957</v>
      </c>
      <c r="I575" s="79" t="str">
        <f>IF(Tabla13[[#This Row],[RUT]]=774097899,"DIST",_xlfn.XLOOKUP(Tabla13[[#This Row],[VENDEDOR]],dimensiones!$C$21:$C$28,dimensiones!$D$21:$D$28,""))</f>
        <v>ATEL</v>
      </c>
      <c r="J575" s="125" t="str">
        <f>_xlfn.XLOOKUP(Tabla13[[#This Row],[REGION]],dimensiones!C:C,dimensiones!D:D,"")</f>
        <v>Región de Coquimbo</v>
      </c>
    </row>
    <row r="576" spans="1:10" ht="14.25" customHeight="1" x14ac:dyDescent="0.25">
      <c r="A576">
        <v>690415003</v>
      </c>
      <c r="B576" t="s">
        <v>899</v>
      </c>
      <c r="C576" t="s">
        <v>4248</v>
      </c>
      <c r="D576">
        <v>4</v>
      </c>
      <c r="E576" t="s">
        <v>4445</v>
      </c>
      <c r="F576" t="s">
        <v>1642</v>
      </c>
      <c r="G576" t="s">
        <v>5575</v>
      </c>
      <c r="H576" t="s">
        <v>4957</v>
      </c>
      <c r="I576" s="79" t="str">
        <f>IF(Tabla13[[#This Row],[RUT]]=774097899,"DIST",_xlfn.XLOOKUP(Tabla13[[#This Row],[VENDEDOR]],dimensiones!$C$21:$C$28,dimensiones!$D$21:$D$28,""))</f>
        <v>ATEL</v>
      </c>
      <c r="J576" s="125" t="str">
        <f>_xlfn.XLOOKUP(Tabla13[[#This Row],[REGION]],dimensiones!C:C,dimensiones!D:D,"")</f>
        <v>Región de Coquimbo</v>
      </c>
    </row>
    <row r="577" spans="1:10" ht="14.25" customHeight="1" x14ac:dyDescent="0.25">
      <c r="A577">
        <v>690501007</v>
      </c>
      <c r="B577" t="s">
        <v>77</v>
      </c>
      <c r="C577" t="s">
        <v>4305</v>
      </c>
      <c r="D577">
        <v>5</v>
      </c>
      <c r="E577" t="s">
        <v>4445</v>
      </c>
      <c r="F577" t="s">
        <v>1540</v>
      </c>
      <c r="G577" t="s">
        <v>5575</v>
      </c>
      <c r="H577" t="s">
        <v>4957</v>
      </c>
      <c r="I577" s="79" t="str">
        <f>IF(Tabla13[[#This Row],[RUT]]=774097899,"DIST",_xlfn.XLOOKUP(Tabla13[[#This Row],[VENDEDOR]],dimensiones!$C$21:$C$28,dimensiones!$D$21:$D$28,""))</f>
        <v>ATEL</v>
      </c>
      <c r="J577" s="125" t="str">
        <f>_xlfn.XLOOKUP(Tabla13[[#This Row],[REGION]],dimensiones!C:C,dimensiones!D:D,"")</f>
        <v>Región de Valparaíso</v>
      </c>
    </row>
    <row r="578" spans="1:10" ht="14.25" customHeight="1" x14ac:dyDescent="0.25">
      <c r="A578">
        <v>690502003</v>
      </c>
      <c r="B578" t="s">
        <v>5431</v>
      </c>
      <c r="C578" t="s">
        <v>4253</v>
      </c>
      <c r="D578">
        <v>5</v>
      </c>
      <c r="E578" t="s">
        <v>4445</v>
      </c>
      <c r="F578" t="s">
        <v>5432</v>
      </c>
      <c r="G578" t="s">
        <v>5575</v>
      </c>
      <c r="H578" t="s">
        <v>4957</v>
      </c>
      <c r="I578" s="79" t="str">
        <f>IF(Tabla13[[#This Row],[RUT]]=774097899,"DIST",_xlfn.XLOOKUP(Tabla13[[#This Row],[VENDEDOR]],dimensiones!$C$21:$C$28,dimensiones!$D$21:$D$28,""))</f>
        <v>ATEL</v>
      </c>
      <c r="J578" s="125" t="str">
        <f>_xlfn.XLOOKUP(Tabla13[[#This Row],[REGION]],dimensiones!C:C,dimensiones!D:D,"")</f>
        <v>Región de Valparaíso</v>
      </c>
    </row>
    <row r="579" spans="1:10" ht="14.25" customHeight="1" x14ac:dyDescent="0.25">
      <c r="A579" t="s">
        <v>674</v>
      </c>
      <c r="B579" t="s">
        <v>675</v>
      </c>
      <c r="C579" t="s">
        <v>4306</v>
      </c>
      <c r="D579">
        <v>5</v>
      </c>
      <c r="E579" t="s">
        <v>4445</v>
      </c>
      <c r="F579" t="s">
        <v>2794</v>
      </c>
      <c r="G579" t="s">
        <v>5575</v>
      </c>
      <c r="H579" t="s">
        <v>4957</v>
      </c>
      <c r="I579" s="79" t="str">
        <f>IF(Tabla13[[#This Row],[RUT]]=774097899,"DIST",_xlfn.XLOOKUP(Tabla13[[#This Row],[VENDEDOR]],dimensiones!$C$21:$C$28,dimensiones!$D$21:$D$28,""))</f>
        <v>ATEL</v>
      </c>
      <c r="J579" s="125" t="str">
        <f>_xlfn.XLOOKUP(Tabla13[[#This Row],[REGION]],dimensiones!C:C,dimensiones!D:D,"")</f>
        <v>Región de Valparaíso</v>
      </c>
    </row>
    <row r="580" spans="1:10" ht="14.25" customHeight="1" x14ac:dyDescent="0.25">
      <c r="A580">
        <v>690504006</v>
      </c>
      <c r="B580" t="s">
        <v>785</v>
      </c>
      <c r="C580" t="s">
        <v>4307</v>
      </c>
      <c r="D580">
        <v>5</v>
      </c>
      <c r="E580" t="s">
        <v>4445</v>
      </c>
      <c r="F580" t="s">
        <v>1648</v>
      </c>
      <c r="G580" t="s">
        <v>5575</v>
      </c>
      <c r="H580" t="s">
        <v>4957</v>
      </c>
      <c r="I580" s="79" t="str">
        <f>IF(Tabla13[[#This Row],[RUT]]=774097899,"DIST",_xlfn.XLOOKUP(Tabla13[[#This Row],[VENDEDOR]],dimensiones!$C$21:$C$28,dimensiones!$D$21:$D$28,""))</f>
        <v>ATEL</v>
      </c>
      <c r="J580" s="125" t="str">
        <f>_xlfn.XLOOKUP(Tabla13[[#This Row],[REGION]],dimensiones!C:C,dimensiones!D:D,"")</f>
        <v>Región de Valparaíso</v>
      </c>
    </row>
    <row r="581" spans="1:10" ht="14.25" customHeight="1" x14ac:dyDescent="0.25">
      <c r="A581">
        <v>690505002</v>
      </c>
      <c r="B581" t="s">
        <v>291</v>
      </c>
      <c r="C581" t="s">
        <v>4255</v>
      </c>
      <c r="D581">
        <v>5</v>
      </c>
      <c r="E581" t="s">
        <v>4445</v>
      </c>
      <c r="F581" t="s">
        <v>1664</v>
      </c>
      <c r="G581" t="s">
        <v>5575</v>
      </c>
      <c r="H581" t="s">
        <v>4957</v>
      </c>
      <c r="I581" s="79" t="str">
        <f>IF(Tabla13[[#This Row],[RUT]]=774097899,"DIST",_xlfn.XLOOKUP(Tabla13[[#This Row],[VENDEDOR]],dimensiones!$C$21:$C$28,dimensiones!$D$21:$D$28,""))</f>
        <v>ATEL</v>
      </c>
      <c r="J581" s="125" t="str">
        <f>_xlfn.XLOOKUP(Tabla13[[#This Row],[REGION]],dimensiones!C:C,dimensiones!D:D,"")</f>
        <v>Región de Valparaíso</v>
      </c>
    </row>
    <row r="582" spans="1:10" ht="14.25" customHeight="1" x14ac:dyDescent="0.25">
      <c r="A582">
        <v>690506009</v>
      </c>
      <c r="B582" t="s">
        <v>292</v>
      </c>
      <c r="C582" t="s">
        <v>4174</v>
      </c>
      <c r="D582">
        <v>5</v>
      </c>
      <c r="E582" t="s">
        <v>4445</v>
      </c>
      <c r="F582" t="s">
        <v>1652</v>
      </c>
      <c r="G582" t="s">
        <v>5575</v>
      </c>
      <c r="H582" t="s">
        <v>4957</v>
      </c>
      <c r="I582" s="79" t="str">
        <f>IF(Tabla13[[#This Row],[RUT]]=774097899,"DIST",_xlfn.XLOOKUP(Tabla13[[#This Row],[VENDEDOR]],dimensiones!$C$21:$C$28,dimensiones!$D$21:$D$28,""))</f>
        <v>ATEL</v>
      </c>
      <c r="J582" s="125" t="str">
        <f>_xlfn.XLOOKUP(Tabla13[[#This Row],[REGION]],dimensiones!C:C,dimensiones!D:D,"")</f>
        <v>Región de Valparaíso</v>
      </c>
    </row>
    <row r="583" spans="1:10" ht="14.25" customHeight="1" x14ac:dyDescent="0.25">
      <c r="A583">
        <v>690507005</v>
      </c>
      <c r="B583" t="s">
        <v>900</v>
      </c>
      <c r="C583" t="s">
        <v>4256</v>
      </c>
      <c r="D583">
        <v>5</v>
      </c>
      <c r="E583" t="s">
        <v>4445</v>
      </c>
      <c r="F583" t="s">
        <v>1654</v>
      </c>
      <c r="G583" t="s">
        <v>5575</v>
      </c>
      <c r="H583" t="s">
        <v>4957</v>
      </c>
      <c r="I583" s="79" t="str">
        <f>IF(Tabla13[[#This Row],[RUT]]=774097899,"DIST",_xlfn.XLOOKUP(Tabla13[[#This Row],[VENDEDOR]],dimensiones!$C$21:$C$28,dimensiones!$D$21:$D$28,""))</f>
        <v>ATEL</v>
      </c>
      <c r="J583" s="125" t="str">
        <f>_xlfn.XLOOKUP(Tabla13[[#This Row],[REGION]],dimensiones!C:C,dimensiones!D:D,"")</f>
        <v>Región de Valparaíso</v>
      </c>
    </row>
    <row r="584" spans="1:10" ht="14.25" customHeight="1" x14ac:dyDescent="0.25">
      <c r="A584">
        <v>690508001</v>
      </c>
      <c r="B584" t="s">
        <v>901</v>
      </c>
      <c r="C584" t="s">
        <v>4522</v>
      </c>
      <c r="D584">
        <v>5</v>
      </c>
      <c r="E584" t="s">
        <v>4445</v>
      </c>
      <c r="F584" t="s">
        <v>1198</v>
      </c>
      <c r="G584" t="s">
        <v>5575</v>
      </c>
      <c r="H584" t="s">
        <v>4957</v>
      </c>
      <c r="I584" s="79" t="str">
        <f>IF(Tabla13[[#This Row],[RUT]]=774097899,"DIST",_xlfn.XLOOKUP(Tabla13[[#This Row],[VENDEDOR]],dimensiones!$C$21:$C$28,dimensiones!$D$21:$D$28,""))</f>
        <v>ATEL</v>
      </c>
      <c r="J584" s="125" t="str">
        <f>_xlfn.XLOOKUP(Tabla13[[#This Row],[REGION]],dimensiones!C:C,dimensiones!D:D,"")</f>
        <v>Región de Valparaíso</v>
      </c>
    </row>
    <row r="585" spans="1:10" ht="14.25" customHeight="1" x14ac:dyDescent="0.25">
      <c r="A585">
        <v>690509008</v>
      </c>
      <c r="B585" t="s">
        <v>786</v>
      </c>
      <c r="C585" t="s">
        <v>4308</v>
      </c>
      <c r="D585">
        <v>5</v>
      </c>
      <c r="E585" t="s">
        <v>4445</v>
      </c>
      <c r="F585" t="s">
        <v>1659</v>
      </c>
      <c r="G585" t="s">
        <v>5575</v>
      </c>
      <c r="H585" t="s">
        <v>4957</v>
      </c>
      <c r="I585" s="79" t="str">
        <f>IF(Tabla13[[#This Row],[RUT]]=774097899,"DIST",_xlfn.XLOOKUP(Tabla13[[#This Row],[VENDEDOR]],dimensiones!$C$21:$C$28,dimensiones!$D$21:$D$28,""))</f>
        <v>ATEL</v>
      </c>
      <c r="J585" s="125" t="str">
        <f>_xlfn.XLOOKUP(Tabla13[[#This Row],[REGION]],dimensiones!C:C,dimensiones!D:D,"")</f>
        <v>Región de Valparaíso</v>
      </c>
    </row>
    <row r="586" spans="1:10" ht="14.25" customHeight="1" x14ac:dyDescent="0.25">
      <c r="A586">
        <v>690510006</v>
      </c>
      <c r="B586" t="s">
        <v>293</v>
      </c>
      <c r="C586" t="s">
        <v>4523</v>
      </c>
      <c r="D586">
        <v>5</v>
      </c>
      <c r="E586" t="s">
        <v>4445</v>
      </c>
      <c r="F586" t="s">
        <v>1179</v>
      </c>
      <c r="G586" t="s">
        <v>5575</v>
      </c>
      <c r="H586" t="s">
        <v>4957</v>
      </c>
      <c r="I586" s="79" t="str">
        <f>IF(Tabla13[[#This Row],[RUT]]=774097899,"DIST",_xlfn.XLOOKUP(Tabla13[[#This Row],[VENDEDOR]],dimensiones!$C$21:$C$28,dimensiones!$D$21:$D$28,""))</f>
        <v>ATEL</v>
      </c>
      <c r="J586" s="125" t="str">
        <f>_xlfn.XLOOKUP(Tabla13[[#This Row],[REGION]],dimensiones!C:C,dimensiones!D:D,"")</f>
        <v>Región de Valparaíso</v>
      </c>
    </row>
    <row r="587" spans="1:10" ht="14.25" customHeight="1" x14ac:dyDescent="0.25">
      <c r="A587">
        <v>690511002</v>
      </c>
      <c r="B587" t="s">
        <v>294</v>
      </c>
      <c r="C587" t="s">
        <v>4192</v>
      </c>
      <c r="D587">
        <v>5</v>
      </c>
      <c r="E587" t="s">
        <v>4445</v>
      </c>
      <c r="F587" t="s">
        <v>1677</v>
      </c>
      <c r="G587" t="s">
        <v>5575</v>
      </c>
      <c r="H587" t="s">
        <v>4957</v>
      </c>
      <c r="I587" s="79" t="str">
        <f>IF(Tabla13[[#This Row],[RUT]]=774097899,"DIST",_xlfn.XLOOKUP(Tabla13[[#This Row],[VENDEDOR]],dimensiones!$C$21:$C$28,dimensiones!$D$21:$D$28,""))</f>
        <v>ATEL</v>
      </c>
      <c r="J587" s="125" t="str">
        <f>_xlfn.XLOOKUP(Tabla13[[#This Row],[REGION]],dimensiones!C:C,dimensiones!D:D,"")</f>
        <v>Región de Valparaíso</v>
      </c>
    </row>
    <row r="588" spans="1:10" ht="14.25" customHeight="1" x14ac:dyDescent="0.25">
      <c r="A588">
        <v>690512009</v>
      </c>
      <c r="B588" t="s">
        <v>295</v>
      </c>
      <c r="C588" t="s">
        <v>4524</v>
      </c>
      <c r="D588">
        <v>5</v>
      </c>
      <c r="E588" t="s">
        <v>4445</v>
      </c>
      <c r="F588" t="s">
        <v>1246</v>
      </c>
      <c r="G588" t="s">
        <v>5575</v>
      </c>
      <c r="H588" t="s">
        <v>4957</v>
      </c>
      <c r="I588" s="79" t="str">
        <f>IF(Tabla13[[#This Row],[RUT]]=774097899,"DIST",_xlfn.XLOOKUP(Tabla13[[#This Row],[VENDEDOR]],dimensiones!$C$21:$C$28,dimensiones!$D$21:$D$28,""))</f>
        <v>ATEL</v>
      </c>
      <c r="J588" s="125" t="str">
        <f>_xlfn.XLOOKUP(Tabla13[[#This Row],[REGION]],dimensiones!C:C,dimensiones!D:D,"")</f>
        <v>Región de Valparaíso</v>
      </c>
    </row>
    <row r="589" spans="1:10" ht="14.25" customHeight="1" x14ac:dyDescent="0.25">
      <c r="A589">
        <v>690513005</v>
      </c>
      <c r="B589" t="s">
        <v>296</v>
      </c>
      <c r="C589" t="s">
        <v>4309</v>
      </c>
      <c r="D589">
        <v>5</v>
      </c>
      <c r="E589" t="s">
        <v>4445</v>
      </c>
      <c r="F589" t="s">
        <v>4126</v>
      </c>
      <c r="G589" t="s">
        <v>5575</v>
      </c>
      <c r="H589" t="s">
        <v>4957</v>
      </c>
      <c r="I589" s="79" t="str">
        <f>IF(Tabla13[[#This Row],[RUT]]=774097899,"DIST",_xlfn.XLOOKUP(Tabla13[[#This Row],[VENDEDOR]],dimensiones!$C$21:$C$28,dimensiones!$D$21:$D$28,""))</f>
        <v>ATEL</v>
      </c>
      <c r="J589" s="125" t="str">
        <f>_xlfn.XLOOKUP(Tabla13[[#This Row],[REGION]],dimensiones!C:C,dimensiones!D:D,"")</f>
        <v>Región de Valparaíso</v>
      </c>
    </row>
    <row r="590" spans="1:10" ht="14.25" customHeight="1" x14ac:dyDescent="0.25">
      <c r="A590">
        <v>690514001</v>
      </c>
      <c r="B590" t="s">
        <v>78</v>
      </c>
      <c r="C590" t="s">
        <v>4310</v>
      </c>
      <c r="D590">
        <v>5</v>
      </c>
      <c r="E590" t="s">
        <v>4445</v>
      </c>
      <c r="F590" t="s">
        <v>1670</v>
      </c>
      <c r="G590" t="s">
        <v>5575</v>
      </c>
      <c r="H590" t="s">
        <v>4957</v>
      </c>
      <c r="I590" s="79" t="str">
        <f>IF(Tabla13[[#This Row],[RUT]]=774097899,"DIST",_xlfn.XLOOKUP(Tabla13[[#This Row],[VENDEDOR]],dimensiones!$C$21:$C$28,dimensiones!$D$21:$D$28,""))</f>
        <v>ATEL</v>
      </c>
      <c r="J590" s="125" t="str">
        <f>_xlfn.XLOOKUP(Tabla13[[#This Row],[REGION]],dimensiones!C:C,dimensiones!D:D,"")</f>
        <v>Región de Valparaíso</v>
      </c>
    </row>
    <row r="591" spans="1:10" ht="14.25" customHeight="1" x14ac:dyDescent="0.25">
      <c r="A591">
        <v>690602008</v>
      </c>
      <c r="B591" t="s">
        <v>297</v>
      </c>
      <c r="C591" t="s">
        <v>4311</v>
      </c>
      <c r="D591">
        <v>5</v>
      </c>
      <c r="E591" t="s">
        <v>4445</v>
      </c>
      <c r="F591" t="s">
        <v>1353</v>
      </c>
      <c r="G591" t="s">
        <v>5575</v>
      </c>
      <c r="H591" t="s">
        <v>4957</v>
      </c>
      <c r="I591" s="79" t="str">
        <f>IF(Tabla13[[#This Row],[RUT]]=774097899,"DIST",_xlfn.XLOOKUP(Tabla13[[#This Row],[VENDEDOR]],dimensiones!$C$21:$C$28,dimensiones!$D$21:$D$28,""))</f>
        <v>ATEL</v>
      </c>
      <c r="J591" s="125" t="str">
        <f>_xlfn.XLOOKUP(Tabla13[[#This Row],[REGION]],dimensiones!C:C,dimensiones!D:D,"")</f>
        <v>Región de Valparaíso</v>
      </c>
    </row>
    <row r="592" spans="1:10" ht="14.25" customHeight="1" x14ac:dyDescent="0.25">
      <c r="A592">
        <v>690603004</v>
      </c>
      <c r="B592" t="s">
        <v>298</v>
      </c>
      <c r="C592" t="s">
        <v>4252</v>
      </c>
      <c r="D592">
        <v>5</v>
      </c>
      <c r="E592" t="s">
        <v>4445</v>
      </c>
      <c r="F592" t="s">
        <v>2349</v>
      </c>
      <c r="G592" t="s">
        <v>5575</v>
      </c>
      <c r="H592" t="s">
        <v>4957</v>
      </c>
      <c r="I592" s="79" t="str">
        <f>IF(Tabla13[[#This Row],[RUT]]=774097899,"DIST",_xlfn.XLOOKUP(Tabla13[[#This Row],[VENDEDOR]],dimensiones!$C$21:$C$28,dimensiones!$D$21:$D$28,""))</f>
        <v>ATEL</v>
      </c>
      <c r="J592" s="125" t="str">
        <f>_xlfn.XLOOKUP(Tabla13[[#This Row],[REGION]],dimensiones!C:C,dimensiones!D:D,"")</f>
        <v>Región de Valparaíso</v>
      </c>
    </row>
    <row r="593" spans="1:10" ht="14.25" customHeight="1" x14ac:dyDescent="0.25">
      <c r="A593">
        <v>690605007</v>
      </c>
      <c r="B593" t="s">
        <v>79</v>
      </c>
      <c r="C593" t="s">
        <v>4312</v>
      </c>
      <c r="D593">
        <v>5</v>
      </c>
      <c r="E593" t="s">
        <v>4445</v>
      </c>
      <c r="F593" t="s">
        <v>2107</v>
      </c>
      <c r="G593" t="s">
        <v>5575</v>
      </c>
      <c r="H593" t="s">
        <v>4957</v>
      </c>
      <c r="I593" s="79" t="str">
        <f>IF(Tabla13[[#This Row],[RUT]]=774097899,"DIST",_xlfn.XLOOKUP(Tabla13[[#This Row],[VENDEDOR]],dimensiones!$C$21:$C$28,dimensiones!$D$21:$D$28,""))</f>
        <v>ATEL</v>
      </c>
      <c r="J593" s="125" t="str">
        <f>_xlfn.XLOOKUP(Tabla13[[#This Row],[REGION]],dimensiones!C:C,dimensiones!D:D,"")</f>
        <v>Región de Valparaíso</v>
      </c>
    </row>
    <row r="594" spans="1:10" ht="14.25" customHeight="1" x14ac:dyDescent="0.25">
      <c r="A594">
        <v>690606003</v>
      </c>
      <c r="B594" t="s">
        <v>299</v>
      </c>
      <c r="C594" t="s">
        <v>4404</v>
      </c>
      <c r="D594">
        <v>5</v>
      </c>
      <c r="E594" t="s">
        <v>4445</v>
      </c>
      <c r="F594" t="s">
        <v>1831</v>
      </c>
      <c r="G594" t="s">
        <v>5575</v>
      </c>
      <c r="H594" t="s">
        <v>4957</v>
      </c>
      <c r="I594" s="79" t="str">
        <f>IF(Tabla13[[#This Row],[RUT]]=774097899,"DIST",_xlfn.XLOOKUP(Tabla13[[#This Row],[VENDEDOR]],dimensiones!$C$21:$C$28,dimensiones!$D$21:$D$28,""))</f>
        <v>ATEL</v>
      </c>
      <c r="J594" s="125" t="str">
        <f>_xlfn.XLOOKUP(Tabla13[[#This Row],[REGION]],dimensiones!C:C,dimensiones!D:D,"")</f>
        <v>Región de Valparaíso</v>
      </c>
    </row>
    <row r="595" spans="1:10" ht="14.25" customHeight="1" x14ac:dyDescent="0.25">
      <c r="A595" t="s">
        <v>4764</v>
      </c>
      <c r="B595" t="s">
        <v>1680</v>
      </c>
      <c r="C595" t="s">
        <v>4313</v>
      </c>
      <c r="D595">
        <v>5</v>
      </c>
      <c r="E595" t="s">
        <v>4445</v>
      </c>
      <c r="F595" t="s">
        <v>1679</v>
      </c>
      <c r="G595" t="s">
        <v>5575</v>
      </c>
      <c r="H595" t="s">
        <v>4957</v>
      </c>
      <c r="I595" s="79" t="str">
        <f>IF(Tabla13[[#This Row],[RUT]]=774097899,"DIST",_xlfn.XLOOKUP(Tabla13[[#This Row],[VENDEDOR]],dimensiones!$C$21:$C$28,dimensiones!$D$21:$D$28,""))</f>
        <v>ATEL</v>
      </c>
      <c r="J595" s="125" t="str">
        <f>_xlfn.XLOOKUP(Tabla13[[#This Row],[REGION]],dimensiones!C:C,dimensiones!D:D,"")</f>
        <v>Región de Valparaíso</v>
      </c>
    </row>
    <row r="596" spans="1:10" ht="14.25" customHeight="1" x14ac:dyDescent="0.25">
      <c r="A596">
        <v>690608006</v>
      </c>
      <c r="B596" t="s">
        <v>80</v>
      </c>
      <c r="C596" t="s">
        <v>4525</v>
      </c>
      <c r="D596">
        <v>5</v>
      </c>
      <c r="E596" t="s">
        <v>2372</v>
      </c>
      <c r="F596" t="s">
        <v>2031</v>
      </c>
      <c r="G596" t="s">
        <v>5575</v>
      </c>
      <c r="H596" t="s">
        <v>4957</v>
      </c>
      <c r="I596" s="79" t="str">
        <f>IF(Tabla13[[#This Row],[RUT]]=774097899,"DIST",_xlfn.XLOOKUP(Tabla13[[#This Row],[VENDEDOR]],dimensiones!$C$21:$C$28,dimensiones!$D$21:$D$28,""))</f>
        <v>NOR1</v>
      </c>
      <c r="J596" s="125" t="str">
        <f>_xlfn.XLOOKUP(Tabla13[[#This Row],[REGION]],dimensiones!C:C,dimensiones!D:D,"")</f>
        <v>Región de Valparaíso</v>
      </c>
    </row>
    <row r="597" spans="1:10" ht="14.25" customHeight="1" x14ac:dyDescent="0.25">
      <c r="A597">
        <v>690611007</v>
      </c>
      <c r="B597" t="s">
        <v>1683</v>
      </c>
      <c r="C597" t="s">
        <v>4249</v>
      </c>
      <c r="D597">
        <v>5</v>
      </c>
      <c r="E597" t="s">
        <v>4445</v>
      </c>
      <c r="F597" t="s">
        <v>1682</v>
      </c>
      <c r="G597" t="s">
        <v>5575</v>
      </c>
      <c r="H597" t="s">
        <v>4957</v>
      </c>
      <c r="I597" s="79" t="str">
        <f>IF(Tabla13[[#This Row],[RUT]]=774097899,"DIST",_xlfn.XLOOKUP(Tabla13[[#This Row],[VENDEDOR]],dimensiones!$C$21:$C$28,dimensiones!$D$21:$D$28,""))</f>
        <v>ATEL</v>
      </c>
      <c r="J597" s="125" t="str">
        <f>_xlfn.XLOOKUP(Tabla13[[#This Row],[REGION]],dimensiones!C:C,dimensiones!D:D,"")</f>
        <v>Región de Valparaíso</v>
      </c>
    </row>
    <row r="598" spans="1:10" ht="14.25" customHeight="1" x14ac:dyDescent="0.25">
      <c r="A598">
        <v>690612003</v>
      </c>
      <c r="B598" t="s">
        <v>300</v>
      </c>
      <c r="C598" t="s">
        <v>4526</v>
      </c>
      <c r="D598">
        <v>5</v>
      </c>
      <c r="E598" t="s">
        <v>4445</v>
      </c>
      <c r="F598" t="s">
        <v>1685</v>
      </c>
      <c r="G598" t="s">
        <v>5575</v>
      </c>
      <c r="H598" t="s">
        <v>4957</v>
      </c>
      <c r="I598" s="79" t="str">
        <f>IF(Tabla13[[#This Row],[RUT]]=774097899,"DIST",_xlfn.XLOOKUP(Tabla13[[#This Row],[VENDEDOR]],dimensiones!$C$21:$C$28,dimensiones!$D$21:$D$28,""))</f>
        <v>ATEL</v>
      </c>
      <c r="J598" s="125" t="str">
        <f>_xlfn.XLOOKUP(Tabla13[[#This Row],[REGION]],dimensiones!C:C,dimensiones!D:D,"")</f>
        <v>Región de Valparaíso</v>
      </c>
    </row>
    <row r="599" spans="1:10" ht="14.25" customHeight="1" x14ac:dyDescent="0.25">
      <c r="A599">
        <v>690614006</v>
      </c>
      <c r="B599" t="s">
        <v>301</v>
      </c>
      <c r="C599" t="s">
        <v>4193</v>
      </c>
      <c r="D599">
        <v>5</v>
      </c>
      <c r="E599" t="s">
        <v>4445</v>
      </c>
      <c r="F599" t="s">
        <v>1687</v>
      </c>
      <c r="G599" t="s">
        <v>5575</v>
      </c>
      <c r="H599" t="s">
        <v>4957</v>
      </c>
      <c r="I599" s="79" t="str">
        <f>IF(Tabla13[[#This Row],[RUT]]=774097899,"DIST",_xlfn.XLOOKUP(Tabla13[[#This Row],[VENDEDOR]],dimensiones!$C$21:$C$28,dimensiones!$D$21:$D$28,""))</f>
        <v>ATEL</v>
      </c>
      <c r="J599" s="125" t="str">
        <f>_xlfn.XLOOKUP(Tabla13[[#This Row],[REGION]],dimensiones!C:C,dimensiones!D:D,"")</f>
        <v>Región de Valparaíso</v>
      </c>
    </row>
    <row r="600" spans="1:10" ht="14.25" customHeight="1" x14ac:dyDescent="0.25">
      <c r="A600">
        <v>690616009</v>
      </c>
      <c r="B600" t="s">
        <v>81</v>
      </c>
      <c r="C600" t="s">
        <v>4314</v>
      </c>
      <c r="D600">
        <v>5</v>
      </c>
      <c r="E600" t="s">
        <v>4445</v>
      </c>
      <c r="F600" t="s">
        <v>1418</v>
      </c>
      <c r="G600" t="s">
        <v>5575</v>
      </c>
      <c r="H600" t="s">
        <v>4957</v>
      </c>
      <c r="I600" s="79" t="str">
        <f>IF(Tabla13[[#This Row],[RUT]]=774097899,"DIST",_xlfn.XLOOKUP(Tabla13[[#This Row],[VENDEDOR]],dimensiones!$C$21:$C$28,dimensiones!$D$21:$D$28,""))</f>
        <v>ATEL</v>
      </c>
      <c r="J600" s="125" t="str">
        <f>_xlfn.XLOOKUP(Tabla13[[#This Row],[REGION]],dimensiones!C:C,dimensiones!D:D,"")</f>
        <v>Región de Valparaíso</v>
      </c>
    </row>
    <row r="601" spans="1:10" ht="14.25" customHeight="1" x14ac:dyDescent="0.25">
      <c r="A601">
        <v>690617005</v>
      </c>
      <c r="B601" t="s">
        <v>749</v>
      </c>
      <c r="C601" t="s">
        <v>4527</v>
      </c>
      <c r="D601">
        <v>5</v>
      </c>
      <c r="E601" t="s">
        <v>2372</v>
      </c>
      <c r="F601" t="s">
        <v>1691</v>
      </c>
      <c r="G601" t="s">
        <v>5575</v>
      </c>
      <c r="H601" t="s">
        <v>4957</v>
      </c>
      <c r="I601" s="79" t="str">
        <f>IF(Tabla13[[#This Row],[RUT]]=774097899,"DIST",_xlfn.XLOOKUP(Tabla13[[#This Row],[VENDEDOR]],dimensiones!$C$21:$C$28,dimensiones!$D$21:$D$28,""))</f>
        <v>NOR1</v>
      </c>
      <c r="J601" s="125" t="str">
        <f>_xlfn.XLOOKUP(Tabla13[[#This Row],[REGION]],dimensiones!C:C,dimensiones!D:D,"")</f>
        <v>Región de Valparaíso</v>
      </c>
    </row>
    <row r="602" spans="1:10" ht="14.25" customHeight="1" x14ac:dyDescent="0.25">
      <c r="A602">
        <v>690701006</v>
      </c>
      <c r="B602" t="s">
        <v>302</v>
      </c>
      <c r="C602" t="s">
        <v>4168</v>
      </c>
      <c r="D602">
        <v>13</v>
      </c>
      <c r="E602" t="s">
        <v>4445</v>
      </c>
      <c r="F602" t="s">
        <v>1562</v>
      </c>
      <c r="G602" t="s">
        <v>5575</v>
      </c>
      <c r="H602" t="s">
        <v>4957</v>
      </c>
      <c r="I602" s="79" t="str">
        <f>IF(Tabla13[[#This Row],[RUT]]=774097899,"DIST",_xlfn.XLOOKUP(Tabla13[[#This Row],[VENDEDOR]],dimensiones!$C$21:$C$28,dimensiones!$D$21:$D$28,""))</f>
        <v>ATEL</v>
      </c>
      <c r="J602" s="125" t="str">
        <f>_xlfn.XLOOKUP(Tabla13[[#This Row],[REGION]],dimensiones!C:C,dimensiones!D:D,"")</f>
        <v>Región de Metropolitana de Santiago</v>
      </c>
    </row>
    <row r="603" spans="1:10" ht="14.25" customHeight="1" x14ac:dyDescent="0.25">
      <c r="A603">
        <v>690703017</v>
      </c>
      <c r="B603" t="s">
        <v>303</v>
      </c>
      <c r="C603" t="s">
        <v>4391</v>
      </c>
      <c r="D603">
        <v>13</v>
      </c>
      <c r="E603" t="s">
        <v>4445</v>
      </c>
      <c r="F603" t="s">
        <v>3576</v>
      </c>
      <c r="G603" t="s">
        <v>5574</v>
      </c>
      <c r="H603" t="s">
        <v>4957</v>
      </c>
      <c r="I603" s="79" t="str">
        <f>IF(Tabla13[[#This Row],[RUT]]=774097899,"DIST",_xlfn.XLOOKUP(Tabla13[[#This Row],[VENDEDOR]],dimensiones!$C$21:$C$28,dimensiones!$D$21:$D$28,""))</f>
        <v>ATEL</v>
      </c>
      <c r="J603" s="125" t="str">
        <f>_xlfn.XLOOKUP(Tabla13[[#This Row],[REGION]],dimensiones!C:C,dimensiones!D:D,"")</f>
        <v>Región de Metropolitana de Santiago</v>
      </c>
    </row>
    <row r="604" spans="1:10" ht="14.25" customHeight="1" x14ac:dyDescent="0.25">
      <c r="A604">
        <v>690707004</v>
      </c>
      <c r="B604" t="s">
        <v>5490</v>
      </c>
      <c r="C604" t="s">
        <v>4394</v>
      </c>
      <c r="D604">
        <v>13</v>
      </c>
      <c r="E604" t="s">
        <v>4445</v>
      </c>
      <c r="F604" t="s">
        <v>5491</v>
      </c>
      <c r="G604" t="s">
        <v>5575</v>
      </c>
      <c r="H604" t="s">
        <v>4957</v>
      </c>
      <c r="I604" s="79" t="str">
        <f>IF(Tabla13[[#This Row],[RUT]]=774097899,"DIST",_xlfn.XLOOKUP(Tabla13[[#This Row],[VENDEDOR]],dimensiones!$C$21:$C$28,dimensiones!$D$21:$D$28,""))</f>
        <v>ATEL</v>
      </c>
      <c r="J604" s="125" t="str">
        <f>_xlfn.XLOOKUP(Tabla13[[#This Row],[REGION]],dimensiones!C:C,dimensiones!D:D,"")</f>
        <v>Región de Metropolitana de Santiago</v>
      </c>
    </row>
    <row r="605" spans="1:10" ht="14.25" customHeight="1" x14ac:dyDescent="0.25">
      <c r="A605">
        <v>690709007</v>
      </c>
      <c r="B605" t="s">
        <v>304</v>
      </c>
      <c r="C605" t="s">
        <v>4510</v>
      </c>
      <c r="D605">
        <v>13</v>
      </c>
      <c r="E605" t="s">
        <v>4445</v>
      </c>
      <c r="F605" t="s">
        <v>2169</v>
      </c>
      <c r="G605" t="s">
        <v>5575</v>
      </c>
      <c r="H605" t="s">
        <v>4957</v>
      </c>
      <c r="I605" s="79" t="str">
        <f>IF(Tabla13[[#This Row],[RUT]]=774097899,"DIST",_xlfn.XLOOKUP(Tabla13[[#This Row],[VENDEDOR]],dimensiones!$C$21:$C$28,dimensiones!$D$21:$D$28,""))</f>
        <v>ATEL</v>
      </c>
      <c r="J605" s="125" t="str">
        <f>_xlfn.XLOOKUP(Tabla13[[#This Row],[REGION]],dimensiones!C:C,dimensiones!D:D,"")</f>
        <v>Región de Metropolitana de Santiago</v>
      </c>
    </row>
    <row r="606" spans="1:10" ht="14.25" customHeight="1" x14ac:dyDescent="0.25">
      <c r="A606">
        <v>690713004</v>
      </c>
      <c r="B606" t="s">
        <v>305</v>
      </c>
      <c r="C606" t="s">
        <v>4528</v>
      </c>
      <c r="D606">
        <v>13</v>
      </c>
      <c r="E606" t="s">
        <v>4445</v>
      </c>
      <c r="F606" t="s">
        <v>3996</v>
      </c>
      <c r="G606" t="s">
        <v>5575</v>
      </c>
      <c r="H606" t="s">
        <v>4957</v>
      </c>
      <c r="I606" s="79" t="str">
        <f>IF(Tabla13[[#This Row],[RUT]]=774097899,"DIST",_xlfn.XLOOKUP(Tabla13[[#This Row],[VENDEDOR]],dimensiones!$C$21:$C$28,dimensiones!$D$21:$D$28,""))</f>
        <v>ATEL</v>
      </c>
      <c r="J606" s="125" t="str">
        <f>_xlfn.XLOOKUP(Tabla13[[#This Row],[REGION]],dimensiones!C:C,dimensiones!D:D,"")</f>
        <v>Región de Metropolitana de Santiago</v>
      </c>
    </row>
    <row r="607" spans="1:10" ht="14.25" customHeight="1" x14ac:dyDescent="0.25">
      <c r="A607">
        <v>690713012</v>
      </c>
      <c r="B607" t="s">
        <v>305</v>
      </c>
      <c r="C607" t="s">
        <v>4315</v>
      </c>
      <c r="D607">
        <v>13</v>
      </c>
      <c r="E607" t="s">
        <v>4445</v>
      </c>
      <c r="F607" t="s">
        <v>1689</v>
      </c>
      <c r="G607" t="s">
        <v>5575</v>
      </c>
      <c r="H607" t="s">
        <v>4957</v>
      </c>
      <c r="I607" s="79" t="str">
        <f>IF(Tabla13[[#This Row],[RUT]]=774097899,"DIST",_xlfn.XLOOKUP(Tabla13[[#This Row],[VENDEDOR]],dimensiones!$C$21:$C$28,dimensiones!$D$21:$D$28,""))</f>
        <v>ATEL</v>
      </c>
      <c r="J607" s="125" t="str">
        <f>_xlfn.XLOOKUP(Tabla13[[#This Row],[REGION]],dimensiones!C:C,dimensiones!D:D,"")</f>
        <v>Región de Metropolitana de Santiago</v>
      </c>
    </row>
    <row r="608" spans="1:10" ht="14.25" customHeight="1" x14ac:dyDescent="0.25">
      <c r="A608" t="s">
        <v>676</v>
      </c>
      <c r="B608" t="s">
        <v>677</v>
      </c>
      <c r="C608" t="s">
        <v>4194</v>
      </c>
      <c r="D608">
        <v>13</v>
      </c>
      <c r="E608" t="s">
        <v>4445</v>
      </c>
      <c r="F608" t="s">
        <v>2070</v>
      </c>
      <c r="G608" t="s">
        <v>5575</v>
      </c>
      <c r="H608" t="s">
        <v>4957</v>
      </c>
      <c r="I608" s="79" t="str">
        <f>IF(Tabla13[[#This Row],[RUT]]=774097899,"DIST",_xlfn.XLOOKUP(Tabla13[[#This Row],[VENDEDOR]],dimensiones!$C$21:$C$28,dimensiones!$D$21:$D$28,""))</f>
        <v>ATEL</v>
      </c>
      <c r="J608" s="125" t="str">
        <f>_xlfn.XLOOKUP(Tabla13[[#This Row],[REGION]],dimensiones!C:C,dimensiones!D:D,"")</f>
        <v>Región de Metropolitana de Santiago</v>
      </c>
    </row>
    <row r="609" spans="1:10" ht="14.25" customHeight="1" x14ac:dyDescent="0.25">
      <c r="A609">
        <v>690718006</v>
      </c>
      <c r="B609" t="s">
        <v>306</v>
      </c>
      <c r="C609" t="s">
        <v>4196</v>
      </c>
      <c r="D609">
        <v>13</v>
      </c>
      <c r="E609" t="s">
        <v>4445</v>
      </c>
      <c r="F609" t="s">
        <v>2306</v>
      </c>
      <c r="G609" t="s">
        <v>5575</v>
      </c>
      <c r="H609" t="s">
        <v>4957</v>
      </c>
      <c r="I609" s="79" t="str">
        <f>IF(Tabla13[[#This Row],[RUT]]=774097899,"DIST",_xlfn.XLOOKUP(Tabla13[[#This Row],[VENDEDOR]],dimensiones!$C$21:$C$28,dimensiones!$D$21:$D$28,""))</f>
        <v>ATEL</v>
      </c>
      <c r="J609" s="125" t="str">
        <f>_xlfn.XLOOKUP(Tabla13[[#This Row],[REGION]],dimensiones!C:C,dimensiones!D:D,"")</f>
        <v>Región de Metropolitana de Santiago</v>
      </c>
    </row>
    <row r="610" spans="1:10" ht="14.25" customHeight="1" x14ac:dyDescent="0.25">
      <c r="A610">
        <v>690720000</v>
      </c>
      <c r="B610" t="s">
        <v>307</v>
      </c>
      <c r="C610" t="s">
        <v>4529</v>
      </c>
      <c r="D610">
        <v>13</v>
      </c>
      <c r="E610" t="s">
        <v>4445</v>
      </c>
      <c r="F610" t="s">
        <v>2477</v>
      </c>
      <c r="G610" t="s">
        <v>5575</v>
      </c>
      <c r="H610" t="s">
        <v>4957</v>
      </c>
      <c r="I610" s="79" t="str">
        <f>IF(Tabla13[[#This Row],[RUT]]=774097899,"DIST",_xlfn.XLOOKUP(Tabla13[[#This Row],[VENDEDOR]],dimensiones!$C$21:$C$28,dimensiones!$D$21:$D$28,""))</f>
        <v>ATEL</v>
      </c>
      <c r="J610" s="125" t="str">
        <f>_xlfn.XLOOKUP(Tabla13[[#This Row],[REGION]],dimensiones!C:C,dimensiones!D:D,"")</f>
        <v>Región de Metropolitana de Santiago</v>
      </c>
    </row>
    <row r="611" spans="1:10" ht="14.25" customHeight="1" x14ac:dyDescent="0.25">
      <c r="A611">
        <v>690724006</v>
      </c>
      <c r="B611" t="s">
        <v>308</v>
      </c>
      <c r="C611" t="s">
        <v>4530</v>
      </c>
      <c r="D611">
        <v>13</v>
      </c>
      <c r="E611" t="s">
        <v>4445</v>
      </c>
      <c r="F611" t="s">
        <v>1899</v>
      </c>
      <c r="G611" t="s">
        <v>5575</v>
      </c>
      <c r="H611" t="s">
        <v>4957</v>
      </c>
      <c r="I611" s="79" t="str">
        <f>IF(Tabla13[[#This Row],[RUT]]=774097899,"DIST",_xlfn.XLOOKUP(Tabla13[[#This Row],[VENDEDOR]],dimensiones!$C$21:$C$28,dimensiones!$D$21:$D$28,""))</f>
        <v>ATEL</v>
      </c>
      <c r="J611" s="125" t="str">
        <f>_xlfn.XLOOKUP(Tabla13[[#This Row],[REGION]],dimensiones!C:C,dimensiones!D:D,"")</f>
        <v>Región de Metropolitana de Santiago</v>
      </c>
    </row>
    <row r="612" spans="1:10" ht="14.25" customHeight="1" x14ac:dyDescent="0.25">
      <c r="A612">
        <v>690726009</v>
      </c>
      <c r="B612" t="s">
        <v>309</v>
      </c>
      <c r="C612" t="s">
        <v>4316</v>
      </c>
      <c r="D612">
        <v>13</v>
      </c>
      <c r="E612" t="s">
        <v>4445</v>
      </c>
      <c r="F612" t="s">
        <v>3425</v>
      </c>
      <c r="G612" t="s">
        <v>5575</v>
      </c>
      <c r="H612" t="s">
        <v>4957</v>
      </c>
      <c r="I612" s="79" t="str">
        <f>IF(Tabla13[[#This Row],[RUT]]=774097899,"DIST",_xlfn.XLOOKUP(Tabla13[[#This Row],[VENDEDOR]],dimensiones!$C$21:$C$28,dimensiones!$D$21:$D$28,""))</f>
        <v>ATEL</v>
      </c>
      <c r="J612" s="125" t="str">
        <f>_xlfn.XLOOKUP(Tabla13[[#This Row],[REGION]],dimensiones!C:C,dimensiones!D:D,"")</f>
        <v>Región de Metropolitana de Santiago</v>
      </c>
    </row>
    <row r="613" spans="1:10" ht="14.25" customHeight="1" x14ac:dyDescent="0.25">
      <c r="A613">
        <v>690728001</v>
      </c>
      <c r="B613" t="s">
        <v>4065</v>
      </c>
      <c r="C613" t="s">
        <v>4490</v>
      </c>
      <c r="D613">
        <v>5</v>
      </c>
      <c r="E613" t="s">
        <v>4445</v>
      </c>
      <c r="F613" t="s">
        <v>4064</v>
      </c>
      <c r="G613" t="s">
        <v>5575</v>
      </c>
      <c r="H613" t="s">
        <v>4957</v>
      </c>
      <c r="I613" s="79" t="str">
        <f>IF(Tabla13[[#This Row],[RUT]]=774097899,"DIST",_xlfn.XLOOKUP(Tabla13[[#This Row],[VENDEDOR]],dimensiones!$C$21:$C$28,dimensiones!$D$21:$D$28,""))</f>
        <v>ATEL</v>
      </c>
      <c r="J613" s="125" t="str">
        <f>_xlfn.XLOOKUP(Tabla13[[#This Row],[REGION]],dimensiones!C:C,dimensiones!D:D,"")</f>
        <v>Región de Valparaíso</v>
      </c>
    </row>
    <row r="614" spans="1:10" ht="14.25" customHeight="1" x14ac:dyDescent="0.25">
      <c r="A614">
        <v>690730006</v>
      </c>
      <c r="B614" t="s">
        <v>310</v>
      </c>
      <c r="C614" t="s">
        <v>4317</v>
      </c>
      <c r="D614">
        <v>13</v>
      </c>
      <c r="E614" t="s">
        <v>4445</v>
      </c>
      <c r="F614" t="s">
        <v>1594</v>
      </c>
      <c r="G614" t="s">
        <v>5575</v>
      </c>
      <c r="H614" t="s">
        <v>4957</v>
      </c>
      <c r="I614" s="79" t="str">
        <f>IF(Tabla13[[#This Row],[RUT]]=774097899,"DIST",_xlfn.XLOOKUP(Tabla13[[#This Row],[VENDEDOR]],dimensiones!$C$21:$C$28,dimensiones!$D$21:$D$28,""))</f>
        <v>ATEL</v>
      </c>
      <c r="J614" s="125" t="str">
        <f>_xlfn.XLOOKUP(Tabla13[[#This Row],[REGION]],dimensiones!C:C,dimensiones!D:D,"")</f>
        <v>Región de Metropolitana de Santiago</v>
      </c>
    </row>
    <row r="615" spans="1:10" ht="14.25" customHeight="1" x14ac:dyDescent="0.25">
      <c r="A615">
        <v>690731002</v>
      </c>
      <c r="B615" t="s">
        <v>311</v>
      </c>
      <c r="C615" t="s">
        <v>4318</v>
      </c>
      <c r="D615">
        <v>13</v>
      </c>
      <c r="E615" t="s">
        <v>4445</v>
      </c>
      <c r="F615" t="s">
        <v>4067</v>
      </c>
      <c r="G615" t="s">
        <v>5575</v>
      </c>
      <c r="H615" t="s">
        <v>4957</v>
      </c>
      <c r="I615" s="79" t="str">
        <f>IF(Tabla13[[#This Row],[RUT]]=774097899,"DIST",_xlfn.XLOOKUP(Tabla13[[#This Row],[VENDEDOR]],dimensiones!$C$21:$C$28,dimensiones!$D$21:$D$28,""))</f>
        <v>ATEL</v>
      </c>
      <c r="J615" s="125" t="str">
        <f>_xlfn.XLOOKUP(Tabla13[[#This Row],[REGION]],dimensiones!C:C,dimensiones!D:D,"")</f>
        <v>Región de Metropolitana de Santiago</v>
      </c>
    </row>
    <row r="616" spans="1:10" ht="14.25" customHeight="1" x14ac:dyDescent="0.25">
      <c r="A616">
        <v>690732009</v>
      </c>
      <c r="B616" t="s">
        <v>950</v>
      </c>
      <c r="C616" t="s">
        <v>4814</v>
      </c>
      <c r="D616">
        <v>13</v>
      </c>
      <c r="E616" t="s">
        <v>4445</v>
      </c>
      <c r="F616" t="s">
        <v>2487</v>
      </c>
      <c r="G616" t="s">
        <v>5575</v>
      </c>
      <c r="H616" t="s">
        <v>4957</v>
      </c>
      <c r="I616" s="79" t="str">
        <f>IF(Tabla13[[#This Row],[RUT]]=774097899,"DIST",_xlfn.XLOOKUP(Tabla13[[#This Row],[VENDEDOR]],dimensiones!$C$21:$C$28,dimensiones!$D$21:$D$28,""))</f>
        <v>ATEL</v>
      </c>
      <c r="J616" s="125" t="str">
        <f>_xlfn.XLOOKUP(Tabla13[[#This Row],[REGION]],dimensiones!C:C,dimensiones!D:D,"")</f>
        <v>Región de Metropolitana de Santiago</v>
      </c>
    </row>
    <row r="617" spans="1:10" ht="14.25" customHeight="1" x14ac:dyDescent="0.25">
      <c r="A617">
        <v>690734001</v>
      </c>
      <c r="B617" t="s">
        <v>82</v>
      </c>
      <c r="C617" t="s">
        <v>4198</v>
      </c>
      <c r="D617">
        <v>5</v>
      </c>
      <c r="E617" t="s">
        <v>2372</v>
      </c>
      <c r="F617" t="s">
        <v>1722</v>
      </c>
      <c r="G617" t="s">
        <v>5575</v>
      </c>
      <c r="H617" t="s">
        <v>4957</v>
      </c>
      <c r="I617" s="79" t="str">
        <f>IF(Tabla13[[#This Row],[RUT]]=774097899,"DIST",_xlfn.XLOOKUP(Tabla13[[#This Row],[VENDEDOR]],dimensiones!$C$21:$C$28,dimensiones!$D$21:$D$28,""))</f>
        <v>NOR1</v>
      </c>
      <c r="J617" s="125" t="str">
        <f>_xlfn.XLOOKUP(Tabla13[[#This Row],[REGION]],dimensiones!C:C,dimensiones!D:D,"")</f>
        <v>Región de Valparaíso</v>
      </c>
    </row>
    <row r="618" spans="1:10" ht="14.25" customHeight="1" x14ac:dyDescent="0.25">
      <c r="A618">
        <v>690735008</v>
      </c>
      <c r="B618" t="s">
        <v>787</v>
      </c>
      <c r="C618" t="s">
        <v>4319</v>
      </c>
      <c r="D618">
        <v>5</v>
      </c>
      <c r="E618" t="s">
        <v>4445</v>
      </c>
      <c r="F618" t="s">
        <v>1704</v>
      </c>
      <c r="G618" t="s">
        <v>5575</v>
      </c>
      <c r="H618" t="s">
        <v>4957</v>
      </c>
      <c r="I618" s="79" t="str">
        <f>IF(Tabla13[[#This Row],[RUT]]=774097899,"DIST",_xlfn.XLOOKUP(Tabla13[[#This Row],[VENDEDOR]],dimensiones!$C$21:$C$28,dimensiones!$D$21:$D$28,""))</f>
        <v>ATEL</v>
      </c>
      <c r="J618" s="125" t="str">
        <f>_xlfn.XLOOKUP(Tabla13[[#This Row],[REGION]],dimensiones!C:C,dimensiones!D:D,"")</f>
        <v>Región de Valparaíso</v>
      </c>
    </row>
    <row r="619" spans="1:10" ht="14.25" customHeight="1" x14ac:dyDescent="0.25">
      <c r="A619">
        <v>690736004</v>
      </c>
      <c r="B619" t="s">
        <v>312</v>
      </c>
      <c r="C619" t="s">
        <v>4320</v>
      </c>
      <c r="D619">
        <v>5</v>
      </c>
      <c r="E619" t="s">
        <v>4445</v>
      </c>
      <c r="F619" t="s">
        <v>1727</v>
      </c>
      <c r="G619" t="s">
        <v>5575</v>
      </c>
      <c r="H619" t="s">
        <v>4957</v>
      </c>
      <c r="I619" s="79" t="str">
        <f>IF(Tabla13[[#This Row],[RUT]]=774097899,"DIST",_xlfn.XLOOKUP(Tabla13[[#This Row],[VENDEDOR]],dimensiones!$C$21:$C$28,dimensiones!$D$21:$D$28,""))</f>
        <v>ATEL</v>
      </c>
      <c r="J619" s="125" t="str">
        <f>_xlfn.XLOOKUP(Tabla13[[#This Row],[REGION]],dimensiones!C:C,dimensiones!D:D,"")</f>
        <v>Región de Valparaíso</v>
      </c>
    </row>
    <row r="620" spans="1:10" ht="14.25" customHeight="1" x14ac:dyDescent="0.25">
      <c r="A620">
        <v>690737000</v>
      </c>
      <c r="B620" t="s">
        <v>313</v>
      </c>
      <c r="C620" t="s">
        <v>4321</v>
      </c>
      <c r="D620">
        <v>5</v>
      </c>
      <c r="E620" t="s">
        <v>4445</v>
      </c>
      <c r="F620" t="s">
        <v>1326</v>
      </c>
      <c r="G620" t="s">
        <v>5575</v>
      </c>
      <c r="H620" t="s">
        <v>4957</v>
      </c>
      <c r="I620" s="79" t="str">
        <f>IF(Tabla13[[#This Row],[RUT]]=774097899,"DIST",_xlfn.XLOOKUP(Tabla13[[#This Row],[VENDEDOR]],dimensiones!$C$21:$C$28,dimensiones!$D$21:$D$28,""))</f>
        <v>ATEL</v>
      </c>
      <c r="J620" s="125" t="str">
        <f>_xlfn.XLOOKUP(Tabla13[[#This Row],[REGION]],dimensiones!C:C,dimensiones!D:D,"")</f>
        <v>Región de Valparaíso</v>
      </c>
    </row>
    <row r="621" spans="1:10" ht="14.25" customHeight="1" x14ac:dyDescent="0.25">
      <c r="A621">
        <v>690738007</v>
      </c>
      <c r="B621" t="s">
        <v>314</v>
      </c>
      <c r="C621" t="s">
        <v>4322</v>
      </c>
      <c r="D621">
        <v>6</v>
      </c>
      <c r="E621" t="s">
        <v>4445</v>
      </c>
      <c r="F621" t="s">
        <v>1627</v>
      </c>
      <c r="G621" t="s">
        <v>5575</v>
      </c>
      <c r="H621" t="s">
        <v>4957</v>
      </c>
      <c r="I621" s="79" t="str">
        <f>IF(Tabla13[[#This Row],[RUT]]=774097899,"DIST",_xlfn.XLOOKUP(Tabla13[[#This Row],[VENDEDOR]],dimensiones!$C$21:$C$28,dimensiones!$D$21:$D$28,""))</f>
        <v>ATEL</v>
      </c>
      <c r="J621" s="125" t="str">
        <f>_xlfn.XLOOKUP(Tabla13[[#This Row],[REGION]],dimensiones!C:C,dimensiones!D:D,"")</f>
        <v>Región de Libertador General Bernardo O'Higgins</v>
      </c>
    </row>
    <row r="622" spans="1:10" ht="14.25" customHeight="1" x14ac:dyDescent="0.25">
      <c r="A622">
        <v>690802007</v>
      </c>
      <c r="B622" t="s">
        <v>315</v>
      </c>
      <c r="C622" t="s">
        <v>4531</v>
      </c>
      <c r="D622">
        <v>6</v>
      </c>
      <c r="E622" t="s">
        <v>4445</v>
      </c>
      <c r="F622" t="s">
        <v>1407</v>
      </c>
      <c r="G622" t="s">
        <v>5575</v>
      </c>
      <c r="H622" t="s">
        <v>4957</v>
      </c>
      <c r="I622" s="79" t="str">
        <f>IF(Tabla13[[#This Row],[RUT]]=774097899,"DIST",_xlfn.XLOOKUP(Tabla13[[#This Row],[VENDEDOR]],dimensiones!$C$21:$C$28,dimensiones!$D$21:$D$28,""))</f>
        <v>ATEL</v>
      </c>
      <c r="J622" s="125" t="str">
        <f>_xlfn.XLOOKUP(Tabla13[[#This Row],[REGION]],dimensiones!C:C,dimensiones!D:D,"")</f>
        <v>Región de Libertador General Bernardo O'Higgins</v>
      </c>
    </row>
    <row r="623" spans="1:10" ht="14.25" customHeight="1" x14ac:dyDescent="0.25">
      <c r="A623" t="s">
        <v>678</v>
      </c>
      <c r="B623" t="s">
        <v>877</v>
      </c>
      <c r="C623" t="s">
        <v>4323</v>
      </c>
      <c r="D623">
        <v>6</v>
      </c>
      <c r="E623" t="s">
        <v>4445</v>
      </c>
      <c r="F623" t="s">
        <v>1893</v>
      </c>
      <c r="G623" t="s">
        <v>5575</v>
      </c>
      <c r="H623" t="s">
        <v>4957</v>
      </c>
      <c r="I623" s="79" t="str">
        <f>IF(Tabla13[[#This Row],[RUT]]=774097899,"DIST",_xlfn.XLOOKUP(Tabla13[[#This Row],[VENDEDOR]],dimensiones!$C$21:$C$28,dimensiones!$D$21:$D$28,""))</f>
        <v>ATEL</v>
      </c>
      <c r="J623" s="125" t="str">
        <f>_xlfn.XLOOKUP(Tabla13[[#This Row],[REGION]],dimensiones!C:C,dimensiones!D:D,"")</f>
        <v>Región de Libertador General Bernardo O'Higgins</v>
      </c>
    </row>
    <row r="624" spans="1:10" ht="14.25" customHeight="1" x14ac:dyDescent="0.25">
      <c r="A624">
        <v>690805006</v>
      </c>
      <c r="B624" t="s">
        <v>316</v>
      </c>
      <c r="C624" t="s">
        <v>4324</v>
      </c>
      <c r="D624">
        <v>6</v>
      </c>
      <c r="E624" t="s">
        <v>4445</v>
      </c>
      <c r="F624" t="s">
        <v>1769</v>
      </c>
      <c r="G624" t="s">
        <v>5575</v>
      </c>
      <c r="H624" t="s">
        <v>4957</v>
      </c>
      <c r="I624" s="79" t="str">
        <f>IF(Tabla13[[#This Row],[RUT]]=774097899,"DIST",_xlfn.XLOOKUP(Tabla13[[#This Row],[VENDEDOR]],dimensiones!$C$21:$C$28,dimensiones!$D$21:$D$28,""))</f>
        <v>ATEL</v>
      </c>
      <c r="J624" s="125" t="str">
        <f>_xlfn.XLOOKUP(Tabla13[[#This Row],[REGION]],dimensiones!C:C,dimensiones!D:D,"")</f>
        <v>Región de Libertador General Bernardo O'Higgins</v>
      </c>
    </row>
    <row r="625" spans="1:10" ht="14.25" customHeight="1" x14ac:dyDescent="0.25">
      <c r="A625">
        <v>690806002</v>
      </c>
      <c r="B625" t="s">
        <v>317</v>
      </c>
      <c r="C625" t="s">
        <v>4325</v>
      </c>
      <c r="D625">
        <v>6</v>
      </c>
      <c r="E625" t="s">
        <v>4445</v>
      </c>
      <c r="F625" t="s">
        <v>1510</v>
      </c>
      <c r="G625" t="s">
        <v>5575</v>
      </c>
      <c r="H625" t="s">
        <v>4957</v>
      </c>
      <c r="I625" s="79" t="str">
        <f>IF(Tabla13[[#This Row],[RUT]]=774097899,"DIST",_xlfn.XLOOKUP(Tabla13[[#This Row],[VENDEDOR]],dimensiones!$C$21:$C$28,dimensiones!$D$21:$D$28,""))</f>
        <v>ATEL</v>
      </c>
      <c r="J625" s="125" t="str">
        <f>_xlfn.XLOOKUP(Tabla13[[#This Row],[REGION]],dimensiones!C:C,dimensiones!D:D,"")</f>
        <v>Región de Libertador General Bernardo O'Higgins</v>
      </c>
    </row>
    <row r="626" spans="1:10" ht="14.25" customHeight="1" x14ac:dyDescent="0.25">
      <c r="A626">
        <v>690807009</v>
      </c>
      <c r="B626" t="s">
        <v>318</v>
      </c>
      <c r="C626" t="s">
        <v>4326</v>
      </c>
      <c r="D626">
        <v>6</v>
      </c>
      <c r="E626" t="s">
        <v>4445</v>
      </c>
      <c r="F626" t="s">
        <v>2345</v>
      </c>
      <c r="G626" t="s">
        <v>5575</v>
      </c>
      <c r="H626" t="s">
        <v>4957</v>
      </c>
      <c r="I626" s="79" t="str">
        <f>IF(Tabla13[[#This Row],[RUT]]=774097899,"DIST",_xlfn.XLOOKUP(Tabla13[[#This Row],[VENDEDOR]],dimensiones!$C$21:$C$28,dimensiones!$D$21:$D$28,""))</f>
        <v>ATEL</v>
      </c>
      <c r="J626" s="125" t="str">
        <f>_xlfn.XLOOKUP(Tabla13[[#This Row],[REGION]],dimensiones!C:C,dimensiones!D:D,"")</f>
        <v>Región de Libertador General Bernardo O'Higgins</v>
      </c>
    </row>
    <row r="627" spans="1:10" ht="14.25" customHeight="1" x14ac:dyDescent="0.25">
      <c r="A627">
        <v>690808005</v>
      </c>
      <c r="B627" t="s">
        <v>902</v>
      </c>
      <c r="C627" t="s">
        <v>4327</v>
      </c>
      <c r="D627">
        <v>6</v>
      </c>
      <c r="E627" t="s">
        <v>4445</v>
      </c>
      <c r="F627" t="s">
        <v>1429</v>
      </c>
      <c r="G627" t="s">
        <v>5575</v>
      </c>
      <c r="H627" t="s">
        <v>4957</v>
      </c>
      <c r="I627" s="79" t="str">
        <f>IF(Tabla13[[#This Row],[RUT]]=774097899,"DIST",_xlfn.XLOOKUP(Tabla13[[#This Row],[VENDEDOR]],dimensiones!$C$21:$C$28,dimensiones!$D$21:$D$28,""))</f>
        <v>ATEL</v>
      </c>
      <c r="J627" s="125" t="str">
        <f>_xlfn.XLOOKUP(Tabla13[[#This Row],[REGION]],dimensiones!C:C,dimensiones!D:D,"")</f>
        <v>Región de Libertador General Bernardo O'Higgins</v>
      </c>
    </row>
    <row r="628" spans="1:10" ht="14.25" customHeight="1" x14ac:dyDescent="0.25">
      <c r="A628">
        <v>690809001</v>
      </c>
      <c r="B628" t="s">
        <v>1747</v>
      </c>
      <c r="C628" t="s">
        <v>4201</v>
      </c>
      <c r="D628">
        <v>6</v>
      </c>
      <c r="E628" t="s">
        <v>4445</v>
      </c>
      <c r="F628" t="s">
        <v>1746</v>
      </c>
      <c r="G628" t="s">
        <v>5575</v>
      </c>
      <c r="H628" t="s">
        <v>4957</v>
      </c>
      <c r="I628" s="79" t="str">
        <f>IF(Tabla13[[#This Row],[RUT]]=774097899,"DIST",_xlfn.XLOOKUP(Tabla13[[#This Row],[VENDEDOR]],dimensiones!$C$21:$C$28,dimensiones!$D$21:$D$28,""))</f>
        <v>ATEL</v>
      </c>
      <c r="J628" s="125" t="str">
        <f>_xlfn.XLOOKUP(Tabla13[[#This Row],[REGION]],dimensiones!C:C,dimensiones!D:D,"")</f>
        <v>Región de Libertador General Bernardo O'Higgins</v>
      </c>
    </row>
    <row r="629" spans="1:10" ht="14.25" customHeight="1" x14ac:dyDescent="0.25">
      <c r="A629" t="s">
        <v>679</v>
      </c>
      <c r="B629" t="s">
        <v>878</v>
      </c>
      <c r="C629" t="s">
        <v>4473</v>
      </c>
      <c r="D629">
        <v>6</v>
      </c>
      <c r="E629" t="s">
        <v>4445</v>
      </c>
      <c r="F629" t="s">
        <v>2360</v>
      </c>
      <c r="G629" t="s">
        <v>5575</v>
      </c>
      <c r="H629" t="s">
        <v>4957</v>
      </c>
      <c r="I629" s="79" t="str">
        <f>IF(Tabla13[[#This Row],[RUT]]=774097899,"DIST",_xlfn.XLOOKUP(Tabla13[[#This Row],[VENDEDOR]],dimensiones!$C$21:$C$28,dimensiones!$D$21:$D$28,""))</f>
        <v>ATEL</v>
      </c>
      <c r="J629" s="125" t="str">
        <f>_xlfn.XLOOKUP(Tabla13[[#This Row],[REGION]],dimensiones!C:C,dimensiones!D:D,"")</f>
        <v>Región de Libertador General Bernardo O'Higgins</v>
      </c>
    </row>
    <row r="630" spans="1:10" ht="14.25" customHeight="1" x14ac:dyDescent="0.25">
      <c r="A630">
        <v>690811006</v>
      </c>
      <c r="B630" t="s">
        <v>788</v>
      </c>
      <c r="C630" t="s">
        <v>4202</v>
      </c>
      <c r="D630">
        <v>6</v>
      </c>
      <c r="E630" t="s">
        <v>4445</v>
      </c>
      <c r="F630" t="s">
        <v>4149</v>
      </c>
      <c r="G630" t="s">
        <v>5575</v>
      </c>
      <c r="H630" t="s">
        <v>4957</v>
      </c>
      <c r="I630" s="79" t="str">
        <f>IF(Tabla13[[#This Row],[RUT]]=774097899,"DIST",_xlfn.XLOOKUP(Tabla13[[#This Row],[VENDEDOR]],dimensiones!$C$21:$C$28,dimensiones!$D$21:$D$28,""))</f>
        <v>ATEL</v>
      </c>
      <c r="J630" s="125" t="str">
        <f>_xlfn.XLOOKUP(Tabla13[[#This Row],[REGION]],dimensiones!C:C,dimensiones!D:D,"")</f>
        <v>Región de Libertador General Bernardo O'Higgins</v>
      </c>
    </row>
    <row r="631" spans="1:10" ht="14.25" customHeight="1" x14ac:dyDescent="0.25">
      <c r="A631">
        <v>690812002</v>
      </c>
      <c r="B631" t="s">
        <v>319</v>
      </c>
      <c r="C631" t="s">
        <v>4200</v>
      </c>
      <c r="D631">
        <v>6</v>
      </c>
      <c r="E631" t="s">
        <v>4445</v>
      </c>
      <c r="F631" t="s">
        <v>1396</v>
      </c>
      <c r="G631" t="s">
        <v>5575</v>
      </c>
      <c r="H631" t="s">
        <v>4957</v>
      </c>
      <c r="I631" s="79" t="str">
        <f>IF(Tabla13[[#This Row],[RUT]]=774097899,"DIST",_xlfn.XLOOKUP(Tabla13[[#This Row],[VENDEDOR]],dimensiones!$C$21:$C$28,dimensiones!$D$21:$D$28,""))</f>
        <v>ATEL</v>
      </c>
      <c r="J631" s="125" t="str">
        <f>_xlfn.XLOOKUP(Tabla13[[#This Row],[REGION]],dimensiones!C:C,dimensiones!D:D,"")</f>
        <v>Región de Libertador General Bernardo O'Higgins</v>
      </c>
    </row>
    <row r="632" spans="1:10" ht="14.25" customHeight="1" x14ac:dyDescent="0.25">
      <c r="A632">
        <v>690813009</v>
      </c>
      <c r="B632" t="s">
        <v>320</v>
      </c>
      <c r="C632" t="s">
        <v>4532</v>
      </c>
      <c r="D632">
        <v>6</v>
      </c>
      <c r="E632" t="s">
        <v>4445</v>
      </c>
      <c r="F632" t="s">
        <v>1387</v>
      </c>
      <c r="G632" t="s">
        <v>5575</v>
      </c>
      <c r="H632" t="s">
        <v>4957</v>
      </c>
      <c r="I632" s="79" t="str">
        <f>IF(Tabla13[[#This Row],[RUT]]=774097899,"DIST",_xlfn.XLOOKUP(Tabla13[[#This Row],[VENDEDOR]],dimensiones!$C$21:$C$28,dimensiones!$D$21:$D$28,""))</f>
        <v>ATEL</v>
      </c>
      <c r="J632" s="125" t="str">
        <f>_xlfn.XLOOKUP(Tabla13[[#This Row],[REGION]],dimensiones!C:C,dimensiones!D:D,"")</f>
        <v>Región de Libertador General Bernardo O'Higgins</v>
      </c>
    </row>
    <row r="633" spans="1:10" ht="14.25" customHeight="1" x14ac:dyDescent="0.25">
      <c r="A633">
        <v>690814005</v>
      </c>
      <c r="B633" t="s">
        <v>903</v>
      </c>
      <c r="C633" t="s">
        <v>4533</v>
      </c>
      <c r="D633">
        <v>6</v>
      </c>
      <c r="E633" t="s">
        <v>4445</v>
      </c>
      <c r="F633" t="s">
        <v>1756</v>
      </c>
      <c r="G633" t="s">
        <v>5575</v>
      </c>
      <c r="H633" t="s">
        <v>4957</v>
      </c>
      <c r="I633" s="79" t="str">
        <f>IF(Tabla13[[#This Row],[RUT]]=774097899,"DIST",_xlfn.XLOOKUP(Tabla13[[#This Row],[VENDEDOR]],dimensiones!$C$21:$C$28,dimensiones!$D$21:$D$28,""))</f>
        <v>ATEL</v>
      </c>
      <c r="J633" s="125" t="str">
        <f>_xlfn.XLOOKUP(Tabla13[[#This Row],[REGION]],dimensiones!C:C,dimensiones!D:D,"")</f>
        <v>Región de Libertador General Bernardo O'Higgins</v>
      </c>
    </row>
    <row r="634" spans="1:10" ht="14.25" customHeight="1" x14ac:dyDescent="0.25">
      <c r="A634">
        <v>690815001</v>
      </c>
      <c r="B634" t="s">
        <v>789</v>
      </c>
      <c r="C634" t="s">
        <v>4328</v>
      </c>
      <c r="D634">
        <v>6</v>
      </c>
      <c r="E634" t="s">
        <v>4445</v>
      </c>
      <c r="F634" t="s">
        <v>2626</v>
      </c>
      <c r="G634" t="s">
        <v>5575</v>
      </c>
      <c r="H634" t="s">
        <v>4957</v>
      </c>
      <c r="I634" s="79" t="str">
        <f>IF(Tabla13[[#This Row],[RUT]]=774097899,"DIST",_xlfn.XLOOKUP(Tabla13[[#This Row],[VENDEDOR]],dimensiones!$C$21:$C$28,dimensiones!$D$21:$D$28,""))</f>
        <v>ATEL</v>
      </c>
      <c r="J634" s="125" t="str">
        <f>_xlfn.XLOOKUP(Tabla13[[#This Row],[REGION]],dimensiones!C:C,dimensiones!D:D,"")</f>
        <v>Región de Libertador General Bernardo O'Higgins</v>
      </c>
    </row>
    <row r="635" spans="1:10" ht="14.25" customHeight="1" x14ac:dyDescent="0.25">
      <c r="A635">
        <v>690817004</v>
      </c>
      <c r="B635" t="s">
        <v>321</v>
      </c>
      <c r="C635" t="s">
        <v>4329</v>
      </c>
      <c r="D635">
        <v>6</v>
      </c>
      <c r="E635" t="s">
        <v>4445</v>
      </c>
      <c r="F635" t="s">
        <v>1761</v>
      </c>
      <c r="G635" t="s">
        <v>5575</v>
      </c>
      <c r="H635" t="s">
        <v>4957</v>
      </c>
      <c r="I635" s="79" t="str">
        <f>IF(Tabla13[[#This Row],[RUT]]=774097899,"DIST",_xlfn.XLOOKUP(Tabla13[[#This Row],[VENDEDOR]],dimensiones!$C$21:$C$28,dimensiones!$D$21:$D$28,""))</f>
        <v>ATEL</v>
      </c>
      <c r="J635" s="125" t="str">
        <f>_xlfn.XLOOKUP(Tabla13[[#This Row],[REGION]],dimensiones!C:C,dimensiones!D:D,"")</f>
        <v>Región de Libertador General Bernardo O'Higgins</v>
      </c>
    </row>
    <row r="636" spans="1:10" ht="14.25" customHeight="1" x14ac:dyDescent="0.25">
      <c r="A636">
        <v>690902001</v>
      </c>
      <c r="B636" t="s">
        <v>790</v>
      </c>
      <c r="C636" t="s">
        <v>4330</v>
      </c>
      <c r="D636">
        <v>6</v>
      </c>
      <c r="E636" t="s">
        <v>4445</v>
      </c>
      <c r="F636" t="s">
        <v>1763</v>
      </c>
      <c r="G636" t="s">
        <v>5575</v>
      </c>
      <c r="H636" t="s">
        <v>4957</v>
      </c>
      <c r="I636" s="79" t="str">
        <f>IF(Tabla13[[#This Row],[RUT]]=774097899,"DIST",_xlfn.XLOOKUP(Tabla13[[#This Row],[VENDEDOR]],dimensiones!$C$21:$C$28,dimensiones!$D$21:$D$28,""))</f>
        <v>ATEL</v>
      </c>
      <c r="J636" s="125" t="str">
        <f>_xlfn.XLOOKUP(Tabla13[[#This Row],[REGION]],dimensiones!C:C,dimensiones!D:D,"")</f>
        <v>Región de Libertador General Bernardo O'Higgins</v>
      </c>
    </row>
    <row r="637" spans="1:10" ht="14.25" customHeight="1" x14ac:dyDescent="0.25">
      <c r="A637">
        <v>690903008</v>
      </c>
      <c r="B637" t="s">
        <v>322</v>
      </c>
      <c r="C637" t="s">
        <v>4204</v>
      </c>
      <c r="D637">
        <v>6</v>
      </c>
      <c r="E637" t="s">
        <v>4445</v>
      </c>
      <c r="F637" t="s">
        <v>1765</v>
      </c>
      <c r="G637" t="s">
        <v>5575</v>
      </c>
      <c r="H637" t="s">
        <v>4957</v>
      </c>
      <c r="I637" s="79" t="str">
        <f>IF(Tabla13[[#This Row],[RUT]]=774097899,"DIST",_xlfn.XLOOKUP(Tabla13[[#This Row],[VENDEDOR]],dimensiones!$C$21:$C$28,dimensiones!$D$21:$D$28,""))</f>
        <v>ATEL</v>
      </c>
      <c r="J637" s="125" t="str">
        <f>_xlfn.XLOOKUP(Tabla13[[#This Row],[REGION]],dimensiones!C:C,dimensiones!D:D,"")</f>
        <v>Región de Libertador General Bernardo O'Higgins</v>
      </c>
    </row>
    <row r="638" spans="1:10" ht="14.25" customHeight="1" x14ac:dyDescent="0.25">
      <c r="A638">
        <v>690904004</v>
      </c>
      <c r="B638" t="s">
        <v>323</v>
      </c>
      <c r="C638" t="s">
        <v>4205</v>
      </c>
      <c r="D638">
        <v>6</v>
      </c>
      <c r="E638" t="s">
        <v>4445</v>
      </c>
      <c r="F638" t="s">
        <v>1767</v>
      </c>
      <c r="G638" t="s">
        <v>5575</v>
      </c>
      <c r="H638" t="s">
        <v>4957</v>
      </c>
      <c r="I638" s="79" t="str">
        <f>IF(Tabla13[[#This Row],[RUT]]=774097899,"DIST",_xlfn.XLOOKUP(Tabla13[[#This Row],[VENDEDOR]],dimensiones!$C$21:$C$28,dimensiones!$D$21:$D$28,""))</f>
        <v>ATEL</v>
      </c>
      <c r="J638" s="125" t="str">
        <f>_xlfn.XLOOKUP(Tabla13[[#This Row],[REGION]],dimensiones!C:C,dimensiones!D:D,"")</f>
        <v>Región de Libertador General Bernardo O'Higgins</v>
      </c>
    </row>
    <row r="639" spans="1:10" ht="14.25" customHeight="1" x14ac:dyDescent="0.25">
      <c r="A639">
        <v>690905000</v>
      </c>
      <c r="B639" t="s">
        <v>904</v>
      </c>
      <c r="C639" t="s">
        <v>4207</v>
      </c>
      <c r="D639">
        <v>6</v>
      </c>
      <c r="E639" t="s">
        <v>4445</v>
      </c>
      <c r="F639" t="s">
        <v>1298</v>
      </c>
      <c r="G639" t="s">
        <v>5575</v>
      </c>
      <c r="H639" t="s">
        <v>4957</v>
      </c>
      <c r="I639" s="79" t="str">
        <f>IF(Tabla13[[#This Row],[RUT]]=774097899,"DIST",_xlfn.XLOOKUP(Tabla13[[#This Row],[VENDEDOR]],dimensiones!$C$21:$C$28,dimensiones!$D$21:$D$28,""))</f>
        <v>ATEL</v>
      </c>
      <c r="J639" s="125" t="str">
        <f>_xlfn.XLOOKUP(Tabla13[[#This Row],[REGION]],dimensiones!C:C,dimensiones!D:D,"")</f>
        <v>Región de Libertador General Bernardo O'Higgins</v>
      </c>
    </row>
    <row r="640" spans="1:10" ht="14.25" customHeight="1" x14ac:dyDescent="0.25">
      <c r="A640">
        <v>690906007</v>
      </c>
      <c r="B640" t="s">
        <v>324</v>
      </c>
      <c r="C640" t="s">
        <v>4206</v>
      </c>
      <c r="D640">
        <v>6</v>
      </c>
      <c r="E640" t="s">
        <v>4445</v>
      </c>
      <c r="F640" t="s">
        <v>1976</v>
      </c>
      <c r="G640" t="s">
        <v>5575</v>
      </c>
      <c r="H640" t="s">
        <v>4957</v>
      </c>
      <c r="I640" s="79" t="str">
        <f>IF(Tabla13[[#This Row],[RUT]]=774097899,"DIST",_xlfn.XLOOKUP(Tabla13[[#This Row],[VENDEDOR]],dimensiones!$C$21:$C$28,dimensiones!$D$21:$D$28,""))</f>
        <v>ATEL</v>
      </c>
      <c r="J640" s="125" t="str">
        <f>_xlfn.XLOOKUP(Tabla13[[#This Row],[REGION]],dimensiones!C:C,dimensiones!D:D,"")</f>
        <v>Región de Libertador General Bernardo O'Higgins</v>
      </c>
    </row>
    <row r="641" spans="1:10" ht="14.25" customHeight="1" x14ac:dyDescent="0.25">
      <c r="A641">
        <v>690907003</v>
      </c>
      <c r="B641" t="s">
        <v>325</v>
      </c>
      <c r="C641" t="s">
        <v>4534</v>
      </c>
      <c r="D641">
        <v>6</v>
      </c>
      <c r="E641" t="s">
        <v>4445</v>
      </c>
      <c r="F641" t="s">
        <v>1774</v>
      </c>
      <c r="G641" t="s">
        <v>5575</v>
      </c>
      <c r="H641" t="s">
        <v>4957</v>
      </c>
      <c r="I641" s="79" t="str">
        <f>IF(Tabla13[[#This Row],[RUT]]=774097899,"DIST",_xlfn.XLOOKUP(Tabla13[[#This Row],[VENDEDOR]],dimensiones!$C$21:$C$28,dimensiones!$D$21:$D$28,""))</f>
        <v>ATEL</v>
      </c>
      <c r="J641" s="125" t="str">
        <f>_xlfn.XLOOKUP(Tabla13[[#This Row],[REGION]],dimensiones!C:C,dimensiones!D:D,"")</f>
        <v>Región de Libertador General Bernardo O'Higgins</v>
      </c>
    </row>
    <row r="642" spans="1:10" ht="14.25" customHeight="1" x14ac:dyDescent="0.25">
      <c r="A642" t="s">
        <v>680</v>
      </c>
      <c r="B642" t="s">
        <v>681</v>
      </c>
      <c r="C642" t="s">
        <v>4331</v>
      </c>
      <c r="D642">
        <v>6</v>
      </c>
      <c r="E642" t="s">
        <v>4445</v>
      </c>
      <c r="F642" t="s">
        <v>1296</v>
      </c>
      <c r="G642" t="s">
        <v>5575</v>
      </c>
      <c r="H642" t="s">
        <v>4957</v>
      </c>
      <c r="I642" s="79" t="str">
        <f>IF(Tabla13[[#This Row],[RUT]]=774097899,"DIST",_xlfn.XLOOKUP(Tabla13[[#This Row],[VENDEDOR]],dimensiones!$C$21:$C$28,dimensiones!$D$21:$D$28,""))</f>
        <v>ATEL</v>
      </c>
      <c r="J642" s="125" t="str">
        <f>_xlfn.XLOOKUP(Tabla13[[#This Row],[REGION]],dimensiones!C:C,dimensiones!D:D,"")</f>
        <v>Región de Libertador General Bernardo O'Higgins</v>
      </c>
    </row>
    <row r="643" spans="1:10" ht="14.25" customHeight="1" x14ac:dyDescent="0.25">
      <c r="A643">
        <v>690909006</v>
      </c>
      <c r="B643" t="s">
        <v>326</v>
      </c>
      <c r="C643" t="s">
        <v>4332</v>
      </c>
      <c r="D643">
        <v>6</v>
      </c>
      <c r="E643" t="s">
        <v>4445</v>
      </c>
      <c r="F643" t="s">
        <v>1778</v>
      </c>
      <c r="G643" t="s">
        <v>5575</v>
      </c>
      <c r="H643" t="s">
        <v>4957</v>
      </c>
      <c r="I643" s="79" t="str">
        <f>IF(Tabla13[[#This Row],[RUT]]=774097899,"DIST",_xlfn.XLOOKUP(Tabla13[[#This Row],[VENDEDOR]],dimensiones!$C$21:$C$28,dimensiones!$D$21:$D$28,""))</f>
        <v>ATEL</v>
      </c>
      <c r="J643" s="125" t="str">
        <f>_xlfn.XLOOKUP(Tabla13[[#This Row],[REGION]],dimensiones!C:C,dimensiones!D:D,"")</f>
        <v>Región de Libertador General Bernardo O'Higgins</v>
      </c>
    </row>
    <row r="644" spans="1:10" ht="14.25" customHeight="1" x14ac:dyDescent="0.25">
      <c r="A644">
        <v>690910004</v>
      </c>
      <c r="B644" t="s">
        <v>905</v>
      </c>
      <c r="C644" t="s">
        <v>4254</v>
      </c>
      <c r="D644">
        <v>6</v>
      </c>
      <c r="E644" t="s">
        <v>4445</v>
      </c>
      <c r="F644" t="s">
        <v>4057</v>
      </c>
      <c r="G644" t="s">
        <v>5575</v>
      </c>
      <c r="H644" t="s">
        <v>4957</v>
      </c>
      <c r="I644" s="79" t="str">
        <f>IF(Tabla13[[#This Row],[RUT]]=774097899,"DIST",_xlfn.XLOOKUP(Tabla13[[#This Row],[VENDEDOR]],dimensiones!$C$21:$C$28,dimensiones!$D$21:$D$28,""))</f>
        <v>ATEL</v>
      </c>
      <c r="J644" s="125" t="str">
        <f>_xlfn.XLOOKUP(Tabla13[[#This Row],[REGION]],dimensiones!C:C,dimensiones!D:D,"")</f>
        <v>Región de Libertador General Bernardo O'Higgins</v>
      </c>
    </row>
    <row r="645" spans="1:10" ht="14.25" customHeight="1" x14ac:dyDescent="0.25">
      <c r="A645">
        <v>690911000</v>
      </c>
      <c r="B645" t="s">
        <v>1783</v>
      </c>
      <c r="C645" t="s">
        <v>4208</v>
      </c>
      <c r="D645">
        <v>6</v>
      </c>
      <c r="E645" t="s">
        <v>4445</v>
      </c>
      <c r="F645" t="s">
        <v>1782</v>
      </c>
      <c r="G645" t="s">
        <v>5575</v>
      </c>
      <c r="H645" t="s">
        <v>4957</v>
      </c>
      <c r="I645" s="79" t="str">
        <f>IF(Tabla13[[#This Row],[RUT]]=774097899,"DIST",_xlfn.XLOOKUP(Tabla13[[#This Row],[VENDEDOR]],dimensiones!$C$21:$C$28,dimensiones!$D$21:$D$28,""))</f>
        <v>ATEL</v>
      </c>
      <c r="J645" s="125" t="str">
        <f>_xlfn.XLOOKUP(Tabla13[[#This Row],[REGION]],dimensiones!C:C,dimensiones!D:D,"")</f>
        <v>Región de Libertador General Bernardo O'Higgins</v>
      </c>
    </row>
    <row r="646" spans="1:10" ht="14.25" customHeight="1" x14ac:dyDescent="0.25">
      <c r="A646">
        <v>690912007</v>
      </c>
      <c r="B646" t="s">
        <v>327</v>
      </c>
      <c r="C646" t="s">
        <v>4209</v>
      </c>
      <c r="D646">
        <v>6</v>
      </c>
      <c r="E646" t="s">
        <v>4445</v>
      </c>
      <c r="F646" t="s">
        <v>1221</v>
      </c>
      <c r="G646" t="s">
        <v>5575</v>
      </c>
      <c r="H646" t="s">
        <v>4957</v>
      </c>
      <c r="I646" s="79" t="str">
        <f>IF(Tabla13[[#This Row],[RUT]]=774097899,"DIST",_xlfn.XLOOKUP(Tabla13[[#This Row],[VENDEDOR]],dimensiones!$C$21:$C$28,dimensiones!$D$21:$D$28,""))</f>
        <v>ATEL</v>
      </c>
      <c r="J646" s="125" t="str">
        <f>_xlfn.XLOOKUP(Tabla13[[#This Row],[REGION]],dimensiones!C:C,dimensiones!D:D,"")</f>
        <v>Región de Libertador General Bernardo O'Higgins</v>
      </c>
    </row>
    <row r="647" spans="1:10" ht="14.25" customHeight="1" x14ac:dyDescent="0.25">
      <c r="A647">
        <v>690913003</v>
      </c>
      <c r="B647" t="s">
        <v>4417</v>
      </c>
      <c r="C647" t="s">
        <v>4474</v>
      </c>
      <c r="D647">
        <v>6</v>
      </c>
      <c r="E647" t="s">
        <v>4445</v>
      </c>
      <c r="F647" t="s">
        <v>4535</v>
      </c>
      <c r="G647" t="s">
        <v>5575</v>
      </c>
      <c r="H647" t="s">
        <v>4957</v>
      </c>
      <c r="I647" s="79" t="str">
        <f>IF(Tabla13[[#This Row],[RUT]]=774097899,"DIST",_xlfn.XLOOKUP(Tabla13[[#This Row],[VENDEDOR]],dimensiones!$C$21:$C$28,dimensiones!$D$21:$D$28,""))</f>
        <v>ATEL</v>
      </c>
      <c r="J647" s="125" t="str">
        <f>_xlfn.XLOOKUP(Tabla13[[#This Row],[REGION]],dimensiones!C:C,dimensiones!D:D,"")</f>
        <v>Región de Libertador General Bernardo O'Higgins</v>
      </c>
    </row>
    <row r="648" spans="1:10" ht="14.25" customHeight="1" x14ac:dyDescent="0.25">
      <c r="A648" t="s">
        <v>682</v>
      </c>
      <c r="B648" t="s">
        <v>683</v>
      </c>
      <c r="C648" t="s">
        <v>4333</v>
      </c>
      <c r="D648">
        <v>6</v>
      </c>
      <c r="E648" t="s">
        <v>4445</v>
      </c>
      <c r="F648" t="s">
        <v>1736</v>
      </c>
      <c r="G648" t="s">
        <v>5575</v>
      </c>
      <c r="H648" t="s">
        <v>4957</v>
      </c>
      <c r="I648" s="79" t="str">
        <f>IF(Tabla13[[#This Row],[RUT]]=774097899,"DIST",_xlfn.XLOOKUP(Tabla13[[#This Row],[VENDEDOR]],dimensiones!$C$21:$C$28,dimensiones!$D$21:$D$28,""))</f>
        <v>ATEL</v>
      </c>
      <c r="J648" s="125" t="str">
        <f>_xlfn.XLOOKUP(Tabla13[[#This Row],[REGION]],dimensiones!C:C,dimensiones!D:D,"")</f>
        <v>Región de Libertador General Bernardo O'Higgins</v>
      </c>
    </row>
    <row r="649" spans="1:10" ht="14.25" customHeight="1" x14ac:dyDescent="0.25">
      <c r="A649">
        <v>690915006</v>
      </c>
      <c r="B649" t="s">
        <v>328</v>
      </c>
      <c r="C649" t="s">
        <v>4334</v>
      </c>
      <c r="D649">
        <v>6</v>
      </c>
      <c r="E649" t="s">
        <v>4445</v>
      </c>
      <c r="F649" t="s">
        <v>1787</v>
      </c>
      <c r="G649" t="s">
        <v>5575</v>
      </c>
      <c r="H649" t="s">
        <v>4957</v>
      </c>
      <c r="I649" s="79" t="str">
        <f>IF(Tabla13[[#This Row],[RUT]]=774097899,"DIST",_xlfn.XLOOKUP(Tabla13[[#This Row],[VENDEDOR]],dimensiones!$C$21:$C$28,dimensiones!$D$21:$D$28,""))</f>
        <v>ATEL</v>
      </c>
      <c r="J649" s="125" t="str">
        <f>_xlfn.XLOOKUP(Tabla13[[#This Row],[REGION]],dimensiones!C:C,dimensiones!D:D,"")</f>
        <v>Región de Libertador General Bernardo O'Higgins</v>
      </c>
    </row>
    <row r="650" spans="1:10" ht="14.25" customHeight="1" x14ac:dyDescent="0.25">
      <c r="A650">
        <v>691001008</v>
      </c>
      <c r="B650" t="s">
        <v>329</v>
      </c>
      <c r="C650" t="s">
        <v>4491</v>
      </c>
      <c r="D650">
        <v>7</v>
      </c>
      <c r="E650" t="s">
        <v>4445</v>
      </c>
      <c r="F650" t="s">
        <v>1789</v>
      </c>
      <c r="G650" t="s">
        <v>5575</v>
      </c>
      <c r="H650" t="s">
        <v>4957</v>
      </c>
      <c r="I650" s="79" t="str">
        <f>IF(Tabla13[[#This Row],[RUT]]=774097899,"DIST",_xlfn.XLOOKUP(Tabla13[[#This Row],[VENDEDOR]],dimensiones!$C$21:$C$28,dimensiones!$D$21:$D$28,""))</f>
        <v>ATEL</v>
      </c>
      <c r="J650" s="125" t="str">
        <f>_xlfn.XLOOKUP(Tabla13[[#This Row],[REGION]],dimensiones!C:C,dimensiones!D:D,"")</f>
        <v>Región de Maule</v>
      </c>
    </row>
    <row r="651" spans="1:10" ht="14.25" customHeight="1" x14ac:dyDescent="0.25">
      <c r="A651">
        <v>691002004</v>
      </c>
      <c r="B651" t="s">
        <v>330</v>
      </c>
      <c r="C651" t="s">
        <v>4335</v>
      </c>
      <c r="D651">
        <v>7</v>
      </c>
      <c r="E651" t="s">
        <v>4445</v>
      </c>
      <c r="F651" t="s">
        <v>1183</v>
      </c>
      <c r="G651" t="s">
        <v>5575</v>
      </c>
      <c r="H651" t="s">
        <v>4957</v>
      </c>
      <c r="I651" s="79" t="str">
        <f>IF(Tabla13[[#This Row],[RUT]]=774097899,"DIST",_xlfn.XLOOKUP(Tabla13[[#This Row],[VENDEDOR]],dimensiones!$C$21:$C$28,dimensiones!$D$21:$D$28,""))</f>
        <v>ATEL</v>
      </c>
      <c r="J651" s="125" t="str">
        <f>_xlfn.XLOOKUP(Tabla13[[#This Row],[REGION]],dimensiones!C:C,dimensiones!D:D,"")</f>
        <v>Región de Maule</v>
      </c>
    </row>
    <row r="652" spans="1:10" ht="14.25" customHeight="1" x14ac:dyDescent="0.25">
      <c r="A652">
        <v>691003000</v>
      </c>
      <c r="B652" t="s">
        <v>331</v>
      </c>
      <c r="C652" t="s">
        <v>4258</v>
      </c>
      <c r="D652">
        <v>7</v>
      </c>
      <c r="E652" t="s">
        <v>4445</v>
      </c>
      <c r="F652" t="s">
        <v>1791</v>
      </c>
      <c r="G652" t="s">
        <v>5575</v>
      </c>
      <c r="H652" t="s">
        <v>4957</v>
      </c>
      <c r="I652" s="79" t="str">
        <f>IF(Tabla13[[#This Row],[RUT]]=774097899,"DIST",_xlfn.XLOOKUP(Tabla13[[#This Row],[VENDEDOR]],dimensiones!$C$21:$C$28,dimensiones!$D$21:$D$28,""))</f>
        <v>ATEL</v>
      </c>
      <c r="J652" s="125" t="str">
        <f>_xlfn.XLOOKUP(Tabla13[[#This Row],[REGION]],dimensiones!C:C,dimensiones!D:D,"")</f>
        <v>Región de Maule</v>
      </c>
    </row>
    <row r="653" spans="1:10" ht="14.25" customHeight="1" x14ac:dyDescent="0.25">
      <c r="A653">
        <v>691004007</v>
      </c>
      <c r="B653" t="s">
        <v>332</v>
      </c>
      <c r="C653" t="s">
        <v>4336</v>
      </c>
      <c r="D653">
        <v>7</v>
      </c>
      <c r="E653" t="s">
        <v>4445</v>
      </c>
      <c r="F653" t="s">
        <v>1794</v>
      </c>
      <c r="G653" t="s">
        <v>5575</v>
      </c>
      <c r="H653" t="s">
        <v>4957</v>
      </c>
      <c r="I653" s="79" t="str">
        <f>IF(Tabla13[[#This Row],[RUT]]=774097899,"DIST",_xlfn.XLOOKUP(Tabla13[[#This Row],[VENDEDOR]],dimensiones!$C$21:$C$28,dimensiones!$D$21:$D$28,""))</f>
        <v>ATEL</v>
      </c>
      <c r="J653" s="125" t="str">
        <f>_xlfn.XLOOKUP(Tabla13[[#This Row],[REGION]],dimensiones!C:C,dimensiones!D:D,"")</f>
        <v>Región de Maule</v>
      </c>
    </row>
    <row r="654" spans="1:10" ht="14.25" customHeight="1" x14ac:dyDescent="0.25">
      <c r="A654">
        <v>691005003</v>
      </c>
      <c r="B654" t="s">
        <v>333</v>
      </c>
      <c r="C654" t="s">
        <v>4492</v>
      </c>
      <c r="D654">
        <v>7</v>
      </c>
      <c r="E654" t="s">
        <v>4445</v>
      </c>
      <c r="F654" t="s">
        <v>1796</v>
      </c>
      <c r="G654" t="s">
        <v>5575</v>
      </c>
      <c r="H654" t="s">
        <v>4957</v>
      </c>
      <c r="I654" s="79" t="str">
        <f>IF(Tabla13[[#This Row],[RUT]]=774097899,"DIST",_xlfn.XLOOKUP(Tabla13[[#This Row],[VENDEDOR]],dimensiones!$C$21:$C$28,dimensiones!$D$21:$D$28,""))</f>
        <v>ATEL</v>
      </c>
      <c r="J654" s="125" t="str">
        <f>_xlfn.XLOOKUP(Tabla13[[#This Row],[REGION]],dimensiones!C:C,dimensiones!D:D,"")</f>
        <v>Región de Maule</v>
      </c>
    </row>
    <row r="655" spans="1:10" ht="14.25" customHeight="1" x14ac:dyDescent="0.25">
      <c r="A655">
        <v>691007006</v>
      </c>
      <c r="B655" t="s">
        <v>4537</v>
      </c>
      <c r="C655" t="s">
        <v>4538</v>
      </c>
      <c r="D655">
        <v>7</v>
      </c>
      <c r="E655" t="s">
        <v>4445</v>
      </c>
      <c r="F655" t="s">
        <v>4536</v>
      </c>
      <c r="G655" t="s">
        <v>5575</v>
      </c>
      <c r="H655" t="s">
        <v>4957</v>
      </c>
      <c r="I655" s="79" t="str">
        <f>IF(Tabla13[[#This Row],[RUT]]=774097899,"DIST",_xlfn.XLOOKUP(Tabla13[[#This Row],[VENDEDOR]],dimensiones!$C$21:$C$28,dimensiones!$D$21:$D$28,""))</f>
        <v>ATEL</v>
      </c>
      <c r="J655" s="125" t="str">
        <f>_xlfn.XLOOKUP(Tabla13[[#This Row],[REGION]],dimensiones!C:C,dimensiones!D:D,"")</f>
        <v>Región de Maule</v>
      </c>
    </row>
    <row r="656" spans="1:10" ht="14.25" customHeight="1" x14ac:dyDescent="0.25">
      <c r="A656">
        <v>691101002</v>
      </c>
      <c r="B656" t="s">
        <v>334</v>
      </c>
      <c r="C656" t="s">
        <v>4259</v>
      </c>
      <c r="D656">
        <v>7</v>
      </c>
      <c r="E656" t="s">
        <v>4445</v>
      </c>
      <c r="F656" t="s">
        <v>1798</v>
      </c>
      <c r="G656" t="s">
        <v>5575</v>
      </c>
      <c r="H656" t="s">
        <v>4957</v>
      </c>
      <c r="I656" s="79" t="str">
        <f>IF(Tabla13[[#This Row],[RUT]]=774097899,"DIST",_xlfn.XLOOKUP(Tabla13[[#This Row],[VENDEDOR]],dimensiones!$C$21:$C$28,dimensiones!$D$21:$D$28,""))</f>
        <v>ATEL</v>
      </c>
      <c r="J656" s="125" t="str">
        <f>_xlfn.XLOOKUP(Tabla13[[#This Row],[REGION]],dimensiones!C:C,dimensiones!D:D,"")</f>
        <v>Región de Maule</v>
      </c>
    </row>
    <row r="657" spans="1:10" ht="14.25" customHeight="1" x14ac:dyDescent="0.25">
      <c r="A657">
        <v>691102009</v>
      </c>
      <c r="B657" t="s">
        <v>335</v>
      </c>
      <c r="C657" t="s">
        <v>4337</v>
      </c>
      <c r="D657">
        <v>7</v>
      </c>
      <c r="E657" t="s">
        <v>4445</v>
      </c>
      <c r="F657" t="s">
        <v>1799</v>
      </c>
      <c r="G657" t="s">
        <v>5575</v>
      </c>
      <c r="H657" t="s">
        <v>4957</v>
      </c>
      <c r="I657" s="79" t="str">
        <f>IF(Tabla13[[#This Row],[RUT]]=774097899,"DIST",_xlfn.XLOOKUP(Tabla13[[#This Row],[VENDEDOR]],dimensiones!$C$21:$C$28,dimensiones!$D$21:$D$28,""))</f>
        <v>ATEL</v>
      </c>
      <c r="J657" s="125" t="str">
        <f>_xlfn.XLOOKUP(Tabla13[[#This Row],[REGION]],dimensiones!C:C,dimensiones!D:D,"")</f>
        <v>Región de Maule</v>
      </c>
    </row>
    <row r="658" spans="1:10" ht="14.25" customHeight="1" x14ac:dyDescent="0.25">
      <c r="A658">
        <v>691103005</v>
      </c>
      <c r="B658" t="s">
        <v>336</v>
      </c>
      <c r="C658" t="s">
        <v>4261</v>
      </c>
      <c r="D658">
        <v>7</v>
      </c>
      <c r="E658" t="s">
        <v>4445</v>
      </c>
      <c r="F658" t="s">
        <v>1801</v>
      </c>
      <c r="G658" t="s">
        <v>5575</v>
      </c>
      <c r="H658" t="s">
        <v>4957</v>
      </c>
      <c r="I658" s="79" t="str">
        <f>IF(Tabla13[[#This Row],[RUT]]=774097899,"DIST",_xlfn.XLOOKUP(Tabla13[[#This Row],[VENDEDOR]],dimensiones!$C$21:$C$28,dimensiones!$D$21:$D$28,""))</f>
        <v>ATEL</v>
      </c>
      <c r="J658" s="125" t="str">
        <f>_xlfn.XLOOKUP(Tabla13[[#This Row],[REGION]],dimensiones!C:C,dimensiones!D:D,"")</f>
        <v>Región de Maule</v>
      </c>
    </row>
    <row r="659" spans="1:10" ht="14.25" customHeight="1" x14ac:dyDescent="0.25">
      <c r="A659">
        <v>691104001</v>
      </c>
      <c r="B659" t="s">
        <v>337</v>
      </c>
      <c r="C659" t="s">
        <v>4257</v>
      </c>
      <c r="D659">
        <v>7</v>
      </c>
      <c r="E659" t="s">
        <v>4445</v>
      </c>
      <c r="F659" t="s">
        <v>1177</v>
      </c>
      <c r="G659" t="s">
        <v>5575</v>
      </c>
      <c r="H659" t="s">
        <v>4957</v>
      </c>
      <c r="I659" s="79" t="str">
        <f>IF(Tabla13[[#This Row],[RUT]]=774097899,"DIST",_xlfn.XLOOKUP(Tabla13[[#This Row],[VENDEDOR]],dimensiones!$C$21:$C$28,dimensiones!$D$21:$D$28,""))</f>
        <v>ATEL</v>
      </c>
      <c r="J659" s="125" t="str">
        <f>_xlfn.XLOOKUP(Tabla13[[#This Row],[REGION]],dimensiones!C:C,dimensiones!D:D,"")</f>
        <v>Región de Maule</v>
      </c>
    </row>
    <row r="660" spans="1:10" ht="14.25" customHeight="1" x14ac:dyDescent="0.25">
      <c r="A660">
        <v>691105008</v>
      </c>
      <c r="B660" t="s">
        <v>338</v>
      </c>
      <c r="C660" t="s">
        <v>4405</v>
      </c>
      <c r="D660">
        <v>7</v>
      </c>
      <c r="E660" t="s">
        <v>4445</v>
      </c>
      <c r="F660" t="s">
        <v>3523</v>
      </c>
      <c r="G660" t="s">
        <v>5575</v>
      </c>
      <c r="H660" t="s">
        <v>4957</v>
      </c>
      <c r="I660" s="79" t="str">
        <f>IF(Tabla13[[#This Row],[RUT]]=774097899,"DIST",_xlfn.XLOOKUP(Tabla13[[#This Row],[VENDEDOR]],dimensiones!$C$21:$C$28,dimensiones!$D$21:$D$28,""))</f>
        <v>ATEL</v>
      </c>
      <c r="J660" s="125" t="str">
        <f>_xlfn.XLOOKUP(Tabla13[[#This Row],[REGION]],dimensiones!C:C,dimensiones!D:D,"")</f>
        <v>Región de Maule</v>
      </c>
    </row>
    <row r="661" spans="1:10" ht="14.25" customHeight="1" x14ac:dyDescent="0.25">
      <c r="A661">
        <v>691106004</v>
      </c>
      <c r="B661" t="s">
        <v>339</v>
      </c>
      <c r="C661" t="s">
        <v>4338</v>
      </c>
      <c r="D661">
        <v>7</v>
      </c>
      <c r="E661" t="s">
        <v>4445</v>
      </c>
      <c r="F661" t="s">
        <v>1453</v>
      </c>
      <c r="G661" t="s">
        <v>5575</v>
      </c>
      <c r="H661" t="s">
        <v>4957</v>
      </c>
      <c r="I661" s="79" t="str">
        <f>IF(Tabla13[[#This Row],[RUT]]=774097899,"DIST",_xlfn.XLOOKUP(Tabla13[[#This Row],[VENDEDOR]],dimensiones!$C$21:$C$28,dimensiones!$D$21:$D$28,""))</f>
        <v>ATEL</v>
      </c>
      <c r="J661" s="125" t="str">
        <f>_xlfn.XLOOKUP(Tabla13[[#This Row],[REGION]],dimensiones!C:C,dimensiones!D:D,"")</f>
        <v>Región de Maule</v>
      </c>
    </row>
    <row r="662" spans="1:10" ht="14.25" customHeight="1" x14ac:dyDescent="0.25">
      <c r="A662">
        <v>691107000</v>
      </c>
      <c r="B662" t="s">
        <v>1192</v>
      </c>
      <c r="C662" t="s">
        <v>4539</v>
      </c>
      <c r="D662">
        <v>7</v>
      </c>
      <c r="E662" t="s">
        <v>4445</v>
      </c>
      <c r="F662" t="s">
        <v>1191</v>
      </c>
      <c r="G662" t="s">
        <v>5575</v>
      </c>
      <c r="H662" t="s">
        <v>4957</v>
      </c>
      <c r="I662" s="79" t="str">
        <f>IF(Tabla13[[#This Row],[RUT]]=774097899,"DIST",_xlfn.XLOOKUP(Tabla13[[#This Row],[VENDEDOR]],dimensiones!$C$21:$C$28,dimensiones!$D$21:$D$28,""))</f>
        <v>ATEL</v>
      </c>
      <c r="J662" s="125" t="str">
        <f>_xlfn.XLOOKUP(Tabla13[[#This Row],[REGION]],dimensiones!C:C,dimensiones!D:D,"")</f>
        <v>Región de Maule</v>
      </c>
    </row>
    <row r="663" spans="1:10" ht="14.25" customHeight="1" x14ac:dyDescent="0.25">
      <c r="A663">
        <v>691108007</v>
      </c>
      <c r="B663" t="s">
        <v>951</v>
      </c>
      <c r="C663" t="s">
        <v>4339</v>
      </c>
      <c r="D663">
        <v>7</v>
      </c>
      <c r="E663" t="s">
        <v>4445</v>
      </c>
      <c r="F663" t="s">
        <v>1811</v>
      </c>
      <c r="G663" t="s">
        <v>5575</v>
      </c>
      <c r="H663" t="s">
        <v>4957</v>
      </c>
      <c r="I663" s="79" t="str">
        <f>IF(Tabla13[[#This Row],[RUT]]=774097899,"DIST",_xlfn.XLOOKUP(Tabla13[[#This Row],[VENDEDOR]],dimensiones!$C$21:$C$28,dimensiones!$D$21:$D$28,""))</f>
        <v>ATEL</v>
      </c>
      <c r="J663" s="125" t="str">
        <f>_xlfn.XLOOKUP(Tabla13[[#This Row],[REGION]],dimensiones!C:C,dimensiones!D:D,"")</f>
        <v>Región de Maule</v>
      </c>
    </row>
    <row r="664" spans="1:10" ht="14.25" customHeight="1" x14ac:dyDescent="0.25">
      <c r="A664">
        <v>691201007</v>
      </c>
      <c r="B664" t="s">
        <v>1814</v>
      </c>
      <c r="C664" t="s">
        <v>4494</v>
      </c>
      <c r="D664">
        <v>7</v>
      </c>
      <c r="E664" t="s">
        <v>4445</v>
      </c>
      <c r="F664" t="s">
        <v>1813</v>
      </c>
      <c r="G664" t="s">
        <v>5575</v>
      </c>
      <c r="H664" t="s">
        <v>4957</v>
      </c>
      <c r="I664" s="79" t="str">
        <f>IF(Tabla13[[#This Row],[RUT]]=774097899,"DIST",_xlfn.XLOOKUP(Tabla13[[#This Row],[VENDEDOR]],dimensiones!$C$21:$C$28,dimensiones!$D$21:$D$28,""))</f>
        <v>ATEL</v>
      </c>
      <c r="J664" s="125" t="str">
        <f>_xlfn.XLOOKUP(Tabla13[[#This Row],[REGION]],dimensiones!C:C,dimensiones!D:D,"")</f>
        <v>Región de Maule</v>
      </c>
    </row>
    <row r="665" spans="1:10" ht="14.25" customHeight="1" x14ac:dyDescent="0.25">
      <c r="A665">
        <v>691202003</v>
      </c>
      <c r="B665" t="s">
        <v>906</v>
      </c>
      <c r="C665" t="s">
        <v>4340</v>
      </c>
      <c r="D665">
        <v>7</v>
      </c>
      <c r="E665" t="s">
        <v>4445</v>
      </c>
      <c r="F665" t="s">
        <v>1816</v>
      </c>
      <c r="G665" t="s">
        <v>5575</v>
      </c>
      <c r="H665" t="s">
        <v>4957</v>
      </c>
      <c r="I665" s="79" t="str">
        <f>IF(Tabla13[[#This Row],[RUT]]=774097899,"DIST",_xlfn.XLOOKUP(Tabla13[[#This Row],[VENDEDOR]],dimensiones!$C$21:$C$28,dimensiones!$D$21:$D$28,""))</f>
        <v>ATEL</v>
      </c>
      <c r="J665" s="125" t="str">
        <f>_xlfn.XLOOKUP(Tabla13[[#This Row],[REGION]],dimensiones!C:C,dimensiones!D:D,"")</f>
        <v>Región de Maule</v>
      </c>
    </row>
    <row r="666" spans="1:10" ht="14.25" customHeight="1" x14ac:dyDescent="0.25">
      <c r="A666" t="s">
        <v>4748</v>
      </c>
      <c r="B666" t="s">
        <v>4749</v>
      </c>
      <c r="C666" t="s">
        <v>4263</v>
      </c>
      <c r="D666">
        <v>7</v>
      </c>
      <c r="E666" t="s">
        <v>4445</v>
      </c>
      <c r="F666" t="s">
        <v>4907</v>
      </c>
      <c r="G666" t="s">
        <v>5575</v>
      </c>
      <c r="H666" t="s">
        <v>4957</v>
      </c>
      <c r="I666" s="79" t="str">
        <f>IF(Tabla13[[#This Row],[RUT]]=774097899,"DIST",_xlfn.XLOOKUP(Tabla13[[#This Row],[VENDEDOR]],dimensiones!$C$21:$C$28,dimensiones!$D$21:$D$28,""))</f>
        <v>ATEL</v>
      </c>
      <c r="J666" s="125" t="str">
        <f>_xlfn.XLOOKUP(Tabla13[[#This Row],[REGION]],dimensiones!C:C,dimensiones!D:D,"")</f>
        <v>Región de Maule</v>
      </c>
    </row>
    <row r="667" spans="1:10" ht="14.25" customHeight="1" x14ac:dyDescent="0.25">
      <c r="A667">
        <v>691204006</v>
      </c>
      <c r="B667" t="s">
        <v>341</v>
      </c>
      <c r="C667" t="s">
        <v>4341</v>
      </c>
      <c r="D667">
        <v>7</v>
      </c>
      <c r="E667" t="s">
        <v>4445</v>
      </c>
      <c r="F667" t="s">
        <v>3387</v>
      </c>
      <c r="G667" t="s">
        <v>5575</v>
      </c>
      <c r="H667" t="s">
        <v>4957</v>
      </c>
      <c r="I667" s="79" t="str">
        <f>IF(Tabla13[[#This Row],[RUT]]=774097899,"DIST",_xlfn.XLOOKUP(Tabla13[[#This Row],[VENDEDOR]],dimensiones!$C$21:$C$28,dimensiones!$D$21:$D$28,""))</f>
        <v>ATEL</v>
      </c>
      <c r="J667" s="125" t="str">
        <f>_xlfn.XLOOKUP(Tabla13[[#This Row],[REGION]],dimensiones!C:C,dimensiones!D:D,"")</f>
        <v>Región de Maule</v>
      </c>
    </row>
    <row r="668" spans="1:10" ht="14.25" customHeight="1" x14ac:dyDescent="0.25">
      <c r="A668">
        <v>691301001</v>
      </c>
      <c r="B668" t="s">
        <v>342</v>
      </c>
      <c r="C668" t="s">
        <v>4262</v>
      </c>
      <c r="D668">
        <v>7</v>
      </c>
      <c r="E668" t="s">
        <v>4445</v>
      </c>
      <c r="F668" t="s">
        <v>3839</v>
      </c>
      <c r="G668" t="s">
        <v>5575</v>
      </c>
      <c r="H668" t="s">
        <v>4957</v>
      </c>
      <c r="I668" s="79" t="str">
        <f>IF(Tabla13[[#This Row],[RUT]]=774097899,"DIST",_xlfn.XLOOKUP(Tabla13[[#This Row],[VENDEDOR]],dimensiones!$C$21:$C$28,dimensiones!$D$21:$D$28,""))</f>
        <v>ATEL</v>
      </c>
      <c r="J668" s="125" t="str">
        <f>_xlfn.XLOOKUP(Tabla13[[#This Row],[REGION]],dimensiones!C:C,dimensiones!D:D,"")</f>
        <v>Región de Maule</v>
      </c>
    </row>
    <row r="669" spans="1:10" ht="14.25" customHeight="1" x14ac:dyDescent="0.25">
      <c r="A669">
        <v>691302008</v>
      </c>
      <c r="B669" t="s">
        <v>792</v>
      </c>
      <c r="C669" t="s">
        <v>4342</v>
      </c>
      <c r="D669">
        <v>7</v>
      </c>
      <c r="E669" t="s">
        <v>4445</v>
      </c>
      <c r="F669" t="s">
        <v>1820</v>
      </c>
      <c r="G669" t="s">
        <v>5575</v>
      </c>
      <c r="H669" t="s">
        <v>4957</v>
      </c>
      <c r="I669" s="79" t="str">
        <f>IF(Tabla13[[#This Row],[RUT]]=774097899,"DIST",_xlfn.XLOOKUP(Tabla13[[#This Row],[VENDEDOR]],dimensiones!$C$21:$C$28,dimensiones!$D$21:$D$28,""))</f>
        <v>ATEL</v>
      </c>
      <c r="J669" s="125" t="str">
        <f>_xlfn.XLOOKUP(Tabla13[[#This Row],[REGION]],dimensiones!C:C,dimensiones!D:D,"")</f>
        <v>Región de Maule</v>
      </c>
    </row>
    <row r="670" spans="1:10" ht="14.25" customHeight="1" x14ac:dyDescent="0.25">
      <c r="A670">
        <v>691303012</v>
      </c>
      <c r="B670" t="s">
        <v>343</v>
      </c>
      <c r="C670" t="s">
        <v>4264</v>
      </c>
      <c r="D670">
        <v>7</v>
      </c>
      <c r="E670" t="s">
        <v>4445</v>
      </c>
      <c r="F670" t="s">
        <v>3987</v>
      </c>
      <c r="G670" t="s">
        <v>5575</v>
      </c>
      <c r="H670" t="s">
        <v>4957</v>
      </c>
      <c r="I670" s="79" t="str">
        <f>IF(Tabla13[[#This Row],[RUT]]=774097899,"DIST",_xlfn.XLOOKUP(Tabla13[[#This Row],[VENDEDOR]],dimensiones!$C$21:$C$28,dimensiones!$D$21:$D$28,""))</f>
        <v>ATEL</v>
      </c>
      <c r="J670" s="125" t="str">
        <f>_xlfn.XLOOKUP(Tabla13[[#This Row],[REGION]],dimensiones!C:C,dimensiones!D:D,"")</f>
        <v>Región de Maule</v>
      </c>
    </row>
    <row r="671" spans="1:10" ht="14.25" customHeight="1" x14ac:dyDescent="0.25">
      <c r="A671">
        <v>691304027</v>
      </c>
      <c r="B671" t="s">
        <v>793</v>
      </c>
      <c r="C671" t="s">
        <v>4343</v>
      </c>
      <c r="D671">
        <v>7</v>
      </c>
      <c r="E671" t="s">
        <v>4445</v>
      </c>
      <c r="F671" t="s">
        <v>1824</v>
      </c>
      <c r="G671" t="s">
        <v>5575</v>
      </c>
      <c r="H671" t="s">
        <v>4957</v>
      </c>
      <c r="I671" s="79" t="str">
        <f>IF(Tabla13[[#This Row],[RUT]]=774097899,"DIST",_xlfn.XLOOKUP(Tabla13[[#This Row],[VENDEDOR]],dimensiones!$C$21:$C$28,dimensiones!$D$21:$D$28,""))</f>
        <v>ATEL</v>
      </c>
      <c r="J671" s="125" t="str">
        <f>_xlfn.XLOOKUP(Tabla13[[#This Row],[REGION]],dimensiones!C:C,dimensiones!D:D,"")</f>
        <v>Región de Maule</v>
      </c>
    </row>
    <row r="672" spans="1:10" ht="14.25" customHeight="1" x14ac:dyDescent="0.25">
      <c r="A672">
        <v>691305007</v>
      </c>
      <c r="B672" t="s">
        <v>344</v>
      </c>
      <c r="C672" t="s">
        <v>4836</v>
      </c>
      <c r="D672">
        <v>7</v>
      </c>
      <c r="E672" t="s">
        <v>4445</v>
      </c>
      <c r="F672" t="s">
        <v>1826</v>
      </c>
      <c r="G672" t="s">
        <v>5575</v>
      </c>
      <c r="H672" t="s">
        <v>4957</v>
      </c>
      <c r="I672" s="79" t="str">
        <f>IF(Tabla13[[#This Row],[RUT]]=774097899,"DIST",_xlfn.XLOOKUP(Tabla13[[#This Row],[VENDEDOR]],dimensiones!$C$21:$C$28,dimensiones!$D$21:$D$28,""))</f>
        <v>ATEL</v>
      </c>
      <c r="J672" s="125" t="str">
        <f>_xlfn.XLOOKUP(Tabla13[[#This Row],[REGION]],dimensiones!C:C,dimensiones!D:D,"")</f>
        <v>Región de Maule</v>
      </c>
    </row>
    <row r="673" spans="1:10" ht="14.25" customHeight="1" x14ac:dyDescent="0.25">
      <c r="A673" t="s">
        <v>4765</v>
      </c>
      <c r="B673" t="s">
        <v>1829</v>
      </c>
      <c r="C673" t="s">
        <v>4265</v>
      </c>
      <c r="D673">
        <v>7</v>
      </c>
      <c r="E673" t="s">
        <v>4445</v>
      </c>
      <c r="F673" t="s">
        <v>1828</v>
      </c>
      <c r="G673" t="s">
        <v>5575</v>
      </c>
      <c r="H673" t="s">
        <v>4957</v>
      </c>
      <c r="I673" s="79" t="str">
        <f>IF(Tabla13[[#This Row],[RUT]]=774097899,"DIST",_xlfn.XLOOKUP(Tabla13[[#This Row],[VENDEDOR]],dimensiones!$C$21:$C$28,dimensiones!$D$21:$D$28,""))</f>
        <v>ATEL</v>
      </c>
      <c r="J673" s="125" t="str">
        <f>_xlfn.XLOOKUP(Tabla13[[#This Row],[REGION]],dimensiones!C:C,dimensiones!D:D,"")</f>
        <v>Región de Maule</v>
      </c>
    </row>
    <row r="674" spans="1:10" ht="14.25" customHeight="1" x14ac:dyDescent="0.25">
      <c r="A674">
        <v>691308006</v>
      </c>
      <c r="B674" t="s">
        <v>5481</v>
      </c>
      <c r="C674" t="s">
        <v>5482</v>
      </c>
      <c r="D674">
        <v>7</v>
      </c>
      <c r="E674" t="s">
        <v>4445</v>
      </c>
      <c r="F674" t="s">
        <v>5483</v>
      </c>
      <c r="G674" t="s">
        <v>5575</v>
      </c>
      <c r="H674" t="s">
        <v>4957</v>
      </c>
      <c r="I674" s="79" t="str">
        <f>IF(Tabla13[[#This Row],[RUT]]=774097899,"DIST",_xlfn.XLOOKUP(Tabla13[[#This Row],[VENDEDOR]],dimensiones!$C$21:$C$28,dimensiones!$D$21:$D$28,""))</f>
        <v>ATEL</v>
      </c>
      <c r="J674" s="125" t="str">
        <f>_xlfn.XLOOKUP(Tabla13[[#This Row],[REGION]],dimensiones!C:C,dimensiones!D:D,"")</f>
        <v>Región de Maule</v>
      </c>
    </row>
    <row r="675" spans="1:10" ht="14.25" customHeight="1" x14ac:dyDescent="0.25">
      <c r="A675">
        <v>691401006</v>
      </c>
      <c r="B675" t="s">
        <v>5645</v>
      </c>
      <c r="C675" t="s">
        <v>4269</v>
      </c>
      <c r="D675">
        <v>16</v>
      </c>
      <c r="E675" t="s">
        <v>4445</v>
      </c>
      <c r="F675" t="s">
        <v>5646</v>
      </c>
      <c r="G675" t="s">
        <v>5575</v>
      </c>
      <c r="H675" t="s">
        <v>4957</v>
      </c>
      <c r="I675" s="79" t="str">
        <f>IF(Tabla13[[#This Row],[RUT]]=774097899,"DIST",_xlfn.XLOOKUP(Tabla13[[#This Row],[VENDEDOR]],dimensiones!$C$21:$C$28,dimensiones!$D$21:$D$28,""))</f>
        <v>ATEL</v>
      </c>
      <c r="J675" s="125" t="str">
        <f>_xlfn.XLOOKUP(Tabla13[[#This Row],[REGION]],dimensiones!C:C,dimensiones!D:D,"")</f>
        <v>Región de Ñuble</v>
      </c>
    </row>
    <row r="676" spans="1:10" ht="14.25" customHeight="1" x14ac:dyDescent="0.25">
      <c r="A676">
        <v>691402010</v>
      </c>
      <c r="B676" t="s">
        <v>907</v>
      </c>
      <c r="C676" t="s">
        <v>4344</v>
      </c>
      <c r="D676">
        <v>16</v>
      </c>
      <c r="E676" t="s">
        <v>4445</v>
      </c>
      <c r="F676" t="s">
        <v>1209</v>
      </c>
      <c r="G676" t="s">
        <v>5575</v>
      </c>
      <c r="H676" t="s">
        <v>4957</v>
      </c>
      <c r="I676" s="79" t="str">
        <f>IF(Tabla13[[#This Row],[RUT]]=774097899,"DIST",_xlfn.XLOOKUP(Tabla13[[#This Row],[VENDEDOR]],dimensiones!$C$21:$C$28,dimensiones!$D$21:$D$28,""))</f>
        <v>ATEL</v>
      </c>
      <c r="J676" s="125" t="str">
        <f>_xlfn.XLOOKUP(Tabla13[[#This Row],[REGION]],dimensiones!C:C,dimensiones!D:D,"")</f>
        <v>Región de Ñuble</v>
      </c>
    </row>
    <row r="677" spans="1:10" ht="14.25" customHeight="1" x14ac:dyDescent="0.25">
      <c r="A677">
        <v>691403025</v>
      </c>
      <c r="B677" t="s">
        <v>794</v>
      </c>
      <c r="C677" t="s">
        <v>4406</v>
      </c>
      <c r="D677">
        <v>16</v>
      </c>
      <c r="E677" t="s">
        <v>4445</v>
      </c>
      <c r="F677" t="s">
        <v>1217</v>
      </c>
      <c r="G677" t="s">
        <v>5575</v>
      </c>
      <c r="H677" t="s">
        <v>4957</v>
      </c>
      <c r="I677" s="79" t="str">
        <f>IF(Tabla13[[#This Row],[RUT]]=774097899,"DIST",_xlfn.XLOOKUP(Tabla13[[#This Row],[VENDEDOR]],dimensiones!$C$21:$C$28,dimensiones!$D$21:$D$28,""))</f>
        <v>ATEL</v>
      </c>
      <c r="J677" s="125" t="str">
        <f>_xlfn.XLOOKUP(Tabla13[[#This Row],[REGION]],dimensiones!C:C,dimensiones!D:D,"")</f>
        <v>Región de Ñuble</v>
      </c>
    </row>
    <row r="678" spans="1:10" ht="14.25" customHeight="1" x14ac:dyDescent="0.25">
      <c r="A678">
        <v>691404005</v>
      </c>
      <c r="B678" t="s">
        <v>345</v>
      </c>
      <c r="C678" t="s">
        <v>4191</v>
      </c>
      <c r="D678">
        <v>14</v>
      </c>
      <c r="E678" t="s">
        <v>4445</v>
      </c>
      <c r="F678" t="s">
        <v>1268</v>
      </c>
      <c r="G678" t="s">
        <v>5575</v>
      </c>
      <c r="H678" t="s">
        <v>4957</v>
      </c>
      <c r="I678" s="79" t="str">
        <f>IF(Tabla13[[#This Row],[RUT]]=774097899,"DIST",_xlfn.XLOOKUP(Tabla13[[#This Row],[VENDEDOR]],dimensiones!$C$21:$C$28,dimensiones!$D$21:$D$28,""))</f>
        <v>ATEL</v>
      </c>
      <c r="J678" s="125" t="str">
        <f>_xlfn.XLOOKUP(Tabla13[[#This Row],[REGION]],dimensiones!C:C,dimensiones!D:D,"")</f>
        <v>Región de Los Ríos</v>
      </c>
    </row>
    <row r="679" spans="1:10" ht="14.25" customHeight="1" x14ac:dyDescent="0.25">
      <c r="A679">
        <v>691405001</v>
      </c>
      <c r="B679" t="s">
        <v>346</v>
      </c>
      <c r="C679" t="s">
        <v>4345</v>
      </c>
      <c r="D679">
        <v>16</v>
      </c>
      <c r="E679" t="s">
        <v>4445</v>
      </c>
      <c r="F679" t="s">
        <v>1551</v>
      </c>
      <c r="G679" t="s">
        <v>5575</v>
      </c>
      <c r="H679" t="s">
        <v>4957</v>
      </c>
      <c r="I679" s="79" t="str">
        <f>IF(Tabla13[[#This Row],[RUT]]=774097899,"DIST",_xlfn.XLOOKUP(Tabla13[[#This Row],[VENDEDOR]],dimensiones!$C$21:$C$28,dimensiones!$D$21:$D$28,""))</f>
        <v>ATEL</v>
      </c>
      <c r="J679" s="125" t="str">
        <f>_xlfn.XLOOKUP(Tabla13[[#This Row],[REGION]],dimensiones!C:C,dimensiones!D:D,"")</f>
        <v>Región de Ñuble</v>
      </c>
    </row>
    <row r="680" spans="1:10" ht="14.25" customHeight="1" x14ac:dyDescent="0.25">
      <c r="A680">
        <v>691406008</v>
      </c>
      <c r="B680" t="s">
        <v>347</v>
      </c>
      <c r="C680" t="s">
        <v>4540</v>
      </c>
      <c r="D680">
        <v>16</v>
      </c>
      <c r="E680" t="s">
        <v>4445</v>
      </c>
      <c r="F680" t="s">
        <v>1840</v>
      </c>
      <c r="G680" t="s">
        <v>5575</v>
      </c>
      <c r="H680" t="s">
        <v>4957</v>
      </c>
      <c r="I680" s="79" t="str">
        <f>IF(Tabla13[[#This Row],[RUT]]=774097899,"DIST",_xlfn.XLOOKUP(Tabla13[[#This Row],[VENDEDOR]],dimensiones!$C$21:$C$28,dimensiones!$D$21:$D$28,""))</f>
        <v>ATEL</v>
      </c>
      <c r="J680" s="125" t="str">
        <f>_xlfn.XLOOKUP(Tabla13[[#This Row],[REGION]],dimensiones!C:C,dimensiones!D:D,"")</f>
        <v>Región de Ñuble</v>
      </c>
    </row>
    <row r="681" spans="1:10" ht="14.25" customHeight="1" x14ac:dyDescent="0.25">
      <c r="A681">
        <v>691408027</v>
      </c>
      <c r="B681" t="s">
        <v>348</v>
      </c>
      <c r="C681" t="s">
        <v>4811</v>
      </c>
      <c r="D681">
        <v>16</v>
      </c>
      <c r="E681" t="s">
        <v>4445</v>
      </c>
      <c r="F681" t="s">
        <v>2341</v>
      </c>
      <c r="G681" t="s">
        <v>5575</v>
      </c>
      <c r="H681" t="s">
        <v>4957</v>
      </c>
      <c r="I681" s="79" t="str">
        <f>IF(Tabla13[[#This Row],[RUT]]=774097899,"DIST",_xlfn.XLOOKUP(Tabla13[[#This Row],[VENDEDOR]],dimensiones!$C$21:$C$28,dimensiones!$D$21:$D$28,""))</f>
        <v>ATEL</v>
      </c>
      <c r="J681" s="125" t="str">
        <f>_xlfn.XLOOKUP(Tabla13[[#This Row],[REGION]],dimensiones!C:C,dimensiones!D:D,"")</f>
        <v>Región de Ñuble</v>
      </c>
    </row>
    <row r="682" spans="1:10" ht="14.25" customHeight="1" x14ac:dyDescent="0.25">
      <c r="A682">
        <v>691411028</v>
      </c>
      <c r="B682" t="s">
        <v>349</v>
      </c>
      <c r="C682" t="s">
        <v>4346</v>
      </c>
      <c r="D682">
        <v>16</v>
      </c>
      <c r="E682" t="s">
        <v>4445</v>
      </c>
      <c r="F682" t="s">
        <v>1844</v>
      </c>
      <c r="G682" t="s">
        <v>5575</v>
      </c>
      <c r="H682" t="s">
        <v>4957</v>
      </c>
      <c r="I682" s="79" t="str">
        <f>IF(Tabla13[[#This Row],[RUT]]=774097899,"DIST",_xlfn.XLOOKUP(Tabla13[[#This Row],[VENDEDOR]],dimensiones!$C$21:$C$28,dimensiones!$D$21:$D$28,""))</f>
        <v>ATEL</v>
      </c>
      <c r="J682" s="125" t="str">
        <f>_xlfn.XLOOKUP(Tabla13[[#This Row],[REGION]],dimensiones!C:C,dimensiones!D:D,"")</f>
        <v>Región de Ñuble</v>
      </c>
    </row>
    <row r="683" spans="1:10" ht="14.25" customHeight="1" x14ac:dyDescent="0.25">
      <c r="A683">
        <v>691412008</v>
      </c>
      <c r="B683" t="s">
        <v>350</v>
      </c>
      <c r="C683" t="s">
        <v>4267</v>
      </c>
      <c r="D683">
        <v>16</v>
      </c>
      <c r="E683" t="s">
        <v>4445</v>
      </c>
      <c r="F683" t="s">
        <v>1846</v>
      </c>
      <c r="G683" t="s">
        <v>5575</v>
      </c>
      <c r="H683" t="s">
        <v>4957</v>
      </c>
      <c r="I683" s="79" t="str">
        <f>IF(Tabla13[[#This Row],[RUT]]=774097899,"DIST",_xlfn.XLOOKUP(Tabla13[[#This Row],[VENDEDOR]],dimensiones!$C$21:$C$28,dimensiones!$D$21:$D$28,""))</f>
        <v>ATEL</v>
      </c>
      <c r="J683" s="125" t="str">
        <f>_xlfn.XLOOKUP(Tabla13[[#This Row],[REGION]],dimensiones!C:C,dimensiones!D:D,"")</f>
        <v>Región de Ñuble</v>
      </c>
    </row>
    <row r="684" spans="1:10" ht="14.25" customHeight="1" x14ac:dyDescent="0.25">
      <c r="A684">
        <v>691413004</v>
      </c>
      <c r="B684" t="s">
        <v>351</v>
      </c>
      <c r="C684" t="s">
        <v>4407</v>
      </c>
      <c r="D684">
        <v>16</v>
      </c>
      <c r="E684" t="s">
        <v>4445</v>
      </c>
      <c r="F684" t="s">
        <v>1695</v>
      </c>
      <c r="G684" t="s">
        <v>5575</v>
      </c>
      <c r="H684" t="s">
        <v>4957</v>
      </c>
      <c r="I684" s="79" t="str">
        <f>IF(Tabla13[[#This Row],[RUT]]=774097899,"DIST",_xlfn.XLOOKUP(Tabla13[[#This Row],[VENDEDOR]],dimensiones!$C$21:$C$28,dimensiones!$D$21:$D$28,""))</f>
        <v>ATEL</v>
      </c>
      <c r="J684" s="125" t="str">
        <f>_xlfn.XLOOKUP(Tabla13[[#This Row],[REGION]],dimensiones!C:C,dimensiones!D:D,"")</f>
        <v>Región de Ñuble</v>
      </c>
    </row>
    <row r="685" spans="1:10" ht="14.25" customHeight="1" x14ac:dyDescent="0.25">
      <c r="A685">
        <v>691415007</v>
      </c>
      <c r="B685" t="s">
        <v>4115</v>
      </c>
      <c r="C685" t="s">
        <v>4268</v>
      </c>
      <c r="D685">
        <v>16</v>
      </c>
      <c r="E685" t="s">
        <v>4445</v>
      </c>
      <c r="F685" t="s">
        <v>4114</v>
      </c>
      <c r="G685" t="s">
        <v>5575</v>
      </c>
      <c r="H685" t="s">
        <v>4957</v>
      </c>
      <c r="I685" s="79" t="str">
        <f>IF(Tabla13[[#This Row],[RUT]]=774097899,"DIST",_xlfn.XLOOKUP(Tabla13[[#This Row],[VENDEDOR]],dimensiones!$C$21:$C$28,dimensiones!$D$21:$D$28,""))</f>
        <v>ATEL</v>
      </c>
      <c r="J685" s="125" t="str">
        <f>_xlfn.XLOOKUP(Tabla13[[#This Row],[REGION]],dimensiones!C:C,dimensiones!D:D,"")</f>
        <v>Región de Ñuble</v>
      </c>
    </row>
    <row r="686" spans="1:10" ht="14.25" customHeight="1" x14ac:dyDescent="0.25">
      <c r="A686" t="s">
        <v>5606</v>
      </c>
      <c r="B686" t="s">
        <v>5607</v>
      </c>
      <c r="C686" t="s">
        <v>4270</v>
      </c>
      <c r="D686">
        <v>16</v>
      </c>
      <c r="E686" t="s">
        <v>4445</v>
      </c>
      <c r="F686" t="s">
        <v>5608</v>
      </c>
      <c r="G686" t="s">
        <v>5575</v>
      </c>
      <c r="H686" t="s">
        <v>4957</v>
      </c>
      <c r="I686" s="79" t="str">
        <f>IF(Tabla13[[#This Row],[RUT]]=774097899,"DIST",_xlfn.XLOOKUP(Tabla13[[#This Row],[VENDEDOR]],dimensiones!$C$21:$C$28,dimensiones!$D$21:$D$28,""))</f>
        <v>ATEL</v>
      </c>
      <c r="J686" s="125" t="str">
        <f>_xlfn.XLOOKUP(Tabla13[[#This Row],[REGION]],dimensiones!C:C,dimensiones!D:D,"")</f>
        <v>Región de Ñuble</v>
      </c>
    </row>
    <row r="687" spans="1:10" ht="14.25" customHeight="1" x14ac:dyDescent="0.25">
      <c r="A687">
        <v>691418022</v>
      </c>
      <c r="B687" t="s">
        <v>352</v>
      </c>
      <c r="C687" t="s">
        <v>4347</v>
      </c>
      <c r="D687">
        <v>8</v>
      </c>
      <c r="E687" t="s">
        <v>4445</v>
      </c>
      <c r="F687" t="s">
        <v>1852</v>
      </c>
      <c r="G687" t="s">
        <v>5575</v>
      </c>
      <c r="H687" t="s">
        <v>4957</v>
      </c>
      <c r="I687" s="79" t="str">
        <f>IF(Tabla13[[#This Row],[RUT]]=774097899,"DIST",_xlfn.XLOOKUP(Tabla13[[#This Row],[VENDEDOR]],dimensiones!$C$21:$C$28,dimensiones!$D$21:$D$28,""))</f>
        <v>ATEL</v>
      </c>
      <c r="J687" s="125" t="str">
        <f>_xlfn.XLOOKUP(Tabla13[[#This Row],[REGION]],dimensiones!C:C,dimensiones!D:D,"")</f>
        <v>Región de Biobío</v>
      </c>
    </row>
    <row r="688" spans="1:10" ht="14.25" customHeight="1" x14ac:dyDescent="0.25">
      <c r="A688">
        <v>691501019</v>
      </c>
      <c r="B688" t="s">
        <v>1855</v>
      </c>
      <c r="C688" t="s">
        <v>4496</v>
      </c>
      <c r="D688">
        <v>8</v>
      </c>
      <c r="E688" t="s">
        <v>4445</v>
      </c>
      <c r="F688" t="s">
        <v>1854</v>
      </c>
      <c r="G688" t="s">
        <v>5575</v>
      </c>
      <c r="H688" t="s">
        <v>4957</v>
      </c>
      <c r="I688" s="79" t="str">
        <f>IF(Tabla13[[#This Row],[RUT]]=774097899,"DIST",_xlfn.XLOOKUP(Tabla13[[#This Row],[VENDEDOR]],dimensiones!$C$21:$C$28,dimensiones!$D$21:$D$28,""))</f>
        <v>ATEL</v>
      </c>
      <c r="J688" s="125" t="str">
        <f>_xlfn.XLOOKUP(Tabla13[[#This Row],[REGION]],dimensiones!C:C,dimensiones!D:D,"")</f>
        <v>Región de Biobío</v>
      </c>
    </row>
    <row r="689" spans="1:10" ht="14.25" customHeight="1" x14ac:dyDescent="0.25">
      <c r="A689">
        <v>691501027</v>
      </c>
      <c r="B689" t="s">
        <v>5433</v>
      </c>
      <c r="C689" t="s">
        <v>4496</v>
      </c>
      <c r="D689">
        <v>8</v>
      </c>
      <c r="E689" t="s">
        <v>4464</v>
      </c>
      <c r="F689" t="s">
        <v>1472</v>
      </c>
      <c r="G689" t="s">
        <v>5575</v>
      </c>
      <c r="H689" t="s">
        <v>4957</v>
      </c>
      <c r="I689" s="79" t="str">
        <f>IF(Tabla13[[#This Row],[RUT]]=774097899,"DIST",_xlfn.XLOOKUP(Tabla13[[#This Row],[VENDEDOR]],dimensiones!$C$21:$C$28,dimensiones!$D$21:$D$28,""))</f>
        <v>SUR1</v>
      </c>
      <c r="J689" s="125" t="str">
        <f>_xlfn.XLOOKUP(Tabla13[[#This Row],[REGION]],dimensiones!C:C,dimensiones!D:D,"")</f>
        <v>Región de Biobío</v>
      </c>
    </row>
    <row r="690" spans="1:10" ht="14.25" customHeight="1" x14ac:dyDescent="0.25">
      <c r="A690">
        <v>691502007</v>
      </c>
      <c r="B690" t="s">
        <v>353</v>
      </c>
      <c r="C690" t="s">
        <v>4210</v>
      </c>
      <c r="D690">
        <v>16</v>
      </c>
      <c r="E690" t="s">
        <v>4445</v>
      </c>
      <c r="F690" t="s">
        <v>1859</v>
      </c>
      <c r="G690" t="s">
        <v>5575</v>
      </c>
      <c r="H690" t="s">
        <v>4957</v>
      </c>
      <c r="I690" s="79" t="str">
        <f>IF(Tabla13[[#This Row],[RUT]]=774097899,"DIST",_xlfn.XLOOKUP(Tabla13[[#This Row],[VENDEDOR]],dimensiones!$C$21:$C$28,dimensiones!$D$21:$D$28,""))</f>
        <v>ATEL</v>
      </c>
      <c r="J690" s="125" t="str">
        <f>_xlfn.XLOOKUP(Tabla13[[#This Row],[REGION]],dimensiones!C:C,dimensiones!D:D,"")</f>
        <v>Región de Ñuble</v>
      </c>
    </row>
    <row r="691" spans="1:10" ht="14.25" customHeight="1" x14ac:dyDescent="0.25">
      <c r="A691">
        <v>691503003</v>
      </c>
      <c r="B691" t="s">
        <v>354</v>
      </c>
      <c r="C691" t="s">
        <v>4541</v>
      </c>
      <c r="D691">
        <v>16</v>
      </c>
      <c r="E691" t="s">
        <v>4445</v>
      </c>
      <c r="F691" t="s">
        <v>1805</v>
      </c>
      <c r="G691" t="s">
        <v>5575</v>
      </c>
      <c r="H691" t="s">
        <v>4957</v>
      </c>
      <c r="I691" s="79" t="str">
        <f>IF(Tabla13[[#This Row],[RUT]]=774097899,"DIST",_xlfn.XLOOKUP(Tabla13[[#This Row],[VENDEDOR]],dimensiones!$C$21:$C$28,dimensiones!$D$21:$D$28,""))</f>
        <v>ATEL</v>
      </c>
      <c r="J691" s="125" t="str">
        <f>_xlfn.XLOOKUP(Tabla13[[#This Row],[REGION]],dimensiones!C:C,dimensiones!D:D,"")</f>
        <v>Región de Ñuble</v>
      </c>
    </row>
    <row r="692" spans="1:10" ht="14.25" customHeight="1" x14ac:dyDescent="0.25">
      <c r="A692">
        <v>691505022</v>
      </c>
      <c r="B692" t="s">
        <v>355</v>
      </c>
      <c r="C692" t="s">
        <v>4211</v>
      </c>
      <c r="D692">
        <v>8</v>
      </c>
      <c r="E692" t="s">
        <v>4445</v>
      </c>
      <c r="F692" t="s">
        <v>3262</v>
      </c>
      <c r="G692" t="s">
        <v>5575</v>
      </c>
      <c r="H692" t="s">
        <v>4957</v>
      </c>
      <c r="I692" s="79" t="str">
        <f>IF(Tabla13[[#This Row],[RUT]]=774097899,"DIST",_xlfn.XLOOKUP(Tabla13[[#This Row],[VENDEDOR]],dimensiones!$C$21:$C$28,dimensiones!$D$21:$D$28,""))</f>
        <v>ATEL</v>
      </c>
      <c r="J692" s="125" t="str">
        <f>_xlfn.XLOOKUP(Tabla13[[#This Row],[REGION]],dimensiones!C:C,dimensiones!D:D,"")</f>
        <v>Región de Biobío</v>
      </c>
    </row>
    <row r="693" spans="1:10" ht="14.25" customHeight="1" x14ac:dyDescent="0.25">
      <c r="A693">
        <v>691506010</v>
      </c>
      <c r="B693" t="s">
        <v>795</v>
      </c>
      <c r="C693" t="s">
        <v>4349</v>
      </c>
      <c r="D693">
        <v>8</v>
      </c>
      <c r="E693" t="s">
        <v>4445</v>
      </c>
      <c r="F693" t="s">
        <v>1863</v>
      </c>
      <c r="G693" t="s">
        <v>5575</v>
      </c>
      <c r="H693" t="s">
        <v>4957</v>
      </c>
      <c r="I693" s="79" t="str">
        <f>IF(Tabla13[[#This Row],[RUT]]=774097899,"DIST",_xlfn.XLOOKUP(Tabla13[[#This Row],[VENDEDOR]],dimensiones!$C$21:$C$28,dimensiones!$D$21:$D$28,""))</f>
        <v>ATEL</v>
      </c>
      <c r="J693" s="125" t="str">
        <f>_xlfn.XLOOKUP(Tabla13[[#This Row],[REGION]],dimensiones!C:C,dimensiones!D:D,"")</f>
        <v>Región de Biobío</v>
      </c>
    </row>
    <row r="694" spans="1:10" ht="14.25" customHeight="1" x14ac:dyDescent="0.25">
      <c r="A694">
        <v>691508005</v>
      </c>
      <c r="B694" t="s">
        <v>84</v>
      </c>
      <c r="C694" t="s">
        <v>4183</v>
      </c>
      <c r="D694">
        <v>8</v>
      </c>
      <c r="E694" t="s">
        <v>4464</v>
      </c>
      <c r="F694" t="s">
        <v>1308</v>
      </c>
      <c r="G694" t="s">
        <v>5575</v>
      </c>
      <c r="H694" t="s">
        <v>4957</v>
      </c>
      <c r="I694" s="79" t="str">
        <f>IF(Tabla13[[#This Row],[RUT]]=774097899,"DIST",_xlfn.XLOOKUP(Tabla13[[#This Row],[VENDEDOR]],dimensiones!$C$21:$C$28,dimensiones!$D$21:$D$28,""))</f>
        <v>SUR1</v>
      </c>
      <c r="J694" s="125" t="str">
        <f>_xlfn.XLOOKUP(Tabla13[[#This Row],[REGION]],dimensiones!C:C,dimensiones!D:D,"")</f>
        <v>Región de Biobío</v>
      </c>
    </row>
    <row r="695" spans="1:10" ht="14.25" customHeight="1" x14ac:dyDescent="0.25">
      <c r="A695" t="s">
        <v>908</v>
      </c>
      <c r="B695" t="s">
        <v>909</v>
      </c>
      <c r="C695" t="s">
        <v>4275</v>
      </c>
      <c r="D695">
        <v>8</v>
      </c>
      <c r="E695" t="s">
        <v>4445</v>
      </c>
      <c r="F695" t="s">
        <v>1616</v>
      </c>
      <c r="G695" t="s">
        <v>5575</v>
      </c>
      <c r="H695" t="s">
        <v>4957</v>
      </c>
      <c r="I695" s="79" t="str">
        <f>IF(Tabla13[[#This Row],[RUT]]=774097899,"DIST",_xlfn.XLOOKUP(Tabla13[[#This Row],[VENDEDOR]],dimensiones!$C$21:$C$28,dimensiones!$D$21:$D$28,""))</f>
        <v>ATEL</v>
      </c>
      <c r="J695" s="125" t="str">
        <f>_xlfn.XLOOKUP(Tabla13[[#This Row],[REGION]],dimensiones!C:C,dimensiones!D:D,"")</f>
        <v>Región de Biobío</v>
      </c>
    </row>
    <row r="696" spans="1:10" ht="14.25" customHeight="1" x14ac:dyDescent="0.25">
      <c r="A696" t="s">
        <v>1023</v>
      </c>
      <c r="B696" t="s">
        <v>1024</v>
      </c>
      <c r="C696" t="s">
        <v>4350</v>
      </c>
      <c r="D696">
        <v>8</v>
      </c>
      <c r="E696" t="s">
        <v>4445</v>
      </c>
      <c r="F696" t="s">
        <v>2197</v>
      </c>
      <c r="G696" t="s">
        <v>5575</v>
      </c>
      <c r="H696" t="s">
        <v>4957</v>
      </c>
      <c r="I696" s="79" t="str">
        <f>IF(Tabla13[[#This Row],[RUT]]=774097899,"DIST",_xlfn.XLOOKUP(Tabla13[[#This Row],[VENDEDOR]],dimensiones!$C$21:$C$28,dimensiones!$D$21:$D$28,""))</f>
        <v>ATEL</v>
      </c>
      <c r="J696" s="125" t="str">
        <f>_xlfn.XLOOKUP(Tabla13[[#This Row],[REGION]],dimensiones!C:C,dimensiones!D:D,"")</f>
        <v>Región de Biobío</v>
      </c>
    </row>
    <row r="697" spans="1:10" ht="14.25" customHeight="1" x14ac:dyDescent="0.25">
      <c r="A697">
        <v>691510026</v>
      </c>
      <c r="B697" t="s">
        <v>85</v>
      </c>
      <c r="C697" t="s">
        <v>4350</v>
      </c>
      <c r="D697">
        <v>8</v>
      </c>
      <c r="E697" t="s">
        <v>4464</v>
      </c>
      <c r="F697" t="s">
        <v>2182</v>
      </c>
      <c r="G697" t="s">
        <v>5575</v>
      </c>
      <c r="H697" t="s">
        <v>4957</v>
      </c>
      <c r="I697" s="79" t="str">
        <f>IF(Tabla13[[#This Row],[RUT]]=774097899,"DIST",_xlfn.XLOOKUP(Tabla13[[#This Row],[VENDEDOR]],dimensiones!$C$21:$C$28,dimensiones!$D$21:$D$28,""))</f>
        <v>SUR1</v>
      </c>
      <c r="J697" s="125" t="str">
        <f>_xlfn.XLOOKUP(Tabla13[[#This Row],[REGION]],dimensiones!C:C,dimensiones!D:D,"")</f>
        <v>Región de Biobío</v>
      </c>
    </row>
    <row r="698" spans="1:10" ht="14.25" customHeight="1" x14ac:dyDescent="0.25">
      <c r="A698">
        <v>691511006</v>
      </c>
      <c r="B698" t="s">
        <v>356</v>
      </c>
      <c r="C698" t="s">
        <v>4351</v>
      </c>
      <c r="D698">
        <v>8</v>
      </c>
      <c r="E698" t="s">
        <v>4445</v>
      </c>
      <c r="F698" t="s">
        <v>1873</v>
      </c>
      <c r="G698" t="s">
        <v>5575</v>
      </c>
      <c r="H698" t="s">
        <v>4957</v>
      </c>
      <c r="I698" s="79" t="str">
        <f>IF(Tabla13[[#This Row],[RUT]]=774097899,"DIST",_xlfn.XLOOKUP(Tabla13[[#This Row],[VENDEDOR]],dimensiones!$C$21:$C$28,dimensiones!$D$21:$D$28,""))</f>
        <v>ATEL</v>
      </c>
      <c r="J698" s="125" t="str">
        <f>_xlfn.XLOOKUP(Tabla13[[#This Row],[REGION]],dimensiones!C:C,dimensiones!D:D,"")</f>
        <v>Región de Biobío</v>
      </c>
    </row>
    <row r="699" spans="1:10" ht="14.25" customHeight="1" x14ac:dyDescent="0.25">
      <c r="A699">
        <v>691512029</v>
      </c>
      <c r="B699" t="s">
        <v>86</v>
      </c>
      <c r="C699" t="s">
        <v>4352</v>
      </c>
      <c r="D699">
        <v>8</v>
      </c>
      <c r="E699" t="s">
        <v>4464</v>
      </c>
      <c r="F699" t="s">
        <v>1884</v>
      </c>
      <c r="G699" t="s">
        <v>5575</v>
      </c>
      <c r="H699" t="s">
        <v>4957</v>
      </c>
      <c r="I699" s="79" t="str">
        <f>IF(Tabla13[[#This Row],[RUT]]=774097899,"DIST",_xlfn.XLOOKUP(Tabla13[[#This Row],[VENDEDOR]],dimensiones!$C$21:$C$28,dimensiones!$D$21:$D$28,""))</f>
        <v>SUR1</v>
      </c>
      <c r="J699" s="125" t="str">
        <f>_xlfn.XLOOKUP(Tabla13[[#This Row],[REGION]],dimensiones!C:C,dimensiones!D:D,"")</f>
        <v>Región de Biobío</v>
      </c>
    </row>
    <row r="700" spans="1:10" ht="14.25" customHeight="1" x14ac:dyDescent="0.25">
      <c r="A700">
        <v>691514005</v>
      </c>
      <c r="B700" t="s">
        <v>910</v>
      </c>
      <c r="C700" t="s">
        <v>4213</v>
      </c>
      <c r="D700">
        <v>8</v>
      </c>
      <c r="E700" t="s">
        <v>4445</v>
      </c>
      <c r="F700" t="s">
        <v>1877</v>
      </c>
      <c r="G700" t="s">
        <v>5575</v>
      </c>
      <c r="H700" t="s">
        <v>4957</v>
      </c>
      <c r="I700" s="79" t="str">
        <f>IF(Tabla13[[#This Row],[RUT]]=774097899,"DIST",_xlfn.XLOOKUP(Tabla13[[#This Row],[VENDEDOR]],dimensiones!$C$21:$C$28,dimensiones!$D$21:$D$28,""))</f>
        <v>ATEL</v>
      </c>
      <c r="J700" s="125" t="str">
        <f>_xlfn.XLOOKUP(Tabla13[[#This Row],[REGION]],dimensiones!C:C,dimensiones!D:D,"")</f>
        <v>Región de Biobío</v>
      </c>
    </row>
    <row r="701" spans="1:10" ht="14.25" customHeight="1" x14ac:dyDescent="0.25">
      <c r="A701">
        <v>691601005</v>
      </c>
      <c r="B701" t="s">
        <v>357</v>
      </c>
      <c r="C701" t="s">
        <v>4214</v>
      </c>
      <c r="D701">
        <v>8</v>
      </c>
      <c r="E701" t="s">
        <v>4445</v>
      </c>
      <c r="F701" t="s">
        <v>4110</v>
      </c>
      <c r="G701" t="s">
        <v>5575</v>
      </c>
      <c r="H701" t="s">
        <v>4957</v>
      </c>
      <c r="I701" s="79" t="str">
        <f>IF(Tabla13[[#This Row],[RUT]]=774097899,"DIST",_xlfn.XLOOKUP(Tabla13[[#This Row],[VENDEDOR]],dimensiones!$C$21:$C$28,dimensiones!$D$21:$D$28,""))</f>
        <v>ATEL</v>
      </c>
      <c r="J701" s="125" t="str">
        <f>_xlfn.XLOOKUP(Tabla13[[#This Row],[REGION]],dimensiones!C:C,dimensiones!D:D,"")</f>
        <v>Región de Biobío</v>
      </c>
    </row>
    <row r="702" spans="1:10" ht="14.25" customHeight="1" x14ac:dyDescent="0.25">
      <c r="A702" t="s">
        <v>5689</v>
      </c>
      <c r="B702" t="s">
        <v>5690</v>
      </c>
      <c r="C702" t="s">
        <v>4215</v>
      </c>
      <c r="D702">
        <v>8</v>
      </c>
      <c r="E702" t="s">
        <v>4445</v>
      </c>
      <c r="F702" t="s">
        <v>5691</v>
      </c>
      <c r="G702" t="s">
        <v>5575</v>
      </c>
      <c r="H702" t="s">
        <v>4957</v>
      </c>
      <c r="I702" s="79" t="str">
        <f>IF(Tabla13[[#This Row],[RUT]]=774097899,"DIST",_xlfn.XLOOKUP(Tabla13[[#This Row],[VENDEDOR]],dimensiones!$C$21:$C$28,dimensiones!$D$21:$D$28,""))</f>
        <v>ATEL</v>
      </c>
      <c r="J702" s="125" t="str">
        <f>_xlfn.XLOOKUP(Tabla13[[#This Row],[REGION]],dimensiones!C:C,dimensiones!D:D,"")</f>
        <v>Región de Biobío</v>
      </c>
    </row>
    <row r="703" spans="1:10" ht="14.25" customHeight="1" x14ac:dyDescent="0.25">
      <c r="A703">
        <v>691602028</v>
      </c>
      <c r="B703" t="s">
        <v>796</v>
      </c>
      <c r="C703" t="s">
        <v>4215</v>
      </c>
      <c r="D703">
        <v>8</v>
      </c>
      <c r="E703" t="s">
        <v>4445</v>
      </c>
      <c r="F703" t="s">
        <v>2516</v>
      </c>
      <c r="G703" t="s">
        <v>5575</v>
      </c>
      <c r="H703" t="s">
        <v>4957</v>
      </c>
      <c r="I703" s="79" t="str">
        <f>IF(Tabla13[[#This Row],[RUT]]=774097899,"DIST",_xlfn.XLOOKUP(Tabla13[[#This Row],[VENDEDOR]],dimensiones!$C$21:$C$28,dimensiones!$D$21:$D$28,""))</f>
        <v>ATEL</v>
      </c>
      <c r="J703" s="125" t="str">
        <f>_xlfn.XLOOKUP(Tabla13[[#This Row],[REGION]],dimensiones!C:C,dimensiones!D:D,"")</f>
        <v>Región de Biobío</v>
      </c>
    </row>
    <row r="704" spans="1:10" ht="14.25" customHeight="1" x14ac:dyDescent="0.25">
      <c r="A704">
        <v>691603008</v>
      </c>
      <c r="B704" t="s">
        <v>358</v>
      </c>
      <c r="C704" t="s">
        <v>4289</v>
      </c>
      <c r="D704">
        <v>8</v>
      </c>
      <c r="E704" t="s">
        <v>4445</v>
      </c>
      <c r="F704" t="s">
        <v>1215</v>
      </c>
      <c r="G704" t="s">
        <v>5575</v>
      </c>
      <c r="H704" t="s">
        <v>4957</v>
      </c>
      <c r="I704" s="79" t="str">
        <f>IF(Tabla13[[#This Row],[RUT]]=774097899,"DIST",_xlfn.XLOOKUP(Tabla13[[#This Row],[VENDEDOR]],dimensiones!$C$21:$C$28,dimensiones!$D$21:$D$28,""))</f>
        <v>ATEL</v>
      </c>
      <c r="J704" s="125" t="str">
        <f>_xlfn.XLOOKUP(Tabla13[[#This Row],[REGION]],dimensiones!C:C,dimensiones!D:D,"")</f>
        <v>Región de Biobío</v>
      </c>
    </row>
    <row r="705" spans="1:10" ht="14.25" customHeight="1" x14ac:dyDescent="0.25">
      <c r="A705">
        <v>691604020</v>
      </c>
      <c r="B705" t="s">
        <v>359</v>
      </c>
      <c r="C705" t="s">
        <v>4927</v>
      </c>
      <c r="D705">
        <v>8</v>
      </c>
      <c r="E705" t="s">
        <v>4445</v>
      </c>
      <c r="F705" t="s">
        <v>1848</v>
      </c>
      <c r="G705" t="s">
        <v>5575</v>
      </c>
      <c r="H705" t="s">
        <v>4957</v>
      </c>
      <c r="I705" s="79" t="str">
        <f>IF(Tabla13[[#This Row],[RUT]]=774097899,"DIST",_xlfn.XLOOKUP(Tabla13[[#This Row],[VENDEDOR]],dimensiones!$C$21:$C$28,dimensiones!$D$21:$D$28,""))</f>
        <v>ATEL</v>
      </c>
      <c r="J705" s="125" t="str">
        <f>_xlfn.XLOOKUP(Tabla13[[#This Row],[REGION]],dimensiones!C:C,dimensiones!D:D,"")</f>
        <v>Región de Biobío</v>
      </c>
    </row>
    <row r="706" spans="1:10" ht="14.25" customHeight="1" x14ac:dyDescent="0.25">
      <c r="A706">
        <v>691605000</v>
      </c>
      <c r="B706" t="s">
        <v>911</v>
      </c>
      <c r="C706" t="s">
        <v>4353</v>
      </c>
      <c r="D706">
        <v>8</v>
      </c>
      <c r="E706" t="s">
        <v>4445</v>
      </c>
      <c r="F706" t="s">
        <v>3180</v>
      </c>
      <c r="G706" t="s">
        <v>5575</v>
      </c>
      <c r="H706" t="s">
        <v>4957</v>
      </c>
      <c r="I706" s="79" t="str">
        <f>IF(Tabla13[[#This Row],[RUT]]=774097899,"DIST",_xlfn.XLOOKUP(Tabla13[[#This Row],[VENDEDOR]],dimensiones!$C$21:$C$28,dimensiones!$D$21:$D$28,""))</f>
        <v>ATEL</v>
      </c>
      <c r="J706" s="125" t="str">
        <f>_xlfn.XLOOKUP(Tabla13[[#This Row],[REGION]],dimensiones!C:C,dimensiones!D:D,"")</f>
        <v>Región de Biobío</v>
      </c>
    </row>
    <row r="707" spans="1:10" ht="14.25" customHeight="1" x14ac:dyDescent="0.25">
      <c r="A707">
        <v>691607003</v>
      </c>
      <c r="B707" t="s">
        <v>3927</v>
      </c>
      <c r="C707" t="s">
        <v>4542</v>
      </c>
      <c r="D707">
        <v>8</v>
      </c>
      <c r="E707" t="s">
        <v>4445</v>
      </c>
      <c r="F707" t="s">
        <v>3926</v>
      </c>
      <c r="G707" t="s">
        <v>5575</v>
      </c>
      <c r="H707" t="s">
        <v>4957</v>
      </c>
      <c r="I707" s="79" t="str">
        <f>IF(Tabla13[[#This Row],[RUT]]=774097899,"DIST",_xlfn.XLOOKUP(Tabla13[[#This Row],[VENDEDOR]],dimensiones!$C$21:$C$28,dimensiones!$D$21:$D$28,""))</f>
        <v>ATEL</v>
      </c>
      <c r="J707" s="125" t="str">
        <f>_xlfn.XLOOKUP(Tabla13[[#This Row],[REGION]],dimensiones!C:C,dimensiones!D:D,"")</f>
        <v>Región de Biobío</v>
      </c>
    </row>
    <row r="708" spans="1:10" ht="14.25" customHeight="1" x14ac:dyDescent="0.25">
      <c r="A708">
        <v>691701026</v>
      </c>
      <c r="B708" t="s">
        <v>87</v>
      </c>
      <c r="C708" t="s">
        <v>4497</v>
      </c>
      <c r="D708">
        <v>8</v>
      </c>
      <c r="E708" t="s">
        <v>4464</v>
      </c>
      <c r="F708" t="s">
        <v>3832</v>
      </c>
      <c r="G708" t="s">
        <v>5575</v>
      </c>
      <c r="H708" t="s">
        <v>4957</v>
      </c>
      <c r="I708" s="79" t="str">
        <f>IF(Tabla13[[#This Row],[RUT]]=774097899,"DIST",_xlfn.XLOOKUP(Tabla13[[#This Row],[VENDEDOR]],dimensiones!$C$21:$C$28,dimensiones!$D$21:$D$28,""))</f>
        <v>SUR1</v>
      </c>
      <c r="J708" s="125" t="str">
        <f>_xlfn.XLOOKUP(Tabla13[[#This Row],[REGION]],dimensiones!C:C,dimensiones!D:D,"")</f>
        <v>Región de Biobío</v>
      </c>
    </row>
    <row r="709" spans="1:10" ht="14.25" customHeight="1" x14ac:dyDescent="0.25">
      <c r="A709">
        <v>691702022</v>
      </c>
      <c r="B709" t="s">
        <v>360</v>
      </c>
      <c r="C709" t="s">
        <v>4499</v>
      </c>
      <c r="D709">
        <v>8</v>
      </c>
      <c r="E709" t="s">
        <v>4445</v>
      </c>
      <c r="F709" t="s">
        <v>1696</v>
      </c>
      <c r="G709" t="s">
        <v>5571</v>
      </c>
      <c r="H709" t="s">
        <v>4957</v>
      </c>
      <c r="I709" s="79" t="str">
        <f>IF(Tabla13[[#This Row],[RUT]]=774097899,"DIST",_xlfn.XLOOKUP(Tabla13[[#This Row],[VENDEDOR]],dimensiones!$C$21:$C$28,dimensiones!$D$21:$D$28,""))</f>
        <v>ATEL</v>
      </c>
      <c r="J709" s="125" t="str">
        <f>_xlfn.XLOOKUP(Tabla13[[#This Row],[REGION]],dimensiones!C:C,dimensiones!D:D,"")</f>
        <v>Región de Biobío</v>
      </c>
    </row>
    <row r="710" spans="1:10" ht="14.25" customHeight="1" x14ac:dyDescent="0.25">
      <c r="A710">
        <v>691703002</v>
      </c>
      <c r="B710" t="s">
        <v>912</v>
      </c>
      <c r="C710" t="s">
        <v>4273</v>
      </c>
      <c r="D710">
        <v>8</v>
      </c>
      <c r="E710" t="s">
        <v>4445</v>
      </c>
      <c r="F710" t="s">
        <v>1897</v>
      </c>
      <c r="G710" t="s">
        <v>5575</v>
      </c>
      <c r="H710" t="s">
        <v>4957</v>
      </c>
      <c r="I710" s="79" t="str">
        <f>IF(Tabla13[[#This Row],[RUT]]=774097899,"DIST",_xlfn.XLOOKUP(Tabla13[[#This Row],[VENDEDOR]],dimensiones!$C$21:$C$28,dimensiones!$D$21:$D$28,""))</f>
        <v>ATEL</v>
      </c>
      <c r="J710" s="125" t="str">
        <f>_xlfn.XLOOKUP(Tabla13[[#This Row],[REGION]],dimensiones!C:C,dimensiones!D:D,"")</f>
        <v>Región de Biobío</v>
      </c>
    </row>
    <row r="711" spans="1:10" ht="14.25" customHeight="1" x14ac:dyDescent="0.25">
      <c r="A711">
        <v>691704025</v>
      </c>
      <c r="B711" t="s">
        <v>361</v>
      </c>
      <c r="C711" t="s">
        <v>4355</v>
      </c>
      <c r="D711">
        <v>8</v>
      </c>
      <c r="E711" t="s">
        <v>4445</v>
      </c>
      <c r="F711" t="s">
        <v>1189</v>
      </c>
      <c r="G711" t="s">
        <v>5575</v>
      </c>
      <c r="H711" t="s">
        <v>4957</v>
      </c>
      <c r="I711" s="79" t="str">
        <f>IF(Tabla13[[#This Row],[RUT]]=774097899,"DIST",_xlfn.XLOOKUP(Tabla13[[#This Row],[VENDEDOR]],dimensiones!$C$21:$C$28,dimensiones!$D$21:$D$28,""))</f>
        <v>ATEL</v>
      </c>
      <c r="J711" s="125" t="str">
        <f>_xlfn.XLOOKUP(Tabla13[[#This Row],[REGION]],dimensiones!C:C,dimensiones!D:D,"")</f>
        <v>Región de Biobío</v>
      </c>
    </row>
    <row r="712" spans="1:10" ht="14.25" customHeight="1" x14ac:dyDescent="0.25">
      <c r="A712">
        <v>691707008</v>
      </c>
      <c r="B712" t="s">
        <v>362</v>
      </c>
      <c r="C712" t="s">
        <v>4216</v>
      </c>
      <c r="D712">
        <v>8</v>
      </c>
      <c r="E712" t="s">
        <v>4445</v>
      </c>
      <c r="F712" t="s">
        <v>1901</v>
      </c>
      <c r="G712" t="s">
        <v>5575</v>
      </c>
      <c r="H712" t="s">
        <v>4957</v>
      </c>
      <c r="I712" s="79" t="str">
        <f>IF(Tabla13[[#This Row],[RUT]]=774097899,"DIST",_xlfn.XLOOKUP(Tabla13[[#This Row],[VENDEDOR]],dimensiones!$C$21:$C$28,dimensiones!$D$21:$D$28,""))</f>
        <v>ATEL</v>
      </c>
      <c r="J712" s="125" t="str">
        <f>_xlfn.XLOOKUP(Tabla13[[#This Row],[REGION]],dimensiones!C:C,dimensiones!D:D,"")</f>
        <v>Región de Biobío</v>
      </c>
    </row>
    <row r="713" spans="1:10" ht="14.25" customHeight="1" x14ac:dyDescent="0.25">
      <c r="A713">
        <v>691708004</v>
      </c>
      <c r="B713" t="s">
        <v>363</v>
      </c>
      <c r="C713" t="s">
        <v>4356</v>
      </c>
      <c r="D713">
        <v>8</v>
      </c>
      <c r="E713" t="s">
        <v>4445</v>
      </c>
      <c r="F713" t="s">
        <v>1903</v>
      </c>
      <c r="G713" t="s">
        <v>5575</v>
      </c>
      <c r="H713" t="s">
        <v>4957</v>
      </c>
      <c r="I713" s="79" t="str">
        <f>IF(Tabla13[[#This Row],[RUT]]=774097899,"DIST",_xlfn.XLOOKUP(Tabla13[[#This Row],[VENDEDOR]],dimensiones!$C$21:$C$28,dimensiones!$D$21:$D$28,""))</f>
        <v>ATEL</v>
      </c>
      <c r="J713" s="125" t="str">
        <f>_xlfn.XLOOKUP(Tabla13[[#This Row],[REGION]],dimensiones!C:C,dimensiones!D:D,"")</f>
        <v>Región de Biobío</v>
      </c>
    </row>
    <row r="714" spans="1:10" ht="14.25" customHeight="1" x14ac:dyDescent="0.25">
      <c r="A714">
        <v>691726002</v>
      </c>
      <c r="B714" t="s">
        <v>364</v>
      </c>
      <c r="C714" t="s">
        <v>4408</v>
      </c>
      <c r="D714">
        <v>8</v>
      </c>
      <c r="E714" t="s">
        <v>4445</v>
      </c>
      <c r="F714" t="s">
        <v>4117</v>
      </c>
      <c r="G714" t="s">
        <v>5575</v>
      </c>
      <c r="H714" t="s">
        <v>4957</v>
      </c>
      <c r="I714" s="79" t="str">
        <f>IF(Tabla13[[#This Row],[RUT]]=774097899,"DIST",_xlfn.XLOOKUP(Tabla13[[#This Row],[VENDEDOR]],dimensiones!$C$21:$C$28,dimensiones!$D$21:$D$28,""))</f>
        <v>ATEL</v>
      </c>
      <c r="J714" s="125" t="str">
        <f>_xlfn.XLOOKUP(Tabla13[[#This Row],[REGION]],dimensiones!C:C,dimensiones!D:D,"")</f>
        <v>Región de Biobío</v>
      </c>
    </row>
    <row r="715" spans="1:10" ht="14.25" customHeight="1" x14ac:dyDescent="0.25">
      <c r="A715">
        <v>691801004</v>
      </c>
      <c r="B715" t="s">
        <v>88</v>
      </c>
      <c r="C715" t="s">
        <v>4389</v>
      </c>
      <c r="D715">
        <v>9</v>
      </c>
      <c r="E715" t="s">
        <v>4464</v>
      </c>
      <c r="F715" t="s">
        <v>2185</v>
      </c>
      <c r="G715" t="s">
        <v>5575</v>
      </c>
      <c r="H715" t="s">
        <v>4957</v>
      </c>
      <c r="I715" s="79" t="str">
        <f>IF(Tabla13[[#This Row],[RUT]]=774097899,"DIST",_xlfn.XLOOKUP(Tabla13[[#This Row],[VENDEDOR]],dimensiones!$C$21:$C$28,dimensiones!$D$21:$D$28,""))</f>
        <v>SUR1</v>
      </c>
      <c r="J715" s="125" t="str">
        <f>_xlfn.XLOOKUP(Tabla13[[#This Row],[REGION]],dimensiones!C:C,dimensiones!D:D,"")</f>
        <v>Región de La Araucanía</v>
      </c>
    </row>
    <row r="716" spans="1:10" ht="14.25" customHeight="1" x14ac:dyDescent="0.25">
      <c r="A716">
        <v>691803007</v>
      </c>
      <c r="B716" t="s">
        <v>365</v>
      </c>
      <c r="C716" t="s">
        <v>4357</v>
      </c>
      <c r="D716">
        <v>9</v>
      </c>
      <c r="E716" t="s">
        <v>4445</v>
      </c>
      <c r="F716" t="s">
        <v>1908</v>
      </c>
      <c r="G716" t="s">
        <v>5575</v>
      </c>
      <c r="H716" t="s">
        <v>4957</v>
      </c>
      <c r="I716" s="79" t="str">
        <f>IF(Tabla13[[#This Row],[RUT]]=774097899,"DIST",_xlfn.XLOOKUP(Tabla13[[#This Row],[VENDEDOR]],dimensiones!$C$21:$C$28,dimensiones!$D$21:$D$28,""))</f>
        <v>ATEL</v>
      </c>
      <c r="J716" s="125" t="str">
        <f>_xlfn.XLOOKUP(Tabla13[[#This Row],[REGION]],dimensiones!C:C,dimensiones!D:D,"")</f>
        <v>Región de La Araucanía</v>
      </c>
    </row>
    <row r="717" spans="1:10" ht="14.25" customHeight="1" x14ac:dyDescent="0.25">
      <c r="A717">
        <v>691804003</v>
      </c>
      <c r="B717" t="s">
        <v>977</v>
      </c>
      <c r="C717" t="s">
        <v>4358</v>
      </c>
      <c r="D717">
        <v>9</v>
      </c>
      <c r="E717" t="s">
        <v>4445</v>
      </c>
      <c r="F717" t="s">
        <v>4041</v>
      </c>
      <c r="G717" t="s">
        <v>5575</v>
      </c>
      <c r="H717" t="s">
        <v>4957</v>
      </c>
      <c r="I717" s="79" t="str">
        <f>IF(Tabla13[[#This Row],[RUT]]=774097899,"DIST",_xlfn.XLOOKUP(Tabla13[[#This Row],[VENDEDOR]],dimensiones!$C$21:$C$28,dimensiones!$D$21:$D$28,""))</f>
        <v>ATEL</v>
      </c>
      <c r="J717" s="125" t="str">
        <f>_xlfn.XLOOKUP(Tabla13[[#This Row],[REGION]],dimensiones!C:C,dimensiones!D:D,"")</f>
        <v>Región de La Araucanía</v>
      </c>
    </row>
    <row r="718" spans="1:10" ht="14.25" customHeight="1" x14ac:dyDescent="0.25">
      <c r="A718" t="s">
        <v>684</v>
      </c>
      <c r="B718" t="s">
        <v>685</v>
      </c>
      <c r="C718" t="s">
        <v>4217</v>
      </c>
      <c r="D718">
        <v>9</v>
      </c>
      <c r="E718" t="s">
        <v>4445</v>
      </c>
      <c r="F718" t="s">
        <v>1910</v>
      </c>
      <c r="G718" t="s">
        <v>5575</v>
      </c>
      <c r="H718" t="s">
        <v>4957</v>
      </c>
      <c r="I718" s="79" t="str">
        <f>IF(Tabla13[[#This Row],[RUT]]=774097899,"DIST",_xlfn.XLOOKUP(Tabla13[[#This Row],[VENDEDOR]],dimensiones!$C$21:$C$28,dimensiones!$D$21:$D$28,""))</f>
        <v>ATEL</v>
      </c>
      <c r="J718" s="125" t="str">
        <f>_xlfn.XLOOKUP(Tabla13[[#This Row],[REGION]],dimensiones!C:C,dimensiones!D:D,"")</f>
        <v>Región de La Araucanía</v>
      </c>
    </row>
    <row r="719" spans="1:10" ht="14.25" customHeight="1" x14ac:dyDescent="0.25">
      <c r="A719">
        <v>691806006</v>
      </c>
      <c r="B719" t="s">
        <v>366</v>
      </c>
      <c r="C719" t="s">
        <v>4359</v>
      </c>
      <c r="D719">
        <v>9</v>
      </c>
      <c r="E719" t="s">
        <v>4445</v>
      </c>
      <c r="F719" t="s">
        <v>2754</v>
      </c>
      <c r="G719" t="s">
        <v>5575</v>
      </c>
      <c r="H719" t="s">
        <v>4957</v>
      </c>
      <c r="I719" s="79" t="str">
        <f>IF(Tabla13[[#This Row],[RUT]]=774097899,"DIST",_xlfn.XLOOKUP(Tabla13[[#This Row],[VENDEDOR]],dimensiones!$C$21:$C$28,dimensiones!$D$21:$D$28,""))</f>
        <v>ATEL</v>
      </c>
      <c r="J719" s="125" t="str">
        <f>_xlfn.XLOOKUP(Tabla13[[#This Row],[REGION]],dimensiones!C:C,dimensiones!D:D,"")</f>
        <v>Región de La Araucanía</v>
      </c>
    </row>
    <row r="720" spans="1:10" ht="14.25" customHeight="1" x14ac:dyDescent="0.25">
      <c r="A720">
        <v>691807002</v>
      </c>
      <c r="B720" t="s">
        <v>913</v>
      </c>
      <c r="C720" t="s">
        <v>4477</v>
      </c>
      <c r="D720">
        <v>9</v>
      </c>
      <c r="E720" t="s">
        <v>4445</v>
      </c>
      <c r="F720" t="s">
        <v>1914</v>
      </c>
      <c r="G720" t="s">
        <v>5575</v>
      </c>
      <c r="H720" t="s">
        <v>4957</v>
      </c>
      <c r="I720" s="79" t="str">
        <f>IF(Tabla13[[#This Row],[RUT]]=774097899,"DIST",_xlfn.XLOOKUP(Tabla13[[#This Row],[VENDEDOR]],dimensiones!$C$21:$C$28,dimensiones!$D$21:$D$28,""))</f>
        <v>ATEL</v>
      </c>
      <c r="J720" s="125" t="str">
        <f>_xlfn.XLOOKUP(Tabla13[[#This Row],[REGION]],dimensiones!C:C,dimensiones!D:D,"")</f>
        <v>Región de La Araucanía</v>
      </c>
    </row>
    <row r="721" spans="1:10" ht="14.25" customHeight="1" x14ac:dyDescent="0.25">
      <c r="A721">
        <v>691808009</v>
      </c>
      <c r="B721" t="s">
        <v>367</v>
      </c>
      <c r="C721" t="s">
        <v>4360</v>
      </c>
      <c r="D721">
        <v>9</v>
      </c>
      <c r="E721" t="s">
        <v>4445</v>
      </c>
      <c r="F721" t="s">
        <v>2333</v>
      </c>
      <c r="G721" t="s">
        <v>5575</v>
      </c>
      <c r="H721" t="s">
        <v>4957</v>
      </c>
      <c r="I721" s="79" t="str">
        <f>IF(Tabla13[[#This Row],[RUT]]=774097899,"DIST",_xlfn.XLOOKUP(Tabla13[[#This Row],[VENDEDOR]],dimensiones!$C$21:$C$28,dimensiones!$D$21:$D$28,""))</f>
        <v>ATEL</v>
      </c>
      <c r="J721" s="125" t="str">
        <f>_xlfn.XLOOKUP(Tabla13[[#This Row],[REGION]],dimensiones!C:C,dimensiones!D:D,"")</f>
        <v>Región de La Araucanía</v>
      </c>
    </row>
    <row r="722" spans="1:10" ht="14.25" customHeight="1" x14ac:dyDescent="0.25">
      <c r="A722">
        <v>691809005</v>
      </c>
      <c r="B722" t="s">
        <v>89</v>
      </c>
      <c r="C722" t="s">
        <v>4361</v>
      </c>
      <c r="D722">
        <v>9</v>
      </c>
      <c r="E722" t="s">
        <v>4454</v>
      </c>
      <c r="F722" t="s">
        <v>1919</v>
      </c>
      <c r="G722" t="s">
        <v>5575</v>
      </c>
      <c r="H722" t="s">
        <v>4957</v>
      </c>
      <c r="I722" s="79" t="str">
        <f>IF(Tabla13[[#This Row],[RUT]]=774097899,"DIST",_xlfn.XLOOKUP(Tabla13[[#This Row],[VENDEDOR]],dimensiones!$C$21:$C$28,dimensiones!$D$21:$D$28,""))</f>
        <v>SUR2</v>
      </c>
      <c r="J722" s="125" t="str">
        <f>_xlfn.XLOOKUP(Tabla13[[#This Row],[REGION]],dimensiones!C:C,dimensiones!D:D,"")</f>
        <v>Región de La Araucanía</v>
      </c>
    </row>
    <row r="723" spans="1:10" ht="14.25" customHeight="1" x14ac:dyDescent="0.25">
      <c r="A723">
        <v>691810003</v>
      </c>
      <c r="B723" t="s">
        <v>368</v>
      </c>
      <c r="C723" t="s">
        <v>4479</v>
      </c>
      <c r="D723">
        <v>9</v>
      </c>
      <c r="E723" t="s">
        <v>4445</v>
      </c>
      <c r="F723" t="s">
        <v>1921</v>
      </c>
      <c r="G723" t="s">
        <v>5575</v>
      </c>
      <c r="H723" t="s">
        <v>4957</v>
      </c>
      <c r="I723" s="79" t="str">
        <f>IF(Tabla13[[#This Row],[RUT]]=774097899,"DIST",_xlfn.XLOOKUP(Tabla13[[#This Row],[VENDEDOR]],dimensiones!$C$21:$C$28,dimensiones!$D$21:$D$28,""))</f>
        <v>ATEL</v>
      </c>
      <c r="J723" s="125" t="str">
        <f>_xlfn.XLOOKUP(Tabla13[[#This Row],[REGION]],dimensiones!C:C,dimensiones!D:D,"")</f>
        <v>Región de La Araucanía</v>
      </c>
    </row>
    <row r="724" spans="1:10" ht="14.25" customHeight="1" x14ac:dyDescent="0.25">
      <c r="A724" t="s">
        <v>914</v>
      </c>
      <c r="B724" t="s">
        <v>915</v>
      </c>
      <c r="C724" t="s">
        <v>4276</v>
      </c>
      <c r="D724">
        <v>9</v>
      </c>
      <c r="E724" t="s">
        <v>4445</v>
      </c>
      <c r="F724" t="s">
        <v>1485</v>
      </c>
      <c r="G724" t="s">
        <v>5575</v>
      </c>
      <c r="H724" t="s">
        <v>4957</v>
      </c>
      <c r="I724" s="79" t="str">
        <f>IF(Tabla13[[#This Row],[RUT]]=774097899,"DIST",_xlfn.XLOOKUP(Tabla13[[#This Row],[VENDEDOR]],dimensiones!$C$21:$C$28,dimensiones!$D$21:$D$28,""))</f>
        <v>ATEL</v>
      </c>
      <c r="J724" s="125" t="str">
        <f>_xlfn.XLOOKUP(Tabla13[[#This Row],[REGION]],dimensiones!C:C,dimensiones!D:D,"")</f>
        <v>Región de La Araucanía</v>
      </c>
    </row>
    <row r="725" spans="1:10" ht="14.25" customHeight="1" x14ac:dyDescent="0.25">
      <c r="A725">
        <v>691901009</v>
      </c>
      <c r="B725" t="s">
        <v>90</v>
      </c>
      <c r="C725" t="s">
        <v>4362</v>
      </c>
      <c r="D725">
        <v>9</v>
      </c>
      <c r="E725" t="s">
        <v>4454</v>
      </c>
      <c r="F725" t="s">
        <v>3372</v>
      </c>
      <c r="G725" t="s">
        <v>5575</v>
      </c>
      <c r="H725" t="s">
        <v>4957</v>
      </c>
      <c r="I725" s="79" t="str">
        <f>IF(Tabla13[[#This Row],[RUT]]=774097899,"DIST",_xlfn.XLOOKUP(Tabla13[[#This Row],[VENDEDOR]],dimensiones!$C$21:$C$28,dimensiones!$D$21:$D$28,""))</f>
        <v>SUR2</v>
      </c>
      <c r="J725" s="125" t="str">
        <f>_xlfn.XLOOKUP(Tabla13[[#This Row],[REGION]],dimensiones!C:C,dimensiones!D:D,"")</f>
        <v>Región de La Araucanía</v>
      </c>
    </row>
    <row r="726" spans="1:10" ht="14.25" customHeight="1" x14ac:dyDescent="0.25">
      <c r="A726">
        <v>691902005</v>
      </c>
      <c r="B726" t="s">
        <v>916</v>
      </c>
      <c r="C726" t="s">
        <v>4219</v>
      </c>
      <c r="D726">
        <v>9</v>
      </c>
      <c r="E726" t="s">
        <v>4445</v>
      </c>
      <c r="F726" t="s">
        <v>2087</v>
      </c>
      <c r="G726" t="s">
        <v>5575</v>
      </c>
      <c r="H726" t="s">
        <v>4957</v>
      </c>
      <c r="I726" s="79" t="str">
        <f>IF(Tabla13[[#This Row],[RUT]]=774097899,"DIST",_xlfn.XLOOKUP(Tabla13[[#This Row],[VENDEDOR]],dimensiones!$C$21:$C$28,dimensiones!$D$21:$D$28,""))</f>
        <v>ATEL</v>
      </c>
      <c r="J726" s="125" t="str">
        <f>_xlfn.XLOOKUP(Tabla13[[#This Row],[REGION]],dimensiones!C:C,dimensiones!D:D,"")</f>
        <v>Región de La Araucanía</v>
      </c>
    </row>
    <row r="727" spans="1:10" ht="14.25" customHeight="1" x14ac:dyDescent="0.25">
      <c r="A727">
        <v>691903001</v>
      </c>
      <c r="B727" t="s">
        <v>369</v>
      </c>
      <c r="C727" t="s">
        <v>4363</v>
      </c>
      <c r="D727">
        <v>9</v>
      </c>
      <c r="E727" t="s">
        <v>4445</v>
      </c>
      <c r="F727" t="s">
        <v>1314</v>
      </c>
      <c r="G727" t="s">
        <v>5575</v>
      </c>
      <c r="H727" t="s">
        <v>4957</v>
      </c>
      <c r="I727" s="79" t="str">
        <f>IF(Tabla13[[#This Row],[RUT]]=774097899,"DIST",_xlfn.XLOOKUP(Tabla13[[#This Row],[VENDEDOR]],dimensiones!$C$21:$C$28,dimensiones!$D$21:$D$28,""))</f>
        <v>ATEL</v>
      </c>
      <c r="J727" s="125" t="str">
        <f>_xlfn.XLOOKUP(Tabla13[[#This Row],[REGION]],dimensiones!C:C,dimensiones!D:D,"")</f>
        <v>Región de La Araucanía</v>
      </c>
    </row>
    <row r="728" spans="1:10" ht="14.25" customHeight="1" x14ac:dyDescent="0.25">
      <c r="A728">
        <v>691904008</v>
      </c>
      <c r="B728" t="s">
        <v>91</v>
      </c>
      <c r="C728" t="s">
        <v>4364</v>
      </c>
      <c r="D728">
        <v>9</v>
      </c>
      <c r="E728" t="s">
        <v>4454</v>
      </c>
      <c r="F728" t="s">
        <v>1930</v>
      </c>
      <c r="G728" t="s">
        <v>5575</v>
      </c>
      <c r="H728" t="s">
        <v>4957</v>
      </c>
      <c r="I728" s="79" t="str">
        <f>IF(Tabla13[[#This Row],[RUT]]=774097899,"DIST",_xlfn.XLOOKUP(Tabla13[[#This Row],[VENDEDOR]],dimensiones!$C$21:$C$28,dimensiones!$D$21:$D$28,""))</f>
        <v>SUR2</v>
      </c>
      <c r="J728" s="125" t="str">
        <f>_xlfn.XLOOKUP(Tabla13[[#This Row],[REGION]],dimensiones!C:C,dimensiones!D:D,"")</f>
        <v>Región de La Araucanía</v>
      </c>
    </row>
    <row r="729" spans="1:10" ht="14.25" customHeight="1" x14ac:dyDescent="0.25">
      <c r="A729">
        <v>691905004</v>
      </c>
      <c r="B729" t="s">
        <v>370</v>
      </c>
      <c r="C729" t="s">
        <v>4222</v>
      </c>
      <c r="D729">
        <v>9</v>
      </c>
      <c r="E729" t="s">
        <v>4445</v>
      </c>
      <c r="F729" t="s">
        <v>1932</v>
      </c>
      <c r="G729" t="s">
        <v>5575</v>
      </c>
      <c r="H729" t="s">
        <v>4957</v>
      </c>
      <c r="I729" s="79" t="str">
        <f>IF(Tabla13[[#This Row],[RUT]]=774097899,"DIST",_xlfn.XLOOKUP(Tabla13[[#This Row],[VENDEDOR]],dimensiones!$C$21:$C$28,dimensiones!$D$21:$D$28,""))</f>
        <v>ATEL</v>
      </c>
      <c r="J729" s="125" t="str">
        <f>_xlfn.XLOOKUP(Tabla13[[#This Row],[REGION]],dimensiones!C:C,dimensiones!D:D,"")</f>
        <v>Región de La Araucanía</v>
      </c>
    </row>
    <row r="730" spans="1:10" ht="14.25" customHeight="1" x14ac:dyDescent="0.25">
      <c r="A730">
        <v>691906000</v>
      </c>
      <c r="B730" t="s">
        <v>371</v>
      </c>
      <c r="C730" t="s">
        <v>4487</v>
      </c>
      <c r="D730">
        <v>9</v>
      </c>
      <c r="E730" t="s">
        <v>4445</v>
      </c>
      <c r="F730" t="s">
        <v>1934</v>
      </c>
      <c r="G730" t="s">
        <v>5575</v>
      </c>
      <c r="H730" t="s">
        <v>4957</v>
      </c>
      <c r="I730" s="79" t="str">
        <f>IF(Tabla13[[#This Row],[RUT]]=774097899,"DIST",_xlfn.XLOOKUP(Tabla13[[#This Row],[VENDEDOR]],dimensiones!$C$21:$C$28,dimensiones!$D$21:$D$28,""))</f>
        <v>ATEL</v>
      </c>
      <c r="J730" s="125" t="str">
        <f>_xlfn.XLOOKUP(Tabla13[[#This Row],[REGION]],dimensiones!C:C,dimensiones!D:D,"")</f>
        <v>Región de La Araucanía</v>
      </c>
    </row>
    <row r="731" spans="1:10" ht="14.25" customHeight="1" x14ac:dyDescent="0.25">
      <c r="A731">
        <v>691907007</v>
      </c>
      <c r="B731" t="s">
        <v>92</v>
      </c>
      <c r="C731" t="s">
        <v>4218</v>
      </c>
      <c r="D731">
        <v>9</v>
      </c>
      <c r="E731" t="s">
        <v>4454</v>
      </c>
      <c r="F731" t="s">
        <v>1879</v>
      </c>
      <c r="G731" t="s">
        <v>5575</v>
      </c>
      <c r="H731" t="s">
        <v>4957</v>
      </c>
      <c r="I731" s="79" t="str">
        <f>IF(Tabla13[[#This Row],[RUT]]=774097899,"DIST",_xlfn.XLOOKUP(Tabla13[[#This Row],[VENDEDOR]],dimensiones!$C$21:$C$28,dimensiones!$D$21:$D$28,""))</f>
        <v>SUR2</v>
      </c>
      <c r="J731" s="125" t="str">
        <f>_xlfn.XLOOKUP(Tabla13[[#This Row],[REGION]],dimensiones!C:C,dimensiones!D:D,"")</f>
        <v>Región de La Araucanía</v>
      </c>
    </row>
    <row r="732" spans="1:10" ht="14.25" customHeight="1" x14ac:dyDescent="0.25">
      <c r="A732">
        <v>691908003</v>
      </c>
      <c r="B732" t="s">
        <v>372</v>
      </c>
      <c r="C732" t="s">
        <v>4480</v>
      </c>
      <c r="D732">
        <v>9</v>
      </c>
      <c r="E732" t="s">
        <v>4445</v>
      </c>
      <c r="F732" t="s">
        <v>3471</v>
      </c>
      <c r="G732" t="s">
        <v>5575</v>
      </c>
      <c r="H732" t="s">
        <v>4957</v>
      </c>
      <c r="I732" s="79" t="str">
        <f>IF(Tabla13[[#This Row],[RUT]]=774097899,"DIST",_xlfn.XLOOKUP(Tabla13[[#This Row],[VENDEDOR]],dimensiones!$C$21:$C$28,dimensiones!$D$21:$D$28,""))</f>
        <v>ATEL</v>
      </c>
      <c r="J732" s="125" t="str">
        <f>_xlfn.XLOOKUP(Tabla13[[#This Row],[REGION]],dimensiones!C:C,dimensiones!D:D,"")</f>
        <v>Región de La Araucanía</v>
      </c>
    </row>
    <row r="733" spans="1:10" ht="14.25" customHeight="1" x14ac:dyDescent="0.25">
      <c r="A733" t="s">
        <v>686</v>
      </c>
      <c r="B733" t="s">
        <v>687</v>
      </c>
      <c r="C733" t="s">
        <v>4365</v>
      </c>
      <c r="D733">
        <v>9</v>
      </c>
      <c r="E733" t="s">
        <v>4445</v>
      </c>
      <c r="F733" t="s">
        <v>1809</v>
      </c>
      <c r="G733" t="s">
        <v>5575</v>
      </c>
      <c r="H733" t="s">
        <v>4957</v>
      </c>
      <c r="I733" s="79" t="str">
        <f>IF(Tabla13[[#This Row],[RUT]]=774097899,"DIST",_xlfn.XLOOKUP(Tabla13[[#This Row],[VENDEDOR]],dimensiones!$C$21:$C$28,dimensiones!$D$21:$D$28,""))</f>
        <v>ATEL</v>
      </c>
      <c r="J733" s="125" t="str">
        <f>_xlfn.XLOOKUP(Tabla13[[#This Row],[REGION]],dimensiones!C:C,dimensiones!D:D,"")</f>
        <v>Región de La Araucanía</v>
      </c>
    </row>
    <row r="734" spans="1:10" ht="14.25" customHeight="1" x14ac:dyDescent="0.25">
      <c r="A734">
        <v>691910008</v>
      </c>
      <c r="B734" t="s">
        <v>373</v>
      </c>
      <c r="C734" t="s">
        <v>4220</v>
      </c>
      <c r="D734">
        <v>9</v>
      </c>
      <c r="E734" t="s">
        <v>4445</v>
      </c>
      <c r="F734" t="s">
        <v>1712</v>
      </c>
      <c r="G734" t="s">
        <v>5575</v>
      </c>
      <c r="H734" t="s">
        <v>4957</v>
      </c>
      <c r="I734" s="79" t="str">
        <f>IF(Tabla13[[#This Row],[RUT]]=774097899,"DIST",_xlfn.XLOOKUP(Tabla13[[#This Row],[VENDEDOR]],dimensiones!$C$21:$C$28,dimensiones!$D$21:$D$28,""))</f>
        <v>ATEL</v>
      </c>
      <c r="J734" s="125" t="str">
        <f>_xlfn.XLOOKUP(Tabla13[[#This Row],[REGION]],dimensiones!C:C,dimensiones!D:D,"")</f>
        <v>Región de La Araucanía</v>
      </c>
    </row>
    <row r="735" spans="1:10" ht="14.25" customHeight="1" x14ac:dyDescent="0.25">
      <c r="A735">
        <v>691911004</v>
      </c>
      <c r="B735" t="s">
        <v>374</v>
      </c>
      <c r="C735" t="s">
        <v>4366</v>
      </c>
      <c r="D735">
        <v>9</v>
      </c>
      <c r="E735" t="s">
        <v>4445</v>
      </c>
      <c r="F735" t="s">
        <v>1944</v>
      </c>
      <c r="G735" t="s">
        <v>5575</v>
      </c>
      <c r="H735" t="s">
        <v>4957</v>
      </c>
      <c r="I735" s="79" t="str">
        <f>IF(Tabla13[[#This Row],[RUT]]=774097899,"DIST",_xlfn.XLOOKUP(Tabla13[[#This Row],[VENDEDOR]],dimensiones!$C$21:$C$28,dimensiones!$D$21:$D$28,""))</f>
        <v>ATEL</v>
      </c>
      <c r="J735" s="125" t="str">
        <f>_xlfn.XLOOKUP(Tabla13[[#This Row],[REGION]],dimensiones!C:C,dimensiones!D:D,"")</f>
        <v>Región de La Araucanía</v>
      </c>
    </row>
    <row r="736" spans="1:10" ht="14.25" customHeight="1" x14ac:dyDescent="0.25">
      <c r="A736">
        <v>691912000</v>
      </c>
      <c r="B736" t="s">
        <v>375</v>
      </c>
      <c r="C736" t="s">
        <v>4221</v>
      </c>
      <c r="D736">
        <v>9</v>
      </c>
      <c r="E736" t="s">
        <v>4445</v>
      </c>
      <c r="F736" t="s">
        <v>1348</v>
      </c>
      <c r="G736" t="s">
        <v>5575</v>
      </c>
      <c r="H736" t="s">
        <v>4957</v>
      </c>
      <c r="I736" s="79" t="str">
        <f>IF(Tabla13[[#This Row],[RUT]]=774097899,"DIST",_xlfn.XLOOKUP(Tabla13[[#This Row],[VENDEDOR]],dimensiones!$C$21:$C$28,dimensiones!$D$21:$D$28,""))</f>
        <v>ATEL</v>
      </c>
      <c r="J736" s="125" t="str">
        <f>_xlfn.XLOOKUP(Tabla13[[#This Row],[REGION]],dimensiones!C:C,dimensiones!D:D,"")</f>
        <v>Región de La Araucanía</v>
      </c>
    </row>
    <row r="737" spans="1:10" ht="14.25" customHeight="1" x14ac:dyDescent="0.25">
      <c r="A737">
        <v>691913007</v>
      </c>
      <c r="B737" t="s">
        <v>93</v>
      </c>
      <c r="C737" t="s">
        <v>4478</v>
      </c>
      <c r="D737">
        <v>9</v>
      </c>
      <c r="E737" t="s">
        <v>4454</v>
      </c>
      <c r="F737" t="s">
        <v>1948</v>
      </c>
      <c r="G737" t="s">
        <v>5575</v>
      </c>
      <c r="H737" t="s">
        <v>4957</v>
      </c>
      <c r="I737" s="79" t="str">
        <f>IF(Tabla13[[#This Row],[RUT]]=774097899,"DIST",_xlfn.XLOOKUP(Tabla13[[#This Row],[VENDEDOR]],dimensiones!$C$21:$C$28,dimensiones!$D$21:$D$28,""))</f>
        <v>SUR2</v>
      </c>
      <c r="J737" s="125" t="str">
        <f>_xlfn.XLOOKUP(Tabla13[[#This Row],[REGION]],dimensiones!C:C,dimensiones!D:D,"")</f>
        <v>Región de La Araucanía</v>
      </c>
    </row>
    <row r="738" spans="1:10" ht="14.25" customHeight="1" x14ac:dyDescent="0.25">
      <c r="A738">
        <v>691914003</v>
      </c>
      <c r="B738" t="s">
        <v>987</v>
      </c>
      <c r="C738" t="s">
        <v>4481</v>
      </c>
      <c r="D738">
        <v>9</v>
      </c>
      <c r="E738" t="s">
        <v>4445</v>
      </c>
      <c r="F738" t="s">
        <v>4543</v>
      </c>
      <c r="G738" t="s">
        <v>5575</v>
      </c>
      <c r="H738" t="s">
        <v>4957</v>
      </c>
      <c r="I738" s="79" t="str">
        <f>IF(Tabla13[[#This Row],[RUT]]=774097899,"DIST",_xlfn.XLOOKUP(Tabla13[[#This Row],[VENDEDOR]],dimensiones!$C$21:$C$28,dimensiones!$D$21:$D$28,""))</f>
        <v>ATEL</v>
      </c>
      <c r="J738" s="125" t="str">
        <f>_xlfn.XLOOKUP(Tabla13[[#This Row],[REGION]],dimensiones!C:C,dimensiones!D:D,"")</f>
        <v>Región de La Araucanía</v>
      </c>
    </row>
    <row r="739" spans="1:10" ht="14.25" customHeight="1" x14ac:dyDescent="0.25">
      <c r="A739" s="135" t="s">
        <v>150</v>
      </c>
      <c r="B739" t="s">
        <v>151</v>
      </c>
      <c r="C739" t="s">
        <v>4223</v>
      </c>
      <c r="D739">
        <v>9</v>
      </c>
      <c r="E739" t="s">
        <v>4454</v>
      </c>
      <c r="F739" t="s">
        <v>2030</v>
      </c>
      <c r="G739" t="s">
        <v>5575</v>
      </c>
      <c r="H739" t="s">
        <v>4957</v>
      </c>
      <c r="I739" s="79" t="str">
        <f>IF(Tabla13[[#This Row],[RUT]]=774097899,"DIST",_xlfn.XLOOKUP(Tabla13[[#This Row],[VENDEDOR]],dimensiones!$C$21:$C$28,dimensiones!$D$21:$D$28,""))</f>
        <v>SUR2</v>
      </c>
      <c r="J739" s="125" t="str">
        <f>_xlfn.XLOOKUP(Tabla13[[#This Row],[REGION]],dimensiones!C:C,dimensiones!D:D,"")</f>
        <v>Región de La Araucanía</v>
      </c>
    </row>
    <row r="740" spans="1:10" ht="14.25" customHeight="1" x14ac:dyDescent="0.25">
      <c r="A740" s="135">
        <v>691916006</v>
      </c>
      <c r="B740" t="s">
        <v>94</v>
      </c>
      <c r="C740" t="s">
        <v>4544</v>
      </c>
      <c r="D740">
        <v>9</v>
      </c>
      <c r="E740" t="s">
        <v>4454</v>
      </c>
      <c r="F740" t="s">
        <v>1637</v>
      </c>
      <c r="G740" t="s">
        <v>5575</v>
      </c>
      <c r="H740" t="s">
        <v>4957</v>
      </c>
      <c r="I740" s="79" t="str">
        <f>IF(Tabla13[[#This Row],[RUT]]=774097899,"DIST",_xlfn.XLOOKUP(Tabla13[[#This Row],[VENDEDOR]],dimensiones!$C$21:$C$28,dimensiones!$D$21:$D$28,""))</f>
        <v>SUR2</v>
      </c>
      <c r="J740" s="125" t="str">
        <f>_xlfn.XLOOKUP(Tabla13[[#This Row],[REGION]],dimensiones!C:C,dimensiones!D:D,"")</f>
        <v>Región de La Araucanía</v>
      </c>
    </row>
    <row r="741" spans="1:10" ht="14.25" customHeight="1" x14ac:dyDescent="0.25">
      <c r="A741">
        <v>692001001</v>
      </c>
      <c r="B741" t="s">
        <v>95</v>
      </c>
      <c r="C741" t="s">
        <v>4170</v>
      </c>
      <c r="D741">
        <v>14</v>
      </c>
      <c r="E741" t="s">
        <v>4454</v>
      </c>
      <c r="F741" t="s">
        <v>1954</v>
      </c>
      <c r="G741" t="s">
        <v>5575</v>
      </c>
      <c r="H741" t="s">
        <v>4957</v>
      </c>
      <c r="I741" s="79" t="str">
        <f>IF(Tabla13[[#This Row],[RUT]]=774097899,"DIST",_xlfn.XLOOKUP(Tabla13[[#This Row],[VENDEDOR]],dimensiones!$C$21:$C$28,dimensiones!$D$21:$D$28,""))</f>
        <v>SUR2</v>
      </c>
      <c r="J741" s="125" t="str">
        <f>_xlfn.XLOOKUP(Tabla13[[#This Row],[REGION]],dimensiones!C:C,dimensiones!D:D,"")</f>
        <v>Región de Los Ríos</v>
      </c>
    </row>
    <row r="742" spans="1:10" ht="14.25" customHeight="1" x14ac:dyDescent="0.25">
      <c r="A742">
        <v>692003004</v>
      </c>
      <c r="B742" t="s">
        <v>376</v>
      </c>
      <c r="C742" t="s">
        <v>4277</v>
      </c>
      <c r="D742">
        <v>14</v>
      </c>
      <c r="E742" t="s">
        <v>4445</v>
      </c>
      <c r="F742" t="s">
        <v>1351</v>
      </c>
      <c r="G742" t="s">
        <v>5575</v>
      </c>
      <c r="H742" t="s">
        <v>4957</v>
      </c>
      <c r="I742" s="79" t="str">
        <f>IF(Tabla13[[#This Row],[RUT]]=774097899,"DIST",_xlfn.XLOOKUP(Tabla13[[#This Row],[VENDEDOR]],dimensiones!$C$21:$C$28,dimensiones!$D$21:$D$28,""))</f>
        <v>ATEL</v>
      </c>
      <c r="J742" s="125" t="str">
        <f>_xlfn.XLOOKUP(Tabla13[[#This Row],[REGION]],dimensiones!C:C,dimensiones!D:D,"")</f>
        <v>Región de Los Ríos</v>
      </c>
    </row>
    <row r="743" spans="1:10" ht="14.25" customHeight="1" x14ac:dyDescent="0.25">
      <c r="A743">
        <v>692004000</v>
      </c>
      <c r="B743" t="s">
        <v>5050</v>
      </c>
      <c r="C743" t="s">
        <v>4296</v>
      </c>
      <c r="D743">
        <v>14</v>
      </c>
      <c r="E743" t="s">
        <v>4445</v>
      </c>
      <c r="F743" t="s">
        <v>5220</v>
      </c>
      <c r="G743" t="s">
        <v>5575</v>
      </c>
      <c r="H743" t="s">
        <v>4957</v>
      </c>
      <c r="I743" s="79" t="str">
        <f>IF(Tabla13[[#This Row],[RUT]]=774097899,"DIST",_xlfn.XLOOKUP(Tabla13[[#This Row],[VENDEDOR]],dimensiones!$C$21:$C$28,dimensiones!$D$21:$D$28,""))</f>
        <v>ATEL</v>
      </c>
      <c r="J743" s="125" t="str">
        <f>_xlfn.XLOOKUP(Tabla13[[#This Row],[REGION]],dimensiones!C:C,dimensiones!D:D,"")</f>
        <v>Región de Los Ríos</v>
      </c>
    </row>
    <row r="744" spans="1:10" ht="14.25" customHeight="1" x14ac:dyDescent="0.25">
      <c r="A744">
        <v>692005007</v>
      </c>
      <c r="B744" t="s">
        <v>377</v>
      </c>
      <c r="C744" t="s">
        <v>4545</v>
      </c>
      <c r="D744">
        <v>14</v>
      </c>
      <c r="E744" t="s">
        <v>4445</v>
      </c>
      <c r="F744" t="s">
        <v>1957</v>
      </c>
      <c r="G744" t="s">
        <v>5575</v>
      </c>
      <c r="H744" t="s">
        <v>4957</v>
      </c>
      <c r="I744" s="79" t="str">
        <f>IF(Tabla13[[#This Row],[RUT]]=774097899,"DIST",_xlfn.XLOOKUP(Tabla13[[#This Row],[VENDEDOR]],dimensiones!$C$21:$C$28,dimensiones!$D$21:$D$28,""))</f>
        <v>ATEL</v>
      </c>
      <c r="J744" s="125" t="str">
        <f>_xlfn.XLOOKUP(Tabla13[[#This Row],[REGION]],dimensiones!C:C,dimensiones!D:D,"")</f>
        <v>Región de Los Ríos</v>
      </c>
    </row>
    <row r="745" spans="1:10" ht="14.25" customHeight="1" x14ac:dyDescent="0.25">
      <c r="A745">
        <v>692006003</v>
      </c>
      <c r="B745" t="s">
        <v>378</v>
      </c>
      <c r="C745" t="s">
        <v>4281</v>
      </c>
      <c r="D745">
        <v>14</v>
      </c>
      <c r="E745" t="s">
        <v>4445</v>
      </c>
      <c r="F745" t="s">
        <v>1959</v>
      </c>
      <c r="G745" t="s">
        <v>5575</v>
      </c>
      <c r="H745" t="s">
        <v>4957</v>
      </c>
      <c r="I745" s="79" t="str">
        <f>IF(Tabla13[[#This Row],[RUT]]=774097899,"DIST",_xlfn.XLOOKUP(Tabla13[[#This Row],[VENDEDOR]],dimensiones!$C$21:$C$28,dimensiones!$D$21:$D$28,""))</f>
        <v>ATEL</v>
      </c>
      <c r="J745" s="125" t="str">
        <f>_xlfn.XLOOKUP(Tabla13[[#This Row],[REGION]],dimensiones!C:C,dimensiones!D:D,"")</f>
        <v>Región de Los Ríos</v>
      </c>
    </row>
    <row r="746" spans="1:10" ht="14.25" customHeight="1" x14ac:dyDescent="0.25">
      <c r="A746" t="s">
        <v>688</v>
      </c>
      <c r="B746" t="s">
        <v>689</v>
      </c>
      <c r="C746" t="s">
        <v>4367</v>
      </c>
      <c r="D746">
        <v>14</v>
      </c>
      <c r="E746" t="s">
        <v>4445</v>
      </c>
      <c r="F746" t="s">
        <v>1749</v>
      </c>
      <c r="G746" t="s">
        <v>5575</v>
      </c>
      <c r="H746" t="s">
        <v>4957</v>
      </c>
      <c r="I746" s="79" t="str">
        <f>IF(Tabla13[[#This Row],[RUT]]=774097899,"DIST",_xlfn.XLOOKUP(Tabla13[[#This Row],[VENDEDOR]],dimensiones!$C$21:$C$28,dimensiones!$D$21:$D$28,""))</f>
        <v>ATEL</v>
      </c>
      <c r="J746" s="125" t="str">
        <f>_xlfn.XLOOKUP(Tabla13[[#This Row],[REGION]],dimensiones!C:C,dimensiones!D:D,"")</f>
        <v>Región de Los Ríos</v>
      </c>
    </row>
    <row r="747" spans="1:10" ht="14.25" customHeight="1" x14ac:dyDescent="0.25">
      <c r="A747">
        <v>692008006</v>
      </c>
      <c r="B747" t="s">
        <v>3320</v>
      </c>
      <c r="C747" t="s">
        <v>4467</v>
      </c>
      <c r="D747">
        <v>14</v>
      </c>
      <c r="E747" t="s">
        <v>4454</v>
      </c>
      <c r="F747" t="s">
        <v>3319</v>
      </c>
      <c r="G747" t="s">
        <v>5575</v>
      </c>
      <c r="H747" t="s">
        <v>4957</v>
      </c>
      <c r="I747" s="79" t="str">
        <f>IF(Tabla13[[#This Row],[RUT]]=774097899,"DIST",_xlfn.XLOOKUP(Tabla13[[#This Row],[VENDEDOR]],dimensiones!$C$21:$C$28,dimensiones!$D$21:$D$28,""))</f>
        <v>SUR2</v>
      </c>
      <c r="J747" s="125" t="str">
        <f>_xlfn.XLOOKUP(Tabla13[[#This Row],[REGION]],dimensiones!C:C,dimensiones!D:D,"")</f>
        <v>Región de Los Ríos</v>
      </c>
    </row>
    <row r="748" spans="1:10" ht="14.25" customHeight="1" x14ac:dyDescent="0.25">
      <c r="A748">
        <v>692009002</v>
      </c>
      <c r="B748" t="s">
        <v>798</v>
      </c>
      <c r="C748" t="s">
        <v>4279</v>
      </c>
      <c r="D748">
        <v>14</v>
      </c>
      <c r="E748" t="s">
        <v>4445</v>
      </c>
      <c r="F748" t="s">
        <v>2174</v>
      </c>
      <c r="G748" t="s">
        <v>5575</v>
      </c>
      <c r="H748" t="s">
        <v>4957</v>
      </c>
      <c r="I748" s="79" t="str">
        <f>IF(Tabla13[[#This Row],[RUT]]=774097899,"DIST",_xlfn.XLOOKUP(Tabla13[[#This Row],[VENDEDOR]],dimensiones!$C$21:$C$28,dimensiones!$D$21:$D$28,""))</f>
        <v>ATEL</v>
      </c>
      <c r="J748" s="125" t="str">
        <f>_xlfn.XLOOKUP(Tabla13[[#This Row],[REGION]],dimensiones!C:C,dimensiones!D:D,"")</f>
        <v>Región de Los Ríos</v>
      </c>
    </row>
    <row r="749" spans="1:10" ht="14.25" customHeight="1" x14ac:dyDescent="0.25">
      <c r="A749">
        <v>692010000</v>
      </c>
      <c r="B749" t="s">
        <v>379</v>
      </c>
      <c r="C749" t="s">
        <v>4500</v>
      </c>
      <c r="D749">
        <v>14</v>
      </c>
      <c r="E749" t="s">
        <v>4454</v>
      </c>
      <c r="F749" t="s">
        <v>3962</v>
      </c>
      <c r="G749" t="s">
        <v>5575</v>
      </c>
      <c r="H749" t="s">
        <v>4957</v>
      </c>
      <c r="I749" s="79" t="str">
        <f>IF(Tabla13[[#This Row],[RUT]]=774097899,"DIST",_xlfn.XLOOKUP(Tabla13[[#This Row],[VENDEDOR]],dimensiones!$C$21:$C$28,dimensiones!$D$21:$D$28,""))</f>
        <v>SUR2</v>
      </c>
      <c r="J749" s="125" t="str">
        <f>_xlfn.XLOOKUP(Tabla13[[#This Row],[REGION]],dimensiones!C:C,dimensiones!D:D,"")</f>
        <v>Región de Los Ríos</v>
      </c>
    </row>
    <row r="750" spans="1:10" ht="14.25" customHeight="1" x14ac:dyDescent="0.25">
      <c r="A750">
        <v>692011007</v>
      </c>
      <c r="B750" t="s">
        <v>380</v>
      </c>
      <c r="C750" t="s">
        <v>4368</v>
      </c>
      <c r="D750">
        <v>14</v>
      </c>
      <c r="E750" t="s">
        <v>4445</v>
      </c>
      <c r="F750" t="s">
        <v>2009</v>
      </c>
      <c r="G750" t="s">
        <v>5571</v>
      </c>
      <c r="H750" t="s">
        <v>4957</v>
      </c>
      <c r="I750" s="79" t="str">
        <f>IF(Tabla13[[#This Row],[RUT]]=774097899,"DIST",_xlfn.XLOOKUP(Tabla13[[#This Row],[VENDEDOR]],dimensiones!$C$21:$C$28,dimensiones!$D$21:$D$28,""))</f>
        <v>ATEL</v>
      </c>
      <c r="J750" s="125" t="str">
        <f>_xlfn.XLOOKUP(Tabla13[[#This Row],[REGION]],dimensiones!C:C,dimensiones!D:D,"")</f>
        <v>Región de Los Ríos</v>
      </c>
    </row>
    <row r="751" spans="1:10" ht="14.25" customHeight="1" x14ac:dyDescent="0.25">
      <c r="A751">
        <v>692101006</v>
      </c>
      <c r="B751" t="s">
        <v>96</v>
      </c>
      <c r="C751" t="s">
        <v>4224</v>
      </c>
      <c r="D751">
        <v>10</v>
      </c>
      <c r="E751" t="s">
        <v>4454</v>
      </c>
      <c r="F751" t="s">
        <v>1290</v>
      </c>
      <c r="G751" t="s">
        <v>5575</v>
      </c>
      <c r="H751" t="s">
        <v>4957</v>
      </c>
      <c r="I751" s="79" t="str">
        <f>IF(Tabla13[[#This Row],[RUT]]=774097899,"DIST",_xlfn.XLOOKUP(Tabla13[[#This Row],[VENDEDOR]],dimensiones!$C$21:$C$28,dimensiones!$D$21:$D$28,""))</f>
        <v>SUR2</v>
      </c>
      <c r="J751" s="125" t="str">
        <f>_xlfn.XLOOKUP(Tabla13[[#This Row],[REGION]],dimensiones!C:C,dimensiones!D:D,"")</f>
        <v>Región de Los Lagos</v>
      </c>
    </row>
    <row r="752" spans="1:10" ht="14.25" customHeight="1" x14ac:dyDescent="0.25">
      <c r="A752">
        <v>692102029</v>
      </c>
      <c r="B752" t="s">
        <v>381</v>
      </c>
      <c r="C752" t="s">
        <v>4295</v>
      </c>
      <c r="D752">
        <v>10</v>
      </c>
      <c r="E752" t="s">
        <v>4445</v>
      </c>
      <c r="F752" t="s">
        <v>1273</v>
      </c>
      <c r="G752" t="s">
        <v>5571</v>
      </c>
      <c r="H752" t="s">
        <v>4957</v>
      </c>
      <c r="I752" s="79" t="str">
        <f>IF(Tabla13[[#This Row],[RUT]]=774097899,"DIST",_xlfn.XLOOKUP(Tabla13[[#This Row],[VENDEDOR]],dimensiones!$C$21:$C$28,dimensiones!$D$21:$D$28,""))</f>
        <v>ATEL</v>
      </c>
      <c r="J752" s="125" t="str">
        <f>_xlfn.XLOOKUP(Tabla13[[#This Row],[REGION]],dimensiones!C:C,dimensiones!D:D,"")</f>
        <v>Región de Los Lagos</v>
      </c>
    </row>
    <row r="753" spans="1:10" ht="14.25" customHeight="1" x14ac:dyDescent="0.25">
      <c r="A753">
        <v>692103025</v>
      </c>
      <c r="B753" t="s">
        <v>382</v>
      </c>
      <c r="C753" t="s">
        <v>4482</v>
      </c>
      <c r="D753">
        <v>10</v>
      </c>
      <c r="E753" t="s">
        <v>4445</v>
      </c>
      <c r="F753" t="s">
        <v>2011</v>
      </c>
      <c r="G753" t="s">
        <v>5575</v>
      </c>
      <c r="H753" t="s">
        <v>4957</v>
      </c>
      <c r="I753" s="79" t="str">
        <f>IF(Tabla13[[#This Row],[RUT]]=774097899,"DIST",_xlfn.XLOOKUP(Tabla13[[#This Row],[VENDEDOR]],dimensiones!$C$21:$C$28,dimensiones!$D$21:$D$28,""))</f>
        <v>ATEL</v>
      </c>
      <c r="J753" s="125" t="str">
        <f>_xlfn.XLOOKUP(Tabla13[[#This Row],[REGION]],dimensiones!C:C,dimensiones!D:D,"")</f>
        <v>Región de Los Lagos</v>
      </c>
    </row>
    <row r="754" spans="1:10" ht="14.25" customHeight="1" x14ac:dyDescent="0.25">
      <c r="A754">
        <v>692105001</v>
      </c>
      <c r="B754" t="s">
        <v>799</v>
      </c>
      <c r="C754" t="s">
        <v>4282</v>
      </c>
      <c r="D754">
        <v>10</v>
      </c>
      <c r="E754" t="s">
        <v>4445</v>
      </c>
      <c r="F754" t="s">
        <v>1516</v>
      </c>
      <c r="G754" t="s">
        <v>5575</v>
      </c>
      <c r="H754" t="s">
        <v>4957</v>
      </c>
      <c r="I754" s="79" t="str">
        <f>IF(Tabla13[[#This Row],[RUT]]=774097899,"DIST",_xlfn.XLOOKUP(Tabla13[[#This Row],[VENDEDOR]],dimensiones!$C$21:$C$28,dimensiones!$D$21:$D$28,""))</f>
        <v>ATEL</v>
      </c>
      <c r="J754" s="125" t="str">
        <f>_xlfn.XLOOKUP(Tabla13[[#This Row],[REGION]],dimensiones!C:C,dimensiones!D:D,"")</f>
        <v>Región de Los Lagos</v>
      </c>
    </row>
    <row r="755" spans="1:10" ht="14.25" customHeight="1" x14ac:dyDescent="0.25">
      <c r="A755">
        <v>692106008</v>
      </c>
      <c r="B755" t="s">
        <v>383</v>
      </c>
      <c r="C755" t="s">
        <v>4369</v>
      </c>
      <c r="D755">
        <v>10</v>
      </c>
      <c r="E755" t="s">
        <v>4445</v>
      </c>
      <c r="F755" t="s">
        <v>3922</v>
      </c>
      <c r="G755" t="s">
        <v>5575</v>
      </c>
      <c r="H755" t="s">
        <v>4957</v>
      </c>
      <c r="I755" s="79" t="str">
        <f>IF(Tabla13[[#This Row],[RUT]]=774097899,"DIST",_xlfn.XLOOKUP(Tabla13[[#This Row],[VENDEDOR]],dimensiones!$C$21:$C$28,dimensiones!$D$21:$D$28,""))</f>
        <v>ATEL</v>
      </c>
      <c r="J755" s="125" t="str">
        <f>_xlfn.XLOOKUP(Tabla13[[#This Row],[REGION]],dimensiones!C:C,dimensiones!D:D,"")</f>
        <v>Región de Los Lagos</v>
      </c>
    </row>
    <row r="756" spans="1:10" ht="14.25" customHeight="1" x14ac:dyDescent="0.25">
      <c r="A756">
        <v>692201000</v>
      </c>
      <c r="B756" t="s">
        <v>97</v>
      </c>
      <c r="C756" t="s">
        <v>4292</v>
      </c>
      <c r="D756">
        <v>10</v>
      </c>
      <c r="E756" t="s">
        <v>4454</v>
      </c>
      <c r="F756" t="s">
        <v>2038</v>
      </c>
      <c r="G756" t="s">
        <v>5575</v>
      </c>
      <c r="H756" t="s">
        <v>4957</v>
      </c>
      <c r="I756" s="79" t="str">
        <f>IF(Tabla13[[#This Row],[RUT]]=774097899,"DIST",_xlfn.XLOOKUP(Tabla13[[#This Row],[VENDEDOR]],dimensiones!$C$21:$C$28,dimensiones!$D$21:$D$28,""))</f>
        <v>SUR2</v>
      </c>
      <c r="J756" s="125" t="str">
        <f>_xlfn.XLOOKUP(Tabla13[[#This Row],[REGION]],dimensiones!C:C,dimensiones!D:D,"")</f>
        <v>Región de Los Lagos</v>
      </c>
    </row>
    <row r="757" spans="1:10" ht="14.25" customHeight="1" x14ac:dyDescent="0.25">
      <c r="A757">
        <v>692202007</v>
      </c>
      <c r="B757" t="s">
        <v>1981</v>
      </c>
      <c r="C757" t="s">
        <v>4190</v>
      </c>
      <c r="D757">
        <v>10</v>
      </c>
      <c r="E757" t="s">
        <v>4445</v>
      </c>
      <c r="F757" t="s">
        <v>1980</v>
      </c>
      <c r="G757" t="s">
        <v>5575</v>
      </c>
      <c r="H757" t="s">
        <v>4957</v>
      </c>
      <c r="I757" s="79" t="str">
        <f>IF(Tabla13[[#This Row],[RUT]]=774097899,"DIST",_xlfn.XLOOKUP(Tabla13[[#This Row],[VENDEDOR]],dimensiones!$C$21:$C$28,dimensiones!$D$21:$D$28,""))</f>
        <v>ATEL</v>
      </c>
      <c r="J757" s="125" t="str">
        <f>_xlfn.XLOOKUP(Tabla13[[#This Row],[REGION]],dimensiones!C:C,dimensiones!D:D,"")</f>
        <v>Región de Los Lagos</v>
      </c>
    </row>
    <row r="758" spans="1:10" ht="14.25" customHeight="1" x14ac:dyDescent="0.25">
      <c r="A758" t="s">
        <v>917</v>
      </c>
      <c r="B758" t="s">
        <v>918</v>
      </c>
      <c r="C758" t="s">
        <v>4226</v>
      </c>
      <c r="D758">
        <v>10</v>
      </c>
      <c r="E758" t="s">
        <v>4445</v>
      </c>
      <c r="F758" t="s">
        <v>1982</v>
      </c>
      <c r="G758" t="s">
        <v>5575</v>
      </c>
      <c r="H758" t="s">
        <v>4957</v>
      </c>
      <c r="I758" s="79" t="str">
        <f>IF(Tabla13[[#This Row],[RUT]]=774097899,"DIST",_xlfn.XLOOKUP(Tabla13[[#This Row],[VENDEDOR]],dimensiones!$C$21:$C$28,dimensiones!$D$21:$D$28,""))</f>
        <v>ATEL</v>
      </c>
      <c r="J758" s="125" t="str">
        <f>_xlfn.XLOOKUP(Tabla13[[#This Row],[REGION]],dimensiones!C:C,dimensiones!D:D,"")</f>
        <v>Región de Los Lagos</v>
      </c>
    </row>
    <row r="759" spans="1:10" ht="14.25" customHeight="1" x14ac:dyDescent="0.25">
      <c r="A759">
        <v>692204026</v>
      </c>
      <c r="B759" t="s">
        <v>800</v>
      </c>
      <c r="C759" t="s">
        <v>4228</v>
      </c>
      <c r="D759">
        <v>10</v>
      </c>
      <c r="E759" t="s">
        <v>4445</v>
      </c>
      <c r="F759" t="s">
        <v>1984</v>
      </c>
      <c r="G759" t="s">
        <v>5575</v>
      </c>
      <c r="H759" t="s">
        <v>4957</v>
      </c>
      <c r="I759" s="79" t="str">
        <f>IF(Tabla13[[#This Row],[RUT]]=774097899,"DIST",_xlfn.XLOOKUP(Tabla13[[#This Row],[VENDEDOR]],dimensiones!$C$21:$C$28,dimensiones!$D$21:$D$28,""))</f>
        <v>ATEL</v>
      </c>
      <c r="J759" s="125" t="str">
        <f>_xlfn.XLOOKUP(Tabla13[[#This Row],[REGION]],dimensiones!C:C,dimensiones!D:D,"")</f>
        <v>Región de Los Lagos</v>
      </c>
    </row>
    <row r="760" spans="1:10" ht="14.25" customHeight="1" x14ac:dyDescent="0.25">
      <c r="A760">
        <v>692205006</v>
      </c>
      <c r="B760" t="s">
        <v>919</v>
      </c>
      <c r="C760" t="s">
        <v>4483</v>
      </c>
      <c r="D760">
        <v>10</v>
      </c>
      <c r="E760" t="s">
        <v>4445</v>
      </c>
      <c r="F760" t="s">
        <v>2023</v>
      </c>
      <c r="G760" t="s">
        <v>5575</v>
      </c>
      <c r="H760" t="s">
        <v>4957</v>
      </c>
      <c r="I760" s="79" t="str">
        <f>IF(Tabla13[[#This Row],[RUT]]=774097899,"DIST",_xlfn.XLOOKUP(Tabla13[[#This Row],[VENDEDOR]],dimensiones!$C$21:$C$28,dimensiones!$D$21:$D$28,""))</f>
        <v>ATEL</v>
      </c>
      <c r="J760" s="125" t="str">
        <f>_xlfn.XLOOKUP(Tabla13[[#This Row],[REGION]],dimensiones!C:C,dimensiones!D:D,"")</f>
        <v>Región de Los Lagos</v>
      </c>
    </row>
    <row r="761" spans="1:10" ht="14.25" customHeight="1" x14ac:dyDescent="0.25">
      <c r="A761">
        <v>692207025</v>
      </c>
      <c r="B761" t="s">
        <v>801</v>
      </c>
      <c r="C761" t="s">
        <v>4227</v>
      </c>
      <c r="D761">
        <v>10</v>
      </c>
      <c r="E761" t="s">
        <v>4445</v>
      </c>
      <c r="F761" t="s">
        <v>2347</v>
      </c>
      <c r="G761" t="s">
        <v>5575</v>
      </c>
      <c r="H761" t="s">
        <v>4957</v>
      </c>
      <c r="I761" s="79" t="str">
        <f>IF(Tabla13[[#This Row],[RUT]]=774097899,"DIST",_xlfn.XLOOKUP(Tabla13[[#This Row],[VENDEDOR]],dimensiones!$C$21:$C$28,dimensiones!$D$21:$D$28,""))</f>
        <v>ATEL</v>
      </c>
      <c r="J761" s="125" t="str">
        <f>_xlfn.XLOOKUP(Tabla13[[#This Row],[REGION]],dimensiones!C:C,dimensiones!D:D,"")</f>
        <v>Región de Los Lagos</v>
      </c>
    </row>
    <row r="762" spans="1:10" ht="14.25" customHeight="1" x14ac:dyDescent="0.25">
      <c r="A762">
        <v>692208005</v>
      </c>
      <c r="B762" t="s">
        <v>802</v>
      </c>
      <c r="C762" t="s">
        <v>4370</v>
      </c>
      <c r="D762">
        <v>10</v>
      </c>
      <c r="E762" t="s">
        <v>4445</v>
      </c>
      <c r="F762" t="s">
        <v>1187</v>
      </c>
      <c r="G762" t="s">
        <v>5575</v>
      </c>
      <c r="H762" t="s">
        <v>4957</v>
      </c>
      <c r="I762" s="79" t="str">
        <f>IF(Tabla13[[#This Row],[RUT]]=774097899,"DIST",_xlfn.XLOOKUP(Tabla13[[#This Row],[VENDEDOR]],dimensiones!$C$21:$C$28,dimensiones!$D$21:$D$28,""))</f>
        <v>ATEL</v>
      </c>
      <c r="J762" s="125" t="str">
        <f>_xlfn.XLOOKUP(Tabla13[[#This Row],[REGION]],dimensiones!C:C,dimensiones!D:D,"")</f>
        <v>Región de Los Lagos</v>
      </c>
    </row>
    <row r="763" spans="1:10" ht="14.25" customHeight="1" x14ac:dyDescent="0.25">
      <c r="A763">
        <v>692302001</v>
      </c>
      <c r="B763" t="s">
        <v>384</v>
      </c>
      <c r="C763" t="s">
        <v>4371</v>
      </c>
      <c r="D763">
        <v>10</v>
      </c>
      <c r="E763" t="s">
        <v>4445</v>
      </c>
      <c r="F763" t="s">
        <v>2047</v>
      </c>
      <c r="G763" t="s">
        <v>5575</v>
      </c>
      <c r="H763" t="s">
        <v>4957</v>
      </c>
      <c r="I763" s="79" t="str">
        <f>IF(Tabla13[[#This Row],[RUT]]=774097899,"DIST",_xlfn.XLOOKUP(Tabla13[[#This Row],[VENDEDOR]],dimensiones!$C$21:$C$28,dimensiones!$D$21:$D$28,""))</f>
        <v>ATEL</v>
      </c>
      <c r="J763" s="125" t="str">
        <f>_xlfn.XLOOKUP(Tabla13[[#This Row],[REGION]],dimensiones!C:C,dimensiones!D:D,"")</f>
        <v>Región de Los Lagos</v>
      </c>
    </row>
    <row r="764" spans="1:10" ht="14.25" customHeight="1" x14ac:dyDescent="0.25">
      <c r="A764">
        <v>692311000</v>
      </c>
      <c r="B764" t="s">
        <v>920</v>
      </c>
      <c r="C764" t="s">
        <v>4488</v>
      </c>
      <c r="D764">
        <v>10</v>
      </c>
      <c r="E764" t="s">
        <v>4445</v>
      </c>
      <c r="F764" t="s">
        <v>1280</v>
      </c>
      <c r="G764" t="s">
        <v>5575</v>
      </c>
      <c r="H764" t="s">
        <v>4957</v>
      </c>
      <c r="I764" s="79" t="str">
        <f>IF(Tabla13[[#This Row],[RUT]]=774097899,"DIST",_xlfn.XLOOKUP(Tabla13[[#This Row],[VENDEDOR]],dimensiones!$C$21:$C$28,dimensiones!$D$21:$D$28,""))</f>
        <v>ATEL</v>
      </c>
      <c r="J764" s="125" t="str">
        <f>_xlfn.XLOOKUP(Tabla13[[#This Row],[REGION]],dimensiones!C:C,dimensiones!D:D,"")</f>
        <v>Región de Los Lagos</v>
      </c>
    </row>
    <row r="765" spans="1:10" ht="14.25" customHeight="1" x14ac:dyDescent="0.25">
      <c r="A765">
        <v>692312007</v>
      </c>
      <c r="B765" t="s">
        <v>4751</v>
      </c>
      <c r="C765" t="s">
        <v>4826</v>
      </c>
      <c r="D765">
        <v>10</v>
      </c>
      <c r="E765" t="s">
        <v>4445</v>
      </c>
      <c r="F765" t="s">
        <v>4908</v>
      </c>
      <c r="G765" t="s">
        <v>5575</v>
      </c>
      <c r="H765" t="s">
        <v>4957</v>
      </c>
      <c r="I765" s="79" t="str">
        <f>IF(Tabla13[[#This Row],[RUT]]=774097899,"DIST",_xlfn.XLOOKUP(Tabla13[[#This Row],[VENDEDOR]],dimensiones!$C$21:$C$28,dimensiones!$D$21:$D$28,""))</f>
        <v>ATEL</v>
      </c>
      <c r="J765" s="125" t="str">
        <f>_xlfn.XLOOKUP(Tabla13[[#This Row],[REGION]],dimensiones!C:C,dimensiones!D:D,"")</f>
        <v>Región de Los Lagos</v>
      </c>
    </row>
    <row r="766" spans="1:10" ht="14.25" customHeight="1" x14ac:dyDescent="0.25">
      <c r="A766">
        <v>692404009</v>
      </c>
      <c r="B766" t="s">
        <v>1086</v>
      </c>
      <c r="C766" t="s">
        <v>4234</v>
      </c>
      <c r="D766">
        <v>11</v>
      </c>
      <c r="E766" t="s">
        <v>4445</v>
      </c>
      <c r="F766" t="s">
        <v>1573</v>
      </c>
      <c r="G766" t="s">
        <v>5575</v>
      </c>
      <c r="H766" t="s">
        <v>4915</v>
      </c>
      <c r="I766" s="79" t="str">
        <f>IF(Tabla13[[#This Row],[RUT]]=774097899,"DIST",_xlfn.XLOOKUP(Tabla13[[#This Row],[VENDEDOR]],dimensiones!$C$21:$C$28,dimensiones!$D$21:$D$28,""))</f>
        <v>ATEL</v>
      </c>
      <c r="J766" s="125" t="str">
        <f>_xlfn.XLOOKUP(Tabla13[[#This Row],[REGION]],dimensiones!C:C,dimensiones!D:D,"")</f>
        <v>Región de Aysén del General Carlos Ibáñez del Campo</v>
      </c>
    </row>
    <row r="767" spans="1:10" ht="14.25" customHeight="1" x14ac:dyDescent="0.25">
      <c r="A767">
        <v>692502000</v>
      </c>
      <c r="B767" t="s">
        <v>385</v>
      </c>
      <c r="C767" t="s">
        <v>4185</v>
      </c>
      <c r="D767">
        <v>12</v>
      </c>
      <c r="E767" t="s">
        <v>4445</v>
      </c>
      <c r="F767" t="s">
        <v>1998</v>
      </c>
      <c r="G767" t="s">
        <v>5575</v>
      </c>
      <c r="H767" t="s">
        <v>4957</v>
      </c>
      <c r="I767" s="79" t="str">
        <f>IF(Tabla13[[#This Row],[RUT]]=774097899,"DIST",_xlfn.XLOOKUP(Tabla13[[#This Row],[VENDEDOR]],dimensiones!$C$21:$C$28,dimensiones!$D$21:$D$28,""))</f>
        <v>ATEL</v>
      </c>
      <c r="J767" s="125" t="str">
        <f>_xlfn.XLOOKUP(Tabla13[[#This Row],[REGION]],dimensiones!C:C,dimensiones!D:D,"")</f>
        <v>Región de Magallanes y de la Antártica Chilena</v>
      </c>
    </row>
    <row r="768" spans="1:10" ht="14.25" customHeight="1" x14ac:dyDescent="0.25">
      <c r="A768" t="s">
        <v>4766</v>
      </c>
      <c r="B768" t="s">
        <v>2001</v>
      </c>
      <c r="C768" t="s">
        <v>4243</v>
      </c>
      <c r="D768">
        <v>3</v>
      </c>
      <c r="E768" t="s">
        <v>4445</v>
      </c>
      <c r="F768" t="s">
        <v>2000</v>
      </c>
      <c r="G768" t="s">
        <v>5575</v>
      </c>
      <c r="H768" t="s">
        <v>4957</v>
      </c>
      <c r="I768" s="79" t="str">
        <f>IF(Tabla13[[#This Row],[RUT]]=774097899,"DIST",_xlfn.XLOOKUP(Tabla13[[#This Row],[VENDEDOR]],dimensiones!$C$21:$C$28,dimensiones!$D$21:$D$28,""))</f>
        <v>ATEL</v>
      </c>
      <c r="J768" s="125" t="str">
        <f>_xlfn.XLOOKUP(Tabla13[[#This Row],[REGION]],dimensiones!C:C,dimensiones!D:D,"")</f>
        <v>Región de Atacama</v>
      </c>
    </row>
    <row r="769" spans="1:10" ht="14.25" customHeight="1" x14ac:dyDescent="0.25">
      <c r="A769">
        <v>692508009</v>
      </c>
      <c r="B769" t="s">
        <v>921</v>
      </c>
      <c r="C769" t="s">
        <v>4372</v>
      </c>
      <c r="D769">
        <v>15</v>
      </c>
      <c r="E769" t="s">
        <v>4445</v>
      </c>
      <c r="F769" t="s">
        <v>1503</v>
      </c>
      <c r="G769" t="s">
        <v>5575</v>
      </c>
      <c r="H769" t="s">
        <v>4957</v>
      </c>
      <c r="I769" s="79" t="str">
        <f>IF(Tabla13[[#This Row],[RUT]]=774097899,"DIST",_xlfn.XLOOKUP(Tabla13[[#This Row],[VENDEDOR]],dimensiones!$C$21:$C$28,dimensiones!$D$21:$D$28,""))</f>
        <v>ATEL</v>
      </c>
      <c r="J769" s="125" t="str">
        <f>_xlfn.XLOOKUP(Tabla13[[#This Row],[REGION]],dimensiones!C:C,dimensiones!D:D,"")</f>
        <v>Región de Arica y Parinacota</v>
      </c>
    </row>
    <row r="770" spans="1:10" ht="14.25" customHeight="1" x14ac:dyDescent="0.25">
      <c r="A770">
        <v>692510003</v>
      </c>
      <c r="B770" t="s">
        <v>4962</v>
      </c>
      <c r="C770" t="s">
        <v>4963</v>
      </c>
      <c r="D770">
        <v>15</v>
      </c>
      <c r="E770" t="s">
        <v>4445</v>
      </c>
      <c r="F770" t="s">
        <v>4964</v>
      </c>
      <c r="G770" t="s">
        <v>5575</v>
      </c>
      <c r="H770" t="s">
        <v>4957</v>
      </c>
      <c r="I770" s="79" t="str">
        <f>IF(Tabla13[[#This Row],[RUT]]=774097899,"DIST",_xlfn.XLOOKUP(Tabla13[[#This Row],[VENDEDOR]],dimensiones!$C$21:$C$28,dimensiones!$D$21:$D$28,""))</f>
        <v>ATEL</v>
      </c>
      <c r="J770" s="125" t="str">
        <f>_xlfn.XLOOKUP(Tabla13[[#This Row],[REGION]],dimensiones!C:C,dimensiones!D:D,"")</f>
        <v>Región de Arica y Parinacota</v>
      </c>
    </row>
    <row r="771" spans="1:10" ht="14.25" customHeight="1" x14ac:dyDescent="0.25">
      <c r="A771">
        <v>692515005</v>
      </c>
      <c r="B771" t="s">
        <v>922</v>
      </c>
      <c r="C771" t="s">
        <v>4546</v>
      </c>
      <c r="D771">
        <v>12</v>
      </c>
      <c r="E771" t="s">
        <v>4445</v>
      </c>
      <c r="F771" t="s">
        <v>4141</v>
      </c>
      <c r="G771" t="s">
        <v>5575</v>
      </c>
      <c r="H771" t="s">
        <v>4957</v>
      </c>
      <c r="I771" s="79" t="str">
        <f>IF(Tabla13[[#This Row],[RUT]]=774097899,"DIST",_xlfn.XLOOKUP(Tabla13[[#This Row],[VENDEDOR]],dimensiones!$C$21:$C$28,dimensiones!$D$21:$D$28,""))</f>
        <v>ATEL</v>
      </c>
      <c r="J771" s="125" t="str">
        <f>_xlfn.XLOOKUP(Tabla13[[#This Row],[REGION]],dimensiones!C:C,dimensiones!D:D,"")</f>
        <v>Región de Magallanes y de la Antártica Chilena</v>
      </c>
    </row>
    <row r="772" spans="1:10" ht="14.25" customHeight="1" x14ac:dyDescent="0.25">
      <c r="A772">
        <v>692516001</v>
      </c>
      <c r="B772" t="s">
        <v>386</v>
      </c>
      <c r="C772" t="s">
        <v>4373</v>
      </c>
      <c r="D772">
        <v>12</v>
      </c>
      <c r="E772" t="s">
        <v>4445</v>
      </c>
      <c r="F772" t="s">
        <v>2005</v>
      </c>
      <c r="G772" t="s">
        <v>5575</v>
      </c>
      <c r="H772" t="s">
        <v>4957</v>
      </c>
      <c r="I772" s="79" t="str">
        <f>IF(Tabla13[[#This Row],[RUT]]=774097899,"DIST",_xlfn.XLOOKUP(Tabla13[[#This Row],[VENDEDOR]],dimensiones!$C$21:$C$28,dimensiones!$D$21:$D$28,""))</f>
        <v>ATEL</v>
      </c>
      <c r="J772" s="125" t="str">
        <f>_xlfn.XLOOKUP(Tabla13[[#This Row],[REGION]],dimensiones!C:C,dimensiones!D:D,"")</f>
        <v>Región de Magallanes y de la Antártica Chilena</v>
      </c>
    </row>
    <row r="773" spans="1:10" ht="14.25" customHeight="1" x14ac:dyDescent="0.25">
      <c r="A773">
        <v>692518004</v>
      </c>
      <c r="B773" t="s">
        <v>387</v>
      </c>
      <c r="C773" t="s">
        <v>4294</v>
      </c>
      <c r="D773">
        <v>10</v>
      </c>
      <c r="E773" t="s">
        <v>4445</v>
      </c>
      <c r="F773" t="s">
        <v>1711</v>
      </c>
      <c r="G773" t="s">
        <v>5575</v>
      </c>
      <c r="H773" t="s">
        <v>4957</v>
      </c>
      <c r="I773" s="79" t="str">
        <f>IF(Tabla13[[#This Row],[RUT]]=774097899,"DIST",_xlfn.XLOOKUP(Tabla13[[#This Row],[VENDEDOR]],dimensiones!$C$21:$C$28,dimensiones!$D$21:$D$28,""))</f>
        <v>ATEL</v>
      </c>
      <c r="J773" s="125" t="str">
        <f>_xlfn.XLOOKUP(Tabla13[[#This Row],[REGION]],dimensiones!C:C,dimensiones!D:D,"")</f>
        <v>Región de Los Lagos</v>
      </c>
    </row>
    <row r="774" spans="1:10" ht="14.25" customHeight="1" x14ac:dyDescent="0.25">
      <c r="A774">
        <v>692519000</v>
      </c>
      <c r="B774" t="s">
        <v>949</v>
      </c>
      <c r="C774" t="s">
        <v>4547</v>
      </c>
      <c r="D774">
        <v>3</v>
      </c>
      <c r="E774" t="s">
        <v>4445</v>
      </c>
      <c r="F774" t="s">
        <v>1367</v>
      </c>
      <c r="G774" t="s">
        <v>5575</v>
      </c>
      <c r="H774" t="s">
        <v>4957</v>
      </c>
      <c r="I774" s="79" t="str">
        <f>IF(Tabla13[[#This Row],[RUT]]=774097899,"DIST",_xlfn.XLOOKUP(Tabla13[[#This Row],[VENDEDOR]],dimensiones!$C$21:$C$28,dimensiones!$D$21:$D$28,""))</f>
        <v>ATEL</v>
      </c>
      <c r="J774" s="125" t="str">
        <f>_xlfn.XLOOKUP(Tabla13[[#This Row],[REGION]],dimensiones!C:C,dimensiones!D:D,"")</f>
        <v>Región de Atacama</v>
      </c>
    </row>
    <row r="775" spans="1:10" ht="14.25" customHeight="1" x14ac:dyDescent="0.25">
      <c r="A775">
        <v>692521005</v>
      </c>
      <c r="B775" t="s">
        <v>388</v>
      </c>
      <c r="C775" t="s">
        <v>4374</v>
      </c>
      <c r="D775">
        <v>9</v>
      </c>
      <c r="E775" t="s">
        <v>4445</v>
      </c>
      <c r="F775" t="s">
        <v>3265</v>
      </c>
      <c r="G775" t="s">
        <v>5575</v>
      </c>
      <c r="H775" t="s">
        <v>4957</v>
      </c>
      <c r="I775" s="79" t="str">
        <f>IF(Tabla13[[#This Row],[RUT]]=774097899,"DIST",_xlfn.XLOOKUP(Tabla13[[#This Row],[VENDEDOR]],dimensiones!$C$21:$C$28,dimensiones!$D$21:$D$28,""))</f>
        <v>ATEL</v>
      </c>
      <c r="J775" s="125" t="str">
        <f>_xlfn.XLOOKUP(Tabla13[[#This Row],[REGION]],dimensiones!C:C,dimensiones!D:D,"")</f>
        <v>Región de La Araucanía</v>
      </c>
    </row>
    <row r="776" spans="1:10" ht="14.25" customHeight="1" x14ac:dyDescent="0.25">
      <c r="A776">
        <v>692523008</v>
      </c>
      <c r="B776" t="s">
        <v>389</v>
      </c>
      <c r="C776" t="s">
        <v>4548</v>
      </c>
      <c r="D776">
        <v>5</v>
      </c>
      <c r="E776" t="s">
        <v>4445</v>
      </c>
      <c r="F776" t="s">
        <v>2012</v>
      </c>
      <c r="G776" t="s">
        <v>5575</v>
      </c>
      <c r="H776" t="s">
        <v>4957</v>
      </c>
      <c r="I776" s="79" t="str">
        <f>IF(Tabla13[[#This Row],[RUT]]=774097899,"DIST",_xlfn.XLOOKUP(Tabla13[[#This Row],[VENDEDOR]],dimensiones!$C$21:$C$28,dimensiones!$D$21:$D$28,""))</f>
        <v>ATEL</v>
      </c>
      <c r="J776" s="125" t="str">
        <f>_xlfn.XLOOKUP(Tabla13[[#This Row],[REGION]],dimensiones!C:C,dimensiones!D:D,"")</f>
        <v>Región de Valparaíso</v>
      </c>
    </row>
    <row r="777" spans="1:10" ht="14.25" customHeight="1" x14ac:dyDescent="0.25">
      <c r="A777">
        <v>692525000</v>
      </c>
      <c r="B777" t="s">
        <v>923</v>
      </c>
      <c r="C777" t="s">
        <v>4375</v>
      </c>
      <c r="D777">
        <v>2</v>
      </c>
      <c r="E777" t="s">
        <v>4445</v>
      </c>
      <c r="F777" t="s">
        <v>2085</v>
      </c>
      <c r="G777" t="s">
        <v>5575</v>
      </c>
      <c r="H777" t="s">
        <v>4957</v>
      </c>
      <c r="I777" s="79" t="str">
        <f>IF(Tabla13[[#This Row],[RUT]]=774097899,"DIST",_xlfn.XLOOKUP(Tabla13[[#This Row],[VENDEDOR]],dimensiones!$C$21:$C$28,dimensiones!$D$21:$D$28,""))</f>
        <v>ATEL</v>
      </c>
      <c r="J777" s="125" t="str">
        <f>_xlfn.XLOOKUP(Tabla13[[#This Row],[REGION]],dimensiones!C:C,dimensiones!D:D,"")</f>
        <v>Región de Antofagasta</v>
      </c>
    </row>
    <row r="778" spans="1:10" ht="14.25" customHeight="1" x14ac:dyDescent="0.25">
      <c r="A778">
        <v>692527003</v>
      </c>
      <c r="B778" t="s">
        <v>390</v>
      </c>
      <c r="C778" t="s">
        <v>4376</v>
      </c>
      <c r="D778">
        <v>7</v>
      </c>
      <c r="E778" t="s">
        <v>4445</v>
      </c>
      <c r="F778" t="s">
        <v>4112</v>
      </c>
      <c r="G778" t="s">
        <v>5575</v>
      </c>
      <c r="H778" t="s">
        <v>4957</v>
      </c>
      <c r="I778" s="79" t="str">
        <f>IF(Tabla13[[#This Row],[RUT]]=774097899,"DIST",_xlfn.XLOOKUP(Tabla13[[#This Row],[VENDEDOR]],dimensiones!$C$21:$C$28,dimensiones!$D$21:$D$28,""))</f>
        <v>ATEL</v>
      </c>
      <c r="J778" s="125" t="str">
        <f>_xlfn.XLOOKUP(Tabla13[[#This Row],[REGION]],dimensiones!C:C,dimensiones!D:D,"")</f>
        <v>Región de Maule</v>
      </c>
    </row>
    <row r="779" spans="1:10" ht="14.25" customHeight="1" x14ac:dyDescent="0.25">
      <c r="A779">
        <v>692536002</v>
      </c>
      <c r="B779" t="s">
        <v>957</v>
      </c>
      <c r="C779" t="s">
        <v>4549</v>
      </c>
      <c r="D779">
        <v>2</v>
      </c>
      <c r="E779" t="s">
        <v>4445</v>
      </c>
      <c r="F779" t="s">
        <v>2017</v>
      </c>
      <c r="G779" t="s">
        <v>5575</v>
      </c>
      <c r="H779" t="s">
        <v>4957</v>
      </c>
      <c r="I779" s="79" t="str">
        <f>IF(Tabla13[[#This Row],[RUT]]=774097899,"DIST",_xlfn.XLOOKUP(Tabla13[[#This Row],[VENDEDOR]],dimensiones!$C$21:$C$28,dimensiones!$D$21:$D$28,""))</f>
        <v>ATEL</v>
      </c>
      <c r="J779" s="125" t="str">
        <f>_xlfn.XLOOKUP(Tabla13[[#This Row],[REGION]],dimensiones!C:C,dimensiones!D:D,"")</f>
        <v>Región de Antofagasta</v>
      </c>
    </row>
    <row r="780" spans="1:10" ht="14.25" customHeight="1" x14ac:dyDescent="0.25">
      <c r="A780">
        <v>692538005</v>
      </c>
      <c r="B780" t="s">
        <v>924</v>
      </c>
      <c r="C780" t="s">
        <v>4409</v>
      </c>
      <c r="D780">
        <v>13</v>
      </c>
      <c r="E780" t="s">
        <v>4445</v>
      </c>
      <c r="F780" t="s">
        <v>1409</v>
      </c>
      <c r="G780" t="s">
        <v>5575</v>
      </c>
      <c r="H780" t="s">
        <v>4957</v>
      </c>
      <c r="I780" s="79" t="str">
        <f>IF(Tabla13[[#This Row],[RUT]]=774097899,"DIST",_xlfn.XLOOKUP(Tabla13[[#This Row],[VENDEDOR]],dimensiones!$C$21:$C$28,dimensiones!$D$21:$D$28,""))</f>
        <v>ATEL</v>
      </c>
      <c r="J780" s="125" t="str">
        <f>_xlfn.XLOOKUP(Tabla13[[#This Row],[REGION]],dimensiones!C:C,dimensiones!D:D,"")</f>
        <v>Región de Metropolitana de Santiago</v>
      </c>
    </row>
    <row r="781" spans="1:10" ht="14.25" customHeight="1" x14ac:dyDescent="0.25">
      <c r="A781">
        <v>692539001</v>
      </c>
      <c r="B781" t="s">
        <v>391</v>
      </c>
      <c r="C781" t="s">
        <v>4506</v>
      </c>
      <c r="D781">
        <v>13</v>
      </c>
      <c r="E781" t="s">
        <v>4445</v>
      </c>
      <c r="F781" t="s">
        <v>1252</v>
      </c>
      <c r="G781" t="s">
        <v>5575</v>
      </c>
      <c r="H781" t="s">
        <v>4957</v>
      </c>
      <c r="I781" s="79" t="str">
        <f>IF(Tabla13[[#This Row],[RUT]]=774097899,"DIST",_xlfn.XLOOKUP(Tabla13[[#This Row],[VENDEDOR]],dimensiones!$C$21:$C$28,dimensiones!$D$21:$D$28,""))</f>
        <v>ATEL</v>
      </c>
      <c r="J781" s="125" t="str">
        <f>_xlfn.XLOOKUP(Tabla13[[#This Row],[REGION]],dimensiones!C:C,dimensiones!D:D,"")</f>
        <v>Región de Metropolitana de Santiago</v>
      </c>
    </row>
    <row r="782" spans="1:10" ht="14.25" customHeight="1" x14ac:dyDescent="0.25">
      <c r="A782">
        <v>692542002</v>
      </c>
      <c r="B782" t="s">
        <v>392</v>
      </c>
      <c r="C782" t="s">
        <v>4400</v>
      </c>
      <c r="D782">
        <v>13</v>
      </c>
      <c r="E782" t="s">
        <v>4445</v>
      </c>
      <c r="F782" t="s">
        <v>2215</v>
      </c>
      <c r="G782" t="s">
        <v>5575</v>
      </c>
      <c r="H782" t="s">
        <v>4957</v>
      </c>
      <c r="I782" s="79" t="str">
        <f>IF(Tabla13[[#This Row],[RUT]]=774097899,"DIST",_xlfn.XLOOKUP(Tabla13[[#This Row],[VENDEDOR]],dimensiones!$C$21:$C$28,dimensiones!$D$21:$D$28,""))</f>
        <v>ATEL</v>
      </c>
      <c r="J782" s="125" t="str">
        <f>_xlfn.XLOOKUP(Tabla13[[#This Row],[REGION]],dimensiones!C:C,dimensiones!D:D,"")</f>
        <v>Región de Metropolitana de Santiago</v>
      </c>
    </row>
    <row r="783" spans="1:10" ht="14.25" customHeight="1" x14ac:dyDescent="0.25">
      <c r="A783">
        <v>692543009</v>
      </c>
      <c r="B783" t="s">
        <v>925</v>
      </c>
      <c r="C783" t="s">
        <v>4452</v>
      </c>
      <c r="D783">
        <v>13</v>
      </c>
      <c r="E783" t="s">
        <v>4445</v>
      </c>
      <c r="F783" t="s">
        <v>2025</v>
      </c>
      <c r="G783" t="s">
        <v>5575</v>
      </c>
      <c r="H783" t="s">
        <v>4957</v>
      </c>
      <c r="I783" s="79" t="str">
        <f>IF(Tabla13[[#This Row],[RUT]]=774097899,"DIST",_xlfn.XLOOKUP(Tabla13[[#This Row],[VENDEDOR]],dimensiones!$C$21:$C$28,dimensiones!$D$21:$D$28,""))</f>
        <v>ATEL</v>
      </c>
      <c r="J783" s="125" t="str">
        <f>_xlfn.XLOOKUP(Tabla13[[#This Row],[REGION]],dimensiones!C:C,dimensiones!D:D,"")</f>
        <v>Región de Metropolitana de Santiago</v>
      </c>
    </row>
    <row r="784" spans="1:10" ht="14.25" customHeight="1" x14ac:dyDescent="0.25">
      <c r="A784">
        <v>692548000</v>
      </c>
      <c r="B784" t="s">
        <v>393</v>
      </c>
      <c r="C784" t="s">
        <v>4410</v>
      </c>
      <c r="D784">
        <v>13</v>
      </c>
      <c r="E784" t="s">
        <v>4445</v>
      </c>
      <c r="F784" t="s">
        <v>3998</v>
      </c>
      <c r="G784" t="s">
        <v>5575</v>
      </c>
      <c r="H784" t="s">
        <v>4957</v>
      </c>
      <c r="I784" s="79" t="str">
        <f>IF(Tabla13[[#This Row],[RUT]]=774097899,"DIST",_xlfn.XLOOKUP(Tabla13[[#This Row],[VENDEDOR]],dimensiones!$C$21:$C$28,dimensiones!$D$21:$D$28,""))</f>
        <v>ATEL</v>
      </c>
      <c r="J784" s="125" t="str">
        <f>_xlfn.XLOOKUP(Tabla13[[#This Row],[REGION]],dimensiones!C:C,dimensiones!D:D,"")</f>
        <v>Región de Metropolitana de Santiago</v>
      </c>
    </row>
    <row r="785" spans="1:10" ht="14.25" customHeight="1" x14ac:dyDescent="0.25">
      <c r="A785">
        <v>692549007</v>
      </c>
      <c r="B785" t="s">
        <v>394</v>
      </c>
      <c r="C785" t="s">
        <v>4449</v>
      </c>
      <c r="D785">
        <v>13</v>
      </c>
      <c r="E785" t="s">
        <v>4445</v>
      </c>
      <c r="F785" t="s">
        <v>1181</v>
      </c>
      <c r="G785" t="s">
        <v>5575</v>
      </c>
      <c r="H785" t="s">
        <v>4957</v>
      </c>
      <c r="I785" s="79" t="str">
        <f>IF(Tabla13[[#This Row],[RUT]]=774097899,"DIST",_xlfn.XLOOKUP(Tabla13[[#This Row],[VENDEDOR]],dimensiones!$C$21:$C$28,dimensiones!$D$21:$D$28,""))</f>
        <v>ATEL</v>
      </c>
      <c r="J785" s="125" t="str">
        <f>_xlfn.XLOOKUP(Tabla13[[#This Row],[REGION]],dimensiones!C:C,dimensiones!D:D,"")</f>
        <v>Región de Metropolitana de Santiago</v>
      </c>
    </row>
    <row r="786" spans="1:10" ht="14.25" customHeight="1" x14ac:dyDescent="0.25">
      <c r="A786">
        <v>692551001</v>
      </c>
      <c r="B786" t="s">
        <v>395</v>
      </c>
      <c r="C786" t="s">
        <v>4550</v>
      </c>
      <c r="D786">
        <v>13</v>
      </c>
      <c r="E786" t="s">
        <v>4445</v>
      </c>
      <c r="F786" t="s">
        <v>1499</v>
      </c>
      <c r="G786" t="s">
        <v>5575</v>
      </c>
      <c r="H786" t="s">
        <v>4957</v>
      </c>
      <c r="I786" s="79" t="str">
        <f>IF(Tabla13[[#This Row],[RUT]]=774097899,"DIST",_xlfn.XLOOKUP(Tabla13[[#This Row],[VENDEDOR]],dimensiones!$C$21:$C$28,dimensiones!$D$21:$D$28,""))</f>
        <v>ATEL</v>
      </c>
      <c r="J786" s="125" t="str">
        <f>_xlfn.XLOOKUP(Tabla13[[#This Row],[REGION]],dimensiones!C:C,dimensiones!D:D,"")</f>
        <v>Región de Metropolitana de Santiago</v>
      </c>
    </row>
    <row r="787" spans="1:10" ht="14.25" customHeight="1" x14ac:dyDescent="0.25">
      <c r="A787">
        <v>692552008</v>
      </c>
      <c r="B787" t="s">
        <v>803</v>
      </c>
      <c r="C787" t="s">
        <v>4551</v>
      </c>
      <c r="D787">
        <v>13</v>
      </c>
      <c r="E787" t="s">
        <v>4445</v>
      </c>
      <c r="F787" t="s">
        <v>2033</v>
      </c>
      <c r="G787" t="s">
        <v>5575</v>
      </c>
      <c r="H787" t="s">
        <v>4957</v>
      </c>
      <c r="I787" s="79" t="str">
        <f>IF(Tabla13[[#This Row],[RUT]]=774097899,"DIST",_xlfn.XLOOKUP(Tabla13[[#This Row],[VENDEDOR]],dimensiones!$C$21:$C$28,dimensiones!$D$21:$D$28,""))</f>
        <v>ATEL</v>
      </c>
      <c r="J787" s="125" t="str">
        <f>_xlfn.XLOOKUP(Tabla13[[#This Row],[REGION]],dimensiones!C:C,dimensiones!D:D,"")</f>
        <v>Región de Metropolitana de Santiago</v>
      </c>
    </row>
    <row r="788" spans="1:10" ht="14.25" customHeight="1" x14ac:dyDescent="0.25">
      <c r="A788">
        <v>692553004</v>
      </c>
      <c r="B788" t="s">
        <v>396</v>
      </c>
      <c r="C788" t="s">
        <v>4411</v>
      </c>
      <c r="D788">
        <v>13</v>
      </c>
      <c r="E788" t="s">
        <v>4445</v>
      </c>
      <c r="F788" t="s">
        <v>2609</v>
      </c>
      <c r="G788" t="s">
        <v>5575</v>
      </c>
      <c r="H788" t="s">
        <v>4957</v>
      </c>
      <c r="I788" s="79" t="str">
        <f>IF(Tabla13[[#This Row],[RUT]]=774097899,"DIST",_xlfn.XLOOKUP(Tabla13[[#This Row],[VENDEDOR]],dimensiones!$C$21:$C$28,dimensiones!$D$21:$D$28,""))</f>
        <v>ATEL</v>
      </c>
      <c r="J788" s="125" t="str">
        <f>_xlfn.XLOOKUP(Tabla13[[#This Row],[REGION]],dimensiones!C:C,dimensiones!D:D,"")</f>
        <v>Región de Metropolitana de Santiago</v>
      </c>
    </row>
    <row r="789" spans="1:10" ht="14.25" customHeight="1" x14ac:dyDescent="0.25">
      <c r="A789">
        <v>692554000</v>
      </c>
      <c r="B789" t="s">
        <v>397</v>
      </c>
      <c r="C789" t="s">
        <v>4393</v>
      </c>
      <c r="D789">
        <v>13</v>
      </c>
      <c r="E789" t="s">
        <v>4445</v>
      </c>
      <c r="F789" t="s">
        <v>1211</v>
      </c>
      <c r="G789" t="s">
        <v>5575</v>
      </c>
      <c r="H789" t="s">
        <v>4957</v>
      </c>
      <c r="I789" s="79" t="str">
        <f>IF(Tabla13[[#This Row],[RUT]]=774097899,"DIST",_xlfn.XLOOKUP(Tabla13[[#This Row],[VENDEDOR]],dimensiones!$C$21:$C$28,dimensiones!$D$21:$D$28,""))</f>
        <v>ATEL</v>
      </c>
      <c r="J789" s="125" t="str">
        <f>_xlfn.XLOOKUP(Tabla13[[#This Row],[REGION]],dimensiones!C:C,dimensiones!D:D,"")</f>
        <v>Región de Metropolitana de Santiago</v>
      </c>
    </row>
    <row r="790" spans="1:10" ht="14.25" customHeight="1" x14ac:dyDescent="0.25">
      <c r="A790">
        <v>692555007</v>
      </c>
      <c r="B790" t="s">
        <v>398</v>
      </c>
      <c r="C790" t="s">
        <v>4458</v>
      </c>
      <c r="D790">
        <v>13</v>
      </c>
      <c r="E790" t="s">
        <v>4445</v>
      </c>
      <c r="F790" t="s">
        <v>2524</v>
      </c>
      <c r="G790" t="s">
        <v>5575</v>
      </c>
      <c r="H790" t="s">
        <v>4957</v>
      </c>
      <c r="I790" s="79" t="str">
        <f>IF(Tabla13[[#This Row],[RUT]]=774097899,"DIST",_xlfn.XLOOKUP(Tabla13[[#This Row],[VENDEDOR]],dimensiones!$C$21:$C$28,dimensiones!$D$21:$D$28,""))</f>
        <v>ATEL</v>
      </c>
      <c r="J790" s="125" t="str">
        <f>_xlfn.XLOOKUP(Tabla13[[#This Row],[REGION]],dimensiones!C:C,dimensiones!D:D,"")</f>
        <v>Región de Metropolitana de Santiago</v>
      </c>
    </row>
    <row r="791" spans="1:10" ht="14.25" customHeight="1" x14ac:dyDescent="0.25">
      <c r="A791">
        <v>692556003</v>
      </c>
      <c r="B791" t="s">
        <v>804</v>
      </c>
      <c r="C791" t="s">
        <v>4552</v>
      </c>
      <c r="D791">
        <v>13</v>
      </c>
      <c r="E791" t="s">
        <v>4445</v>
      </c>
      <c r="F791" t="s">
        <v>2043</v>
      </c>
      <c r="G791" t="s">
        <v>5575</v>
      </c>
      <c r="H791" t="s">
        <v>4957</v>
      </c>
      <c r="I791" s="79" t="str">
        <f>IF(Tabla13[[#This Row],[RUT]]=774097899,"DIST",_xlfn.XLOOKUP(Tabla13[[#This Row],[VENDEDOR]],dimensiones!$C$21:$C$28,dimensiones!$D$21:$D$28,""))</f>
        <v>ATEL</v>
      </c>
      <c r="J791" s="125" t="str">
        <f>_xlfn.XLOOKUP(Tabla13[[#This Row],[REGION]],dimensiones!C:C,dimensiones!D:D,"")</f>
        <v>Región de Metropolitana de Santiago</v>
      </c>
    </row>
    <row r="792" spans="1:10" ht="14.25" customHeight="1" x14ac:dyDescent="0.25">
      <c r="A792">
        <v>692569008</v>
      </c>
      <c r="B792" t="s">
        <v>98</v>
      </c>
      <c r="C792" t="s">
        <v>4460</v>
      </c>
      <c r="D792">
        <v>8</v>
      </c>
      <c r="E792" t="s">
        <v>4464</v>
      </c>
      <c r="F792" t="s">
        <v>3895</v>
      </c>
      <c r="G792" t="s">
        <v>5575</v>
      </c>
      <c r="H792" t="s">
        <v>4957</v>
      </c>
      <c r="I792" s="79" t="str">
        <f>IF(Tabla13[[#This Row],[RUT]]=774097899,"DIST",_xlfn.XLOOKUP(Tabla13[[#This Row],[VENDEDOR]],dimensiones!$C$21:$C$28,dimensiones!$D$21:$D$28,""))</f>
        <v>SUR1</v>
      </c>
      <c r="J792" s="125" t="str">
        <f>_xlfn.XLOOKUP(Tabla13[[#This Row],[REGION]],dimensiones!C:C,dimensiones!D:D,"")</f>
        <v>Región de Biobío</v>
      </c>
    </row>
    <row r="793" spans="1:10" ht="14.25" customHeight="1" x14ac:dyDescent="0.25">
      <c r="A793">
        <v>692599004</v>
      </c>
      <c r="B793" t="s">
        <v>99</v>
      </c>
      <c r="C793" t="s">
        <v>4377</v>
      </c>
      <c r="D793">
        <v>8</v>
      </c>
      <c r="E793" t="s">
        <v>4464</v>
      </c>
      <c r="F793" t="s">
        <v>1369</v>
      </c>
      <c r="G793" t="s">
        <v>5575</v>
      </c>
      <c r="H793" t="s">
        <v>4957</v>
      </c>
      <c r="I793" s="79" t="str">
        <f>IF(Tabla13[[#This Row],[RUT]]=774097899,"DIST",_xlfn.XLOOKUP(Tabla13[[#This Row],[VENDEDOR]],dimensiones!$C$21:$C$28,dimensiones!$D$21:$D$28,""))</f>
        <v>SUR1</v>
      </c>
      <c r="J793" s="125" t="str">
        <f>_xlfn.XLOOKUP(Tabla13[[#This Row],[REGION]],dimensiones!C:C,dimensiones!D:D,"")</f>
        <v>Región de Biobío</v>
      </c>
    </row>
    <row r="794" spans="1:10" ht="14.25" customHeight="1" x14ac:dyDescent="0.25">
      <c r="A794">
        <v>692604008</v>
      </c>
      <c r="B794" t="s">
        <v>399</v>
      </c>
      <c r="C794" t="s">
        <v>4251</v>
      </c>
      <c r="D794">
        <v>5</v>
      </c>
      <c r="E794" t="s">
        <v>2372</v>
      </c>
      <c r="F794" t="s">
        <v>1341</v>
      </c>
      <c r="G794" t="s">
        <v>5575</v>
      </c>
      <c r="H794" t="s">
        <v>4957</v>
      </c>
      <c r="I794" s="79" t="str">
        <f>IF(Tabla13[[#This Row],[RUT]]=774097899,"DIST",_xlfn.XLOOKUP(Tabla13[[#This Row],[VENDEDOR]],dimensiones!$C$21:$C$28,dimensiones!$D$21:$D$28,""))</f>
        <v>NOR1</v>
      </c>
      <c r="J794" s="125" t="str">
        <f>_xlfn.XLOOKUP(Tabla13[[#This Row],[REGION]],dimensiones!C:C,dimensiones!D:D,"")</f>
        <v>Región de Valparaíso</v>
      </c>
    </row>
    <row r="795" spans="1:10" ht="14.25" customHeight="1" x14ac:dyDescent="0.25">
      <c r="A795">
        <v>692614003</v>
      </c>
      <c r="B795" t="s">
        <v>400</v>
      </c>
      <c r="C795" t="s">
        <v>4412</v>
      </c>
      <c r="D795">
        <v>13</v>
      </c>
      <c r="E795" t="s">
        <v>4445</v>
      </c>
      <c r="F795" t="s">
        <v>3981</v>
      </c>
      <c r="G795" t="s">
        <v>5575</v>
      </c>
      <c r="H795" t="s">
        <v>4957</v>
      </c>
      <c r="I795" s="79" t="str">
        <f>IF(Tabla13[[#This Row],[RUT]]=774097899,"DIST",_xlfn.XLOOKUP(Tabla13[[#This Row],[VENDEDOR]],dimensiones!$C$21:$C$28,dimensiones!$D$21:$D$28,""))</f>
        <v>ATEL</v>
      </c>
      <c r="J795" s="125" t="str">
        <f>_xlfn.XLOOKUP(Tabla13[[#This Row],[REGION]],dimensiones!C:C,dimensiones!D:D,"")</f>
        <v>Región de Metropolitana de Santiago</v>
      </c>
    </row>
    <row r="796" spans="1:10" ht="14.25" customHeight="1" x14ac:dyDescent="0.25">
      <c r="A796">
        <v>692628004</v>
      </c>
      <c r="B796" t="s">
        <v>2055</v>
      </c>
      <c r="C796" t="s">
        <v>4378</v>
      </c>
      <c r="D796">
        <v>8</v>
      </c>
      <c r="E796" t="s">
        <v>4445</v>
      </c>
      <c r="F796" t="s">
        <v>2054</v>
      </c>
      <c r="G796" t="s">
        <v>5575</v>
      </c>
      <c r="H796" t="s">
        <v>4957</v>
      </c>
      <c r="I796" s="79" t="str">
        <f>IF(Tabla13[[#This Row],[RUT]]=774097899,"DIST",_xlfn.XLOOKUP(Tabla13[[#This Row],[VENDEDOR]],dimensiones!$C$21:$C$28,dimensiones!$D$21:$D$28,""))</f>
        <v>ATEL</v>
      </c>
      <c r="J796" s="125" t="str">
        <f>_xlfn.XLOOKUP(Tabla13[[#This Row],[REGION]],dimensiones!C:C,dimensiones!D:D,"")</f>
        <v>Región de Biobío</v>
      </c>
    </row>
    <row r="797" spans="1:10" ht="14.25" customHeight="1" x14ac:dyDescent="0.25">
      <c r="A797" t="s">
        <v>152</v>
      </c>
      <c r="B797" t="s">
        <v>153</v>
      </c>
      <c r="C797" t="s">
        <v>4475</v>
      </c>
      <c r="D797">
        <v>8</v>
      </c>
      <c r="E797" t="s">
        <v>4464</v>
      </c>
      <c r="F797" t="s">
        <v>2057</v>
      </c>
      <c r="G797" t="s">
        <v>5575</v>
      </c>
      <c r="H797" t="s">
        <v>4957</v>
      </c>
      <c r="I797" s="79" t="str">
        <f>IF(Tabla13[[#This Row],[RUT]]=774097899,"DIST",_xlfn.XLOOKUP(Tabla13[[#This Row],[VENDEDOR]],dimensiones!$C$21:$C$28,dimensiones!$D$21:$D$28,""))</f>
        <v>SUR1</v>
      </c>
      <c r="J797" s="125" t="str">
        <f>_xlfn.XLOOKUP(Tabla13[[#This Row],[REGION]],dimensiones!C:C,dimensiones!D:D,"")</f>
        <v>Región de Biobío</v>
      </c>
    </row>
    <row r="798" spans="1:10" ht="14.25" customHeight="1" x14ac:dyDescent="0.25">
      <c r="A798">
        <v>692645006</v>
      </c>
      <c r="B798" t="s">
        <v>401</v>
      </c>
      <c r="C798" t="s">
        <v>4379</v>
      </c>
      <c r="D798">
        <v>7</v>
      </c>
      <c r="E798" t="s">
        <v>4445</v>
      </c>
      <c r="F798" t="s">
        <v>3178</v>
      </c>
      <c r="G798" t="s">
        <v>5575</v>
      </c>
      <c r="H798" t="s">
        <v>4957</v>
      </c>
      <c r="I798" s="79" t="str">
        <f>IF(Tabla13[[#This Row],[RUT]]=774097899,"DIST",_xlfn.XLOOKUP(Tabla13[[#This Row],[VENDEDOR]],dimensiones!$C$21:$C$28,dimensiones!$D$21:$D$28,""))</f>
        <v>ATEL</v>
      </c>
      <c r="J798" s="125" t="str">
        <f>_xlfn.XLOOKUP(Tabla13[[#This Row],[REGION]],dimensiones!C:C,dimensiones!D:D,"")</f>
        <v>Región de Maule</v>
      </c>
    </row>
    <row r="799" spans="1:10" ht="14.25" customHeight="1" x14ac:dyDescent="0.25">
      <c r="A799">
        <v>692646002</v>
      </c>
      <c r="B799" t="s">
        <v>402</v>
      </c>
      <c r="C799" t="s">
        <v>4515</v>
      </c>
      <c r="D799">
        <v>8</v>
      </c>
      <c r="E799" t="s">
        <v>4445</v>
      </c>
      <c r="F799" t="s">
        <v>1237</v>
      </c>
      <c r="G799" t="s">
        <v>5575</v>
      </c>
      <c r="H799" t="s">
        <v>4957</v>
      </c>
      <c r="I799" s="79" t="str">
        <f>IF(Tabla13[[#This Row],[RUT]]=774097899,"DIST",_xlfn.XLOOKUP(Tabla13[[#This Row],[VENDEDOR]],dimensiones!$C$21:$C$28,dimensiones!$D$21:$D$28,""))</f>
        <v>ATEL</v>
      </c>
      <c r="J799" s="125" t="str">
        <f>_xlfn.XLOOKUP(Tabla13[[#This Row],[REGION]],dimensiones!C:C,dimensiones!D:D,"")</f>
        <v>Región de Biobío</v>
      </c>
    </row>
    <row r="800" spans="1:10" ht="14.25" customHeight="1" x14ac:dyDescent="0.25">
      <c r="A800">
        <v>692647009</v>
      </c>
      <c r="B800" t="s">
        <v>403</v>
      </c>
      <c r="C800" t="s">
        <v>4392</v>
      </c>
      <c r="D800">
        <v>8</v>
      </c>
      <c r="E800" t="s">
        <v>4464</v>
      </c>
      <c r="F800" t="s">
        <v>2191</v>
      </c>
      <c r="G800" t="s">
        <v>5575</v>
      </c>
      <c r="H800" t="s">
        <v>4957</v>
      </c>
      <c r="I800" s="79" t="str">
        <f>IF(Tabla13[[#This Row],[RUT]]=774097899,"DIST",_xlfn.XLOOKUP(Tabla13[[#This Row],[VENDEDOR]],dimensiones!$C$21:$C$28,dimensiones!$D$21:$D$28,""))</f>
        <v>SUR1</v>
      </c>
      <c r="J800" s="125" t="str">
        <f>_xlfn.XLOOKUP(Tabla13[[#This Row],[REGION]],dimensiones!C:C,dimensiones!D:D,"")</f>
        <v>Región de Biobío</v>
      </c>
    </row>
    <row r="801" spans="1:10" ht="14.25" customHeight="1" x14ac:dyDescent="0.25">
      <c r="A801">
        <v>692648005</v>
      </c>
      <c r="B801" t="s">
        <v>404</v>
      </c>
      <c r="C801" t="s">
        <v>4380</v>
      </c>
      <c r="D801">
        <v>8</v>
      </c>
      <c r="E801" t="s">
        <v>4464</v>
      </c>
      <c r="F801" t="s">
        <v>2066</v>
      </c>
      <c r="G801" t="s">
        <v>5575</v>
      </c>
      <c r="H801" t="s">
        <v>4957</v>
      </c>
      <c r="I801" s="79" t="str">
        <f>IF(Tabla13[[#This Row],[RUT]]=774097899,"DIST",_xlfn.XLOOKUP(Tabla13[[#This Row],[VENDEDOR]],dimensiones!$C$21:$C$28,dimensiones!$D$21:$D$28,""))</f>
        <v>SUR1</v>
      </c>
      <c r="J801" s="125" t="str">
        <f>_xlfn.XLOOKUP(Tabla13[[#This Row],[REGION]],dimensiones!C:C,dimensiones!D:D,"")</f>
        <v>Región de Biobío</v>
      </c>
    </row>
    <row r="802" spans="1:10" ht="14.25" customHeight="1" x14ac:dyDescent="0.25">
      <c r="A802" t="s">
        <v>690</v>
      </c>
      <c r="B802" t="s">
        <v>691</v>
      </c>
      <c r="C802" t="s">
        <v>4413</v>
      </c>
      <c r="D802">
        <v>9</v>
      </c>
      <c r="E802" t="s">
        <v>4445</v>
      </c>
      <c r="F802" t="s">
        <v>1907</v>
      </c>
      <c r="G802" t="s">
        <v>5575</v>
      </c>
      <c r="H802" t="s">
        <v>4957</v>
      </c>
      <c r="I802" s="79" t="str">
        <f>IF(Tabla13[[#This Row],[RUT]]=774097899,"DIST",_xlfn.XLOOKUP(Tabla13[[#This Row],[VENDEDOR]],dimensiones!$C$21:$C$28,dimensiones!$D$21:$D$28,""))</f>
        <v>ATEL</v>
      </c>
      <c r="J802" s="125" t="str">
        <f>_xlfn.XLOOKUP(Tabla13[[#This Row],[REGION]],dimensiones!C:C,dimensiones!D:D,"")</f>
        <v>Región de La Araucanía</v>
      </c>
    </row>
    <row r="803" spans="1:10" ht="14.25" customHeight="1" x14ac:dyDescent="0.25">
      <c r="A803">
        <v>692651006</v>
      </c>
      <c r="B803" t="s">
        <v>405</v>
      </c>
      <c r="C803" t="s">
        <v>4414</v>
      </c>
      <c r="D803">
        <v>1</v>
      </c>
      <c r="E803" t="s">
        <v>4453</v>
      </c>
      <c r="F803" t="s">
        <v>1641</v>
      </c>
      <c r="G803" t="s">
        <v>5575</v>
      </c>
      <c r="H803" t="s">
        <v>4957</v>
      </c>
      <c r="I803" s="79" t="str">
        <f>IF(Tabla13[[#This Row],[RUT]]=774097899,"DIST",_xlfn.XLOOKUP(Tabla13[[#This Row],[VENDEDOR]],dimensiones!$C$21:$C$28,dimensiones!$D$21:$D$28,""))</f>
        <v>SANT2</v>
      </c>
      <c r="J803" s="125" t="str">
        <f>_xlfn.XLOOKUP(Tabla13[[#This Row],[REGION]],dimensiones!C:C,dimensiones!D:D,"")</f>
        <v>Región de Tarapacá</v>
      </c>
    </row>
    <row r="804" spans="1:10" ht="14.25" customHeight="1" x14ac:dyDescent="0.25">
      <c r="A804">
        <v>692664000</v>
      </c>
      <c r="B804" t="s">
        <v>805</v>
      </c>
      <c r="C804" t="s">
        <v>4553</v>
      </c>
      <c r="D804">
        <v>16</v>
      </c>
      <c r="E804" t="s">
        <v>4445</v>
      </c>
      <c r="F804" t="s">
        <v>2071</v>
      </c>
      <c r="G804" t="s">
        <v>5575</v>
      </c>
      <c r="H804" t="s">
        <v>4957</v>
      </c>
      <c r="I804" s="79" t="str">
        <f>IF(Tabla13[[#This Row],[RUT]]=774097899,"DIST",_xlfn.XLOOKUP(Tabla13[[#This Row],[VENDEDOR]],dimensiones!$C$21:$C$28,dimensiones!$D$21:$D$28,""))</f>
        <v>ATEL</v>
      </c>
      <c r="J804" s="125" t="str">
        <f>_xlfn.XLOOKUP(Tabla13[[#This Row],[REGION]],dimensiones!C:C,dimensiones!D:D,"")</f>
        <v>Región de Ñuble</v>
      </c>
    </row>
    <row r="805" spans="1:10" ht="14.25" customHeight="1" x14ac:dyDescent="0.25">
      <c r="A805">
        <v>692665007</v>
      </c>
      <c r="B805" t="s">
        <v>751</v>
      </c>
      <c r="C805" t="s">
        <v>4554</v>
      </c>
      <c r="D805">
        <v>16</v>
      </c>
      <c r="E805" t="s">
        <v>4464</v>
      </c>
      <c r="F805" t="s">
        <v>4008</v>
      </c>
      <c r="G805" t="s">
        <v>5575</v>
      </c>
      <c r="H805" t="s">
        <v>4957</v>
      </c>
      <c r="I805" s="79" t="str">
        <f>IF(Tabla13[[#This Row],[RUT]]=774097899,"DIST",_xlfn.XLOOKUP(Tabla13[[#This Row],[VENDEDOR]],dimensiones!$C$21:$C$28,dimensiones!$D$21:$D$28,""))</f>
        <v>SUR1</v>
      </c>
      <c r="J805" s="125" t="str">
        <f>_xlfn.XLOOKUP(Tabla13[[#This Row],[REGION]],dimensiones!C:C,dimensiones!D:D,"")</f>
        <v>Región de Ñuble</v>
      </c>
    </row>
    <row r="806" spans="1:10" ht="14.25" customHeight="1" x14ac:dyDescent="0.25">
      <c r="A806" t="s">
        <v>154</v>
      </c>
      <c r="B806" t="s">
        <v>155</v>
      </c>
      <c r="C806" t="s">
        <v>4495</v>
      </c>
      <c r="D806">
        <v>16</v>
      </c>
      <c r="E806" t="s">
        <v>4464</v>
      </c>
      <c r="F806" t="s">
        <v>1602</v>
      </c>
      <c r="G806" t="s">
        <v>5575</v>
      </c>
      <c r="H806" t="s">
        <v>4957</v>
      </c>
      <c r="I806" s="79" t="str">
        <f>IF(Tabla13[[#This Row],[RUT]]=774097899,"DIST",_xlfn.XLOOKUP(Tabla13[[#This Row],[VENDEDOR]],dimensiones!$C$21:$C$28,dimensiones!$D$21:$D$28,""))</f>
        <v>SUR1</v>
      </c>
      <c r="J806" s="125" t="str">
        <f>_xlfn.XLOOKUP(Tabla13[[#This Row],[REGION]],dimensiones!C:C,dimensiones!D:D,"")</f>
        <v>Región de Ñuble</v>
      </c>
    </row>
    <row r="807" spans="1:10" ht="14.25" customHeight="1" x14ac:dyDescent="0.25">
      <c r="A807">
        <v>692875605</v>
      </c>
      <c r="B807" t="s">
        <v>406</v>
      </c>
      <c r="C807" t="s">
        <v>4174</v>
      </c>
      <c r="D807">
        <v>5</v>
      </c>
      <c r="E807" t="s">
        <v>4445</v>
      </c>
      <c r="F807" t="s">
        <v>1250</v>
      </c>
      <c r="G807" t="s">
        <v>5571</v>
      </c>
      <c r="H807" t="s">
        <v>4957</v>
      </c>
      <c r="I807" s="79" t="str">
        <f>IF(Tabla13[[#This Row],[RUT]]=774097899,"DIST",_xlfn.XLOOKUP(Tabla13[[#This Row],[VENDEDOR]],dimensiones!$C$21:$C$28,dimensiones!$D$21:$D$28,""))</f>
        <v>ATEL</v>
      </c>
      <c r="J807" s="125" t="str">
        <f>_xlfn.XLOOKUP(Tabla13[[#This Row],[REGION]],dimensiones!C:C,dimensiones!D:D,"")</f>
        <v>Región de Valparaíso</v>
      </c>
    </row>
    <row r="808" spans="1:10" ht="14.25" customHeight="1" x14ac:dyDescent="0.25">
      <c r="A808">
        <v>692875702</v>
      </c>
      <c r="B808" t="s">
        <v>1657</v>
      </c>
      <c r="C808" t="s">
        <v>4192</v>
      </c>
      <c r="D808">
        <v>5</v>
      </c>
      <c r="E808" t="s">
        <v>4445</v>
      </c>
      <c r="F808" t="s">
        <v>1656</v>
      </c>
      <c r="G808" t="s">
        <v>5571</v>
      </c>
      <c r="H808" t="s">
        <v>4957</v>
      </c>
      <c r="I808" s="79" t="str">
        <f>IF(Tabla13[[#This Row],[RUT]]=774097899,"DIST",_xlfn.XLOOKUP(Tabla13[[#This Row],[VENDEDOR]],dimensiones!$C$21:$C$28,dimensiones!$D$21:$D$28,""))</f>
        <v>ATEL</v>
      </c>
      <c r="J808" s="125" t="str">
        <f>_xlfn.XLOOKUP(Tabla13[[#This Row],[REGION]],dimensiones!C:C,dimensiones!D:D,"")</f>
        <v>Región de Valparaíso</v>
      </c>
    </row>
    <row r="809" spans="1:10" ht="14.25" customHeight="1" x14ac:dyDescent="0.25">
      <c r="A809">
        <v>700126005</v>
      </c>
      <c r="B809" t="s">
        <v>408</v>
      </c>
      <c r="C809" t="s">
        <v>4168</v>
      </c>
      <c r="D809">
        <v>13</v>
      </c>
      <c r="E809" t="s">
        <v>4445</v>
      </c>
      <c r="F809" t="s">
        <v>2278</v>
      </c>
      <c r="G809" t="s">
        <v>5570</v>
      </c>
      <c r="H809" t="s">
        <v>4915</v>
      </c>
      <c r="I809" s="79" t="str">
        <f>IF(Tabla13[[#This Row],[RUT]]=774097899,"DIST",_xlfn.XLOOKUP(Tabla13[[#This Row],[VENDEDOR]],dimensiones!$C$21:$C$28,dimensiones!$D$21:$D$28,""))</f>
        <v>ATEL</v>
      </c>
      <c r="J809" s="125" t="str">
        <f>_xlfn.XLOOKUP(Tabla13[[#This Row],[REGION]],dimensiones!C:C,dimensiones!D:D,"")</f>
        <v>Región de Metropolitana de Santiago</v>
      </c>
    </row>
    <row r="810" spans="1:10" ht="14.25" customHeight="1" x14ac:dyDescent="0.25">
      <c r="A810">
        <v>700126013</v>
      </c>
      <c r="B810" t="s">
        <v>2281</v>
      </c>
      <c r="C810" t="s">
        <v>4381</v>
      </c>
      <c r="D810">
        <v>13</v>
      </c>
      <c r="E810" t="s">
        <v>4445</v>
      </c>
      <c r="F810" t="s">
        <v>2280</v>
      </c>
      <c r="G810" t="s">
        <v>5572</v>
      </c>
      <c r="H810" t="s">
        <v>4957</v>
      </c>
      <c r="I810" s="79" t="str">
        <f>IF(Tabla13[[#This Row],[RUT]]=774097899,"DIST",_xlfn.XLOOKUP(Tabla13[[#This Row],[VENDEDOR]],dimensiones!$C$21:$C$28,dimensiones!$D$21:$D$28,""))</f>
        <v>ATEL</v>
      </c>
      <c r="J810" s="125" t="str">
        <f>_xlfn.XLOOKUP(Tabla13[[#This Row],[REGION]],dimensiones!C:C,dimensiones!D:D,"")</f>
        <v>Región de Metropolitana de Santiago</v>
      </c>
    </row>
    <row r="811" spans="1:10" ht="14.25" customHeight="1" x14ac:dyDescent="0.25">
      <c r="A811">
        <v>700155803</v>
      </c>
      <c r="B811" t="s">
        <v>100</v>
      </c>
      <c r="C811" t="s">
        <v>4175</v>
      </c>
      <c r="D811">
        <v>5</v>
      </c>
      <c r="E811" t="s">
        <v>2372</v>
      </c>
      <c r="F811" t="s">
        <v>2530</v>
      </c>
      <c r="G811" t="s">
        <v>5570</v>
      </c>
      <c r="H811" t="s">
        <v>4915</v>
      </c>
      <c r="I811" s="79" t="str">
        <f>IF(Tabla13[[#This Row],[RUT]]=774097899,"DIST",_xlfn.XLOOKUP(Tabla13[[#This Row],[VENDEDOR]],dimensiones!$C$21:$C$28,dimensiones!$D$21:$D$28,""))</f>
        <v>NOR1</v>
      </c>
      <c r="J811" s="125" t="str">
        <f>_xlfn.XLOOKUP(Tabla13[[#This Row],[REGION]],dimensiones!C:C,dimensiones!D:D,"")</f>
        <v>Región de Valparaíso</v>
      </c>
    </row>
    <row r="812" spans="1:10" ht="14.25" customHeight="1" x14ac:dyDescent="0.25">
      <c r="A812">
        <v>700726002</v>
      </c>
      <c r="B812" t="s">
        <v>1104</v>
      </c>
      <c r="C812" t="s">
        <v>4178</v>
      </c>
      <c r="D812">
        <v>6</v>
      </c>
      <c r="E812" t="s">
        <v>4445</v>
      </c>
      <c r="F812" t="s">
        <v>3547</v>
      </c>
      <c r="G812" t="s">
        <v>5571</v>
      </c>
      <c r="H812" t="s">
        <v>4957</v>
      </c>
      <c r="I812" s="79" t="str">
        <f>IF(Tabla13[[#This Row],[RUT]]=774097899,"DIST",_xlfn.XLOOKUP(Tabla13[[#This Row],[VENDEDOR]],dimensiones!$C$21:$C$28,dimensiones!$D$21:$D$28,""))</f>
        <v>ATEL</v>
      </c>
      <c r="J812" s="125" t="str">
        <f>_xlfn.XLOOKUP(Tabla13[[#This Row],[REGION]],dimensiones!C:C,dimensiones!D:D,"")</f>
        <v>Región de Libertador General Bernardo O'Higgins</v>
      </c>
    </row>
    <row r="813" spans="1:10" ht="14.25" customHeight="1" x14ac:dyDescent="0.25">
      <c r="A813">
        <v>700836002</v>
      </c>
      <c r="B813" t="s">
        <v>409</v>
      </c>
      <c r="C813" t="s">
        <v>4411</v>
      </c>
      <c r="D813">
        <v>13</v>
      </c>
      <c r="E813" t="s">
        <v>4445</v>
      </c>
      <c r="F813" t="s">
        <v>4106</v>
      </c>
      <c r="G813" t="s">
        <v>5570</v>
      </c>
      <c r="H813" t="s">
        <v>4915</v>
      </c>
      <c r="I813" s="79" t="str">
        <f>IF(Tabla13[[#This Row],[RUT]]=774097899,"DIST",_xlfn.XLOOKUP(Tabla13[[#This Row],[VENDEDOR]],dimensiones!$C$21:$C$28,dimensiones!$D$21:$D$28,""))</f>
        <v>ATEL</v>
      </c>
      <c r="J813" s="125" t="str">
        <f>_xlfn.XLOOKUP(Tabla13[[#This Row],[REGION]],dimensiones!C:C,dimensiones!D:D,"")</f>
        <v>Región de Metropolitana de Santiago</v>
      </c>
    </row>
    <row r="814" spans="1:10" ht="14.25" customHeight="1" x14ac:dyDescent="0.25">
      <c r="A814">
        <v>702851009</v>
      </c>
      <c r="B814" t="s">
        <v>101</v>
      </c>
      <c r="C814" t="s">
        <v>4452</v>
      </c>
      <c r="D814">
        <v>13</v>
      </c>
      <c r="E814" t="s">
        <v>4453</v>
      </c>
      <c r="F814" t="s">
        <v>3552</v>
      </c>
      <c r="G814" t="s">
        <v>5570</v>
      </c>
      <c r="H814" t="s">
        <v>4915</v>
      </c>
      <c r="I814" s="79" t="str">
        <f>IF(Tabla13[[#This Row],[RUT]]=774097899,"DIST",_xlfn.XLOOKUP(Tabla13[[#This Row],[VENDEDOR]],dimensiones!$C$21:$C$28,dimensiones!$D$21:$D$28,""))</f>
        <v>SANT2</v>
      </c>
      <c r="J814" s="125" t="str">
        <f>_xlfn.XLOOKUP(Tabla13[[#This Row],[REGION]],dimensiones!C:C,dimensiones!D:D,"")</f>
        <v>Región de Metropolitana de Santiago</v>
      </c>
    </row>
    <row r="815" spans="1:10" ht="14.25" customHeight="1" x14ac:dyDescent="0.25">
      <c r="A815">
        <v>703601006</v>
      </c>
      <c r="B815" t="s">
        <v>102</v>
      </c>
      <c r="C815" t="s">
        <v>4391</v>
      </c>
      <c r="D815">
        <v>13</v>
      </c>
      <c r="E815" t="s">
        <v>4445</v>
      </c>
      <c r="F815" t="s">
        <v>2321</v>
      </c>
      <c r="G815" t="s">
        <v>5570</v>
      </c>
      <c r="H815" t="s">
        <v>4915</v>
      </c>
      <c r="I815" s="79" t="str">
        <f>IF(Tabla13[[#This Row],[RUT]]=774097899,"DIST",_xlfn.XLOOKUP(Tabla13[[#This Row],[VENDEDOR]],dimensiones!$C$21:$C$28,dimensiones!$D$21:$D$28,""))</f>
        <v>ATEL</v>
      </c>
      <c r="J815" s="125" t="str">
        <f>_xlfn.XLOOKUP(Tabla13[[#This Row],[REGION]],dimensiones!C:C,dimensiones!D:D,"")</f>
        <v>Región de Metropolitana de Santiago</v>
      </c>
    </row>
    <row r="816" spans="1:10" ht="14.25" customHeight="1" x14ac:dyDescent="0.25">
      <c r="A816">
        <v>703620000</v>
      </c>
      <c r="B816" t="s">
        <v>410</v>
      </c>
      <c r="C816" t="s">
        <v>4391</v>
      </c>
      <c r="D816">
        <v>13</v>
      </c>
      <c r="E816" t="s">
        <v>4445</v>
      </c>
      <c r="F816" t="s">
        <v>2291</v>
      </c>
      <c r="G816" t="s">
        <v>5570</v>
      </c>
      <c r="H816" t="s">
        <v>4915</v>
      </c>
      <c r="I816" s="79" t="str">
        <f>IF(Tabla13[[#This Row],[RUT]]=774097899,"DIST",_xlfn.XLOOKUP(Tabla13[[#This Row],[VENDEDOR]],dimensiones!$C$21:$C$28,dimensiones!$D$21:$D$28,""))</f>
        <v>ATEL</v>
      </c>
      <c r="J816" s="125" t="str">
        <f>_xlfn.XLOOKUP(Tabla13[[#This Row],[REGION]],dimensiones!C:C,dimensiones!D:D,"")</f>
        <v>Región de Metropolitana de Santiago</v>
      </c>
    </row>
    <row r="817" spans="1:10" ht="14.25" customHeight="1" x14ac:dyDescent="0.25">
      <c r="A817">
        <v>703774008</v>
      </c>
      <c r="B817" t="s">
        <v>411</v>
      </c>
      <c r="C817" t="s">
        <v>4391</v>
      </c>
      <c r="D817">
        <v>13</v>
      </c>
      <c r="E817" t="s">
        <v>4445</v>
      </c>
      <c r="F817" t="s">
        <v>3739</v>
      </c>
      <c r="G817" t="s">
        <v>5570</v>
      </c>
      <c r="H817" t="s">
        <v>4915</v>
      </c>
      <c r="I817" s="79" t="str">
        <f>IF(Tabla13[[#This Row],[RUT]]=774097899,"DIST",_xlfn.XLOOKUP(Tabla13[[#This Row],[VENDEDOR]],dimensiones!$C$21:$C$28,dimensiones!$D$21:$D$28,""))</f>
        <v>ATEL</v>
      </c>
      <c r="J817" s="125" t="str">
        <f>_xlfn.XLOOKUP(Tabla13[[#This Row],[REGION]],dimensiones!C:C,dimensiones!D:D,"")</f>
        <v>Región de Metropolitana de Santiago</v>
      </c>
    </row>
    <row r="818" spans="1:10" ht="14.25" customHeight="1" x14ac:dyDescent="0.25">
      <c r="A818">
        <v>705749000</v>
      </c>
      <c r="B818" t="s">
        <v>4958</v>
      </c>
      <c r="C818" t="s">
        <v>4168</v>
      </c>
      <c r="D818">
        <v>13</v>
      </c>
      <c r="E818" t="s">
        <v>4445</v>
      </c>
      <c r="F818" t="s">
        <v>4959</v>
      </c>
      <c r="G818" t="s">
        <v>5683</v>
      </c>
      <c r="H818" t="s">
        <v>4957</v>
      </c>
      <c r="I818" s="79" t="str">
        <f>IF(Tabla13[[#This Row],[RUT]]=774097899,"DIST",_xlfn.XLOOKUP(Tabla13[[#This Row],[VENDEDOR]],dimensiones!$C$21:$C$28,dimensiones!$D$21:$D$28,""))</f>
        <v>ATEL</v>
      </c>
      <c r="J818" s="125" t="str">
        <f>_xlfn.XLOOKUP(Tabla13[[#This Row],[REGION]],dimensiones!C:C,dimensiones!D:D,"")</f>
        <v>Región de Metropolitana de Santiago</v>
      </c>
    </row>
    <row r="819" spans="1:10" ht="14.25" customHeight="1" x14ac:dyDescent="0.25">
      <c r="A819">
        <v>707447001</v>
      </c>
      <c r="B819" t="s">
        <v>412</v>
      </c>
      <c r="C819" t="s">
        <v>4218</v>
      </c>
      <c r="D819">
        <v>9</v>
      </c>
      <c r="E819" t="s">
        <v>4445</v>
      </c>
      <c r="F819" t="s">
        <v>2295</v>
      </c>
      <c r="G819" t="s">
        <v>5571</v>
      </c>
      <c r="H819" t="s">
        <v>4957</v>
      </c>
      <c r="I819" s="79" t="str">
        <f>IF(Tabla13[[#This Row],[RUT]]=774097899,"DIST",_xlfn.XLOOKUP(Tabla13[[#This Row],[VENDEDOR]],dimensiones!$C$21:$C$28,dimensiones!$D$21:$D$28,""))</f>
        <v>ATEL</v>
      </c>
      <c r="J819" s="125" t="str">
        <f>_xlfn.XLOOKUP(Tabla13[[#This Row],[REGION]],dimensiones!C:C,dimensiones!D:D,"")</f>
        <v>Región de La Araucanía</v>
      </c>
    </row>
    <row r="820" spans="1:10" ht="14.25" customHeight="1" x14ac:dyDescent="0.25">
      <c r="A820">
        <v>707547006</v>
      </c>
      <c r="B820" t="s">
        <v>1027</v>
      </c>
      <c r="C820" t="s">
        <v>4459</v>
      </c>
      <c r="D820">
        <v>5</v>
      </c>
      <c r="E820" t="s">
        <v>4445</v>
      </c>
      <c r="F820" t="s">
        <v>2297</v>
      </c>
      <c r="G820" t="s">
        <v>5573</v>
      </c>
      <c r="H820" t="s">
        <v>4957</v>
      </c>
      <c r="I820" s="79" t="str">
        <f>IF(Tabla13[[#This Row],[RUT]]=774097899,"DIST",_xlfn.XLOOKUP(Tabla13[[#This Row],[VENDEDOR]],dimensiones!$C$21:$C$28,dimensiones!$D$21:$D$28,""))</f>
        <v>ATEL</v>
      </c>
      <c r="J820" s="125" t="str">
        <f>_xlfn.XLOOKUP(Tabla13[[#This Row],[REGION]],dimensiones!C:C,dimensiones!D:D,"")</f>
        <v>Región de Valparaíso</v>
      </c>
    </row>
    <row r="821" spans="1:10" ht="14.25" customHeight="1" x14ac:dyDescent="0.25">
      <c r="A821">
        <v>707665009</v>
      </c>
      <c r="B821" t="s">
        <v>413</v>
      </c>
      <c r="C821" t="s">
        <v>4382</v>
      </c>
      <c r="D821">
        <v>9</v>
      </c>
      <c r="E821" t="s">
        <v>4445</v>
      </c>
      <c r="F821" t="s">
        <v>2299</v>
      </c>
      <c r="G821" t="s">
        <v>5575</v>
      </c>
      <c r="H821" t="s">
        <v>4957</v>
      </c>
      <c r="I821" s="79" t="str">
        <f>IF(Tabla13[[#This Row],[RUT]]=774097899,"DIST",_xlfn.XLOOKUP(Tabla13[[#This Row],[VENDEDOR]],dimensiones!$C$21:$C$28,dimensiones!$D$21:$D$28,""))</f>
        <v>ATEL</v>
      </c>
      <c r="J821" s="125" t="str">
        <f>_xlfn.XLOOKUP(Tabla13[[#This Row],[REGION]],dimensiones!C:C,dimensiones!D:D,"")</f>
        <v>Región de La Araucanía</v>
      </c>
    </row>
    <row r="822" spans="1:10" ht="14.25" customHeight="1" x14ac:dyDescent="0.25">
      <c r="A822" t="s">
        <v>692</v>
      </c>
      <c r="B822" t="s">
        <v>693</v>
      </c>
      <c r="C822" t="s">
        <v>4181</v>
      </c>
      <c r="D822">
        <v>15</v>
      </c>
      <c r="E822" t="s">
        <v>4445</v>
      </c>
      <c r="F822" t="s">
        <v>2301</v>
      </c>
      <c r="G822" t="s">
        <v>5573</v>
      </c>
      <c r="H822" t="s">
        <v>4957</v>
      </c>
      <c r="I822" s="79" t="str">
        <f>IF(Tabla13[[#This Row],[RUT]]=774097899,"DIST",_xlfn.XLOOKUP(Tabla13[[#This Row],[VENDEDOR]],dimensiones!$C$21:$C$28,dimensiones!$D$21:$D$28,""))</f>
        <v>ATEL</v>
      </c>
      <c r="J822" s="125" t="str">
        <f>_xlfn.XLOOKUP(Tabla13[[#This Row],[REGION]],dimensiones!C:C,dimensiones!D:D,"")</f>
        <v>Región de Arica y Parinacota</v>
      </c>
    </row>
    <row r="823" spans="1:10" ht="14.25" customHeight="1" x14ac:dyDescent="0.25">
      <c r="A823">
        <v>707775009</v>
      </c>
      <c r="B823" t="s">
        <v>4091</v>
      </c>
      <c r="C823" t="s">
        <v>4361</v>
      </c>
      <c r="D823">
        <v>9</v>
      </c>
      <c r="E823" t="s">
        <v>4445</v>
      </c>
      <c r="F823" t="s">
        <v>4090</v>
      </c>
      <c r="G823" t="s">
        <v>5573</v>
      </c>
      <c r="H823" t="s">
        <v>4915</v>
      </c>
      <c r="I823" s="79" t="str">
        <f>IF(Tabla13[[#This Row],[RUT]]=774097899,"DIST",_xlfn.XLOOKUP(Tabla13[[#This Row],[VENDEDOR]],dimensiones!$C$21:$C$28,dimensiones!$D$21:$D$28,""))</f>
        <v>ATEL</v>
      </c>
      <c r="J823" s="125" t="str">
        <f>_xlfn.XLOOKUP(Tabla13[[#This Row],[REGION]],dimensiones!C:C,dimensiones!D:D,"")</f>
        <v>Región de La Araucanía</v>
      </c>
    </row>
    <row r="824" spans="1:10" ht="14.25" customHeight="1" x14ac:dyDescent="0.25">
      <c r="A824">
        <v>707831006</v>
      </c>
      <c r="B824" t="s">
        <v>414</v>
      </c>
      <c r="C824" t="s">
        <v>4171</v>
      </c>
      <c r="D824">
        <v>4</v>
      </c>
      <c r="E824" t="s">
        <v>2372</v>
      </c>
      <c r="F824" t="s">
        <v>2304</v>
      </c>
      <c r="G824" t="s">
        <v>5573</v>
      </c>
      <c r="H824" t="s">
        <v>4957</v>
      </c>
      <c r="I824" s="79" t="str">
        <f>IF(Tabla13[[#This Row],[RUT]]=774097899,"DIST",_xlfn.XLOOKUP(Tabla13[[#This Row],[VENDEDOR]],dimensiones!$C$21:$C$28,dimensiones!$D$21:$D$28,""))</f>
        <v>NOR1</v>
      </c>
      <c r="J824" s="125" t="str">
        <f>_xlfn.XLOOKUP(Tabla13[[#This Row],[REGION]],dimensiones!C:C,dimensiones!D:D,"")</f>
        <v>Región de Coquimbo</v>
      </c>
    </row>
    <row r="825" spans="1:10" ht="14.25" customHeight="1" x14ac:dyDescent="0.25">
      <c r="A825">
        <v>707918004</v>
      </c>
      <c r="B825" t="s">
        <v>1002</v>
      </c>
      <c r="C825" t="s">
        <v>4182</v>
      </c>
      <c r="D825">
        <v>2</v>
      </c>
      <c r="E825" t="s">
        <v>4445</v>
      </c>
      <c r="F825" t="s">
        <v>1248</v>
      </c>
      <c r="G825" t="s">
        <v>5573</v>
      </c>
      <c r="H825" t="s">
        <v>4957</v>
      </c>
      <c r="I825" s="79" t="str">
        <f>IF(Tabla13[[#This Row],[RUT]]=774097899,"DIST",_xlfn.XLOOKUP(Tabla13[[#This Row],[VENDEDOR]],dimensiones!$C$21:$C$28,dimensiones!$D$21:$D$28,""))</f>
        <v>ATEL</v>
      </c>
      <c r="J825" s="125" t="str">
        <f>_xlfn.XLOOKUP(Tabla13[[#This Row],[REGION]],dimensiones!C:C,dimensiones!D:D,"")</f>
        <v>Región de Antofagasta</v>
      </c>
    </row>
    <row r="826" spans="1:10" ht="14.25" customHeight="1" x14ac:dyDescent="0.25">
      <c r="A826">
        <v>708352004</v>
      </c>
      <c r="B826" t="s">
        <v>926</v>
      </c>
      <c r="C826" t="s">
        <v>4456</v>
      </c>
      <c r="D826">
        <v>13</v>
      </c>
      <c r="E826" t="s">
        <v>4445</v>
      </c>
      <c r="F826" t="s">
        <v>2211</v>
      </c>
      <c r="G826" t="s">
        <v>5574</v>
      </c>
      <c r="H826" t="s">
        <v>4957</v>
      </c>
      <c r="I826" s="79" t="str">
        <f>IF(Tabla13[[#This Row],[RUT]]=774097899,"DIST",_xlfn.XLOOKUP(Tabla13[[#This Row],[VENDEDOR]],dimensiones!$C$21:$C$28,dimensiones!$D$21:$D$28,""))</f>
        <v>ATEL</v>
      </c>
      <c r="J826" s="125" t="str">
        <f>_xlfn.XLOOKUP(Tabla13[[#This Row],[REGION]],dimensiones!C:C,dimensiones!D:D,"")</f>
        <v>Región de Metropolitana de Santiago</v>
      </c>
    </row>
    <row r="827" spans="1:10" ht="14.25" customHeight="1" x14ac:dyDescent="0.25">
      <c r="A827">
        <v>708564001</v>
      </c>
      <c r="B827" t="s">
        <v>415</v>
      </c>
      <c r="C827" t="s">
        <v>4381</v>
      </c>
      <c r="D827">
        <v>13</v>
      </c>
      <c r="E827" t="s">
        <v>4445</v>
      </c>
      <c r="F827" t="s">
        <v>2073</v>
      </c>
      <c r="G827" t="s">
        <v>5574</v>
      </c>
      <c r="H827" t="s">
        <v>4957</v>
      </c>
      <c r="I827" s="79" t="str">
        <f>IF(Tabla13[[#This Row],[RUT]]=774097899,"DIST",_xlfn.XLOOKUP(Tabla13[[#This Row],[VENDEDOR]],dimensiones!$C$21:$C$28,dimensiones!$D$21:$D$28,""))</f>
        <v>ATEL</v>
      </c>
      <c r="J827" s="125" t="str">
        <f>_xlfn.XLOOKUP(Tabla13[[#This Row],[REGION]],dimensiones!C:C,dimensiones!D:D,"")</f>
        <v>Región de Metropolitana de Santiago</v>
      </c>
    </row>
    <row r="828" spans="1:10" ht="14.25" customHeight="1" x14ac:dyDescent="0.25">
      <c r="A828">
        <v>708594008</v>
      </c>
      <c r="B828" t="s">
        <v>103</v>
      </c>
      <c r="C828" t="s">
        <v>4459</v>
      </c>
      <c r="D828">
        <v>5</v>
      </c>
      <c r="E828" t="s">
        <v>2372</v>
      </c>
      <c r="F828" t="s">
        <v>1955</v>
      </c>
      <c r="G828" t="s">
        <v>5574</v>
      </c>
      <c r="H828" t="s">
        <v>4957</v>
      </c>
      <c r="I828" s="79" t="str">
        <f>IF(Tabla13[[#This Row],[RUT]]=774097899,"DIST",_xlfn.XLOOKUP(Tabla13[[#This Row],[VENDEDOR]],dimensiones!$C$21:$C$28,dimensiones!$D$21:$D$28,""))</f>
        <v>NOR1</v>
      </c>
      <c r="J828" s="125" t="str">
        <f>_xlfn.XLOOKUP(Tabla13[[#This Row],[REGION]],dimensiones!C:C,dimensiones!D:D,"")</f>
        <v>Región de Valparaíso</v>
      </c>
    </row>
    <row r="829" spans="1:10" ht="14.25" customHeight="1" x14ac:dyDescent="0.25">
      <c r="A829">
        <v>708723002</v>
      </c>
      <c r="B829" t="s">
        <v>104</v>
      </c>
      <c r="C829" t="s">
        <v>4175</v>
      </c>
      <c r="D829">
        <v>5</v>
      </c>
      <c r="E829" t="s">
        <v>4445</v>
      </c>
      <c r="F829" t="s">
        <v>3194</v>
      </c>
      <c r="G829" t="s">
        <v>5574</v>
      </c>
      <c r="H829" t="s">
        <v>4957</v>
      </c>
      <c r="I829" s="79" t="str">
        <f>IF(Tabla13[[#This Row],[RUT]]=774097899,"DIST",_xlfn.XLOOKUP(Tabla13[[#This Row],[VENDEDOR]],dimensiones!$C$21:$C$28,dimensiones!$D$21:$D$28,""))</f>
        <v>ATEL</v>
      </c>
      <c r="J829" s="125" t="str">
        <f>_xlfn.XLOOKUP(Tabla13[[#This Row],[REGION]],dimensiones!C:C,dimensiones!D:D,"")</f>
        <v>Región de Valparaíso</v>
      </c>
    </row>
    <row r="830" spans="1:10" ht="14.25" customHeight="1" x14ac:dyDescent="0.25">
      <c r="A830">
        <v>708781002</v>
      </c>
      <c r="B830" t="s">
        <v>416</v>
      </c>
      <c r="C830" t="s">
        <v>4410</v>
      </c>
      <c r="D830">
        <v>13</v>
      </c>
      <c r="E830" t="s">
        <v>4445</v>
      </c>
      <c r="F830" t="s">
        <v>2293</v>
      </c>
      <c r="G830" t="s">
        <v>5574</v>
      </c>
      <c r="H830" t="s">
        <v>4957</v>
      </c>
      <c r="I830" s="79" t="str">
        <f>IF(Tabla13[[#This Row],[RUT]]=774097899,"DIST",_xlfn.XLOOKUP(Tabla13[[#This Row],[VENDEDOR]],dimensiones!$C$21:$C$28,dimensiones!$D$21:$D$28,""))</f>
        <v>ATEL</v>
      </c>
      <c r="J830" s="125" t="str">
        <f>_xlfn.XLOOKUP(Tabla13[[#This Row],[REGION]],dimensiones!C:C,dimensiones!D:D,"")</f>
        <v>Región de Metropolitana de Santiago</v>
      </c>
    </row>
    <row r="831" spans="1:10" ht="14.25" customHeight="1" x14ac:dyDescent="0.25">
      <c r="A831">
        <v>708789003</v>
      </c>
      <c r="B831" t="s">
        <v>417</v>
      </c>
      <c r="C831" t="s">
        <v>4490</v>
      </c>
      <c r="D831">
        <v>5</v>
      </c>
      <c r="E831" t="s">
        <v>2372</v>
      </c>
      <c r="F831" t="s">
        <v>1334</v>
      </c>
      <c r="G831" t="s">
        <v>5574</v>
      </c>
      <c r="H831" t="s">
        <v>4957</v>
      </c>
      <c r="I831" s="79" t="str">
        <f>IF(Tabla13[[#This Row],[RUT]]=774097899,"DIST",_xlfn.XLOOKUP(Tabla13[[#This Row],[VENDEDOR]],dimensiones!$C$21:$C$28,dimensiones!$D$21:$D$28,""))</f>
        <v>NOR1</v>
      </c>
      <c r="J831" s="125" t="str">
        <f>_xlfn.XLOOKUP(Tabla13[[#This Row],[REGION]],dimensiones!C:C,dimensiones!D:D,"")</f>
        <v>Región de Valparaíso</v>
      </c>
    </row>
    <row r="832" spans="1:10" ht="14.25" customHeight="1" x14ac:dyDescent="0.25">
      <c r="A832">
        <v>708803006</v>
      </c>
      <c r="B832" t="s">
        <v>418</v>
      </c>
      <c r="C832" t="s">
        <v>4415</v>
      </c>
      <c r="D832">
        <v>13</v>
      </c>
      <c r="E832" t="s">
        <v>4445</v>
      </c>
      <c r="F832" t="s">
        <v>3952</v>
      </c>
      <c r="G832" t="s">
        <v>5574</v>
      </c>
      <c r="H832" t="s">
        <v>4957</v>
      </c>
      <c r="I832" s="79" t="str">
        <f>IF(Tabla13[[#This Row],[RUT]]=774097899,"DIST",_xlfn.XLOOKUP(Tabla13[[#This Row],[VENDEDOR]],dimensiones!$C$21:$C$28,dimensiones!$D$21:$D$28,""))</f>
        <v>ATEL</v>
      </c>
      <c r="J832" s="125" t="str">
        <f>_xlfn.XLOOKUP(Tabla13[[#This Row],[REGION]],dimensiones!C:C,dimensiones!D:D,"")</f>
        <v>Región de Metropolitana de Santiago</v>
      </c>
    </row>
    <row r="833" spans="1:10" ht="14.25" customHeight="1" x14ac:dyDescent="0.25">
      <c r="A833">
        <v>708821004</v>
      </c>
      <c r="B833" t="s">
        <v>419</v>
      </c>
      <c r="C833" t="s">
        <v>4556</v>
      </c>
      <c r="D833">
        <v>13</v>
      </c>
      <c r="E833" t="s">
        <v>4445</v>
      </c>
      <c r="F833" t="s">
        <v>1379</v>
      </c>
      <c r="G833" t="s">
        <v>5574</v>
      </c>
      <c r="H833" t="s">
        <v>4957</v>
      </c>
      <c r="I833" s="79" t="str">
        <f>IF(Tabla13[[#This Row],[RUT]]=774097899,"DIST",_xlfn.XLOOKUP(Tabla13[[#This Row],[VENDEDOR]],dimensiones!$C$21:$C$28,dimensiones!$D$21:$D$28,""))</f>
        <v>ATEL</v>
      </c>
      <c r="J833" s="125" t="str">
        <f>_xlfn.XLOOKUP(Tabla13[[#This Row],[REGION]],dimensiones!C:C,dimensiones!D:D,"")</f>
        <v>Región de Metropolitana de Santiago</v>
      </c>
    </row>
    <row r="834" spans="1:10" ht="14.25" customHeight="1" x14ac:dyDescent="0.25">
      <c r="A834">
        <v>708855006</v>
      </c>
      <c r="B834" t="s">
        <v>420</v>
      </c>
      <c r="C834" t="s">
        <v>4257</v>
      </c>
      <c r="D834">
        <v>7</v>
      </c>
      <c r="E834" t="s">
        <v>4445</v>
      </c>
      <c r="F834" t="s">
        <v>2325</v>
      </c>
      <c r="G834" t="s">
        <v>5573</v>
      </c>
      <c r="H834" t="s">
        <v>4957</v>
      </c>
      <c r="I834" s="79" t="str">
        <f>IF(Tabla13[[#This Row],[RUT]]=774097899,"DIST",_xlfn.XLOOKUP(Tabla13[[#This Row],[VENDEDOR]],dimensiones!$C$21:$C$28,dimensiones!$D$21:$D$28,""))</f>
        <v>ATEL</v>
      </c>
      <c r="J834" s="125" t="str">
        <f>_xlfn.XLOOKUP(Tabla13[[#This Row],[REGION]],dimensiones!C:C,dimensiones!D:D,"")</f>
        <v>Región de Maule</v>
      </c>
    </row>
    <row r="835" spans="1:10" ht="14.25" customHeight="1" x14ac:dyDescent="0.25">
      <c r="A835">
        <v>708921009</v>
      </c>
      <c r="B835" t="s">
        <v>421</v>
      </c>
      <c r="C835" t="s">
        <v>4171</v>
      </c>
      <c r="D835">
        <v>4</v>
      </c>
      <c r="E835" t="s">
        <v>4445</v>
      </c>
      <c r="F835" t="s">
        <v>2217</v>
      </c>
      <c r="G835" t="s">
        <v>5574</v>
      </c>
      <c r="H835" t="s">
        <v>4957</v>
      </c>
      <c r="I835" s="79" t="str">
        <f>IF(Tabla13[[#This Row],[RUT]]=774097899,"DIST",_xlfn.XLOOKUP(Tabla13[[#This Row],[VENDEDOR]],dimensiones!$C$21:$C$28,dimensiones!$D$21:$D$28,""))</f>
        <v>ATEL</v>
      </c>
      <c r="J835" s="125" t="str">
        <f>_xlfn.XLOOKUP(Tabla13[[#This Row],[REGION]],dimensiones!C:C,dimensiones!D:D,"")</f>
        <v>Región de Coquimbo</v>
      </c>
    </row>
    <row r="836" spans="1:10" ht="14.25" customHeight="1" x14ac:dyDescent="0.25">
      <c r="A836">
        <v>709020005</v>
      </c>
      <c r="B836" t="s">
        <v>5484</v>
      </c>
      <c r="C836" t="s">
        <v>4465</v>
      </c>
      <c r="D836">
        <v>13</v>
      </c>
      <c r="E836" t="s">
        <v>4445</v>
      </c>
      <c r="F836" t="s">
        <v>5485</v>
      </c>
      <c r="G836" t="s">
        <v>5574</v>
      </c>
      <c r="H836" t="s">
        <v>4957</v>
      </c>
      <c r="I836" s="79" t="str">
        <f>IF(Tabla13[[#This Row],[RUT]]=774097899,"DIST",_xlfn.XLOOKUP(Tabla13[[#This Row],[VENDEDOR]],dimensiones!$C$21:$C$28,dimensiones!$D$21:$D$28,""))</f>
        <v>ATEL</v>
      </c>
      <c r="J836" s="125" t="str">
        <f>_xlfn.XLOOKUP(Tabla13[[#This Row],[REGION]],dimensiones!C:C,dimensiones!D:D,"")</f>
        <v>Región de Metropolitana de Santiago</v>
      </c>
    </row>
    <row r="837" spans="1:10" ht="14.25" customHeight="1" x14ac:dyDescent="0.25">
      <c r="A837">
        <v>709024000</v>
      </c>
      <c r="B837" t="s">
        <v>422</v>
      </c>
      <c r="C837" t="s">
        <v>4504</v>
      </c>
      <c r="D837">
        <v>13</v>
      </c>
      <c r="E837" t="s">
        <v>4445</v>
      </c>
      <c r="F837" t="s">
        <v>1266</v>
      </c>
      <c r="G837" t="s">
        <v>5574</v>
      </c>
      <c r="H837" t="s">
        <v>4957</v>
      </c>
      <c r="I837" s="79" t="str">
        <f>IF(Tabla13[[#This Row],[RUT]]=774097899,"DIST",_xlfn.XLOOKUP(Tabla13[[#This Row],[VENDEDOR]],dimensiones!$C$21:$C$28,dimensiones!$D$21:$D$28,""))</f>
        <v>ATEL</v>
      </c>
      <c r="J837" s="125" t="str">
        <f>_xlfn.XLOOKUP(Tabla13[[#This Row],[REGION]],dimensiones!C:C,dimensiones!D:D,"")</f>
        <v>Región de Metropolitana de Santiago</v>
      </c>
    </row>
    <row r="838" spans="1:10" ht="14.25" customHeight="1" x14ac:dyDescent="0.25">
      <c r="A838">
        <v>709057006</v>
      </c>
      <c r="B838" t="s">
        <v>423</v>
      </c>
      <c r="C838" t="s">
        <v>4178</v>
      </c>
      <c r="D838">
        <v>6</v>
      </c>
      <c r="E838" t="s">
        <v>4445</v>
      </c>
      <c r="F838" t="s">
        <v>2241</v>
      </c>
      <c r="G838" t="s">
        <v>5570</v>
      </c>
      <c r="H838" t="s">
        <v>4915</v>
      </c>
      <c r="I838" s="79" t="str">
        <f>IF(Tabla13[[#This Row],[RUT]]=774097899,"DIST",_xlfn.XLOOKUP(Tabla13[[#This Row],[VENDEDOR]],dimensiones!$C$21:$C$28,dimensiones!$D$21:$D$28,""))</f>
        <v>ATEL</v>
      </c>
      <c r="J838" s="125" t="str">
        <f>_xlfn.XLOOKUP(Tabla13[[#This Row],[REGION]],dimensiones!C:C,dimensiones!D:D,"")</f>
        <v>Región de Libertador General Bernardo O'Higgins</v>
      </c>
    </row>
    <row r="839" spans="1:10" ht="14.25" customHeight="1" x14ac:dyDescent="0.25">
      <c r="A839">
        <v>709131001</v>
      </c>
      <c r="B839" t="s">
        <v>424</v>
      </c>
      <c r="C839" t="s">
        <v>4399</v>
      </c>
      <c r="D839">
        <v>13</v>
      </c>
      <c r="E839" t="s">
        <v>4445</v>
      </c>
      <c r="F839" t="s">
        <v>1260</v>
      </c>
      <c r="G839" t="s">
        <v>5574</v>
      </c>
      <c r="H839" t="s">
        <v>4957</v>
      </c>
      <c r="I839" s="79" t="str">
        <f>IF(Tabla13[[#This Row],[RUT]]=774097899,"DIST",_xlfn.XLOOKUP(Tabla13[[#This Row],[VENDEDOR]],dimensiones!$C$21:$C$28,dimensiones!$D$21:$D$28,""))</f>
        <v>ATEL</v>
      </c>
      <c r="J839" s="125" t="str">
        <f>_xlfn.XLOOKUP(Tabla13[[#This Row],[REGION]],dimensiones!C:C,dimensiones!D:D,"")</f>
        <v>Región de Metropolitana de Santiago</v>
      </c>
    </row>
    <row r="840" spans="1:10" ht="14.25" customHeight="1" x14ac:dyDescent="0.25">
      <c r="A840">
        <v>709255002</v>
      </c>
      <c r="B840" t="s">
        <v>425</v>
      </c>
      <c r="C840" t="s">
        <v>4287</v>
      </c>
      <c r="D840">
        <v>13</v>
      </c>
      <c r="E840" t="s">
        <v>4445</v>
      </c>
      <c r="F840" t="s">
        <v>1912</v>
      </c>
      <c r="G840" t="s">
        <v>5574</v>
      </c>
      <c r="H840" t="s">
        <v>4957</v>
      </c>
      <c r="I840" s="79" t="str">
        <f>IF(Tabla13[[#This Row],[RUT]]=774097899,"DIST",_xlfn.XLOOKUP(Tabla13[[#This Row],[VENDEDOR]],dimensiones!$C$21:$C$28,dimensiones!$D$21:$D$28,""))</f>
        <v>ATEL</v>
      </c>
      <c r="J840" s="125" t="str">
        <f>_xlfn.XLOOKUP(Tabla13[[#This Row],[REGION]],dimensiones!C:C,dimensiones!D:D,"")</f>
        <v>Región de Metropolitana de Santiago</v>
      </c>
    </row>
    <row r="841" spans="1:10" ht="14.25" customHeight="1" x14ac:dyDescent="0.25">
      <c r="A841" t="s">
        <v>694</v>
      </c>
      <c r="B841" t="s">
        <v>695</v>
      </c>
      <c r="C841" t="s">
        <v>4401</v>
      </c>
      <c r="D841">
        <v>13</v>
      </c>
      <c r="E841" t="s">
        <v>4445</v>
      </c>
      <c r="F841" t="s">
        <v>1383</v>
      </c>
      <c r="G841" t="s">
        <v>5574</v>
      </c>
      <c r="H841" t="s">
        <v>4957</v>
      </c>
      <c r="I841" s="79" t="str">
        <f>IF(Tabla13[[#This Row],[RUT]]=774097899,"DIST",_xlfn.XLOOKUP(Tabla13[[#This Row],[VENDEDOR]],dimensiones!$C$21:$C$28,dimensiones!$D$21:$D$28,""))</f>
        <v>ATEL</v>
      </c>
      <c r="J841" s="125" t="str">
        <f>_xlfn.XLOOKUP(Tabla13[[#This Row],[REGION]],dimensiones!C:C,dimensiones!D:D,"")</f>
        <v>Región de Metropolitana de Santiago</v>
      </c>
    </row>
    <row r="842" spans="1:10" ht="14.25" customHeight="1" x14ac:dyDescent="0.25">
      <c r="A842">
        <v>709319000</v>
      </c>
      <c r="B842" t="s">
        <v>426</v>
      </c>
      <c r="C842" t="s">
        <v>4185</v>
      </c>
      <c r="D842">
        <v>12</v>
      </c>
      <c r="E842" t="s">
        <v>4445</v>
      </c>
      <c r="F842" t="s">
        <v>2343</v>
      </c>
      <c r="G842" t="s">
        <v>5574</v>
      </c>
      <c r="H842" t="s">
        <v>4957</v>
      </c>
      <c r="I842" s="79" t="str">
        <f>IF(Tabla13[[#This Row],[RUT]]=774097899,"DIST",_xlfn.XLOOKUP(Tabla13[[#This Row],[VENDEDOR]],dimensiones!$C$21:$C$28,dimensiones!$D$21:$D$28,""))</f>
        <v>ATEL</v>
      </c>
      <c r="J842" s="125" t="str">
        <f>_xlfn.XLOOKUP(Tabla13[[#This Row],[REGION]],dimensiones!C:C,dimensiones!D:D,"")</f>
        <v>Región de Magallanes y de la Antártica Chilena</v>
      </c>
    </row>
    <row r="843" spans="1:10" ht="14.25" customHeight="1" x14ac:dyDescent="0.25">
      <c r="A843" t="s">
        <v>696</v>
      </c>
      <c r="B843" t="s">
        <v>3209</v>
      </c>
      <c r="C843" t="s">
        <v>4395</v>
      </c>
      <c r="D843">
        <v>13</v>
      </c>
      <c r="E843" t="s">
        <v>4445</v>
      </c>
      <c r="F843" t="s">
        <v>3208</v>
      </c>
      <c r="G843" t="s">
        <v>5574</v>
      </c>
      <c r="H843" t="s">
        <v>4957</v>
      </c>
      <c r="I843" s="79" t="str">
        <f>IF(Tabla13[[#This Row],[RUT]]=774097899,"DIST",_xlfn.XLOOKUP(Tabla13[[#This Row],[VENDEDOR]],dimensiones!$C$21:$C$28,dimensiones!$D$21:$D$28,""))</f>
        <v>ATEL</v>
      </c>
      <c r="J843" s="125" t="str">
        <f>_xlfn.XLOOKUP(Tabla13[[#This Row],[REGION]],dimensiones!C:C,dimensiones!D:D,"")</f>
        <v>Región de Metropolitana de Santiago</v>
      </c>
    </row>
    <row r="844" spans="1:10" ht="14.25" customHeight="1" x14ac:dyDescent="0.25">
      <c r="A844">
        <v>709337009</v>
      </c>
      <c r="B844" t="s">
        <v>1882</v>
      </c>
      <c r="C844" t="s">
        <v>4394</v>
      </c>
      <c r="D844">
        <v>13</v>
      </c>
      <c r="E844" t="s">
        <v>4445</v>
      </c>
      <c r="F844" t="s">
        <v>1881</v>
      </c>
      <c r="G844" t="s">
        <v>5574</v>
      </c>
      <c r="H844" t="s">
        <v>4957</v>
      </c>
      <c r="I844" s="79" t="str">
        <f>IF(Tabla13[[#This Row],[RUT]]=774097899,"DIST",_xlfn.XLOOKUP(Tabla13[[#This Row],[VENDEDOR]],dimensiones!$C$21:$C$28,dimensiones!$D$21:$D$28,""))</f>
        <v>ATEL</v>
      </c>
      <c r="J844" s="125" t="str">
        <f>_xlfn.XLOOKUP(Tabla13[[#This Row],[REGION]],dimensiones!C:C,dimensiones!D:D,"")</f>
        <v>Región de Metropolitana de Santiago</v>
      </c>
    </row>
    <row r="845" spans="1:10" ht="14.25" customHeight="1" x14ac:dyDescent="0.25">
      <c r="A845">
        <v>709349007</v>
      </c>
      <c r="B845" t="s">
        <v>428</v>
      </c>
      <c r="C845" t="s">
        <v>4285</v>
      </c>
      <c r="D845">
        <v>13</v>
      </c>
      <c r="E845" t="s">
        <v>4445</v>
      </c>
      <c r="F845" t="s">
        <v>4006</v>
      </c>
      <c r="G845" t="s">
        <v>5574</v>
      </c>
      <c r="H845" t="s">
        <v>4957</v>
      </c>
      <c r="I845" s="79" t="str">
        <f>IF(Tabla13[[#This Row],[RUT]]=774097899,"DIST",_xlfn.XLOOKUP(Tabla13[[#This Row],[VENDEDOR]],dimensiones!$C$21:$C$28,dimensiones!$D$21:$D$28,""))</f>
        <v>ATEL</v>
      </c>
      <c r="J845" s="125" t="str">
        <f>_xlfn.XLOOKUP(Tabla13[[#This Row],[REGION]],dimensiones!C:C,dimensiones!D:D,"")</f>
        <v>Región de Metropolitana de Santiago</v>
      </c>
    </row>
    <row r="846" spans="1:10" ht="14.25" customHeight="1" x14ac:dyDescent="0.25">
      <c r="A846">
        <v>709372009</v>
      </c>
      <c r="B846" t="s">
        <v>429</v>
      </c>
      <c r="C846" t="s">
        <v>4383</v>
      </c>
      <c r="D846">
        <v>13</v>
      </c>
      <c r="E846" t="s">
        <v>4445</v>
      </c>
      <c r="F846" t="s">
        <v>4145</v>
      </c>
      <c r="G846" t="s">
        <v>5574</v>
      </c>
      <c r="H846" t="s">
        <v>4957</v>
      </c>
      <c r="I846" s="79" t="str">
        <f>IF(Tabla13[[#This Row],[RUT]]=774097899,"DIST",_xlfn.XLOOKUP(Tabla13[[#This Row],[VENDEDOR]],dimensiones!$C$21:$C$28,dimensiones!$D$21:$D$28,""))</f>
        <v>ATEL</v>
      </c>
      <c r="J846" s="125" t="str">
        <f>_xlfn.XLOOKUP(Tabla13[[#This Row],[REGION]],dimensiones!C:C,dimensiones!D:D,"")</f>
        <v>Región de Metropolitana de Santiago</v>
      </c>
    </row>
    <row r="847" spans="1:10" ht="14.25" customHeight="1" x14ac:dyDescent="0.25">
      <c r="A847">
        <v>709388002</v>
      </c>
      <c r="B847" t="s">
        <v>430</v>
      </c>
      <c r="C847" t="s">
        <v>4186</v>
      </c>
      <c r="D847">
        <v>1</v>
      </c>
      <c r="E847" t="s">
        <v>4453</v>
      </c>
      <c r="F847" t="s">
        <v>1971</v>
      </c>
      <c r="G847" t="s">
        <v>5574</v>
      </c>
      <c r="H847" t="s">
        <v>4957</v>
      </c>
      <c r="I847" s="79" t="str">
        <f>IF(Tabla13[[#This Row],[RUT]]=774097899,"DIST",_xlfn.XLOOKUP(Tabla13[[#This Row],[VENDEDOR]],dimensiones!$C$21:$C$28,dimensiones!$D$21:$D$28,""))</f>
        <v>SANT2</v>
      </c>
      <c r="J847" s="125" t="str">
        <f>_xlfn.XLOOKUP(Tabla13[[#This Row],[REGION]],dimensiones!C:C,dimensiones!D:D,"")</f>
        <v>Región de Tarapacá</v>
      </c>
    </row>
    <row r="848" spans="1:10" ht="14.25" customHeight="1" x14ac:dyDescent="0.25">
      <c r="A848">
        <v>709419005</v>
      </c>
      <c r="B848" t="s">
        <v>5470</v>
      </c>
      <c r="C848" t="s">
        <v>4449</v>
      </c>
      <c r="D848">
        <v>13</v>
      </c>
      <c r="E848" t="s">
        <v>4445</v>
      </c>
      <c r="F848" t="s">
        <v>5471</v>
      </c>
      <c r="G848" t="s">
        <v>5575</v>
      </c>
      <c r="H848" t="s">
        <v>4957</v>
      </c>
      <c r="I848" s="79" t="str">
        <f>IF(Tabla13[[#This Row],[RUT]]=774097899,"DIST",_xlfn.XLOOKUP(Tabla13[[#This Row],[VENDEDOR]],dimensiones!$C$21:$C$28,dimensiones!$D$21:$D$28,""))</f>
        <v>ATEL</v>
      </c>
      <c r="J848" s="125" t="str">
        <f>_xlfn.XLOOKUP(Tabla13[[#This Row],[REGION]],dimensiones!C:C,dimensiones!D:D,"")</f>
        <v>Región de Metropolitana de Santiago</v>
      </c>
    </row>
    <row r="849" spans="1:10" ht="14.25" customHeight="1" x14ac:dyDescent="0.25">
      <c r="A849">
        <v>709542001</v>
      </c>
      <c r="B849" t="s">
        <v>431</v>
      </c>
      <c r="C849" t="s">
        <v>4557</v>
      </c>
      <c r="D849">
        <v>13</v>
      </c>
      <c r="E849" t="s">
        <v>4445</v>
      </c>
      <c r="F849" t="s">
        <v>2388</v>
      </c>
      <c r="G849" t="s">
        <v>5574</v>
      </c>
      <c r="H849" t="s">
        <v>4957</v>
      </c>
      <c r="I849" s="79" t="str">
        <f>IF(Tabla13[[#This Row],[RUT]]=774097899,"DIST",_xlfn.XLOOKUP(Tabla13[[#This Row],[VENDEDOR]],dimensiones!$C$21:$C$28,dimensiones!$D$21:$D$28,""))</f>
        <v>ATEL</v>
      </c>
      <c r="J849" s="125" t="str">
        <f>_xlfn.XLOOKUP(Tabla13[[#This Row],[REGION]],dimensiones!C:C,dimensiones!D:D,"")</f>
        <v>Región de Metropolitana de Santiago</v>
      </c>
    </row>
    <row r="850" spans="1:10" ht="14.25" customHeight="1" x14ac:dyDescent="0.25">
      <c r="A850">
        <v>709549006</v>
      </c>
      <c r="B850" t="s">
        <v>5003</v>
      </c>
      <c r="C850" t="s">
        <v>4237</v>
      </c>
      <c r="D850">
        <v>2</v>
      </c>
      <c r="E850" t="s">
        <v>4445</v>
      </c>
      <c r="F850" t="s">
        <v>5004</v>
      </c>
      <c r="G850" t="s">
        <v>5575</v>
      </c>
      <c r="H850" t="s">
        <v>4957</v>
      </c>
      <c r="I850" s="79" t="str">
        <f>IF(Tabla13[[#This Row],[RUT]]=774097899,"DIST",_xlfn.XLOOKUP(Tabla13[[#This Row],[VENDEDOR]],dimensiones!$C$21:$C$28,dimensiones!$D$21:$D$28,""))</f>
        <v>ATEL</v>
      </c>
      <c r="J850" s="125" t="str">
        <f>_xlfn.XLOOKUP(Tabla13[[#This Row],[REGION]],dimensiones!C:C,dimensiones!D:D,"")</f>
        <v>Región de Antofagasta</v>
      </c>
    </row>
    <row r="851" spans="1:10" ht="14.25" customHeight="1" x14ac:dyDescent="0.25">
      <c r="A851">
        <v>709625004</v>
      </c>
      <c r="B851" t="s">
        <v>105</v>
      </c>
      <c r="C851" t="s">
        <v>4416</v>
      </c>
      <c r="D851">
        <v>13</v>
      </c>
      <c r="E851" t="s">
        <v>4445</v>
      </c>
      <c r="F851" t="s">
        <v>1674</v>
      </c>
      <c r="G851" t="s">
        <v>5574</v>
      </c>
      <c r="H851" t="s">
        <v>4957</v>
      </c>
      <c r="I851" s="79" t="str">
        <f>IF(Tabla13[[#This Row],[RUT]]=774097899,"DIST",_xlfn.XLOOKUP(Tabla13[[#This Row],[VENDEDOR]],dimensiones!$C$21:$C$28,dimensiones!$D$21:$D$28,""))</f>
        <v>ATEL</v>
      </c>
      <c r="J851" s="125" t="str">
        <f>_xlfn.XLOOKUP(Tabla13[[#This Row],[REGION]],dimensiones!C:C,dimensiones!D:D,"")</f>
        <v>Región de Metropolitana de Santiago</v>
      </c>
    </row>
    <row r="852" spans="1:10" ht="14.25" customHeight="1" x14ac:dyDescent="0.25">
      <c r="A852">
        <v>709817000</v>
      </c>
      <c r="B852" t="s">
        <v>5641</v>
      </c>
      <c r="C852" t="s">
        <v>4284</v>
      </c>
      <c r="D852">
        <v>13</v>
      </c>
      <c r="E852" t="s">
        <v>4445</v>
      </c>
      <c r="F852" t="s">
        <v>5642</v>
      </c>
      <c r="G852" t="s">
        <v>5574</v>
      </c>
      <c r="H852" t="s">
        <v>4957</v>
      </c>
      <c r="I852" s="79" t="str">
        <f>IF(Tabla13[[#This Row],[RUT]]=774097899,"DIST",_xlfn.XLOOKUP(Tabla13[[#This Row],[VENDEDOR]],dimensiones!$C$21:$C$28,dimensiones!$D$21:$D$28,""))</f>
        <v>ATEL</v>
      </c>
      <c r="J852" s="125" t="str">
        <f>_xlfn.XLOOKUP(Tabla13[[#This Row],[REGION]],dimensiones!C:C,dimensiones!D:D,"")</f>
        <v>Región de Metropolitana de Santiago</v>
      </c>
    </row>
    <row r="853" spans="1:10" ht="14.25" customHeight="1" x14ac:dyDescent="0.25">
      <c r="A853">
        <v>709836005</v>
      </c>
      <c r="B853" t="s">
        <v>432</v>
      </c>
      <c r="C853" t="s">
        <v>4250</v>
      </c>
      <c r="D853">
        <v>5</v>
      </c>
      <c r="E853" t="s">
        <v>4445</v>
      </c>
      <c r="F853" t="s">
        <v>1342</v>
      </c>
      <c r="G853" t="s">
        <v>5574</v>
      </c>
      <c r="H853" t="s">
        <v>4957</v>
      </c>
      <c r="I853" s="79" t="str">
        <f>IF(Tabla13[[#This Row],[RUT]]=774097899,"DIST",_xlfn.XLOOKUP(Tabla13[[#This Row],[VENDEDOR]],dimensiones!$C$21:$C$28,dimensiones!$D$21:$D$28,""))</f>
        <v>ATEL</v>
      </c>
      <c r="J853" s="125" t="str">
        <f>_xlfn.XLOOKUP(Tabla13[[#This Row],[REGION]],dimensiones!C:C,dimensiones!D:D,"")</f>
        <v>Región de Valparaíso</v>
      </c>
    </row>
    <row r="854" spans="1:10" ht="14.25" customHeight="1" x14ac:dyDescent="0.25">
      <c r="A854" t="s">
        <v>4755</v>
      </c>
      <c r="B854" t="s">
        <v>4756</v>
      </c>
      <c r="C854" t="s">
        <v>4168</v>
      </c>
      <c r="D854">
        <v>13</v>
      </c>
      <c r="E854" t="s">
        <v>4445</v>
      </c>
      <c r="F854" t="s">
        <v>4912</v>
      </c>
      <c r="G854" t="s">
        <v>5573</v>
      </c>
      <c r="H854" t="s">
        <v>4915</v>
      </c>
      <c r="I854" s="79" t="str">
        <f>IF(Tabla13[[#This Row],[RUT]]=774097899,"DIST",_xlfn.XLOOKUP(Tabla13[[#This Row],[VENDEDOR]],dimensiones!$C$21:$C$28,dimensiones!$D$21:$D$28,""))</f>
        <v>ATEL</v>
      </c>
      <c r="J854" s="125" t="str">
        <f>_xlfn.XLOOKUP(Tabla13[[#This Row],[REGION]],dimensiones!C:C,dimensiones!D:D,"")</f>
        <v>Región de Metropolitana de Santiago</v>
      </c>
    </row>
    <row r="855" spans="1:10" ht="14.25" customHeight="1" x14ac:dyDescent="0.25">
      <c r="A855">
        <v>709932004</v>
      </c>
      <c r="B855" t="s">
        <v>433</v>
      </c>
      <c r="C855" t="s">
        <v>4444</v>
      </c>
      <c r="D855">
        <v>13</v>
      </c>
      <c r="E855" t="s">
        <v>4445</v>
      </c>
      <c r="F855" t="s">
        <v>3994</v>
      </c>
      <c r="G855" t="s">
        <v>5574</v>
      </c>
      <c r="H855" t="s">
        <v>4957</v>
      </c>
      <c r="I855" s="79" t="str">
        <f>IF(Tabla13[[#This Row],[RUT]]=774097899,"DIST",_xlfn.XLOOKUP(Tabla13[[#This Row],[VENDEDOR]],dimensiones!$C$21:$C$28,dimensiones!$D$21:$D$28,""))</f>
        <v>ATEL</v>
      </c>
      <c r="J855" s="125" t="str">
        <f>_xlfn.XLOOKUP(Tabla13[[#This Row],[REGION]],dimensiones!C:C,dimensiones!D:D,"")</f>
        <v>Región de Metropolitana de Santiago</v>
      </c>
    </row>
    <row r="856" spans="1:10" ht="14.25" customHeight="1" x14ac:dyDescent="0.25">
      <c r="A856">
        <v>710142009</v>
      </c>
      <c r="B856" t="s">
        <v>2202</v>
      </c>
      <c r="C856" t="s">
        <v>4178</v>
      </c>
      <c r="D856">
        <v>6</v>
      </c>
      <c r="E856" t="s">
        <v>4445</v>
      </c>
      <c r="F856" t="s">
        <v>2201</v>
      </c>
      <c r="G856" t="s">
        <v>5571</v>
      </c>
      <c r="H856" t="s">
        <v>4957</v>
      </c>
      <c r="I856" s="79" t="str">
        <f>IF(Tabla13[[#This Row],[RUT]]=774097899,"DIST",_xlfn.XLOOKUP(Tabla13[[#This Row],[VENDEDOR]],dimensiones!$C$21:$C$28,dimensiones!$D$21:$D$28,""))</f>
        <v>ATEL</v>
      </c>
      <c r="J856" s="125" t="str">
        <f>_xlfn.XLOOKUP(Tabla13[[#This Row],[REGION]],dimensiones!C:C,dimensiones!D:D,"")</f>
        <v>Región de Libertador General Bernardo O'Higgins</v>
      </c>
    </row>
    <row r="857" spans="1:10" ht="14.25" customHeight="1" x14ac:dyDescent="0.25">
      <c r="A857">
        <v>710163006</v>
      </c>
      <c r="B857" t="s">
        <v>435</v>
      </c>
      <c r="C857" t="s">
        <v>4384</v>
      </c>
      <c r="D857">
        <v>14</v>
      </c>
      <c r="E857" t="s">
        <v>4445</v>
      </c>
      <c r="F857" t="s">
        <v>2052</v>
      </c>
      <c r="G857" t="s">
        <v>5574</v>
      </c>
      <c r="H857" t="s">
        <v>4957</v>
      </c>
      <c r="I857" s="79" t="str">
        <f>IF(Tabla13[[#This Row],[RUT]]=774097899,"DIST",_xlfn.XLOOKUP(Tabla13[[#This Row],[VENDEDOR]],dimensiones!$C$21:$C$28,dimensiones!$D$21:$D$28,""))</f>
        <v>ATEL</v>
      </c>
      <c r="J857" s="125" t="str">
        <f>_xlfn.XLOOKUP(Tabla13[[#This Row],[REGION]],dimensiones!C:C,dimensiones!D:D,"")</f>
        <v>Región de Los Ríos</v>
      </c>
    </row>
    <row r="858" spans="1:10" ht="14.25" customHeight="1" x14ac:dyDescent="0.25">
      <c r="A858">
        <v>711026002</v>
      </c>
      <c r="B858" t="s">
        <v>436</v>
      </c>
      <c r="C858" t="s">
        <v>4182</v>
      </c>
      <c r="D858">
        <v>2</v>
      </c>
      <c r="E858" t="s">
        <v>4445</v>
      </c>
      <c r="F858" t="s">
        <v>2367</v>
      </c>
      <c r="G858" t="s">
        <v>5574</v>
      </c>
      <c r="H858" t="s">
        <v>4957</v>
      </c>
      <c r="I858" s="79" t="str">
        <f>IF(Tabla13[[#This Row],[RUT]]=774097899,"DIST",_xlfn.XLOOKUP(Tabla13[[#This Row],[VENDEDOR]],dimensiones!$C$21:$C$28,dimensiones!$D$21:$D$28,""))</f>
        <v>ATEL</v>
      </c>
      <c r="J858" s="125" t="str">
        <f>_xlfn.XLOOKUP(Tabla13[[#This Row],[REGION]],dimensiones!C:C,dimensiones!D:D,"")</f>
        <v>Región de Antofagasta</v>
      </c>
    </row>
    <row r="859" spans="1:10" ht="14.25" customHeight="1" x14ac:dyDescent="0.25">
      <c r="A859">
        <v>711272003</v>
      </c>
      <c r="B859" t="s">
        <v>437</v>
      </c>
      <c r="C859" t="s">
        <v>4509</v>
      </c>
      <c r="D859">
        <v>10</v>
      </c>
      <c r="E859" t="s">
        <v>4445</v>
      </c>
      <c r="F859" t="s">
        <v>4120</v>
      </c>
      <c r="G859" t="s">
        <v>5571</v>
      </c>
      <c r="H859" t="s">
        <v>4957</v>
      </c>
      <c r="I859" s="79" t="str">
        <f>IF(Tabla13[[#This Row],[RUT]]=774097899,"DIST",_xlfn.XLOOKUP(Tabla13[[#This Row],[VENDEDOR]],dimensiones!$C$21:$C$28,dimensiones!$D$21:$D$28,""))</f>
        <v>ATEL</v>
      </c>
      <c r="J859" s="125" t="str">
        <f>_xlfn.XLOOKUP(Tabla13[[#This Row],[REGION]],dimensiones!C:C,dimensiones!D:D,"")</f>
        <v>Región de Los Lagos</v>
      </c>
    </row>
    <row r="860" spans="1:10" ht="14.25" customHeight="1" x14ac:dyDescent="0.25">
      <c r="A860">
        <v>711460004</v>
      </c>
      <c r="B860" t="s">
        <v>438</v>
      </c>
      <c r="C860" t="s">
        <v>4385</v>
      </c>
      <c r="D860">
        <v>10</v>
      </c>
      <c r="E860" t="s">
        <v>4445</v>
      </c>
      <c r="F860" t="s">
        <v>2019</v>
      </c>
      <c r="G860" t="s">
        <v>5574</v>
      </c>
      <c r="H860" t="s">
        <v>4957</v>
      </c>
      <c r="I860" s="79" t="str">
        <f>IF(Tabla13[[#This Row],[RUT]]=774097899,"DIST",_xlfn.XLOOKUP(Tabla13[[#This Row],[VENDEDOR]],dimensiones!$C$21:$C$28,dimensiones!$D$21:$D$28,""))</f>
        <v>ATEL</v>
      </c>
      <c r="J860" s="125" t="str">
        <f>_xlfn.XLOOKUP(Tabla13[[#This Row],[REGION]],dimensiones!C:C,dimensiones!D:D,"")</f>
        <v>Región de Los Lagos</v>
      </c>
    </row>
    <row r="861" spans="1:10" ht="14.25" customHeight="1" x14ac:dyDescent="0.25">
      <c r="A861">
        <v>711497005</v>
      </c>
      <c r="B861" t="s">
        <v>439</v>
      </c>
      <c r="C861" t="s">
        <v>4230</v>
      </c>
      <c r="D861">
        <v>10</v>
      </c>
      <c r="E861" t="s">
        <v>4445</v>
      </c>
      <c r="F861" t="s">
        <v>1850</v>
      </c>
      <c r="G861" t="s">
        <v>5574</v>
      </c>
      <c r="H861" t="s">
        <v>4957</v>
      </c>
      <c r="I861" s="79" t="str">
        <f>IF(Tabla13[[#This Row],[RUT]]=774097899,"DIST",_xlfn.XLOOKUP(Tabla13[[#This Row],[VENDEDOR]],dimensiones!$C$21:$C$28,dimensiones!$D$21:$D$28,""))</f>
        <v>ATEL</v>
      </c>
      <c r="J861" s="125" t="str">
        <f>_xlfn.XLOOKUP(Tabla13[[#This Row],[REGION]],dimensiones!C:C,dimensiones!D:D,"")</f>
        <v>Región de Los Lagos</v>
      </c>
    </row>
    <row r="862" spans="1:10" ht="14.25" customHeight="1" x14ac:dyDescent="0.25">
      <c r="A862">
        <v>711609008</v>
      </c>
      <c r="B862" t="s">
        <v>440</v>
      </c>
      <c r="C862" t="s">
        <v>4558</v>
      </c>
      <c r="D862">
        <v>10</v>
      </c>
      <c r="E862" t="s">
        <v>4445</v>
      </c>
      <c r="F862" t="s">
        <v>1776</v>
      </c>
      <c r="G862" t="s">
        <v>5574</v>
      </c>
      <c r="H862" t="s">
        <v>4957</v>
      </c>
      <c r="I862" s="79" t="str">
        <f>IF(Tabla13[[#This Row],[RUT]]=774097899,"DIST",_xlfn.XLOOKUP(Tabla13[[#This Row],[VENDEDOR]],dimensiones!$C$21:$C$28,dimensiones!$D$21:$D$28,""))</f>
        <v>ATEL</v>
      </c>
      <c r="J862" s="125" t="str">
        <f>_xlfn.XLOOKUP(Tabla13[[#This Row],[REGION]],dimensiones!C:C,dimensiones!D:D,"")</f>
        <v>Región de Los Lagos</v>
      </c>
    </row>
    <row r="863" spans="1:10" ht="14.25" customHeight="1" x14ac:dyDescent="0.25">
      <c r="A863">
        <v>711643001</v>
      </c>
      <c r="B863" t="s">
        <v>441</v>
      </c>
      <c r="C863" t="s">
        <v>4231</v>
      </c>
      <c r="D863">
        <v>10</v>
      </c>
      <c r="E863" t="s">
        <v>4445</v>
      </c>
      <c r="F863" t="s">
        <v>2378</v>
      </c>
      <c r="G863" t="s">
        <v>5574</v>
      </c>
      <c r="H863" t="s">
        <v>4957</v>
      </c>
      <c r="I863" s="79" t="str">
        <f>IF(Tabla13[[#This Row],[RUT]]=774097899,"DIST",_xlfn.XLOOKUP(Tabla13[[#This Row],[VENDEDOR]],dimensiones!$C$21:$C$28,dimensiones!$D$21:$D$28,""))</f>
        <v>ATEL</v>
      </c>
      <c r="J863" s="125" t="str">
        <f>_xlfn.XLOOKUP(Tabla13[[#This Row],[REGION]],dimensiones!C:C,dimensiones!D:D,"")</f>
        <v>Región de Los Lagos</v>
      </c>
    </row>
    <row r="864" spans="1:10" ht="14.25" customHeight="1" x14ac:dyDescent="0.25">
      <c r="A864">
        <v>711658009</v>
      </c>
      <c r="B864" t="s">
        <v>442</v>
      </c>
      <c r="C864" t="s">
        <v>4503</v>
      </c>
      <c r="D864">
        <v>12</v>
      </c>
      <c r="E864" t="s">
        <v>4445</v>
      </c>
      <c r="F864" t="s">
        <v>1744</v>
      </c>
      <c r="G864" t="s">
        <v>5574</v>
      </c>
      <c r="H864" t="s">
        <v>4957</v>
      </c>
      <c r="I864" s="79" t="str">
        <f>IF(Tabla13[[#This Row],[RUT]]=774097899,"DIST",_xlfn.XLOOKUP(Tabla13[[#This Row],[VENDEDOR]],dimensiones!$C$21:$C$28,dimensiones!$D$21:$D$28,""))</f>
        <v>ATEL</v>
      </c>
      <c r="J864" s="125" t="str">
        <f>_xlfn.XLOOKUP(Tabla13[[#This Row],[REGION]],dimensiones!C:C,dimensiones!D:D,"")</f>
        <v>Región de Magallanes y de la Antártica Chilena</v>
      </c>
    </row>
    <row r="865" spans="1:10" ht="14.25" customHeight="1" x14ac:dyDescent="0.25">
      <c r="A865">
        <v>711731008</v>
      </c>
      <c r="B865" t="s">
        <v>443</v>
      </c>
      <c r="C865" t="s">
        <v>4484</v>
      </c>
      <c r="D865">
        <v>10</v>
      </c>
      <c r="E865" t="s">
        <v>4445</v>
      </c>
      <c r="F865" t="s">
        <v>3600</v>
      </c>
      <c r="G865" t="s">
        <v>5574</v>
      </c>
      <c r="H865" t="s">
        <v>4957</v>
      </c>
      <c r="I865" s="79" t="str">
        <f>IF(Tabla13[[#This Row],[RUT]]=774097899,"DIST",_xlfn.XLOOKUP(Tabla13[[#This Row],[VENDEDOR]],dimensiones!$C$21:$C$28,dimensiones!$D$21:$D$28,""))</f>
        <v>ATEL</v>
      </c>
      <c r="J865" s="125" t="str">
        <f>_xlfn.XLOOKUP(Tabla13[[#This Row],[REGION]],dimensiones!C:C,dimensiones!D:D,"")</f>
        <v>Región de Los Lagos</v>
      </c>
    </row>
    <row r="866" spans="1:10" ht="14.25" customHeight="1" x14ac:dyDescent="0.25">
      <c r="A866">
        <v>712341009</v>
      </c>
      <c r="B866" t="s">
        <v>806</v>
      </c>
      <c r="C866" t="s">
        <v>4470</v>
      </c>
      <c r="D866">
        <v>13</v>
      </c>
      <c r="E866" t="s">
        <v>4445</v>
      </c>
      <c r="F866" t="s">
        <v>3223</v>
      </c>
      <c r="G866" t="s">
        <v>5574</v>
      </c>
      <c r="H866" t="s">
        <v>4957</v>
      </c>
      <c r="I866" s="79" t="str">
        <f>IF(Tabla13[[#This Row],[RUT]]=774097899,"DIST",_xlfn.XLOOKUP(Tabla13[[#This Row],[VENDEDOR]],dimensiones!$C$21:$C$28,dimensiones!$D$21:$D$28,""))</f>
        <v>ATEL</v>
      </c>
      <c r="J866" s="125" t="str">
        <f>_xlfn.XLOOKUP(Tabla13[[#This Row],[REGION]],dimensiones!C:C,dimensiones!D:D,"")</f>
        <v>Región de Metropolitana de Santiago</v>
      </c>
    </row>
    <row r="867" spans="1:10" ht="14.25" customHeight="1" x14ac:dyDescent="0.25">
      <c r="A867">
        <v>712652004</v>
      </c>
      <c r="B867" t="s">
        <v>999</v>
      </c>
      <c r="C867" t="s">
        <v>4559</v>
      </c>
      <c r="D867">
        <v>13</v>
      </c>
      <c r="E867" t="s">
        <v>4445</v>
      </c>
      <c r="F867" t="s">
        <v>2386</v>
      </c>
      <c r="G867" t="s">
        <v>5574</v>
      </c>
      <c r="H867" t="s">
        <v>4957</v>
      </c>
      <c r="I867" s="79" t="str">
        <f>IF(Tabla13[[#This Row],[RUT]]=774097899,"DIST",_xlfn.XLOOKUP(Tabla13[[#This Row],[VENDEDOR]],dimensiones!$C$21:$C$28,dimensiones!$D$21:$D$28,""))</f>
        <v>ATEL</v>
      </c>
      <c r="J867" s="125" t="str">
        <f>_xlfn.XLOOKUP(Tabla13[[#This Row],[REGION]],dimensiones!C:C,dimensiones!D:D,"")</f>
        <v>Región de Metropolitana de Santiago</v>
      </c>
    </row>
    <row r="868" spans="1:10" ht="14.25" customHeight="1" x14ac:dyDescent="0.25">
      <c r="A868">
        <v>712815000</v>
      </c>
      <c r="B868" t="s">
        <v>444</v>
      </c>
      <c r="C868" t="s">
        <v>4560</v>
      </c>
      <c r="D868">
        <v>10</v>
      </c>
      <c r="E868" t="s">
        <v>4445</v>
      </c>
      <c r="F868" t="s">
        <v>2124</v>
      </c>
      <c r="G868" t="s">
        <v>5574</v>
      </c>
      <c r="H868" t="s">
        <v>4957</v>
      </c>
      <c r="I868" s="79" t="str">
        <f>IF(Tabla13[[#This Row],[RUT]]=774097899,"DIST",_xlfn.XLOOKUP(Tabla13[[#This Row],[VENDEDOR]],dimensiones!$C$21:$C$28,dimensiones!$D$21:$D$28,""))</f>
        <v>ATEL</v>
      </c>
      <c r="J868" s="125" t="str">
        <f>_xlfn.XLOOKUP(Tabla13[[#This Row],[REGION]],dimensiones!C:C,dimensiones!D:D,"")</f>
        <v>Región de Los Lagos</v>
      </c>
    </row>
    <row r="869" spans="1:10" ht="14.25" customHeight="1" x14ac:dyDescent="0.25">
      <c r="A869">
        <v>712939001</v>
      </c>
      <c r="B869" t="s">
        <v>445</v>
      </c>
      <c r="C869" t="s">
        <v>4197</v>
      </c>
      <c r="D869">
        <v>13</v>
      </c>
      <c r="E869" t="s">
        <v>4445</v>
      </c>
      <c r="F869" t="s">
        <v>2994</v>
      </c>
      <c r="G869" t="s">
        <v>5574</v>
      </c>
      <c r="H869" t="s">
        <v>4957</v>
      </c>
      <c r="I869" s="79" t="str">
        <f>IF(Tabla13[[#This Row],[RUT]]=774097899,"DIST",_xlfn.XLOOKUP(Tabla13[[#This Row],[VENDEDOR]],dimensiones!$C$21:$C$28,dimensiones!$D$21:$D$28,""))</f>
        <v>ATEL</v>
      </c>
      <c r="J869" s="125" t="str">
        <f>_xlfn.XLOOKUP(Tabla13[[#This Row],[REGION]],dimensiones!C:C,dimensiones!D:D,"")</f>
        <v>Región de Metropolitana de Santiago</v>
      </c>
    </row>
    <row r="870" spans="1:10" ht="14.25" customHeight="1" x14ac:dyDescent="0.25">
      <c r="A870">
        <v>712990007</v>
      </c>
      <c r="B870" t="s">
        <v>446</v>
      </c>
      <c r="C870" t="s">
        <v>4386</v>
      </c>
      <c r="D870">
        <v>10</v>
      </c>
      <c r="E870" t="s">
        <v>4445</v>
      </c>
      <c r="F870" t="s">
        <v>2392</v>
      </c>
      <c r="G870" t="s">
        <v>5574</v>
      </c>
      <c r="H870" t="s">
        <v>4957</v>
      </c>
      <c r="I870" s="79" t="str">
        <f>IF(Tabla13[[#This Row],[RUT]]=774097899,"DIST",_xlfn.XLOOKUP(Tabla13[[#This Row],[VENDEDOR]],dimensiones!$C$21:$C$28,dimensiones!$D$21:$D$28,""))</f>
        <v>ATEL</v>
      </c>
      <c r="J870" s="125" t="str">
        <f>_xlfn.XLOOKUP(Tabla13[[#This Row],[REGION]],dimensiones!C:C,dimensiones!D:D,"")</f>
        <v>Región de Los Lagos</v>
      </c>
    </row>
    <row r="871" spans="1:10" ht="14.25" customHeight="1" x14ac:dyDescent="0.25">
      <c r="A871">
        <v>713286001</v>
      </c>
      <c r="B871" t="s">
        <v>447</v>
      </c>
      <c r="C871" t="s">
        <v>4203</v>
      </c>
      <c r="D871">
        <v>6</v>
      </c>
      <c r="E871" t="s">
        <v>4445</v>
      </c>
      <c r="F871" t="s">
        <v>1258</v>
      </c>
      <c r="G871" t="s">
        <v>5574</v>
      </c>
      <c r="H871" t="s">
        <v>4957</v>
      </c>
      <c r="I871" s="79" t="str">
        <f>IF(Tabla13[[#This Row],[RUT]]=774097899,"DIST",_xlfn.XLOOKUP(Tabla13[[#This Row],[VENDEDOR]],dimensiones!$C$21:$C$28,dimensiones!$D$21:$D$28,""))</f>
        <v>ATEL</v>
      </c>
      <c r="J871" s="125" t="str">
        <f>_xlfn.XLOOKUP(Tabla13[[#This Row],[REGION]],dimensiones!C:C,dimensiones!D:D,"")</f>
        <v>Región de Libertador General Bernardo O'Higgins</v>
      </c>
    </row>
    <row r="872" spans="1:10" ht="14.25" customHeight="1" x14ac:dyDescent="0.25">
      <c r="A872">
        <v>713699004</v>
      </c>
      <c r="B872" t="s">
        <v>448</v>
      </c>
      <c r="C872" t="s">
        <v>4448</v>
      </c>
      <c r="D872">
        <v>13</v>
      </c>
      <c r="E872" t="s">
        <v>4445</v>
      </c>
      <c r="F872" t="s">
        <v>1412</v>
      </c>
      <c r="G872" t="s">
        <v>5574</v>
      </c>
      <c r="H872" t="s">
        <v>4957</v>
      </c>
      <c r="I872" s="79" t="str">
        <f>IF(Tabla13[[#This Row],[RUT]]=774097899,"DIST",_xlfn.XLOOKUP(Tabla13[[#This Row],[VENDEDOR]],dimensiones!$C$21:$C$28,dimensiones!$D$21:$D$28,""))</f>
        <v>ATEL</v>
      </c>
      <c r="J872" s="125" t="str">
        <f>_xlfn.XLOOKUP(Tabla13[[#This Row],[REGION]],dimensiones!C:C,dimensiones!D:D,"")</f>
        <v>Región de Metropolitana de Santiago</v>
      </c>
    </row>
    <row r="873" spans="1:10" ht="14.25" customHeight="1" x14ac:dyDescent="0.25">
      <c r="A873">
        <v>713780006</v>
      </c>
      <c r="B873" t="s">
        <v>106</v>
      </c>
      <c r="C873" t="s">
        <v>4463</v>
      </c>
      <c r="D873">
        <v>13</v>
      </c>
      <c r="E873" t="s">
        <v>4445</v>
      </c>
      <c r="F873" t="s">
        <v>2400</v>
      </c>
      <c r="G873" t="s">
        <v>5574</v>
      </c>
      <c r="H873" t="s">
        <v>4957</v>
      </c>
      <c r="I873" s="79" t="str">
        <f>IF(Tabla13[[#This Row],[RUT]]=774097899,"DIST",_xlfn.XLOOKUP(Tabla13[[#This Row],[VENDEDOR]],dimensiones!$C$21:$C$28,dimensiones!$D$21:$D$28,""))</f>
        <v>ATEL</v>
      </c>
      <c r="J873" s="125" t="str">
        <f>_xlfn.XLOOKUP(Tabla13[[#This Row],[REGION]],dimensiones!C:C,dimensiones!D:D,"")</f>
        <v>Región de Metropolitana de Santiago</v>
      </c>
    </row>
    <row r="874" spans="1:10" ht="14.25" customHeight="1" x14ac:dyDescent="0.25">
      <c r="A874">
        <v>714207008</v>
      </c>
      <c r="B874" t="s">
        <v>449</v>
      </c>
      <c r="C874" t="s">
        <v>4293</v>
      </c>
      <c r="D874">
        <v>10</v>
      </c>
      <c r="E874" t="s">
        <v>4445</v>
      </c>
      <c r="F874" t="s">
        <v>1278</v>
      </c>
      <c r="G874" t="s">
        <v>5574</v>
      </c>
      <c r="H874" t="s">
        <v>4957</v>
      </c>
      <c r="I874" s="79" t="str">
        <f>IF(Tabla13[[#This Row],[RUT]]=774097899,"DIST",_xlfn.XLOOKUP(Tabla13[[#This Row],[VENDEDOR]],dimensiones!$C$21:$C$28,dimensiones!$D$21:$D$28,""))</f>
        <v>ATEL</v>
      </c>
      <c r="J874" s="125" t="str">
        <f>_xlfn.XLOOKUP(Tabla13[[#This Row],[REGION]],dimensiones!C:C,dimensiones!D:D,"")</f>
        <v>Región de Los Lagos</v>
      </c>
    </row>
    <row r="875" spans="1:10" ht="14.25" customHeight="1" x14ac:dyDescent="0.25">
      <c r="A875">
        <v>714555006</v>
      </c>
      <c r="B875" t="s">
        <v>450</v>
      </c>
      <c r="C875" t="s">
        <v>4561</v>
      </c>
      <c r="D875">
        <v>13</v>
      </c>
      <c r="E875" t="s">
        <v>4445</v>
      </c>
      <c r="F875" t="s">
        <v>1427</v>
      </c>
      <c r="G875" t="s">
        <v>5574</v>
      </c>
      <c r="H875" t="s">
        <v>4957</v>
      </c>
      <c r="I875" s="79" t="str">
        <f>IF(Tabla13[[#This Row],[RUT]]=774097899,"DIST",_xlfn.XLOOKUP(Tabla13[[#This Row],[VENDEDOR]],dimensiones!$C$21:$C$28,dimensiones!$D$21:$D$28,""))</f>
        <v>ATEL</v>
      </c>
      <c r="J875" s="125" t="str">
        <f>_xlfn.XLOOKUP(Tabla13[[#This Row],[REGION]],dimensiones!C:C,dimensiones!D:D,"")</f>
        <v>Región de Metropolitana de Santiago</v>
      </c>
    </row>
    <row r="876" spans="1:10" ht="14.25" customHeight="1" x14ac:dyDescent="0.25">
      <c r="A876">
        <v>714974009</v>
      </c>
      <c r="B876" t="s">
        <v>451</v>
      </c>
      <c r="C876" t="s">
        <v>4387</v>
      </c>
      <c r="D876">
        <v>1</v>
      </c>
      <c r="E876" t="s">
        <v>4445</v>
      </c>
      <c r="F876" t="s">
        <v>2407</v>
      </c>
      <c r="G876" t="s">
        <v>5574</v>
      </c>
      <c r="H876" t="s">
        <v>4957</v>
      </c>
      <c r="I876" s="79" t="str">
        <f>IF(Tabla13[[#This Row],[RUT]]=774097899,"DIST",_xlfn.XLOOKUP(Tabla13[[#This Row],[VENDEDOR]],dimensiones!$C$21:$C$28,dimensiones!$D$21:$D$28,""))</f>
        <v>ATEL</v>
      </c>
      <c r="J876" s="125" t="str">
        <f>_xlfn.XLOOKUP(Tabla13[[#This Row],[REGION]],dimensiones!C:C,dimensiones!D:D,"")</f>
        <v>Región de Tarapacá</v>
      </c>
    </row>
    <row r="877" spans="1:10" ht="14.25" customHeight="1" x14ac:dyDescent="0.25">
      <c r="A877" t="s">
        <v>697</v>
      </c>
      <c r="B877" t="s">
        <v>698</v>
      </c>
      <c r="C877" t="s">
        <v>4391</v>
      </c>
      <c r="D877">
        <v>13</v>
      </c>
      <c r="E877" t="s">
        <v>4445</v>
      </c>
      <c r="F877" t="s">
        <v>2409</v>
      </c>
      <c r="G877" t="s">
        <v>5573</v>
      </c>
      <c r="H877" t="s">
        <v>4915</v>
      </c>
      <c r="I877" s="79" t="str">
        <f>IF(Tabla13[[#This Row],[RUT]]=774097899,"DIST",_xlfn.XLOOKUP(Tabla13[[#This Row],[VENDEDOR]],dimensiones!$C$21:$C$28,dimensiones!$D$21:$D$28,""))</f>
        <v>ATEL</v>
      </c>
      <c r="J877" s="125" t="str">
        <f>_xlfn.XLOOKUP(Tabla13[[#This Row],[REGION]],dimensiones!C:C,dimensiones!D:D,"")</f>
        <v>Región de Metropolitana de Santiago</v>
      </c>
    </row>
    <row r="878" spans="1:10" ht="14.25" customHeight="1" x14ac:dyDescent="0.25">
      <c r="A878">
        <v>715401002</v>
      </c>
      <c r="B878" t="s">
        <v>927</v>
      </c>
      <c r="C878" t="s">
        <v>4168</v>
      </c>
      <c r="D878">
        <v>13</v>
      </c>
      <c r="E878" t="s">
        <v>4445</v>
      </c>
      <c r="F878" t="s">
        <v>2411</v>
      </c>
      <c r="G878" t="s">
        <v>5573</v>
      </c>
      <c r="H878" t="s">
        <v>4915</v>
      </c>
      <c r="I878" s="79" t="str">
        <f>IF(Tabla13[[#This Row],[RUT]]=774097899,"DIST",_xlfn.XLOOKUP(Tabla13[[#This Row],[VENDEDOR]],dimensiones!$C$21:$C$28,dimensiones!$D$21:$D$28,""))</f>
        <v>ATEL</v>
      </c>
      <c r="J878" s="125" t="str">
        <f>_xlfn.XLOOKUP(Tabla13[[#This Row],[REGION]],dimensiones!C:C,dimensiones!D:D,"")</f>
        <v>Región de Metropolitana de Santiago</v>
      </c>
    </row>
    <row r="879" spans="1:10" ht="14.25" customHeight="1" x14ac:dyDescent="0.25">
      <c r="A879">
        <v>716140008</v>
      </c>
      <c r="B879" t="s">
        <v>107</v>
      </c>
      <c r="C879" t="s">
        <v>4465</v>
      </c>
      <c r="D879">
        <v>13</v>
      </c>
      <c r="E879" t="s">
        <v>4457</v>
      </c>
      <c r="F879" t="s">
        <v>2160</v>
      </c>
      <c r="G879" t="s">
        <v>5570</v>
      </c>
      <c r="H879" t="s">
        <v>4915</v>
      </c>
      <c r="I879" s="79" t="str">
        <f>IF(Tabla13[[#This Row],[RUT]]=774097899,"DIST",_xlfn.XLOOKUP(Tabla13[[#This Row],[VENDEDOR]],dimensiones!$C$21:$C$28,dimensiones!$D$21:$D$28,""))</f>
        <v>SANT1</v>
      </c>
      <c r="J879" s="125" t="str">
        <f>_xlfn.XLOOKUP(Tabla13[[#This Row],[REGION]],dimensiones!C:C,dimensiones!D:D,"")</f>
        <v>Región de Metropolitana de Santiago</v>
      </c>
    </row>
    <row r="880" spans="1:10" ht="14.25" customHeight="1" x14ac:dyDescent="0.25">
      <c r="A880">
        <v>716186008</v>
      </c>
      <c r="B880" t="s">
        <v>983</v>
      </c>
      <c r="C880" t="s">
        <v>4391</v>
      </c>
      <c r="D880">
        <v>13</v>
      </c>
      <c r="E880" t="s">
        <v>4445</v>
      </c>
      <c r="F880" t="s">
        <v>2415</v>
      </c>
      <c r="G880" t="s">
        <v>5573</v>
      </c>
      <c r="H880" t="s">
        <v>4915</v>
      </c>
      <c r="I880" s="79" t="str">
        <f>IF(Tabla13[[#This Row],[RUT]]=774097899,"DIST",_xlfn.XLOOKUP(Tabla13[[#This Row],[VENDEDOR]],dimensiones!$C$21:$C$28,dimensiones!$D$21:$D$28,""))</f>
        <v>ATEL</v>
      </c>
      <c r="J880" s="125" t="str">
        <f>_xlfn.XLOOKUP(Tabla13[[#This Row],[REGION]],dimensiones!C:C,dimensiones!D:D,"")</f>
        <v>Región de Metropolitana de Santiago</v>
      </c>
    </row>
    <row r="881" spans="1:10" ht="14.25" customHeight="1" x14ac:dyDescent="0.25">
      <c r="A881">
        <v>716294005</v>
      </c>
      <c r="B881" t="s">
        <v>5707</v>
      </c>
      <c r="C881" t="s">
        <v>4175</v>
      </c>
      <c r="D881">
        <v>5</v>
      </c>
      <c r="E881" t="s">
        <v>4445</v>
      </c>
      <c r="F881" t="s">
        <v>5708</v>
      </c>
      <c r="G881" t="s">
        <v>5573</v>
      </c>
      <c r="H881" t="s">
        <v>4915</v>
      </c>
      <c r="I881" s="79" t="str">
        <f>IF(Tabla13[[#This Row],[RUT]]=774097899,"DIST",_xlfn.XLOOKUP(Tabla13[[#This Row],[VENDEDOR]],dimensiones!$C$21:$C$28,dimensiones!$D$21:$D$28,""))</f>
        <v>ATEL</v>
      </c>
      <c r="J881" s="125" t="str">
        <f>_xlfn.XLOOKUP(Tabla13[[#This Row],[REGION]],dimensiones!C:C,dimensiones!D:D,"")</f>
        <v>Región de Valparaíso</v>
      </c>
    </row>
    <row r="882" spans="1:10" ht="14.25" customHeight="1" x14ac:dyDescent="0.25">
      <c r="A882">
        <v>716333000</v>
      </c>
      <c r="B882" t="s">
        <v>452</v>
      </c>
      <c r="C882" t="s">
        <v>4218</v>
      </c>
      <c r="D882">
        <v>9</v>
      </c>
      <c r="E882" t="s">
        <v>4445</v>
      </c>
      <c r="F882" t="s">
        <v>2417</v>
      </c>
      <c r="G882" t="s">
        <v>5573</v>
      </c>
      <c r="H882" t="s">
        <v>4915</v>
      </c>
      <c r="I882" s="79" t="str">
        <f>IF(Tabla13[[#This Row],[RUT]]=774097899,"DIST",_xlfn.XLOOKUP(Tabla13[[#This Row],[VENDEDOR]],dimensiones!$C$21:$C$28,dimensiones!$D$21:$D$28,""))</f>
        <v>ATEL</v>
      </c>
      <c r="J882" s="125" t="str">
        <f>_xlfn.XLOOKUP(Tabla13[[#This Row],[REGION]],dimensiones!C:C,dimensiones!D:D,"")</f>
        <v>Región de La Araucanía</v>
      </c>
    </row>
    <row r="883" spans="1:10" ht="14.25" customHeight="1" x14ac:dyDescent="0.25">
      <c r="A883">
        <v>716443000</v>
      </c>
      <c r="B883" t="s">
        <v>2420</v>
      </c>
      <c r="C883" t="s">
        <v>4551</v>
      </c>
      <c r="D883">
        <v>13</v>
      </c>
      <c r="E883" t="s">
        <v>4445</v>
      </c>
      <c r="F883" t="s">
        <v>2419</v>
      </c>
      <c r="G883" t="s">
        <v>5573</v>
      </c>
      <c r="H883" t="s">
        <v>4915</v>
      </c>
      <c r="I883" s="79" t="str">
        <f>IF(Tabla13[[#This Row],[RUT]]=774097899,"DIST",_xlfn.XLOOKUP(Tabla13[[#This Row],[VENDEDOR]],dimensiones!$C$21:$C$28,dimensiones!$D$21:$D$28,""))</f>
        <v>ATEL</v>
      </c>
      <c r="J883" s="125" t="str">
        <f>_xlfn.XLOOKUP(Tabla13[[#This Row],[REGION]],dimensiones!C:C,dimensiones!D:D,"")</f>
        <v>Región de Metropolitana de Santiago</v>
      </c>
    </row>
    <row r="884" spans="1:10" ht="14.25" customHeight="1" x14ac:dyDescent="0.25">
      <c r="A884">
        <v>719158005</v>
      </c>
      <c r="B884" t="s">
        <v>2425</v>
      </c>
      <c r="C884" t="s">
        <v>4460</v>
      </c>
      <c r="D884">
        <v>8</v>
      </c>
      <c r="E884" t="s">
        <v>4445</v>
      </c>
      <c r="F884" t="s">
        <v>2424</v>
      </c>
      <c r="G884" t="s">
        <v>5573</v>
      </c>
      <c r="H884" t="s">
        <v>4915</v>
      </c>
      <c r="I884" s="79" t="str">
        <f>IF(Tabla13[[#This Row],[RUT]]=774097899,"DIST",_xlfn.XLOOKUP(Tabla13[[#This Row],[VENDEDOR]],dimensiones!$C$21:$C$28,dimensiones!$D$21:$D$28,""))</f>
        <v>ATEL</v>
      </c>
      <c r="J884" s="125" t="str">
        <f>_xlfn.XLOOKUP(Tabla13[[#This Row],[REGION]],dimensiones!C:C,dimensiones!D:D,"")</f>
        <v>Región de Biobío</v>
      </c>
    </row>
    <row r="885" spans="1:10" ht="14.25" customHeight="1" x14ac:dyDescent="0.25">
      <c r="A885" s="135" t="s">
        <v>699</v>
      </c>
      <c r="B885" t="s">
        <v>700</v>
      </c>
      <c r="C885" t="s">
        <v>4257</v>
      </c>
      <c r="D885">
        <v>7</v>
      </c>
      <c r="E885" t="s">
        <v>4445</v>
      </c>
      <c r="F885" t="s">
        <v>2427</v>
      </c>
      <c r="G885" t="s">
        <v>5573</v>
      </c>
      <c r="H885" t="s">
        <v>4915</v>
      </c>
      <c r="I885" s="79" t="str">
        <f>IF(Tabla13[[#This Row],[RUT]]=774097899,"DIST",_xlfn.XLOOKUP(Tabla13[[#This Row],[VENDEDOR]],dimensiones!$C$21:$C$28,dimensiones!$D$21:$D$28,""))</f>
        <v>ATEL</v>
      </c>
      <c r="J885" s="125" t="str">
        <f>_xlfn.XLOOKUP(Tabla13[[#This Row],[REGION]],dimensiones!C:C,dimensiones!D:D,"")</f>
        <v>Región de Maule</v>
      </c>
    </row>
    <row r="886" spans="1:10" ht="14.25" customHeight="1" x14ac:dyDescent="0.25">
      <c r="A886" s="135">
        <v>723684005</v>
      </c>
      <c r="B886" t="s">
        <v>928</v>
      </c>
      <c r="C886" t="s">
        <v>4460</v>
      </c>
      <c r="D886">
        <v>8</v>
      </c>
      <c r="E886" t="s">
        <v>4445</v>
      </c>
      <c r="F886" t="s">
        <v>2429</v>
      </c>
      <c r="G886" t="s">
        <v>5574</v>
      </c>
      <c r="H886" t="s">
        <v>4957</v>
      </c>
      <c r="I886" s="79" t="str">
        <f>IF(Tabla13[[#This Row],[RUT]]=774097899,"DIST",_xlfn.XLOOKUP(Tabla13[[#This Row],[VENDEDOR]],dimensiones!$C$21:$C$28,dimensiones!$D$21:$D$28,""))</f>
        <v>ATEL</v>
      </c>
      <c r="J886" s="125" t="str">
        <f>_xlfn.XLOOKUP(Tabla13[[#This Row],[REGION]],dimensiones!C:C,dimensiones!D:D,"")</f>
        <v>Región de Biobío</v>
      </c>
    </row>
    <row r="887" spans="1:10" ht="14.25" customHeight="1" x14ac:dyDescent="0.25">
      <c r="A887" s="135">
        <v>725295006</v>
      </c>
      <c r="B887" t="s">
        <v>453</v>
      </c>
      <c r="C887" t="s">
        <v>4388</v>
      </c>
      <c r="D887">
        <v>16</v>
      </c>
      <c r="E887" t="s">
        <v>4445</v>
      </c>
      <c r="F887" t="s">
        <v>1570</v>
      </c>
      <c r="G887" t="s">
        <v>5574</v>
      </c>
      <c r="H887" t="s">
        <v>4957</v>
      </c>
      <c r="I887" s="79" t="str">
        <f>IF(Tabla13[[#This Row],[RUT]]=774097899,"DIST",_xlfn.XLOOKUP(Tabla13[[#This Row],[VENDEDOR]],dimensiones!$C$21:$C$28,dimensiones!$D$21:$D$28,""))</f>
        <v>ATEL</v>
      </c>
      <c r="J887" s="125" t="str">
        <f>_xlfn.XLOOKUP(Tabla13[[#This Row],[REGION]],dimensiones!C:C,dimensiones!D:D,"")</f>
        <v>Región de Ñuble</v>
      </c>
    </row>
    <row r="888" spans="1:10" ht="14.25" customHeight="1" x14ac:dyDescent="0.25">
      <c r="A888">
        <v>726321000</v>
      </c>
      <c r="B888" t="s">
        <v>2090</v>
      </c>
      <c r="C888" t="s">
        <v>4562</v>
      </c>
      <c r="D888">
        <v>16</v>
      </c>
      <c r="E888" t="s">
        <v>4445</v>
      </c>
      <c r="F888" t="s">
        <v>2089</v>
      </c>
      <c r="G888" t="s">
        <v>5575</v>
      </c>
      <c r="H888" t="s">
        <v>4957</v>
      </c>
      <c r="I888" s="79" t="str">
        <f>IF(Tabla13[[#This Row],[RUT]]=774097899,"DIST",_xlfn.XLOOKUP(Tabla13[[#This Row],[VENDEDOR]],dimensiones!$C$21:$C$28,dimensiones!$D$21:$D$28,""))</f>
        <v>ATEL</v>
      </c>
      <c r="J888" s="125" t="str">
        <f>_xlfn.XLOOKUP(Tabla13[[#This Row],[REGION]],dimensiones!C:C,dimensiones!D:D,"")</f>
        <v>Región de Ñuble</v>
      </c>
    </row>
    <row r="889" spans="1:10" ht="14.25" customHeight="1" x14ac:dyDescent="0.25">
      <c r="A889">
        <v>727625003</v>
      </c>
      <c r="B889" t="s">
        <v>454</v>
      </c>
      <c r="C889" t="s">
        <v>4271</v>
      </c>
      <c r="D889">
        <v>8</v>
      </c>
      <c r="E889" t="s">
        <v>4445</v>
      </c>
      <c r="F889" t="s">
        <v>4004</v>
      </c>
      <c r="G889" t="s">
        <v>5575</v>
      </c>
      <c r="H889" t="s">
        <v>4957</v>
      </c>
      <c r="I889" s="79" t="str">
        <f>IF(Tabla13[[#This Row],[RUT]]=774097899,"DIST",_xlfn.XLOOKUP(Tabla13[[#This Row],[VENDEDOR]],dimensiones!$C$21:$C$28,dimensiones!$D$21:$D$28,""))</f>
        <v>ATEL</v>
      </c>
      <c r="J889" s="125" t="str">
        <f>_xlfn.XLOOKUP(Tabla13[[#This Row],[REGION]],dimensiones!C:C,dimensiones!D:D,"")</f>
        <v>Región de Biobío</v>
      </c>
    </row>
    <row r="890" spans="1:10" ht="14.25" customHeight="1" x14ac:dyDescent="0.25">
      <c r="A890">
        <v>735686003</v>
      </c>
      <c r="B890" t="s">
        <v>455</v>
      </c>
      <c r="C890" t="s">
        <v>4563</v>
      </c>
      <c r="D890">
        <v>5</v>
      </c>
      <c r="E890" t="s">
        <v>4445</v>
      </c>
      <c r="F890" t="s">
        <v>2437</v>
      </c>
      <c r="G890" t="s">
        <v>5575</v>
      </c>
      <c r="H890" t="s">
        <v>4957</v>
      </c>
      <c r="I890" s="79" t="str">
        <f>IF(Tabla13[[#This Row],[RUT]]=774097899,"DIST",_xlfn.XLOOKUP(Tabla13[[#This Row],[VENDEDOR]],dimensiones!$C$21:$C$28,dimensiones!$D$21:$D$28,""))</f>
        <v>ATEL</v>
      </c>
      <c r="J890" s="125" t="str">
        <f>_xlfn.XLOOKUP(Tabla13[[#This Row],[REGION]],dimensiones!C:C,dimensiones!D:D,"")</f>
        <v>Región de Valparaíso</v>
      </c>
    </row>
    <row r="891" spans="1:10" ht="14.25" customHeight="1" x14ac:dyDescent="0.25">
      <c r="A891">
        <v>740695002</v>
      </c>
      <c r="B891" t="s">
        <v>929</v>
      </c>
      <c r="C891" t="s">
        <v>4188</v>
      </c>
      <c r="D891">
        <v>13</v>
      </c>
      <c r="E891" t="s">
        <v>4445</v>
      </c>
      <c r="F891" t="s">
        <v>2439</v>
      </c>
      <c r="G891" t="s">
        <v>5571</v>
      </c>
      <c r="H891" t="s">
        <v>4957</v>
      </c>
      <c r="I891" s="79" t="str">
        <f>IF(Tabla13[[#This Row],[RUT]]=774097899,"DIST",_xlfn.XLOOKUP(Tabla13[[#This Row],[VENDEDOR]],dimensiones!$C$21:$C$28,dimensiones!$D$21:$D$28,""))</f>
        <v>ATEL</v>
      </c>
      <c r="J891" s="125" t="str">
        <f>_xlfn.XLOOKUP(Tabla13[[#This Row],[REGION]],dimensiones!C:C,dimensiones!D:D,"")</f>
        <v>Región de Metropolitana de Santiago</v>
      </c>
    </row>
    <row r="892" spans="1:10" ht="14.25" customHeight="1" x14ac:dyDescent="0.25">
      <c r="A892">
        <v>742696006</v>
      </c>
      <c r="B892" t="s">
        <v>752</v>
      </c>
      <c r="C892" t="s">
        <v>4380</v>
      </c>
      <c r="D892">
        <v>8</v>
      </c>
      <c r="E892" t="s">
        <v>4464</v>
      </c>
      <c r="F892" t="s">
        <v>1646</v>
      </c>
      <c r="G892" t="s">
        <v>5571</v>
      </c>
      <c r="H892" t="s">
        <v>4957</v>
      </c>
      <c r="I892" s="79" t="str">
        <f>IF(Tabla13[[#This Row],[RUT]]=774097899,"DIST",_xlfn.XLOOKUP(Tabla13[[#This Row],[VENDEDOR]],dimensiones!$C$21:$C$28,dimensiones!$D$21:$D$28,""))</f>
        <v>SUR1</v>
      </c>
      <c r="J892" s="125" t="str">
        <f>_xlfn.XLOOKUP(Tabla13[[#This Row],[REGION]],dimensiones!C:C,dimensiones!D:D,"")</f>
        <v>Región de Biobío</v>
      </c>
    </row>
    <row r="893" spans="1:10" ht="14.25" customHeight="1" x14ac:dyDescent="0.25">
      <c r="A893">
        <v>748622004</v>
      </c>
      <c r="B893" t="s">
        <v>5530</v>
      </c>
      <c r="C893" t="s">
        <v>4218</v>
      </c>
      <c r="D893">
        <v>9</v>
      </c>
      <c r="E893" t="s">
        <v>4445</v>
      </c>
      <c r="F893" t="s">
        <v>4076</v>
      </c>
      <c r="G893" t="s">
        <v>5570</v>
      </c>
      <c r="H893" t="s">
        <v>4915</v>
      </c>
      <c r="I893" s="79" t="str">
        <f>IF(Tabla13[[#This Row],[RUT]]=774097899,"DIST",_xlfn.XLOOKUP(Tabla13[[#This Row],[VENDEDOR]],dimensiones!$C$21:$C$28,dimensiones!$D$21:$D$28,""))</f>
        <v>ATEL</v>
      </c>
      <c r="J893" s="125" t="str">
        <f>_xlfn.XLOOKUP(Tabla13[[#This Row],[REGION]],dimensiones!C:C,dimensiones!D:D,"")</f>
        <v>Región de La Araucanía</v>
      </c>
    </row>
    <row r="894" spans="1:10" ht="14.25" customHeight="1" x14ac:dyDescent="0.25">
      <c r="A894">
        <v>760006165</v>
      </c>
      <c r="B894" t="s">
        <v>456</v>
      </c>
      <c r="C894" t="s">
        <v>4179</v>
      </c>
      <c r="D894">
        <v>6</v>
      </c>
      <c r="E894" t="s">
        <v>4445</v>
      </c>
      <c r="F894" t="s">
        <v>2422</v>
      </c>
      <c r="G894" t="s">
        <v>5570</v>
      </c>
      <c r="H894" t="s">
        <v>4915</v>
      </c>
      <c r="I894" s="79" t="str">
        <f>IF(Tabla13[[#This Row],[RUT]]=774097899,"DIST",_xlfn.XLOOKUP(Tabla13[[#This Row],[VENDEDOR]],dimensiones!$C$21:$C$28,dimensiones!$D$21:$D$28,""))</f>
        <v>ATEL</v>
      </c>
      <c r="J894" s="125" t="str">
        <f>_xlfn.XLOOKUP(Tabla13[[#This Row],[REGION]],dimensiones!C:C,dimensiones!D:D,"")</f>
        <v>Región de Libertador General Bernardo O'Higgins</v>
      </c>
    </row>
    <row r="895" spans="1:10" ht="14.25" customHeight="1" x14ac:dyDescent="0.25">
      <c r="A895">
        <v>760122769</v>
      </c>
      <c r="B895" t="s">
        <v>5542</v>
      </c>
      <c r="C895" t="s">
        <v>4232</v>
      </c>
      <c r="D895">
        <v>11</v>
      </c>
      <c r="E895" t="s">
        <v>4445</v>
      </c>
      <c r="F895" t="s">
        <v>5543</v>
      </c>
      <c r="G895" t="s">
        <v>5568</v>
      </c>
      <c r="H895" t="s">
        <v>4915</v>
      </c>
      <c r="I895" s="79" t="str">
        <f>IF(Tabla13[[#This Row],[RUT]]=774097899,"DIST",_xlfn.XLOOKUP(Tabla13[[#This Row],[VENDEDOR]],dimensiones!$C$21:$C$28,dimensiones!$D$21:$D$28,""))</f>
        <v>ATEL</v>
      </c>
      <c r="J895" s="125" t="str">
        <f>_xlfn.XLOOKUP(Tabla13[[#This Row],[REGION]],dimensiones!C:C,dimensiones!D:D,"")</f>
        <v>Región de Aysén del General Carlos Ibáñez del Campo</v>
      </c>
    </row>
    <row r="896" spans="1:10" ht="14.25" customHeight="1" x14ac:dyDescent="0.25">
      <c r="A896">
        <v>760125512</v>
      </c>
      <c r="B896" t="s">
        <v>457</v>
      </c>
      <c r="C896" t="s">
        <v>4168</v>
      </c>
      <c r="D896">
        <v>13</v>
      </c>
      <c r="E896" t="s">
        <v>4445</v>
      </c>
      <c r="F896" t="s">
        <v>2445</v>
      </c>
      <c r="G896" t="s">
        <v>5568</v>
      </c>
      <c r="H896" t="s">
        <v>4915</v>
      </c>
      <c r="I896" s="79" t="str">
        <f>IF(Tabla13[[#This Row],[RUT]]=774097899,"DIST",_xlfn.XLOOKUP(Tabla13[[#This Row],[VENDEDOR]],dimensiones!$C$21:$C$28,dimensiones!$D$21:$D$28,""))</f>
        <v>ATEL</v>
      </c>
      <c r="J896" s="125" t="str">
        <f>_xlfn.XLOOKUP(Tabla13[[#This Row],[REGION]],dimensiones!C:C,dimensiones!D:D,"")</f>
        <v>Región de Metropolitana de Santiago</v>
      </c>
    </row>
    <row r="897" spans="1:10" ht="14.25" customHeight="1" x14ac:dyDescent="0.25">
      <c r="A897">
        <v>760181188</v>
      </c>
      <c r="B897" t="s">
        <v>959</v>
      </c>
      <c r="C897" t="s">
        <v>4410</v>
      </c>
      <c r="D897">
        <v>13</v>
      </c>
      <c r="E897" t="s">
        <v>4445</v>
      </c>
      <c r="F897" t="s">
        <v>2447</v>
      </c>
      <c r="G897" t="s">
        <v>5570</v>
      </c>
      <c r="H897" t="s">
        <v>4915</v>
      </c>
      <c r="I897" s="79" t="str">
        <f>IF(Tabla13[[#This Row],[RUT]]=774097899,"DIST",_xlfn.XLOOKUP(Tabla13[[#This Row],[VENDEDOR]],dimensiones!$C$21:$C$28,dimensiones!$D$21:$D$28,""))</f>
        <v>ATEL</v>
      </c>
      <c r="J897" s="125" t="str">
        <f>_xlfn.XLOOKUP(Tabla13[[#This Row],[REGION]],dimensiones!C:C,dimensiones!D:D,"")</f>
        <v>Región de Metropolitana de Santiago</v>
      </c>
    </row>
    <row r="898" spans="1:10" ht="14.25" customHeight="1" x14ac:dyDescent="0.25">
      <c r="A898">
        <v>760189928</v>
      </c>
      <c r="B898" t="s">
        <v>1926</v>
      </c>
      <c r="C898" t="s">
        <v>4475</v>
      </c>
      <c r="D898">
        <v>8</v>
      </c>
      <c r="E898" t="s">
        <v>4464</v>
      </c>
      <c r="F898" t="s">
        <v>1925</v>
      </c>
      <c r="G898" t="s">
        <v>5570</v>
      </c>
      <c r="H898" t="s">
        <v>4915</v>
      </c>
      <c r="I898" s="79" t="str">
        <f>IF(Tabla13[[#This Row],[RUT]]=774097899,"DIST",_xlfn.XLOOKUP(Tabla13[[#This Row],[VENDEDOR]],dimensiones!$C$21:$C$28,dimensiones!$D$21:$D$28,""))</f>
        <v>SUR1</v>
      </c>
      <c r="J898" s="125" t="str">
        <f>_xlfn.XLOOKUP(Tabla13[[#This Row],[REGION]],dimensiones!C:C,dimensiones!D:D,"")</f>
        <v>Región de Biobío</v>
      </c>
    </row>
    <row r="899" spans="1:10" ht="14.25" customHeight="1" x14ac:dyDescent="0.25">
      <c r="A899">
        <v>760243876</v>
      </c>
      <c r="B899" t="s">
        <v>1069</v>
      </c>
      <c r="C899" t="s">
        <v>4465</v>
      </c>
      <c r="D899">
        <v>13</v>
      </c>
      <c r="E899" t="s">
        <v>4445</v>
      </c>
      <c r="F899" t="s">
        <v>2455</v>
      </c>
      <c r="G899" t="s">
        <v>5570</v>
      </c>
      <c r="H899" t="s">
        <v>4915</v>
      </c>
      <c r="I899" s="79" t="str">
        <f>IF(Tabla13[[#This Row],[RUT]]=774097899,"DIST",_xlfn.XLOOKUP(Tabla13[[#This Row],[VENDEDOR]],dimensiones!$C$21:$C$28,dimensiones!$D$21:$D$28,""))</f>
        <v>ATEL</v>
      </c>
      <c r="J899" s="125" t="str">
        <f>_xlfn.XLOOKUP(Tabla13[[#This Row],[REGION]],dimensiones!C:C,dimensiones!D:D,"")</f>
        <v>Región de Metropolitana de Santiago</v>
      </c>
    </row>
    <row r="900" spans="1:10" ht="14.25" customHeight="1" x14ac:dyDescent="0.25">
      <c r="A900">
        <v>760262536</v>
      </c>
      <c r="B900" t="s">
        <v>458</v>
      </c>
      <c r="C900" t="s">
        <v>4391</v>
      </c>
      <c r="D900">
        <v>13</v>
      </c>
      <c r="E900" t="s">
        <v>4445</v>
      </c>
      <c r="F900" t="s">
        <v>2457</v>
      </c>
      <c r="G900" t="s">
        <v>5570</v>
      </c>
      <c r="H900" t="s">
        <v>4915</v>
      </c>
      <c r="I900" s="79" t="str">
        <f>IF(Tabla13[[#This Row],[RUT]]=774097899,"DIST",_xlfn.XLOOKUP(Tabla13[[#This Row],[VENDEDOR]],dimensiones!$C$21:$C$28,dimensiones!$D$21:$D$28,""))</f>
        <v>ATEL</v>
      </c>
      <c r="J900" s="125" t="str">
        <f>_xlfn.XLOOKUP(Tabla13[[#This Row],[REGION]],dimensiones!C:C,dimensiones!D:D,"")</f>
        <v>Región de Metropolitana de Santiago</v>
      </c>
    </row>
    <row r="901" spans="1:10" ht="14.25" customHeight="1" x14ac:dyDescent="0.25">
      <c r="A901">
        <v>760329800</v>
      </c>
      <c r="B901" t="s">
        <v>459</v>
      </c>
      <c r="C901" t="s">
        <v>4416</v>
      </c>
      <c r="D901">
        <v>13</v>
      </c>
      <c r="E901" t="s">
        <v>4445</v>
      </c>
      <c r="F901" t="s">
        <v>3578</v>
      </c>
      <c r="G901" t="s">
        <v>5568</v>
      </c>
      <c r="H901" t="s">
        <v>4915</v>
      </c>
      <c r="I901" s="79" t="str">
        <f>IF(Tabla13[[#This Row],[RUT]]=774097899,"DIST",_xlfn.XLOOKUP(Tabla13[[#This Row],[VENDEDOR]],dimensiones!$C$21:$C$28,dimensiones!$D$21:$D$28,""))</f>
        <v>ATEL</v>
      </c>
      <c r="J901" s="125" t="str">
        <f>_xlfn.XLOOKUP(Tabla13[[#This Row],[REGION]],dimensiones!C:C,dimensiones!D:D,"")</f>
        <v>Región de Metropolitana de Santiago</v>
      </c>
    </row>
    <row r="902" spans="1:10" ht="14.25" customHeight="1" x14ac:dyDescent="0.25">
      <c r="A902" t="s">
        <v>701</v>
      </c>
      <c r="B902" t="s">
        <v>702</v>
      </c>
      <c r="C902" t="s">
        <v>4182</v>
      </c>
      <c r="D902">
        <v>2</v>
      </c>
      <c r="E902" t="s">
        <v>4445</v>
      </c>
      <c r="F902" t="s">
        <v>2462</v>
      </c>
      <c r="G902" t="s">
        <v>5570</v>
      </c>
      <c r="H902" t="s">
        <v>4915</v>
      </c>
      <c r="I902" s="79" t="str">
        <f>IF(Tabla13[[#This Row],[RUT]]=774097899,"DIST",_xlfn.XLOOKUP(Tabla13[[#This Row],[VENDEDOR]],dimensiones!$C$21:$C$28,dimensiones!$D$21:$D$28,""))</f>
        <v>ATEL</v>
      </c>
      <c r="J902" s="125" t="str">
        <f>_xlfn.XLOOKUP(Tabla13[[#This Row],[REGION]],dimensiones!C:C,dimensiones!D:D,"")</f>
        <v>Región de Antofagasta</v>
      </c>
    </row>
    <row r="903" spans="1:10" ht="14.25" customHeight="1" x14ac:dyDescent="0.25">
      <c r="A903" t="s">
        <v>703</v>
      </c>
      <c r="B903" t="s">
        <v>704</v>
      </c>
      <c r="C903" t="s">
        <v>4470</v>
      </c>
      <c r="D903">
        <v>13</v>
      </c>
      <c r="E903" t="s">
        <v>4445</v>
      </c>
      <c r="F903" t="s">
        <v>2464</v>
      </c>
      <c r="G903" t="s">
        <v>5570</v>
      </c>
      <c r="H903" t="s">
        <v>4915</v>
      </c>
      <c r="I903" s="79" t="str">
        <f>IF(Tabla13[[#This Row],[RUT]]=774097899,"DIST",_xlfn.XLOOKUP(Tabla13[[#This Row],[VENDEDOR]],dimensiones!$C$21:$C$28,dimensiones!$D$21:$D$28,""))</f>
        <v>ATEL</v>
      </c>
      <c r="J903" s="125" t="str">
        <f>_xlfn.XLOOKUP(Tabla13[[#This Row],[REGION]],dimensiones!C:C,dimensiones!D:D,"")</f>
        <v>Región de Metropolitana de Santiago</v>
      </c>
    </row>
    <row r="904" spans="1:10" ht="14.25" customHeight="1" x14ac:dyDescent="0.25">
      <c r="A904">
        <v>760465631</v>
      </c>
      <c r="B904" t="s">
        <v>807</v>
      </c>
      <c r="C904" t="s">
        <v>4391</v>
      </c>
      <c r="D904">
        <v>13</v>
      </c>
      <c r="E904" t="s">
        <v>4445</v>
      </c>
      <c r="F904" t="s">
        <v>3722</v>
      </c>
      <c r="G904" t="s">
        <v>5570</v>
      </c>
      <c r="H904" t="s">
        <v>4915</v>
      </c>
      <c r="I904" s="79" t="str">
        <f>IF(Tabla13[[#This Row],[RUT]]=774097899,"DIST",_xlfn.XLOOKUP(Tabla13[[#This Row],[VENDEDOR]],dimensiones!$C$21:$C$28,dimensiones!$D$21:$D$28,""))</f>
        <v>ATEL</v>
      </c>
      <c r="J904" s="125" t="str">
        <f>_xlfn.XLOOKUP(Tabla13[[#This Row],[REGION]],dimensiones!C:C,dimensiones!D:D,"")</f>
        <v>Región de Metropolitana de Santiago</v>
      </c>
    </row>
    <row r="905" spans="1:10" ht="14.25" customHeight="1" x14ac:dyDescent="0.25">
      <c r="A905">
        <v>760477001</v>
      </c>
      <c r="B905" t="s">
        <v>460</v>
      </c>
      <c r="C905" t="s">
        <v>4561</v>
      </c>
      <c r="D905">
        <v>13</v>
      </c>
      <c r="E905" t="s">
        <v>4445</v>
      </c>
      <c r="F905" t="s">
        <v>1928</v>
      </c>
      <c r="G905" t="s">
        <v>5568</v>
      </c>
      <c r="H905" t="s">
        <v>4915</v>
      </c>
      <c r="I905" s="79" t="str">
        <f>IF(Tabla13[[#This Row],[RUT]]=774097899,"DIST",_xlfn.XLOOKUP(Tabla13[[#This Row],[VENDEDOR]],dimensiones!$C$21:$C$28,dimensiones!$D$21:$D$28,""))</f>
        <v>ATEL</v>
      </c>
      <c r="J905" s="125" t="str">
        <f>_xlfn.XLOOKUP(Tabla13[[#This Row],[REGION]],dimensiones!C:C,dimensiones!D:D,"")</f>
        <v>Región de Metropolitana de Santiago</v>
      </c>
    </row>
    <row r="906" spans="1:10" ht="14.25" customHeight="1" x14ac:dyDescent="0.25">
      <c r="A906">
        <v>760534870</v>
      </c>
      <c r="B906" t="s">
        <v>2472</v>
      </c>
      <c r="C906" t="s">
        <v>4391</v>
      </c>
      <c r="D906">
        <v>13</v>
      </c>
      <c r="E906" t="s">
        <v>4445</v>
      </c>
      <c r="F906" t="s">
        <v>2471</v>
      </c>
      <c r="G906" t="s">
        <v>5570</v>
      </c>
      <c r="H906" t="s">
        <v>4915</v>
      </c>
      <c r="I906" s="79" t="str">
        <f>IF(Tabla13[[#This Row],[RUT]]=774097899,"DIST",_xlfn.XLOOKUP(Tabla13[[#This Row],[VENDEDOR]],dimensiones!$C$21:$C$28,dimensiones!$D$21:$D$28,""))</f>
        <v>ATEL</v>
      </c>
      <c r="J906" s="125" t="str">
        <f>_xlfn.XLOOKUP(Tabla13[[#This Row],[REGION]],dimensiones!C:C,dimensiones!D:D,"")</f>
        <v>Región de Metropolitana de Santiago</v>
      </c>
    </row>
    <row r="907" spans="1:10" ht="14.25" customHeight="1" x14ac:dyDescent="0.25">
      <c r="A907">
        <v>760542377</v>
      </c>
      <c r="B907" t="s">
        <v>2475</v>
      </c>
      <c r="C907" t="s">
        <v>4465</v>
      </c>
      <c r="D907">
        <v>13</v>
      </c>
      <c r="E907" t="s">
        <v>4445</v>
      </c>
      <c r="F907" t="s">
        <v>2474</v>
      </c>
      <c r="G907" t="s">
        <v>5568</v>
      </c>
      <c r="H907" t="s">
        <v>4915</v>
      </c>
      <c r="I907" s="79" t="str">
        <f>IF(Tabla13[[#This Row],[RUT]]=774097899,"DIST",_xlfn.XLOOKUP(Tabla13[[#This Row],[VENDEDOR]],dimensiones!$C$21:$C$28,dimensiones!$D$21:$D$28,""))</f>
        <v>ATEL</v>
      </c>
      <c r="J907" s="125" t="str">
        <f>_xlfn.XLOOKUP(Tabla13[[#This Row],[REGION]],dimensiones!C:C,dimensiones!D:D,"")</f>
        <v>Región de Metropolitana de Santiago</v>
      </c>
    </row>
    <row r="908" spans="1:10" ht="14.25" customHeight="1" x14ac:dyDescent="0.25">
      <c r="A908" t="s">
        <v>4425</v>
      </c>
      <c r="B908" t="s">
        <v>2453</v>
      </c>
      <c r="C908" t="s">
        <v>4180</v>
      </c>
      <c r="D908">
        <v>8</v>
      </c>
      <c r="E908" t="s">
        <v>4445</v>
      </c>
      <c r="F908" t="s">
        <v>2452</v>
      </c>
      <c r="G908" t="s">
        <v>5570</v>
      </c>
      <c r="H908" t="s">
        <v>4915</v>
      </c>
      <c r="I908" s="79" t="str">
        <f>IF(Tabla13[[#This Row],[RUT]]=774097899,"DIST",_xlfn.XLOOKUP(Tabla13[[#This Row],[VENDEDOR]],dimensiones!$C$21:$C$28,dimensiones!$D$21:$D$28,""))</f>
        <v>ATEL</v>
      </c>
      <c r="J908" s="125" t="str">
        <f>_xlfn.XLOOKUP(Tabla13[[#This Row],[REGION]],dimensiones!C:C,dimensiones!D:D,"")</f>
        <v>Región de Biobío</v>
      </c>
    </row>
    <row r="909" spans="1:10" ht="14.25" customHeight="1" x14ac:dyDescent="0.25">
      <c r="A909">
        <v>760579041</v>
      </c>
      <c r="B909" t="s">
        <v>108</v>
      </c>
      <c r="C909" t="s">
        <v>4460</v>
      </c>
      <c r="D909">
        <v>8</v>
      </c>
      <c r="E909" t="s">
        <v>4464</v>
      </c>
      <c r="F909" t="s">
        <v>3359</v>
      </c>
      <c r="G909" t="s">
        <v>5570</v>
      </c>
      <c r="H909" t="s">
        <v>4915</v>
      </c>
      <c r="I909" s="79" t="str">
        <f>IF(Tabla13[[#This Row],[RUT]]=774097899,"DIST",_xlfn.XLOOKUP(Tabla13[[#This Row],[VENDEDOR]],dimensiones!$C$21:$C$28,dimensiones!$D$21:$D$28,""))</f>
        <v>SUR1</v>
      </c>
      <c r="J909" s="125" t="str">
        <f>_xlfn.XLOOKUP(Tabla13[[#This Row],[REGION]],dimensiones!C:C,dimensiones!D:D,"")</f>
        <v>Región de Biobío</v>
      </c>
    </row>
    <row r="910" spans="1:10" ht="14.25" customHeight="1" x14ac:dyDescent="0.25">
      <c r="A910">
        <v>760649511</v>
      </c>
      <c r="B910" t="s">
        <v>2480</v>
      </c>
      <c r="C910" t="s">
        <v>4394</v>
      </c>
      <c r="D910">
        <v>13</v>
      </c>
      <c r="E910" t="s">
        <v>4445</v>
      </c>
      <c r="F910" t="s">
        <v>2479</v>
      </c>
      <c r="G910" t="s">
        <v>5570</v>
      </c>
      <c r="H910" t="s">
        <v>4915</v>
      </c>
      <c r="I910" s="79" t="str">
        <f>IF(Tabla13[[#This Row],[RUT]]=774097899,"DIST",_xlfn.XLOOKUP(Tabla13[[#This Row],[VENDEDOR]],dimensiones!$C$21:$C$28,dimensiones!$D$21:$D$28,""))</f>
        <v>ATEL</v>
      </c>
      <c r="J910" s="125" t="str">
        <f>_xlfn.XLOOKUP(Tabla13[[#This Row],[REGION]],dimensiones!C:C,dimensiones!D:D,"")</f>
        <v>Región de Metropolitana de Santiago</v>
      </c>
    </row>
    <row r="911" spans="1:10" ht="14.25" customHeight="1" x14ac:dyDescent="0.25">
      <c r="A911">
        <v>760709115</v>
      </c>
      <c r="B911" t="s">
        <v>461</v>
      </c>
      <c r="C911" t="s">
        <v>4391</v>
      </c>
      <c r="D911">
        <v>13</v>
      </c>
      <c r="E911" t="s">
        <v>4445</v>
      </c>
      <c r="F911" t="s">
        <v>4124</v>
      </c>
      <c r="G911" t="s">
        <v>5570</v>
      </c>
      <c r="H911" t="s">
        <v>4915</v>
      </c>
      <c r="I911" s="79" t="str">
        <f>IF(Tabla13[[#This Row],[RUT]]=774097899,"DIST",_xlfn.XLOOKUP(Tabla13[[#This Row],[VENDEDOR]],dimensiones!$C$21:$C$28,dimensiones!$D$21:$D$28,""))</f>
        <v>ATEL</v>
      </c>
      <c r="J911" s="125" t="str">
        <f>_xlfn.XLOOKUP(Tabla13[[#This Row],[REGION]],dimensiones!C:C,dimensiones!D:D,"")</f>
        <v>Región de Metropolitana de Santiago</v>
      </c>
    </row>
    <row r="912" spans="1:10" ht="14.25" customHeight="1" x14ac:dyDescent="0.25">
      <c r="A912">
        <v>760738980</v>
      </c>
      <c r="B912" t="s">
        <v>462</v>
      </c>
      <c r="C912" t="s">
        <v>4264</v>
      </c>
      <c r="D912">
        <v>7</v>
      </c>
      <c r="E912" t="s">
        <v>4445</v>
      </c>
      <c r="F912" t="s">
        <v>1527</v>
      </c>
      <c r="G912" t="s">
        <v>5568</v>
      </c>
      <c r="H912" t="s">
        <v>4915</v>
      </c>
      <c r="I912" s="79" t="str">
        <f>IF(Tabla13[[#This Row],[RUT]]=774097899,"DIST",_xlfn.XLOOKUP(Tabla13[[#This Row],[VENDEDOR]],dimensiones!$C$21:$C$28,dimensiones!$D$21:$D$28,""))</f>
        <v>ATEL</v>
      </c>
      <c r="J912" s="125" t="str">
        <f>_xlfn.XLOOKUP(Tabla13[[#This Row],[REGION]],dimensiones!C:C,dimensiones!D:D,"")</f>
        <v>Región de Maule</v>
      </c>
    </row>
    <row r="913" spans="1:10" ht="14.25" customHeight="1" x14ac:dyDescent="0.25">
      <c r="A913">
        <v>760871168</v>
      </c>
      <c r="B913" t="s">
        <v>109</v>
      </c>
      <c r="C913" t="s">
        <v>4170</v>
      </c>
      <c r="D913">
        <v>14</v>
      </c>
      <c r="E913" t="s">
        <v>4454</v>
      </c>
      <c r="F913" t="s">
        <v>3827</v>
      </c>
      <c r="G913" t="s">
        <v>5568</v>
      </c>
      <c r="H913" t="s">
        <v>4915</v>
      </c>
      <c r="I913" s="79" t="str">
        <f>IF(Tabla13[[#This Row],[RUT]]=774097899,"DIST",_xlfn.XLOOKUP(Tabla13[[#This Row],[VENDEDOR]],dimensiones!$C$21:$C$28,dimensiones!$D$21:$D$28,""))</f>
        <v>SUR2</v>
      </c>
      <c r="J913" s="125" t="str">
        <f>_xlfn.XLOOKUP(Tabla13[[#This Row],[REGION]],dimensiones!C:C,dimensiones!D:D,"")</f>
        <v>Región de Los Ríos</v>
      </c>
    </row>
    <row r="914" spans="1:10" ht="14.25" customHeight="1" x14ac:dyDescent="0.25">
      <c r="A914" t="s">
        <v>5684</v>
      </c>
      <c r="B914" t="s">
        <v>5685</v>
      </c>
      <c r="C914" t="s">
        <v>4491</v>
      </c>
      <c r="D914">
        <v>7</v>
      </c>
      <c r="E914" t="s">
        <v>4445</v>
      </c>
      <c r="F914" t="s">
        <v>5686</v>
      </c>
      <c r="G914" t="s">
        <v>5570</v>
      </c>
      <c r="H914" t="s">
        <v>4915</v>
      </c>
      <c r="I914" s="79" t="str">
        <f>IF(Tabla13[[#This Row],[RUT]]=774097899,"DIST",_xlfn.XLOOKUP(Tabla13[[#This Row],[VENDEDOR]],dimensiones!$C$21:$C$28,dimensiones!$D$21:$D$28,""))</f>
        <v>ATEL</v>
      </c>
      <c r="J914" s="125" t="str">
        <f>_xlfn.XLOOKUP(Tabla13[[#This Row],[REGION]],dimensiones!C:C,dimensiones!D:D,"")</f>
        <v>Región de Maule</v>
      </c>
    </row>
    <row r="915" spans="1:10" ht="14.25" customHeight="1" x14ac:dyDescent="0.25">
      <c r="A915" t="s">
        <v>705</v>
      </c>
      <c r="B915" t="s">
        <v>706</v>
      </c>
      <c r="C915" t="s">
        <v>4175</v>
      </c>
      <c r="D915">
        <v>13</v>
      </c>
      <c r="E915" t="s">
        <v>4445</v>
      </c>
      <c r="F915" t="s">
        <v>2147</v>
      </c>
      <c r="G915" t="s">
        <v>5570</v>
      </c>
      <c r="H915" t="s">
        <v>4915</v>
      </c>
      <c r="I915" s="79" t="str">
        <f>IF(Tabla13[[#This Row],[RUT]]=774097899,"DIST",_xlfn.XLOOKUP(Tabla13[[#This Row],[VENDEDOR]],dimensiones!$C$21:$C$28,dimensiones!$D$21:$D$28,""))</f>
        <v>ATEL</v>
      </c>
      <c r="J915" s="125" t="str">
        <f>_xlfn.XLOOKUP(Tabla13[[#This Row],[REGION]],dimensiones!C:C,dimensiones!D:D,"")</f>
        <v>Región de Metropolitana de Santiago</v>
      </c>
    </row>
    <row r="916" spans="1:10" ht="14.25" customHeight="1" x14ac:dyDescent="0.25">
      <c r="A916">
        <v>761037293</v>
      </c>
      <c r="B916" t="s">
        <v>2490</v>
      </c>
      <c r="C916" t="s">
        <v>4168</v>
      </c>
      <c r="D916">
        <v>13</v>
      </c>
      <c r="E916" t="s">
        <v>4445</v>
      </c>
      <c r="F916" t="s">
        <v>2489</v>
      </c>
      <c r="G916" t="s">
        <v>5568</v>
      </c>
      <c r="H916" t="s">
        <v>4915</v>
      </c>
      <c r="I916" s="79" t="str">
        <f>IF(Tabla13[[#This Row],[RUT]]=774097899,"DIST",_xlfn.XLOOKUP(Tabla13[[#This Row],[VENDEDOR]],dimensiones!$C$21:$C$28,dimensiones!$D$21:$D$28,""))</f>
        <v>ATEL</v>
      </c>
      <c r="J916" s="125" t="str">
        <f>_xlfn.XLOOKUP(Tabla13[[#This Row],[REGION]],dimensiones!C:C,dimensiones!D:D,"")</f>
        <v>Región de Metropolitana de Santiago</v>
      </c>
    </row>
    <row r="917" spans="1:10" ht="14.25" customHeight="1" x14ac:dyDescent="0.25">
      <c r="A917">
        <v>761066366</v>
      </c>
      <c r="B917" t="s">
        <v>2493</v>
      </c>
      <c r="C917" t="s">
        <v>4528</v>
      </c>
      <c r="D917">
        <v>13</v>
      </c>
      <c r="E917" t="s">
        <v>4445</v>
      </c>
      <c r="F917" t="s">
        <v>2492</v>
      </c>
      <c r="G917" t="s">
        <v>5568</v>
      </c>
      <c r="H917" t="s">
        <v>4915</v>
      </c>
      <c r="I917" s="79" t="str">
        <f>IF(Tabla13[[#This Row],[RUT]]=774097899,"DIST",_xlfn.XLOOKUP(Tabla13[[#This Row],[VENDEDOR]],dimensiones!$C$21:$C$28,dimensiones!$D$21:$D$28,""))</f>
        <v>ATEL</v>
      </c>
      <c r="J917" s="125" t="str">
        <f>_xlfn.XLOOKUP(Tabla13[[#This Row],[REGION]],dimensiones!C:C,dimensiones!D:D,"")</f>
        <v>Región de Metropolitana de Santiago</v>
      </c>
    </row>
    <row r="918" spans="1:10" ht="14.25" customHeight="1" x14ac:dyDescent="0.25">
      <c r="A918">
        <v>761102370</v>
      </c>
      <c r="B918" t="s">
        <v>4754</v>
      </c>
      <c r="C918" t="s">
        <v>4168</v>
      </c>
      <c r="D918">
        <v>13</v>
      </c>
      <c r="E918" t="s">
        <v>4445</v>
      </c>
      <c r="F918" t="s">
        <v>4911</v>
      </c>
      <c r="H918" t="s">
        <v>4915</v>
      </c>
      <c r="I918" s="79" t="str">
        <f>IF(Tabla13[[#This Row],[RUT]]=774097899,"DIST",_xlfn.XLOOKUP(Tabla13[[#This Row],[VENDEDOR]],dimensiones!$C$21:$C$28,dimensiones!$D$21:$D$28,""))</f>
        <v>ATEL</v>
      </c>
      <c r="J918" s="125" t="str">
        <f>_xlfn.XLOOKUP(Tabla13[[#This Row],[REGION]],dimensiones!C:C,dimensiones!D:D,"")</f>
        <v>Región de Metropolitana de Santiago</v>
      </c>
    </row>
    <row r="919" spans="1:10" ht="14.25" customHeight="1" x14ac:dyDescent="0.25">
      <c r="A919">
        <v>761150065</v>
      </c>
      <c r="B919" t="s">
        <v>2496</v>
      </c>
      <c r="C919" t="s">
        <v>4497</v>
      </c>
      <c r="D919">
        <v>8</v>
      </c>
      <c r="E919" t="s">
        <v>4445</v>
      </c>
      <c r="F919" t="s">
        <v>2495</v>
      </c>
      <c r="G919" t="s">
        <v>5570</v>
      </c>
      <c r="H919" t="s">
        <v>4915</v>
      </c>
      <c r="I919" s="79" t="str">
        <f>IF(Tabla13[[#This Row],[RUT]]=774097899,"DIST",_xlfn.XLOOKUP(Tabla13[[#This Row],[VENDEDOR]],dimensiones!$C$21:$C$28,dimensiones!$D$21:$D$28,""))</f>
        <v>ATEL</v>
      </c>
      <c r="J919" s="125" t="str">
        <f>_xlfn.XLOOKUP(Tabla13[[#This Row],[REGION]],dimensiones!C:C,dimensiones!D:D,"")</f>
        <v>Región de Biobío</v>
      </c>
    </row>
    <row r="920" spans="1:10" ht="14.25" customHeight="1" x14ac:dyDescent="0.25">
      <c r="A920">
        <v>761174851</v>
      </c>
      <c r="B920" t="s">
        <v>463</v>
      </c>
      <c r="C920" t="s">
        <v>4465</v>
      </c>
      <c r="D920">
        <v>13</v>
      </c>
      <c r="E920" t="s">
        <v>4445</v>
      </c>
      <c r="F920" t="s">
        <v>2500</v>
      </c>
      <c r="G920" t="s">
        <v>5570</v>
      </c>
      <c r="H920" t="s">
        <v>4915</v>
      </c>
      <c r="I920" s="79" t="str">
        <f>IF(Tabla13[[#This Row],[RUT]]=774097899,"DIST",_xlfn.XLOOKUP(Tabla13[[#This Row],[VENDEDOR]],dimensiones!$C$21:$C$28,dimensiones!$D$21:$D$28,""))</f>
        <v>ATEL</v>
      </c>
      <c r="J920" s="125" t="str">
        <f>_xlfn.XLOOKUP(Tabla13[[#This Row],[REGION]],dimensiones!C:C,dimensiones!D:D,"")</f>
        <v>Región de Metropolitana de Santiago</v>
      </c>
    </row>
    <row r="921" spans="1:10" ht="14.25" customHeight="1" x14ac:dyDescent="0.25">
      <c r="A921">
        <v>761181912</v>
      </c>
      <c r="B921" t="s">
        <v>5523</v>
      </c>
      <c r="C921" t="s">
        <v>4168</v>
      </c>
      <c r="D921">
        <v>13</v>
      </c>
      <c r="E921" t="s">
        <v>4445</v>
      </c>
      <c r="F921" t="s">
        <v>5524</v>
      </c>
      <c r="G921" t="s">
        <v>5568</v>
      </c>
      <c r="H921" t="s">
        <v>4915</v>
      </c>
      <c r="I921" s="79" t="str">
        <f>IF(Tabla13[[#This Row],[RUT]]=774097899,"DIST",_xlfn.XLOOKUP(Tabla13[[#This Row],[VENDEDOR]],dimensiones!$C$21:$C$28,dimensiones!$D$21:$D$28,""))</f>
        <v>ATEL</v>
      </c>
      <c r="J921" s="125" t="str">
        <f>_xlfn.XLOOKUP(Tabla13[[#This Row],[REGION]],dimensiones!C:C,dimensiones!D:D,"")</f>
        <v>Región de Metropolitana de Santiago</v>
      </c>
    </row>
    <row r="922" spans="1:10" ht="14.25" customHeight="1" x14ac:dyDescent="0.25">
      <c r="A922">
        <v>761353470</v>
      </c>
      <c r="B922" t="s">
        <v>811</v>
      </c>
      <c r="C922" t="s">
        <v>4458</v>
      </c>
      <c r="D922">
        <v>13</v>
      </c>
      <c r="E922" t="s">
        <v>4445</v>
      </c>
      <c r="F922" t="s">
        <v>2502</v>
      </c>
      <c r="G922" t="s">
        <v>5569</v>
      </c>
      <c r="H922" t="s">
        <v>4915</v>
      </c>
      <c r="I922" s="79" t="str">
        <f>IF(Tabla13[[#This Row],[RUT]]=774097899,"DIST",_xlfn.XLOOKUP(Tabla13[[#This Row],[VENDEDOR]],dimensiones!$C$21:$C$28,dimensiones!$D$21:$D$28,""))</f>
        <v>ATEL</v>
      </c>
      <c r="J922" s="125" t="str">
        <f>_xlfn.XLOOKUP(Tabla13[[#This Row],[REGION]],dimensiones!C:C,dimensiones!D:D,"")</f>
        <v>Región de Metropolitana de Santiago</v>
      </c>
    </row>
    <row r="923" spans="1:10" ht="14.25" customHeight="1" x14ac:dyDescent="0.25">
      <c r="A923">
        <v>761426168</v>
      </c>
      <c r="B923" t="s">
        <v>464</v>
      </c>
      <c r="C923" t="s">
        <v>4470</v>
      </c>
      <c r="D923">
        <v>13</v>
      </c>
      <c r="E923" t="s">
        <v>4445</v>
      </c>
      <c r="F923" t="s">
        <v>1256</v>
      </c>
      <c r="G923" t="s">
        <v>5568</v>
      </c>
      <c r="H923" t="s">
        <v>4915</v>
      </c>
      <c r="I923" s="79" t="str">
        <f>IF(Tabla13[[#This Row],[RUT]]=774097899,"DIST",_xlfn.XLOOKUP(Tabla13[[#This Row],[VENDEDOR]],dimensiones!$C$21:$C$28,dimensiones!$D$21:$D$28,""))</f>
        <v>ATEL</v>
      </c>
      <c r="J923" s="125" t="str">
        <f>_xlfn.XLOOKUP(Tabla13[[#This Row],[REGION]],dimensiones!C:C,dimensiones!D:D,"")</f>
        <v>Región de Metropolitana de Santiago</v>
      </c>
    </row>
    <row r="924" spans="1:10" ht="14.25" customHeight="1" x14ac:dyDescent="0.25">
      <c r="A924">
        <v>761458922</v>
      </c>
      <c r="B924" t="s">
        <v>465</v>
      </c>
      <c r="C924" t="s">
        <v>4391</v>
      </c>
      <c r="D924">
        <v>13</v>
      </c>
      <c r="E924" t="s">
        <v>4445</v>
      </c>
      <c r="F924" t="s">
        <v>2506</v>
      </c>
      <c r="G924" t="s">
        <v>5568</v>
      </c>
      <c r="H924" t="s">
        <v>4915</v>
      </c>
      <c r="I924" s="79" t="str">
        <f>IF(Tabla13[[#This Row],[RUT]]=774097899,"DIST",_xlfn.XLOOKUP(Tabla13[[#This Row],[VENDEDOR]],dimensiones!$C$21:$C$28,dimensiones!$D$21:$D$28,""))</f>
        <v>ATEL</v>
      </c>
      <c r="J924" s="125" t="str">
        <f>_xlfn.XLOOKUP(Tabla13[[#This Row],[REGION]],dimensiones!C:C,dimensiones!D:D,"")</f>
        <v>Región de Metropolitana de Santiago</v>
      </c>
    </row>
    <row r="925" spans="1:10" ht="14.25" customHeight="1" x14ac:dyDescent="0.25">
      <c r="A925">
        <v>761495240</v>
      </c>
      <c r="B925" t="s">
        <v>1051</v>
      </c>
      <c r="C925" t="s">
        <v>4448</v>
      </c>
      <c r="D925">
        <v>13</v>
      </c>
      <c r="E925" t="s">
        <v>4445</v>
      </c>
      <c r="F925" t="s">
        <v>2508</v>
      </c>
      <c r="G925" t="s">
        <v>5570</v>
      </c>
      <c r="H925" t="s">
        <v>4915</v>
      </c>
      <c r="I925" s="79" t="str">
        <f>IF(Tabla13[[#This Row],[RUT]]=774097899,"DIST",_xlfn.XLOOKUP(Tabla13[[#This Row],[VENDEDOR]],dimensiones!$C$21:$C$28,dimensiones!$D$21:$D$28,""))</f>
        <v>ATEL</v>
      </c>
      <c r="J925" s="125" t="str">
        <f>_xlfn.XLOOKUP(Tabla13[[#This Row],[REGION]],dimensiones!C:C,dimensiones!D:D,"")</f>
        <v>Región de Metropolitana de Santiago</v>
      </c>
    </row>
    <row r="926" spans="1:10" ht="14.25" customHeight="1" x14ac:dyDescent="0.25">
      <c r="A926">
        <v>761531603</v>
      </c>
      <c r="B926" t="s">
        <v>5651</v>
      </c>
      <c r="C926" t="s">
        <v>4395</v>
      </c>
      <c r="D926">
        <v>13</v>
      </c>
      <c r="E926" t="s">
        <v>4445</v>
      </c>
      <c r="F926" t="s">
        <v>5652</v>
      </c>
      <c r="G926" t="s">
        <v>5568</v>
      </c>
      <c r="H926" t="s">
        <v>4915</v>
      </c>
      <c r="I926" s="79" t="str">
        <f>IF(Tabla13[[#This Row],[RUT]]=774097899,"DIST",_xlfn.XLOOKUP(Tabla13[[#This Row],[VENDEDOR]],dimensiones!$C$21:$C$28,dimensiones!$D$21:$D$28,""))</f>
        <v>ATEL</v>
      </c>
      <c r="J926" s="125" t="str">
        <f>_xlfn.XLOOKUP(Tabla13[[#This Row],[REGION]],dimensiones!C:C,dimensiones!D:D,"")</f>
        <v>Región de Metropolitana de Santiago</v>
      </c>
    </row>
    <row r="927" spans="1:10" ht="14.25" customHeight="1" x14ac:dyDescent="0.25">
      <c r="A927">
        <v>761587234</v>
      </c>
      <c r="B927" t="s">
        <v>5063</v>
      </c>
      <c r="C927" t="s">
        <v>4175</v>
      </c>
      <c r="D927">
        <v>5</v>
      </c>
      <c r="E927" t="s">
        <v>4445</v>
      </c>
      <c r="F927" t="s">
        <v>5243</v>
      </c>
      <c r="G927" t="s">
        <v>5568</v>
      </c>
      <c r="H927" t="s">
        <v>4915</v>
      </c>
      <c r="I927" s="79" t="str">
        <f>IF(Tabla13[[#This Row],[RUT]]=774097899,"DIST",_xlfn.XLOOKUP(Tabla13[[#This Row],[VENDEDOR]],dimensiones!$C$21:$C$28,dimensiones!$D$21:$D$28,""))</f>
        <v>ATEL</v>
      </c>
      <c r="J927" s="125" t="str">
        <f>_xlfn.XLOOKUP(Tabla13[[#This Row],[REGION]],dimensiones!C:C,dimensiones!D:D,"")</f>
        <v>Región de Valparaíso</v>
      </c>
    </row>
    <row r="928" spans="1:10" ht="14.25" customHeight="1" x14ac:dyDescent="0.25">
      <c r="A928">
        <v>761732145</v>
      </c>
      <c r="B928" t="s">
        <v>812</v>
      </c>
      <c r="C928" t="s">
        <v>4168</v>
      </c>
      <c r="D928">
        <v>13</v>
      </c>
      <c r="E928" t="s">
        <v>4445</v>
      </c>
      <c r="F928" t="s">
        <v>2510</v>
      </c>
      <c r="G928" t="s">
        <v>5568</v>
      </c>
      <c r="H928" t="s">
        <v>4915</v>
      </c>
      <c r="I928" s="79" t="str">
        <f>IF(Tabla13[[#This Row],[RUT]]=774097899,"DIST",_xlfn.XLOOKUP(Tabla13[[#This Row],[VENDEDOR]],dimensiones!$C$21:$C$28,dimensiones!$D$21:$D$28,""))</f>
        <v>ATEL</v>
      </c>
      <c r="J928" s="125" t="str">
        <f>_xlfn.XLOOKUP(Tabla13[[#This Row],[REGION]],dimensiones!C:C,dimensiones!D:D,"")</f>
        <v>Región de Metropolitana de Santiago</v>
      </c>
    </row>
    <row r="929" spans="1:10" ht="14.25" customHeight="1" x14ac:dyDescent="0.25">
      <c r="A929">
        <v>761825534</v>
      </c>
      <c r="B929" t="s">
        <v>466</v>
      </c>
      <c r="C929" t="s">
        <v>4391</v>
      </c>
      <c r="D929">
        <v>13</v>
      </c>
      <c r="E929" t="s">
        <v>4445</v>
      </c>
      <c r="F929" t="s">
        <v>1436</v>
      </c>
      <c r="G929" t="s">
        <v>5568</v>
      </c>
      <c r="H929" t="s">
        <v>4915</v>
      </c>
      <c r="I929" s="79" t="str">
        <f>IF(Tabla13[[#This Row],[RUT]]=774097899,"DIST",_xlfn.XLOOKUP(Tabla13[[#This Row],[VENDEDOR]],dimensiones!$C$21:$C$28,dimensiones!$D$21:$D$28,""))</f>
        <v>ATEL</v>
      </c>
      <c r="J929" s="125" t="str">
        <f>_xlfn.XLOOKUP(Tabla13[[#This Row],[REGION]],dimensiones!C:C,dimensiones!D:D,"")</f>
        <v>Región de Metropolitana de Santiago</v>
      </c>
    </row>
    <row r="930" spans="1:10" ht="14.25" customHeight="1" x14ac:dyDescent="0.25">
      <c r="A930">
        <v>761843133</v>
      </c>
      <c r="B930" t="s">
        <v>467</v>
      </c>
      <c r="C930" t="s">
        <v>4391</v>
      </c>
      <c r="D930">
        <v>13</v>
      </c>
      <c r="E930" t="s">
        <v>4445</v>
      </c>
      <c r="F930" t="s">
        <v>2514</v>
      </c>
      <c r="G930" t="s">
        <v>5570</v>
      </c>
      <c r="H930" t="s">
        <v>4915</v>
      </c>
      <c r="I930" s="79" t="str">
        <f>IF(Tabla13[[#This Row],[RUT]]=774097899,"DIST",_xlfn.XLOOKUP(Tabla13[[#This Row],[VENDEDOR]],dimensiones!$C$21:$C$28,dimensiones!$D$21:$D$28,""))</f>
        <v>ATEL</v>
      </c>
      <c r="J930" s="125" t="str">
        <f>_xlfn.XLOOKUP(Tabla13[[#This Row],[REGION]],dimensiones!C:C,dimensiones!D:D,"")</f>
        <v>Región de Metropolitana de Santiago</v>
      </c>
    </row>
    <row r="931" spans="1:10" ht="14.25" customHeight="1" x14ac:dyDescent="0.25">
      <c r="A931">
        <v>761912631</v>
      </c>
      <c r="B931" t="s">
        <v>1365</v>
      </c>
      <c r="C931" t="s">
        <v>4380</v>
      </c>
      <c r="D931">
        <v>8</v>
      </c>
      <c r="E931" t="s">
        <v>4445</v>
      </c>
      <c r="F931" t="s">
        <v>1364</v>
      </c>
      <c r="G931" t="s">
        <v>5569</v>
      </c>
      <c r="H931" t="s">
        <v>4915</v>
      </c>
      <c r="I931" s="79" t="str">
        <f>IF(Tabla13[[#This Row],[RUT]]=774097899,"DIST",_xlfn.XLOOKUP(Tabla13[[#This Row],[VENDEDOR]],dimensiones!$C$21:$C$28,dimensiones!$D$21:$D$28,""))</f>
        <v>ATEL</v>
      </c>
      <c r="J931" s="125" t="str">
        <f>_xlfn.XLOOKUP(Tabla13[[#This Row],[REGION]],dimensiones!C:C,dimensiones!D:D,"")</f>
        <v>Región de Biobío</v>
      </c>
    </row>
    <row r="932" spans="1:10" ht="14.25" customHeight="1" x14ac:dyDescent="0.25">
      <c r="A932">
        <v>761931881</v>
      </c>
      <c r="B932" t="s">
        <v>5517</v>
      </c>
      <c r="C932" t="s">
        <v>4393</v>
      </c>
      <c r="D932">
        <v>13</v>
      </c>
      <c r="E932" t="s">
        <v>4445</v>
      </c>
      <c r="F932" t="s">
        <v>5518</v>
      </c>
      <c r="G932" t="s">
        <v>5568</v>
      </c>
      <c r="H932" t="s">
        <v>4915</v>
      </c>
      <c r="I932" s="79" t="str">
        <f>IF(Tabla13[[#This Row],[RUT]]=774097899,"DIST",_xlfn.XLOOKUP(Tabla13[[#This Row],[VENDEDOR]],dimensiones!$C$21:$C$28,dimensiones!$D$21:$D$28,""))</f>
        <v>ATEL</v>
      </c>
      <c r="J932" s="125" t="str">
        <f>_xlfn.XLOOKUP(Tabla13[[#This Row],[REGION]],dimensiones!C:C,dimensiones!D:D,"")</f>
        <v>Región de Metropolitana de Santiago</v>
      </c>
    </row>
    <row r="933" spans="1:10" ht="14.25" customHeight="1" x14ac:dyDescent="0.25">
      <c r="A933">
        <v>761988220</v>
      </c>
      <c r="B933" t="s">
        <v>110</v>
      </c>
      <c r="C933" t="s">
        <v>4176</v>
      </c>
      <c r="D933">
        <v>13</v>
      </c>
      <c r="E933" t="s">
        <v>4445</v>
      </c>
      <c r="F933" t="s">
        <v>2498</v>
      </c>
      <c r="G933" t="s">
        <v>5570</v>
      </c>
      <c r="H933" t="s">
        <v>4915</v>
      </c>
      <c r="I933" s="79" t="str">
        <f>IF(Tabla13[[#This Row],[RUT]]=774097899,"DIST",_xlfn.XLOOKUP(Tabla13[[#This Row],[VENDEDOR]],dimensiones!$C$21:$C$28,dimensiones!$D$21:$D$28,""))</f>
        <v>ATEL</v>
      </c>
      <c r="J933" s="125" t="str">
        <f>_xlfn.XLOOKUP(Tabla13[[#This Row],[REGION]],dimensiones!C:C,dimensiones!D:D,"")</f>
        <v>Región de Metropolitana de Santiago</v>
      </c>
    </row>
    <row r="934" spans="1:10" ht="14.25" customHeight="1" x14ac:dyDescent="0.25">
      <c r="A934">
        <v>761991272</v>
      </c>
      <c r="B934" t="s">
        <v>4439</v>
      </c>
      <c r="C934" t="s">
        <v>4456</v>
      </c>
      <c r="D934">
        <v>13</v>
      </c>
      <c r="E934" t="s">
        <v>4445</v>
      </c>
      <c r="F934" t="s">
        <v>4564</v>
      </c>
      <c r="G934" t="s">
        <v>5568</v>
      </c>
      <c r="H934" t="s">
        <v>4915</v>
      </c>
      <c r="I934" s="79" t="str">
        <f>IF(Tabla13[[#This Row],[RUT]]=774097899,"DIST",_xlfn.XLOOKUP(Tabla13[[#This Row],[VENDEDOR]],dimensiones!$C$21:$C$28,dimensiones!$D$21:$D$28,""))</f>
        <v>ATEL</v>
      </c>
      <c r="J934" s="125" t="str">
        <f>_xlfn.XLOOKUP(Tabla13[[#This Row],[REGION]],dimensiones!C:C,dimensiones!D:D,"")</f>
        <v>Región de Metropolitana de Santiago</v>
      </c>
    </row>
    <row r="935" spans="1:10" ht="14.25" customHeight="1" x14ac:dyDescent="0.25">
      <c r="A935">
        <v>762039761</v>
      </c>
      <c r="B935" t="s">
        <v>5461</v>
      </c>
      <c r="C935" t="s">
        <v>4465</v>
      </c>
      <c r="D935">
        <v>13</v>
      </c>
      <c r="E935" t="s">
        <v>4445</v>
      </c>
      <c r="F935" t="s">
        <v>5462</v>
      </c>
      <c r="G935" t="s">
        <v>5568</v>
      </c>
      <c r="H935" t="s">
        <v>4915</v>
      </c>
      <c r="I935" s="79" t="str">
        <f>IF(Tabla13[[#This Row],[RUT]]=774097899,"DIST",_xlfn.XLOOKUP(Tabla13[[#This Row],[VENDEDOR]],dimensiones!$C$21:$C$28,dimensiones!$D$21:$D$28,""))</f>
        <v>ATEL</v>
      </c>
      <c r="J935" s="125" t="str">
        <f>_xlfn.XLOOKUP(Tabla13[[#This Row],[REGION]],dimensiones!C:C,dimensiones!D:D,"")</f>
        <v>Región de Metropolitana de Santiago</v>
      </c>
    </row>
    <row r="936" spans="1:10" ht="14.25" customHeight="1" x14ac:dyDescent="0.25">
      <c r="A936">
        <v>762051370</v>
      </c>
      <c r="B936" t="s">
        <v>468</v>
      </c>
      <c r="C936" t="s">
        <v>4460</v>
      </c>
      <c r="D936">
        <v>8</v>
      </c>
      <c r="E936" t="s">
        <v>4445</v>
      </c>
      <c r="F936" t="s">
        <v>2518</v>
      </c>
      <c r="G936" t="s">
        <v>5568</v>
      </c>
      <c r="H936" t="s">
        <v>4915</v>
      </c>
      <c r="I936" s="79" t="str">
        <f>IF(Tabla13[[#This Row],[RUT]]=774097899,"DIST",_xlfn.XLOOKUP(Tabla13[[#This Row],[VENDEDOR]],dimensiones!$C$21:$C$28,dimensiones!$D$21:$D$28,""))</f>
        <v>ATEL</v>
      </c>
      <c r="J936" s="125" t="str">
        <f>_xlfn.XLOOKUP(Tabla13[[#This Row],[REGION]],dimensiones!C:C,dimensiones!D:D,"")</f>
        <v>Región de Biobío</v>
      </c>
    </row>
    <row r="937" spans="1:10" ht="14.25" customHeight="1" x14ac:dyDescent="0.25">
      <c r="A937">
        <v>762051486</v>
      </c>
      <c r="B937" t="s">
        <v>469</v>
      </c>
      <c r="C937" t="s">
        <v>4528</v>
      </c>
      <c r="D937">
        <v>13</v>
      </c>
      <c r="E937" t="s">
        <v>4445</v>
      </c>
      <c r="F937" t="s">
        <v>2520</v>
      </c>
      <c r="G937" t="s">
        <v>5568</v>
      </c>
      <c r="H937" t="s">
        <v>4915</v>
      </c>
      <c r="I937" s="79" t="str">
        <f>IF(Tabla13[[#This Row],[RUT]]=774097899,"DIST",_xlfn.XLOOKUP(Tabla13[[#This Row],[VENDEDOR]],dimensiones!$C$21:$C$28,dimensiones!$D$21:$D$28,""))</f>
        <v>ATEL</v>
      </c>
      <c r="J937" s="125" t="str">
        <f>_xlfn.XLOOKUP(Tabla13[[#This Row],[REGION]],dimensiones!C:C,dimensiones!D:D,"")</f>
        <v>Región de Metropolitana de Santiago</v>
      </c>
    </row>
    <row r="938" spans="1:10" ht="14.25" customHeight="1" x14ac:dyDescent="0.25">
      <c r="A938">
        <v>762082179</v>
      </c>
      <c r="B938" t="s">
        <v>470</v>
      </c>
      <c r="C938" t="s">
        <v>4196</v>
      </c>
      <c r="D938">
        <v>13</v>
      </c>
      <c r="E938" t="s">
        <v>4445</v>
      </c>
      <c r="F938" t="s">
        <v>2522</v>
      </c>
      <c r="G938" t="s">
        <v>5569</v>
      </c>
      <c r="H938" t="s">
        <v>4915</v>
      </c>
      <c r="I938" s="79" t="str">
        <f>IF(Tabla13[[#This Row],[RUT]]=774097899,"DIST",_xlfn.XLOOKUP(Tabla13[[#This Row],[VENDEDOR]],dimensiones!$C$21:$C$28,dimensiones!$D$21:$D$28,""))</f>
        <v>ATEL</v>
      </c>
      <c r="J938" s="125" t="str">
        <f>_xlfn.XLOOKUP(Tabla13[[#This Row],[REGION]],dimensiones!C:C,dimensiones!D:D,"")</f>
        <v>Región de Metropolitana de Santiago</v>
      </c>
    </row>
    <row r="939" spans="1:10" ht="14.25" customHeight="1" x14ac:dyDescent="0.25">
      <c r="A939">
        <v>762090155</v>
      </c>
      <c r="B939" t="s">
        <v>4440</v>
      </c>
      <c r="C939" t="s">
        <v>4495</v>
      </c>
      <c r="D939">
        <v>16</v>
      </c>
      <c r="E939" t="s">
        <v>4445</v>
      </c>
      <c r="F939" t="s">
        <v>4565</v>
      </c>
      <c r="G939" t="s">
        <v>5568</v>
      </c>
      <c r="H939" t="s">
        <v>4915</v>
      </c>
      <c r="I939" s="79" t="str">
        <f>IF(Tabla13[[#This Row],[RUT]]=774097899,"DIST",_xlfn.XLOOKUP(Tabla13[[#This Row],[VENDEDOR]],dimensiones!$C$21:$C$28,dimensiones!$D$21:$D$28,""))</f>
        <v>ATEL</v>
      </c>
      <c r="J939" s="125" t="str">
        <f>_xlfn.XLOOKUP(Tabla13[[#This Row],[REGION]],dimensiones!C:C,dimensiones!D:D,"")</f>
        <v>Región de Ñuble</v>
      </c>
    </row>
    <row r="940" spans="1:10" ht="14.25" customHeight="1" x14ac:dyDescent="0.25">
      <c r="A940">
        <v>762098369</v>
      </c>
      <c r="B940" t="s">
        <v>4133</v>
      </c>
      <c r="C940" t="s">
        <v>4465</v>
      </c>
      <c r="D940">
        <v>13</v>
      </c>
      <c r="E940" t="s">
        <v>4445</v>
      </c>
      <c r="F940" t="s">
        <v>4132</v>
      </c>
      <c r="G940" t="s">
        <v>5568</v>
      </c>
      <c r="H940" t="s">
        <v>4915</v>
      </c>
      <c r="I940" s="79" t="str">
        <f>IF(Tabla13[[#This Row],[RUT]]=774097899,"DIST",_xlfn.XLOOKUP(Tabla13[[#This Row],[VENDEDOR]],dimensiones!$C$21:$C$28,dimensiones!$D$21:$D$28,""))</f>
        <v>ATEL</v>
      </c>
      <c r="J940" s="125" t="str">
        <f>_xlfn.XLOOKUP(Tabla13[[#This Row],[REGION]],dimensiones!C:C,dimensiones!D:D,"")</f>
        <v>Región de Metropolitana de Santiago</v>
      </c>
    </row>
    <row r="941" spans="1:10" ht="14.25" customHeight="1" x14ac:dyDescent="0.25">
      <c r="A941">
        <v>762152606</v>
      </c>
      <c r="B941" t="s">
        <v>2595</v>
      </c>
      <c r="C941" t="s">
        <v>4410</v>
      </c>
      <c r="D941">
        <v>13</v>
      </c>
      <c r="E941" t="s">
        <v>4445</v>
      </c>
      <c r="F941" t="s">
        <v>2594</v>
      </c>
      <c r="G941" t="s">
        <v>5568</v>
      </c>
      <c r="H941" t="s">
        <v>4915</v>
      </c>
      <c r="I941" s="79" t="str">
        <f>IF(Tabla13[[#This Row],[RUT]]=774097899,"DIST",_xlfn.XLOOKUP(Tabla13[[#This Row],[VENDEDOR]],dimensiones!$C$21:$C$28,dimensiones!$D$21:$D$28,""))</f>
        <v>ATEL</v>
      </c>
      <c r="J941" s="125" t="str">
        <f>_xlfn.XLOOKUP(Tabla13[[#This Row],[REGION]],dimensiones!C:C,dimensiones!D:D,"")</f>
        <v>Región de Metropolitana de Santiago</v>
      </c>
    </row>
    <row r="942" spans="1:10" ht="14.25" customHeight="1" x14ac:dyDescent="0.25">
      <c r="A942">
        <v>762174413</v>
      </c>
      <c r="B942" t="s">
        <v>471</v>
      </c>
      <c r="C942" t="s">
        <v>4510</v>
      </c>
      <c r="D942">
        <v>13</v>
      </c>
      <c r="E942" t="s">
        <v>4445</v>
      </c>
      <c r="F942" t="s">
        <v>2528</v>
      </c>
      <c r="G942" t="s">
        <v>5568</v>
      </c>
      <c r="H942" t="s">
        <v>4915</v>
      </c>
      <c r="I942" s="79" t="str">
        <f>IF(Tabla13[[#This Row],[RUT]]=774097899,"DIST",_xlfn.XLOOKUP(Tabla13[[#This Row],[VENDEDOR]],dimensiones!$C$21:$C$28,dimensiones!$D$21:$D$28,""))</f>
        <v>ATEL</v>
      </c>
      <c r="J942" s="125" t="str">
        <f>_xlfn.XLOOKUP(Tabla13[[#This Row],[REGION]],dimensiones!C:C,dimensiones!D:D,"")</f>
        <v>Región de Metropolitana de Santiago</v>
      </c>
    </row>
    <row r="943" spans="1:10" ht="14.25" customHeight="1" x14ac:dyDescent="0.25">
      <c r="A943">
        <v>762177811</v>
      </c>
      <c r="B943" t="s">
        <v>2220</v>
      </c>
      <c r="C943" t="s">
        <v>4391</v>
      </c>
      <c r="D943">
        <v>13</v>
      </c>
      <c r="E943" t="s">
        <v>4445</v>
      </c>
      <c r="F943" t="s">
        <v>2219</v>
      </c>
      <c r="G943" t="s">
        <v>5568</v>
      </c>
      <c r="H943" t="s">
        <v>4915</v>
      </c>
      <c r="I943" s="79" t="str">
        <f>IF(Tabla13[[#This Row],[RUT]]=774097899,"DIST",_xlfn.XLOOKUP(Tabla13[[#This Row],[VENDEDOR]],dimensiones!$C$21:$C$28,dimensiones!$D$21:$D$28,""))</f>
        <v>ATEL</v>
      </c>
      <c r="J943" s="125" t="str">
        <f>_xlfn.XLOOKUP(Tabla13[[#This Row],[REGION]],dimensiones!C:C,dimensiones!D:D,"")</f>
        <v>Región de Metropolitana de Santiago</v>
      </c>
    </row>
    <row r="944" spans="1:10" ht="14.25" customHeight="1" x14ac:dyDescent="0.25">
      <c r="A944">
        <v>762187000</v>
      </c>
      <c r="B944" t="s">
        <v>473</v>
      </c>
      <c r="C944" t="s">
        <v>4168</v>
      </c>
      <c r="D944">
        <v>13</v>
      </c>
      <c r="E944" t="s">
        <v>4445</v>
      </c>
      <c r="F944" t="s">
        <v>2532</v>
      </c>
      <c r="G944" t="s">
        <v>5568</v>
      </c>
      <c r="H944" t="s">
        <v>4915</v>
      </c>
      <c r="I944" s="79" t="str">
        <f>IF(Tabla13[[#This Row],[RUT]]=774097899,"DIST",_xlfn.XLOOKUP(Tabla13[[#This Row],[VENDEDOR]],dimensiones!$C$21:$C$28,dimensiones!$D$21:$D$28,""))</f>
        <v>ATEL</v>
      </c>
      <c r="J944" s="125" t="str">
        <f>_xlfn.XLOOKUP(Tabla13[[#This Row],[REGION]],dimensiones!C:C,dimensiones!D:D,"")</f>
        <v>Región de Metropolitana de Santiago</v>
      </c>
    </row>
    <row r="945" spans="1:10" ht="14.25" customHeight="1" x14ac:dyDescent="0.25">
      <c r="A945">
        <v>762232782</v>
      </c>
      <c r="B945" t="s">
        <v>474</v>
      </c>
      <c r="C945" t="s">
        <v>4460</v>
      </c>
      <c r="D945">
        <v>8</v>
      </c>
      <c r="E945" t="s">
        <v>4445</v>
      </c>
      <c r="F945" t="s">
        <v>2534</v>
      </c>
      <c r="G945" t="s">
        <v>5570</v>
      </c>
      <c r="H945" t="s">
        <v>4915</v>
      </c>
      <c r="I945" s="79" t="str">
        <f>IF(Tabla13[[#This Row],[RUT]]=774097899,"DIST",_xlfn.XLOOKUP(Tabla13[[#This Row],[VENDEDOR]],dimensiones!$C$21:$C$28,dimensiones!$D$21:$D$28,""))</f>
        <v>ATEL</v>
      </c>
      <c r="J945" s="125" t="str">
        <f>_xlfn.XLOOKUP(Tabla13[[#This Row],[REGION]],dimensiones!C:C,dimensiones!D:D,"")</f>
        <v>Región de Biobío</v>
      </c>
    </row>
    <row r="946" spans="1:10" ht="14.25" customHeight="1" x14ac:dyDescent="0.25">
      <c r="A946">
        <v>762255294</v>
      </c>
      <c r="B946" t="s">
        <v>475</v>
      </c>
      <c r="C946" t="s">
        <v>4187</v>
      </c>
      <c r="D946">
        <v>13</v>
      </c>
      <c r="E946" t="s">
        <v>4445</v>
      </c>
      <c r="F946" t="s">
        <v>3653</v>
      </c>
      <c r="G946" t="s">
        <v>5568</v>
      </c>
      <c r="H946" t="s">
        <v>4915</v>
      </c>
      <c r="I946" s="79" t="str">
        <f>IF(Tabla13[[#This Row],[RUT]]=774097899,"DIST",_xlfn.XLOOKUP(Tabla13[[#This Row],[VENDEDOR]],dimensiones!$C$21:$C$28,dimensiones!$D$21:$D$28,""))</f>
        <v>ATEL</v>
      </c>
      <c r="J946" s="125" t="str">
        <f>_xlfn.XLOOKUP(Tabla13[[#This Row],[REGION]],dimensiones!C:C,dimensiones!D:D,"")</f>
        <v>Región de Metropolitana de Santiago</v>
      </c>
    </row>
    <row r="947" spans="1:10" ht="14.25" customHeight="1" x14ac:dyDescent="0.25">
      <c r="A947">
        <v>762404028</v>
      </c>
      <c r="B947" t="s">
        <v>5716</v>
      </c>
      <c r="C947" t="s">
        <v>4285</v>
      </c>
      <c r="D947">
        <v>13</v>
      </c>
      <c r="E947" t="s">
        <v>4445</v>
      </c>
      <c r="F947" t="s">
        <v>5250</v>
      </c>
      <c r="G947" t="s">
        <v>5570</v>
      </c>
      <c r="H947" t="s">
        <v>4915</v>
      </c>
      <c r="I947" s="79" t="str">
        <f>IF(Tabla13[[#This Row],[RUT]]=774097899,"DIST",_xlfn.XLOOKUP(Tabla13[[#This Row],[VENDEDOR]],dimensiones!$C$21:$C$28,dimensiones!$D$21:$D$28,""))</f>
        <v>ATEL</v>
      </c>
      <c r="J947" s="125" t="str">
        <f>_xlfn.XLOOKUP(Tabla13[[#This Row],[REGION]],dimensiones!C:C,dimensiones!D:D,"")</f>
        <v>Región de Metropolitana de Santiago</v>
      </c>
    </row>
    <row r="948" spans="1:10" ht="14.25" customHeight="1" x14ac:dyDescent="0.25">
      <c r="A948">
        <v>762421925</v>
      </c>
      <c r="B948" t="s">
        <v>815</v>
      </c>
      <c r="C948" t="s">
        <v>4465</v>
      </c>
      <c r="D948">
        <v>13</v>
      </c>
      <c r="E948" t="s">
        <v>4445</v>
      </c>
      <c r="F948" t="s">
        <v>2539</v>
      </c>
      <c r="G948" t="s">
        <v>5568</v>
      </c>
      <c r="H948" t="s">
        <v>4915</v>
      </c>
      <c r="I948" s="79" t="str">
        <f>IF(Tabla13[[#This Row],[RUT]]=774097899,"DIST",_xlfn.XLOOKUP(Tabla13[[#This Row],[VENDEDOR]],dimensiones!$C$21:$C$28,dimensiones!$D$21:$D$28,""))</f>
        <v>ATEL</v>
      </c>
      <c r="J948" s="125" t="str">
        <f>_xlfn.XLOOKUP(Tabla13[[#This Row],[REGION]],dimensiones!C:C,dimensiones!D:D,"")</f>
        <v>Región de Metropolitana de Santiago</v>
      </c>
    </row>
    <row r="949" spans="1:10" ht="14.25" customHeight="1" x14ac:dyDescent="0.25">
      <c r="A949">
        <v>762427745</v>
      </c>
      <c r="B949" t="s">
        <v>111</v>
      </c>
      <c r="C949" t="s">
        <v>4394</v>
      </c>
      <c r="D949">
        <v>13</v>
      </c>
      <c r="E949" t="s">
        <v>4453</v>
      </c>
      <c r="F949" t="s">
        <v>1590</v>
      </c>
      <c r="G949" t="s">
        <v>5570</v>
      </c>
      <c r="H949" t="s">
        <v>4915</v>
      </c>
      <c r="I949" s="79" t="str">
        <f>IF(Tabla13[[#This Row],[RUT]]=774097899,"DIST",_xlfn.XLOOKUP(Tabla13[[#This Row],[VENDEDOR]],dimensiones!$C$21:$C$28,dimensiones!$D$21:$D$28,""))</f>
        <v>SANT2</v>
      </c>
      <c r="J949" s="125" t="str">
        <f>_xlfn.XLOOKUP(Tabla13[[#This Row],[REGION]],dimensiones!C:C,dimensiones!D:D,"")</f>
        <v>Región de Metropolitana de Santiago</v>
      </c>
    </row>
    <row r="950" spans="1:10" ht="14.25" customHeight="1" x14ac:dyDescent="0.25">
      <c r="A950">
        <v>762432005</v>
      </c>
      <c r="B950" t="s">
        <v>5619</v>
      </c>
      <c r="C950" t="s">
        <v>4168</v>
      </c>
      <c r="D950">
        <v>13</v>
      </c>
      <c r="E950" t="s">
        <v>4445</v>
      </c>
      <c r="F950" t="s">
        <v>5620</v>
      </c>
      <c r="G950" t="s">
        <v>5568</v>
      </c>
      <c r="H950" t="s">
        <v>4915</v>
      </c>
      <c r="I950" s="79" t="str">
        <f>IF(Tabla13[[#This Row],[RUT]]=774097899,"DIST",_xlfn.XLOOKUP(Tabla13[[#This Row],[VENDEDOR]],dimensiones!$C$21:$C$28,dimensiones!$D$21:$D$28,""))</f>
        <v>ATEL</v>
      </c>
      <c r="J950" s="125" t="str">
        <f>_xlfn.XLOOKUP(Tabla13[[#This Row],[REGION]],dimensiones!C:C,dimensiones!D:D,"")</f>
        <v>Región de Metropolitana de Santiago</v>
      </c>
    </row>
    <row r="951" spans="1:10" ht="14.25" customHeight="1" x14ac:dyDescent="0.25">
      <c r="A951">
        <v>762522500</v>
      </c>
      <c r="B951" t="s">
        <v>1080</v>
      </c>
      <c r="C951" t="s">
        <v>4168</v>
      </c>
      <c r="D951">
        <v>13</v>
      </c>
      <c r="E951" t="s">
        <v>4445</v>
      </c>
      <c r="F951" t="s">
        <v>2544</v>
      </c>
      <c r="G951" t="s">
        <v>5570</v>
      </c>
      <c r="H951" t="s">
        <v>4915</v>
      </c>
      <c r="I951" s="79" t="str">
        <f>IF(Tabla13[[#This Row],[RUT]]=774097899,"DIST",_xlfn.XLOOKUP(Tabla13[[#This Row],[VENDEDOR]],dimensiones!$C$21:$C$28,dimensiones!$D$21:$D$28,""))</f>
        <v>ATEL</v>
      </c>
      <c r="J951" s="125" t="str">
        <f>_xlfn.XLOOKUP(Tabla13[[#This Row],[REGION]],dimensiones!C:C,dimensiones!D:D,"")</f>
        <v>Región de Metropolitana de Santiago</v>
      </c>
    </row>
    <row r="952" spans="1:10" ht="14.25" customHeight="1" x14ac:dyDescent="0.25">
      <c r="A952">
        <v>762561387</v>
      </c>
      <c r="B952" t="s">
        <v>4032</v>
      </c>
      <c r="C952" t="s">
        <v>4444</v>
      </c>
      <c r="D952">
        <v>13</v>
      </c>
      <c r="E952" t="s">
        <v>4445</v>
      </c>
      <c r="F952" t="s">
        <v>4031</v>
      </c>
      <c r="G952" t="s">
        <v>5568</v>
      </c>
      <c r="H952" t="s">
        <v>4915</v>
      </c>
      <c r="I952" s="79" t="str">
        <f>IF(Tabla13[[#This Row],[RUT]]=774097899,"DIST",_xlfn.XLOOKUP(Tabla13[[#This Row],[VENDEDOR]],dimensiones!$C$21:$C$28,dimensiones!$D$21:$D$28,""))</f>
        <v>ATEL</v>
      </c>
      <c r="J952" s="125" t="str">
        <f>_xlfn.XLOOKUP(Tabla13[[#This Row],[REGION]],dimensiones!C:C,dimensiones!D:D,"")</f>
        <v>Región de Metropolitana de Santiago</v>
      </c>
    </row>
    <row r="953" spans="1:10" ht="14.25" customHeight="1" x14ac:dyDescent="0.25">
      <c r="A953">
        <v>762569094</v>
      </c>
      <c r="B953" t="s">
        <v>816</v>
      </c>
      <c r="C953" t="s">
        <v>4452</v>
      </c>
      <c r="D953">
        <v>13</v>
      </c>
      <c r="E953" t="s">
        <v>4445</v>
      </c>
      <c r="F953" t="s">
        <v>1754</v>
      </c>
      <c r="G953" t="s">
        <v>5568</v>
      </c>
      <c r="H953" t="s">
        <v>4915</v>
      </c>
      <c r="I953" s="79" t="str">
        <f>IF(Tabla13[[#This Row],[RUT]]=774097899,"DIST",_xlfn.XLOOKUP(Tabla13[[#This Row],[VENDEDOR]],dimensiones!$C$21:$C$28,dimensiones!$D$21:$D$28,""))</f>
        <v>ATEL</v>
      </c>
      <c r="J953" s="125" t="str">
        <f>_xlfn.XLOOKUP(Tabla13[[#This Row],[REGION]],dimensiones!C:C,dimensiones!D:D,"")</f>
        <v>Región de Metropolitana de Santiago</v>
      </c>
    </row>
    <row r="954" spans="1:10" ht="14.25" customHeight="1" x14ac:dyDescent="0.25">
      <c r="A954">
        <v>762666510</v>
      </c>
      <c r="B954" t="s">
        <v>476</v>
      </c>
      <c r="C954" t="s">
        <v>4182</v>
      </c>
      <c r="D954">
        <v>2</v>
      </c>
      <c r="E954" t="s">
        <v>4445</v>
      </c>
      <c r="F954" t="s">
        <v>2549</v>
      </c>
      <c r="G954" t="s">
        <v>5570</v>
      </c>
      <c r="H954" t="s">
        <v>4915</v>
      </c>
      <c r="I954" s="79" t="str">
        <f>IF(Tabla13[[#This Row],[RUT]]=774097899,"DIST",_xlfn.XLOOKUP(Tabla13[[#This Row],[VENDEDOR]],dimensiones!$C$21:$C$28,dimensiones!$D$21:$D$28,""))</f>
        <v>ATEL</v>
      </c>
      <c r="J954" s="125" t="str">
        <f>_xlfn.XLOOKUP(Tabla13[[#This Row],[REGION]],dimensiones!C:C,dimensiones!D:D,"")</f>
        <v>Región de Antofagasta</v>
      </c>
    </row>
    <row r="955" spans="1:10" ht="14.25" customHeight="1" x14ac:dyDescent="0.25">
      <c r="A955">
        <v>762787458</v>
      </c>
      <c r="B955" t="s">
        <v>1011</v>
      </c>
      <c r="C955" t="s">
        <v>4448</v>
      </c>
      <c r="D955">
        <v>13</v>
      </c>
      <c r="E955" t="s">
        <v>4445</v>
      </c>
      <c r="F955" t="s">
        <v>2551</v>
      </c>
      <c r="G955" t="s">
        <v>5568</v>
      </c>
      <c r="H955" t="s">
        <v>4915</v>
      </c>
      <c r="I955" s="79" t="str">
        <f>IF(Tabla13[[#This Row],[RUT]]=774097899,"DIST",_xlfn.XLOOKUP(Tabla13[[#This Row],[VENDEDOR]],dimensiones!$C$21:$C$28,dimensiones!$D$21:$D$28,""))</f>
        <v>ATEL</v>
      </c>
      <c r="J955" s="125" t="str">
        <f>_xlfn.XLOOKUP(Tabla13[[#This Row],[REGION]],dimensiones!C:C,dimensiones!D:D,"")</f>
        <v>Región de Metropolitana de Santiago</v>
      </c>
    </row>
    <row r="956" spans="1:10" ht="14.25" customHeight="1" x14ac:dyDescent="0.25">
      <c r="A956">
        <v>762811316</v>
      </c>
      <c r="B956" t="s">
        <v>5629</v>
      </c>
      <c r="C956" t="s">
        <v>4390</v>
      </c>
      <c r="D956">
        <v>13</v>
      </c>
      <c r="E956" t="s">
        <v>4445</v>
      </c>
      <c r="F956" t="s">
        <v>5630</v>
      </c>
      <c r="G956" t="s">
        <v>5569</v>
      </c>
      <c r="H956" t="s">
        <v>4915</v>
      </c>
      <c r="I956" s="79" t="str">
        <f>IF(Tabla13[[#This Row],[RUT]]=774097899,"DIST",_xlfn.XLOOKUP(Tabla13[[#This Row],[VENDEDOR]],dimensiones!$C$21:$C$28,dimensiones!$D$21:$D$28,""))</f>
        <v>ATEL</v>
      </c>
      <c r="J956" s="125" t="str">
        <f>_xlfn.XLOOKUP(Tabla13[[#This Row],[REGION]],dimensiones!C:C,dimensiones!D:D,"")</f>
        <v>Región de Metropolitana de Santiago</v>
      </c>
    </row>
    <row r="957" spans="1:10" ht="14.25" customHeight="1" x14ac:dyDescent="0.25">
      <c r="A957">
        <v>762886111</v>
      </c>
      <c r="B957" t="s">
        <v>3298</v>
      </c>
      <c r="C957" t="s">
        <v>4465</v>
      </c>
      <c r="D957">
        <v>13</v>
      </c>
      <c r="E957" t="s">
        <v>4445</v>
      </c>
      <c r="F957" t="s">
        <v>3297</v>
      </c>
      <c r="G957" t="s">
        <v>5570</v>
      </c>
      <c r="H957" t="s">
        <v>4915</v>
      </c>
      <c r="I957" s="79" t="str">
        <f>IF(Tabla13[[#This Row],[RUT]]=774097899,"DIST",_xlfn.XLOOKUP(Tabla13[[#This Row],[VENDEDOR]],dimensiones!$C$21:$C$28,dimensiones!$D$21:$D$28,""))</f>
        <v>ATEL</v>
      </c>
      <c r="J957" s="125" t="str">
        <f>_xlfn.XLOOKUP(Tabla13[[#This Row],[REGION]],dimensiones!C:C,dimensiones!D:D,"")</f>
        <v>Región de Metropolitana de Santiago</v>
      </c>
    </row>
    <row r="958" spans="1:10" ht="14.25" customHeight="1" x14ac:dyDescent="0.25">
      <c r="A958">
        <v>762887231</v>
      </c>
      <c r="B958" t="s">
        <v>817</v>
      </c>
      <c r="C958" t="s">
        <v>4389</v>
      </c>
      <c r="D958">
        <v>9</v>
      </c>
      <c r="E958" t="s">
        <v>4445</v>
      </c>
      <c r="F958" t="s">
        <v>2556</v>
      </c>
      <c r="G958" t="s">
        <v>5570</v>
      </c>
      <c r="H958" t="s">
        <v>4915</v>
      </c>
      <c r="I958" s="79" t="str">
        <f>IF(Tabla13[[#This Row],[RUT]]=774097899,"DIST",_xlfn.XLOOKUP(Tabla13[[#This Row],[VENDEDOR]],dimensiones!$C$21:$C$28,dimensiones!$D$21:$D$28,""))</f>
        <v>ATEL</v>
      </c>
      <c r="J958" s="125" t="str">
        <f>_xlfn.XLOOKUP(Tabla13[[#This Row],[REGION]],dimensiones!C:C,dimensiones!D:D,"")</f>
        <v>Región de La Araucanía</v>
      </c>
    </row>
    <row r="959" spans="1:10" ht="14.25" customHeight="1" x14ac:dyDescent="0.25">
      <c r="A959">
        <v>762996316</v>
      </c>
      <c r="B959" t="s">
        <v>2559</v>
      </c>
      <c r="C959" t="s">
        <v>4230</v>
      </c>
      <c r="D959">
        <v>10</v>
      </c>
      <c r="E959" t="s">
        <v>4445</v>
      </c>
      <c r="F959" t="s">
        <v>2558</v>
      </c>
      <c r="G959" t="s">
        <v>5568</v>
      </c>
      <c r="H959" t="s">
        <v>4915</v>
      </c>
      <c r="I959" s="79" t="str">
        <f>IF(Tabla13[[#This Row],[RUT]]=774097899,"DIST",_xlfn.XLOOKUP(Tabla13[[#This Row],[VENDEDOR]],dimensiones!$C$21:$C$28,dimensiones!$D$21:$D$28,""))</f>
        <v>ATEL</v>
      </c>
      <c r="J959" s="125" t="str">
        <f>_xlfn.XLOOKUP(Tabla13[[#This Row],[REGION]],dimensiones!C:C,dimensiones!D:D,"")</f>
        <v>Región de Los Lagos</v>
      </c>
    </row>
    <row r="960" spans="1:10" ht="14.25" customHeight="1" x14ac:dyDescent="0.25">
      <c r="A960">
        <v>763023885</v>
      </c>
      <c r="B960" t="s">
        <v>960</v>
      </c>
      <c r="C960" t="s">
        <v>4555</v>
      </c>
      <c r="D960">
        <v>13</v>
      </c>
      <c r="E960" t="s">
        <v>4445</v>
      </c>
      <c r="F960" t="s">
        <v>2561</v>
      </c>
      <c r="G960" t="s">
        <v>5569</v>
      </c>
      <c r="H960" t="s">
        <v>4915</v>
      </c>
      <c r="I960" s="79" t="str">
        <f>IF(Tabla13[[#This Row],[RUT]]=774097899,"DIST",_xlfn.XLOOKUP(Tabla13[[#This Row],[VENDEDOR]],dimensiones!$C$21:$C$28,dimensiones!$D$21:$D$28,""))</f>
        <v>ATEL</v>
      </c>
      <c r="J960" s="125" t="str">
        <f>_xlfn.XLOOKUP(Tabla13[[#This Row],[REGION]],dimensiones!C:C,dimensiones!D:D,"")</f>
        <v>Región de Metropolitana de Santiago</v>
      </c>
    </row>
    <row r="961" spans="1:10" ht="14.25" customHeight="1" x14ac:dyDescent="0.25">
      <c r="A961">
        <v>763058891</v>
      </c>
      <c r="B961" t="s">
        <v>5492</v>
      </c>
      <c r="C961" t="s">
        <v>4495</v>
      </c>
      <c r="D961">
        <v>13</v>
      </c>
      <c r="E961" t="s">
        <v>4445</v>
      </c>
      <c r="F961" t="s">
        <v>5493</v>
      </c>
      <c r="G961" t="s">
        <v>5568</v>
      </c>
      <c r="H961" t="s">
        <v>4915</v>
      </c>
      <c r="I961" s="79" t="str">
        <f>IF(Tabla13[[#This Row],[RUT]]=774097899,"DIST",_xlfn.XLOOKUP(Tabla13[[#This Row],[VENDEDOR]],dimensiones!$C$21:$C$28,dimensiones!$D$21:$D$28,""))</f>
        <v>ATEL</v>
      </c>
      <c r="J961" s="125" t="str">
        <f>_xlfn.XLOOKUP(Tabla13[[#This Row],[REGION]],dimensiones!C:C,dimensiones!D:D,"")</f>
        <v>Región de Metropolitana de Santiago</v>
      </c>
    </row>
    <row r="962" spans="1:10" ht="14.25" customHeight="1" x14ac:dyDescent="0.25">
      <c r="A962">
        <v>763072797</v>
      </c>
      <c r="B962" t="s">
        <v>930</v>
      </c>
      <c r="C962" t="s">
        <v>4183</v>
      </c>
      <c r="D962">
        <v>8</v>
      </c>
      <c r="E962" t="s">
        <v>4445</v>
      </c>
      <c r="F962" t="s">
        <v>2563</v>
      </c>
      <c r="G962" t="s">
        <v>5570</v>
      </c>
      <c r="H962" t="s">
        <v>4915</v>
      </c>
      <c r="I962" s="79" t="str">
        <f>IF(Tabla13[[#This Row],[RUT]]=774097899,"DIST",_xlfn.XLOOKUP(Tabla13[[#This Row],[VENDEDOR]],dimensiones!$C$21:$C$28,dimensiones!$D$21:$D$28,""))</f>
        <v>ATEL</v>
      </c>
      <c r="J962" s="125" t="str">
        <f>_xlfn.XLOOKUP(Tabla13[[#This Row],[REGION]],dimensiones!C:C,dimensiones!D:D,"")</f>
        <v>Región de Biobío</v>
      </c>
    </row>
    <row r="963" spans="1:10" ht="14.25" customHeight="1" x14ac:dyDescent="0.25">
      <c r="A963">
        <v>763234738</v>
      </c>
      <c r="B963" t="s">
        <v>5511</v>
      </c>
      <c r="C963" t="s">
        <v>4497</v>
      </c>
      <c r="D963">
        <v>8</v>
      </c>
      <c r="E963" t="s">
        <v>4445</v>
      </c>
      <c r="F963" t="s">
        <v>5512</v>
      </c>
      <c r="G963" t="s">
        <v>5568</v>
      </c>
      <c r="H963" t="s">
        <v>4915</v>
      </c>
      <c r="I963" s="79" t="str">
        <f>IF(Tabla13[[#This Row],[RUT]]=774097899,"DIST",_xlfn.XLOOKUP(Tabla13[[#This Row],[VENDEDOR]],dimensiones!$C$21:$C$28,dimensiones!$D$21:$D$28,""))</f>
        <v>ATEL</v>
      </c>
      <c r="J963" s="125" t="str">
        <f>_xlfn.XLOOKUP(Tabla13[[#This Row],[REGION]],dimensiones!C:C,dimensiones!D:D,"")</f>
        <v>Región de Biobío</v>
      </c>
    </row>
    <row r="964" spans="1:10" ht="14.25" customHeight="1" x14ac:dyDescent="0.25">
      <c r="A964">
        <v>763244970</v>
      </c>
      <c r="B964" t="s">
        <v>477</v>
      </c>
      <c r="C964" t="s">
        <v>4552</v>
      </c>
      <c r="D964">
        <v>13</v>
      </c>
      <c r="E964" t="s">
        <v>4445</v>
      </c>
      <c r="F964" t="s">
        <v>2565</v>
      </c>
      <c r="G964" t="s">
        <v>5570</v>
      </c>
      <c r="H964" t="s">
        <v>4915</v>
      </c>
      <c r="I964" s="79" t="str">
        <f>IF(Tabla13[[#This Row],[RUT]]=774097899,"DIST",_xlfn.XLOOKUP(Tabla13[[#This Row],[VENDEDOR]],dimensiones!$C$21:$C$28,dimensiones!$D$21:$D$28,""))</f>
        <v>ATEL</v>
      </c>
      <c r="J964" s="125" t="str">
        <f>_xlfn.XLOOKUP(Tabla13[[#This Row],[REGION]],dimensiones!C:C,dimensiones!D:D,"")</f>
        <v>Región de Metropolitana de Santiago</v>
      </c>
    </row>
    <row r="965" spans="1:10" ht="14.25" customHeight="1" x14ac:dyDescent="0.25">
      <c r="A965">
        <v>763252787</v>
      </c>
      <c r="B965" t="s">
        <v>5531</v>
      </c>
      <c r="C965" t="s">
        <v>4465</v>
      </c>
      <c r="D965">
        <v>13</v>
      </c>
      <c r="E965" t="s">
        <v>4445</v>
      </c>
      <c r="F965" t="s">
        <v>5532</v>
      </c>
      <c r="G965" t="s">
        <v>5568</v>
      </c>
      <c r="H965" t="s">
        <v>4915</v>
      </c>
      <c r="I965" s="79" t="str">
        <f>IF(Tabla13[[#This Row],[RUT]]=774097899,"DIST",_xlfn.XLOOKUP(Tabla13[[#This Row],[VENDEDOR]],dimensiones!$C$21:$C$28,dimensiones!$D$21:$D$28,""))</f>
        <v>ATEL</v>
      </c>
      <c r="J965" s="125" t="str">
        <f>_xlfn.XLOOKUP(Tabla13[[#This Row],[REGION]],dimensiones!C:C,dimensiones!D:D,"")</f>
        <v>Región de Metropolitana de Santiago</v>
      </c>
    </row>
    <row r="966" spans="1:10" ht="14.25" customHeight="1" x14ac:dyDescent="0.25">
      <c r="A966" t="s">
        <v>4767</v>
      </c>
      <c r="B966" t="s">
        <v>3503</v>
      </c>
      <c r="C966" t="s">
        <v>4391</v>
      </c>
      <c r="D966">
        <v>13</v>
      </c>
      <c r="E966" t="s">
        <v>4445</v>
      </c>
      <c r="F966" t="s">
        <v>3502</v>
      </c>
      <c r="G966" t="s">
        <v>5568</v>
      </c>
      <c r="H966" t="s">
        <v>4915</v>
      </c>
      <c r="I966" s="79" t="str">
        <f>IF(Tabla13[[#This Row],[RUT]]=774097899,"DIST",_xlfn.XLOOKUP(Tabla13[[#This Row],[VENDEDOR]],dimensiones!$C$21:$C$28,dimensiones!$D$21:$D$28,""))</f>
        <v>ATEL</v>
      </c>
      <c r="J966" s="125" t="str">
        <f>_xlfn.XLOOKUP(Tabla13[[#This Row],[REGION]],dimensiones!C:C,dimensiones!D:D,"")</f>
        <v>Región de Metropolitana de Santiago</v>
      </c>
    </row>
    <row r="967" spans="1:10" ht="14.25" customHeight="1" x14ac:dyDescent="0.25">
      <c r="A967">
        <v>763360393</v>
      </c>
      <c r="B967" t="s">
        <v>112</v>
      </c>
      <c r="C967" t="s">
        <v>4528</v>
      </c>
      <c r="D967">
        <v>13</v>
      </c>
      <c r="E967" t="s">
        <v>4457</v>
      </c>
      <c r="F967" t="s">
        <v>3913</v>
      </c>
      <c r="G967" t="s">
        <v>5570</v>
      </c>
      <c r="H967" t="s">
        <v>4915</v>
      </c>
      <c r="I967" s="79" t="str">
        <f>IF(Tabla13[[#This Row],[RUT]]=774097899,"DIST",_xlfn.XLOOKUP(Tabla13[[#This Row],[VENDEDOR]],dimensiones!$C$21:$C$28,dimensiones!$D$21:$D$28,""))</f>
        <v>SANT1</v>
      </c>
      <c r="J967" s="125" t="str">
        <f>_xlfn.XLOOKUP(Tabla13[[#This Row],[REGION]],dimensiones!C:C,dimensiones!D:D,"")</f>
        <v>Región de Metropolitana de Santiago</v>
      </c>
    </row>
    <row r="968" spans="1:10" ht="14.25" customHeight="1" x14ac:dyDescent="0.25">
      <c r="A968">
        <v>763370003</v>
      </c>
      <c r="B968" t="s">
        <v>4567</v>
      </c>
      <c r="C968" t="s">
        <v>4390</v>
      </c>
      <c r="D968">
        <v>13</v>
      </c>
      <c r="E968" t="s">
        <v>4445</v>
      </c>
      <c r="F968" t="s">
        <v>4566</v>
      </c>
      <c r="G968" t="s">
        <v>5568</v>
      </c>
      <c r="H968" t="s">
        <v>4915</v>
      </c>
      <c r="I968" s="79" t="str">
        <f>IF(Tabla13[[#This Row],[RUT]]=774097899,"DIST",_xlfn.XLOOKUP(Tabla13[[#This Row],[VENDEDOR]],dimensiones!$C$21:$C$28,dimensiones!$D$21:$D$28,""))</f>
        <v>ATEL</v>
      </c>
      <c r="J968" s="125" t="str">
        <f>_xlfn.XLOOKUP(Tabla13[[#This Row],[REGION]],dimensiones!C:C,dimensiones!D:D,"")</f>
        <v>Región de Metropolitana de Santiago</v>
      </c>
    </row>
    <row r="969" spans="1:10" ht="14.25" customHeight="1" x14ac:dyDescent="0.25">
      <c r="A969">
        <v>763414132</v>
      </c>
      <c r="B969" t="s">
        <v>5621</v>
      </c>
      <c r="C969" t="s">
        <v>4458</v>
      </c>
      <c r="D969">
        <v>13</v>
      </c>
      <c r="E969" t="s">
        <v>4445</v>
      </c>
      <c r="F969" t="s">
        <v>5622</v>
      </c>
      <c r="G969" t="s">
        <v>5568</v>
      </c>
      <c r="H969" t="s">
        <v>4915</v>
      </c>
      <c r="I969" s="79" t="str">
        <f>IF(Tabla13[[#This Row],[RUT]]=774097899,"DIST",_xlfn.XLOOKUP(Tabla13[[#This Row],[VENDEDOR]],dimensiones!$C$21:$C$28,dimensiones!$D$21:$D$28,""))</f>
        <v>ATEL</v>
      </c>
      <c r="J969" s="125" t="str">
        <f>_xlfn.XLOOKUP(Tabla13[[#This Row],[REGION]],dimensiones!C:C,dimensiones!D:D,"")</f>
        <v>Región de Metropolitana de Santiago</v>
      </c>
    </row>
    <row r="970" spans="1:10" ht="14.25" customHeight="1" x14ac:dyDescent="0.25">
      <c r="A970">
        <v>763456226</v>
      </c>
      <c r="B970" t="s">
        <v>818</v>
      </c>
      <c r="C970" t="s">
        <v>4224</v>
      </c>
      <c r="D970">
        <v>10</v>
      </c>
      <c r="E970" t="s">
        <v>4445</v>
      </c>
      <c r="F970" t="s">
        <v>1857</v>
      </c>
      <c r="G970" t="s">
        <v>5570</v>
      </c>
      <c r="H970" t="s">
        <v>4915</v>
      </c>
      <c r="I970" s="79" t="str">
        <f>IF(Tabla13[[#This Row],[RUT]]=774097899,"DIST",_xlfn.XLOOKUP(Tabla13[[#This Row],[VENDEDOR]],dimensiones!$C$21:$C$28,dimensiones!$D$21:$D$28,""))</f>
        <v>ATEL</v>
      </c>
      <c r="J970" s="125" t="str">
        <f>_xlfn.XLOOKUP(Tabla13[[#This Row],[REGION]],dimensiones!C:C,dimensiones!D:D,"")</f>
        <v>Región de Los Lagos</v>
      </c>
    </row>
    <row r="971" spans="1:10" ht="14.25" customHeight="1" x14ac:dyDescent="0.25">
      <c r="A971">
        <v>763489477</v>
      </c>
      <c r="B971" t="s">
        <v>819</v>
      </c>
      <c r="C971" t="s">
        <v>4460</v>
      </c>
      <c r="D971">
        <v>8</v>
      </c>
      <c r="E971" t="s">
        <v>4445</v>
      </c>
      <c r="F971" t="s">
        <v>2574</v>
      </c>
      <c r="G971" t="s">
        <v>5568</v>
      </c>
      <c r="H971" t="s">
        <v>4915</v>
      </c>
      <c r="I971" s="79" t="str">
        <f>IF(Tabla13[[#This Row],[RUT]]=774097899,"DIST",_xlfn.XLOOKUP(Tabla13[[#This Row],[VENDEDOR]],dimensiones!$C$21:$C$28,dimensiones!$D$21:$D$28,""))</f>
        <v>ATEL</v>
      </c>
      <c r="J971" s="125" t="str">
        <f>_xlfn.XLOOKUP(Tabla13[[#This Row],[REGION]],dimensiones!C:C,dimensiones!D:D,"")</f>
        <v>Región de Biobío</v>
      </c>
    </row>
    <row r="972" spans="1:10" ht="14.25" customHeight="1" x14ac:dyDescent="0.25">
      <c r="A972">
        <v>763632059</v>
      </c>
      <c r="B972" t="s">
        <v>113</v>
      </c>
      <c r="C972" t="s">
        <v>4458</v>
      </c>
      <c r="D972">
        <v>13</v>
      </c>
      <c r="E972" t="s">
        <v>4445</v>
      </c>
      <c r="F972" t="s">
        <v>2576</v>
      </c>
      <c r="G972" t="s">
        <v>5570</v>
      </c>
      <c r="H972" t="s">
        <v>4915</v>
      </c>
      <c r="I972" s="79" t="str">
        <f>IF(Tabla13[[#This Row],[RUT]]=774097899,"DIST",_xlfn.XLOOKUP(Tabla13[[#This Row],[VENDEDOR]],dimensiones!$C$21:$C$28,dimensiones!$D$21:$D$28,""))</f>
        <v>ATEL</v>
      </c>
      <c r="J972" s="125" t="str">
        <f>_xlfn.XLOOKUP(Tabla13[[#This Row],[REGION]],dimensiones!C:C,dimensiones!D:D,"")</f>
        <v>Región de Metropolitana de Santiago</v>
      </c>
    </row>
    <row r="973" spans="1:10" ht="14.25" customHeight="1" x14ac:dyDescent="0.25">
      <c r="A973" t="s">
        <v>707</v>
      </c>
      <c r="B973" t="s">
        <v>2579</v>
      </c>
      <c r="C973" t="s">
        <v>4552</v>
      </c>
      <c r="D973">
        <v>13</v>
      </c>
      <c r="E973" t="s">
        <v>4445</v>
      </c>
      <c r="F973" t="s">
        <v>2578</v>
      </c>
      <c r="G973" t="s">
        <v>5570</v>
      </c>
      <c r="H973" t="s">
        <v>4915</v>
      </c>
      <c r="I973" s="79" t="str">
        <f>IF(Tabla13[[#This Row],[RUT]]=774097899,"DIST",_xlfn.XLOOKUP(Tabla13[[#This Row],[VENDEDOR]],dimensiones!$C$21:$C$28,dimensiones!$D$21:$D$28,""))</f>
        <v>ATEL</v>
      </c>
      <c r="J973" s="125" t="str">
        <f>_xlfn.XLOOKUP(Tabla13[[#This Row],[REGION]],dimensiones!C:C,dimensiones!D:D,"")</f>
        <v>Región de Metropolitana de Santiago</v>
      </c>
    </row>
    <row r="974" spans="1:10" ht="14.25" customHeight="1" x14ac:dyDescent="0.25">
      <c r="A974">
        <v>763686035</v>
      </c>
      <c r="B974" t="s">
        <v>2582</v>
      </c>
      <c r="C974" t="s">
        <v>4391</v>
      </c>
      <c r="D974">
        <v>13</v>
      </c>
      <c r="E974" t="s">
        <v>4445</v>
      </c>
      <c r="F974" t="s">
        <v>2581</v>
      </c>
      <c r="G974" t="s">
        <v>5570</v>
      </c>
      <c r="H974" t="s">
        <v>4915</v>
      </c>
      <c r="I974" s="79" t="str">
        <f>IF(Tabla13[[#This Row],[RUT]]=774097899,"DIST",_xlfn.XLOOKUP(Tabla13[[#This Row],[VENDEDOR]],dimensiones!$C$21:$C$28,dimensiones!$D$21:$D$28,""))</f>
        <v>ATEL</v>
      </c>
      <c r="J974" s="125" t="str">
        <f>_xlfn.XLOOKUP(Tabla13[[#This Row],[REGION]],dimensiones!C:C,dimensiones!D:D,"")</f>
        <v>Región de Metropolitana de Santiago</v>
      </c>
    </row>
    <row r="975" spans="1:10" ht="14.25" customHeight="1" x14ac:dyDescent="0.25">
      <c r="A975">
        <v>763713024</v>
      </c>
      <c r="B975" t="s">
        <v>478</v>
      </c>
      <c r="C975" t="s">
        <v>4510</v>
      </c>
      <c r="D975">
        <v>13</v>
      </c>
      <c r="E975" t="s">
        <v>4445</v>
      </c>
      <c r="F975" t="s">
        <v>2584</v>
      </c>
      <c r="G975" t="s">
        <v>5570</v>
      </c>
      <c r="H975" t="s">
        <v>4915</v>
      </c>
      <c r="I975" s="79" t="str">
        <f>IF(Tabla13[[#This Row],[RUT]]=774097899,"DIST",_xlfn.XLOOKUP(Tabla13[[#This Row],[VENDEDOR]],dimensiones!$C$21:$C$28,dimensiones!$D$21:$D$28,""))</f>
        <v>ATEL</v>
      </c>
      <c r="J975" s="125" t="str">
        <f>_xlfn.XLOOKUP(Tabla13[[#This Row],[REGION]],dimensiones!C:C,dimensiones!D:D,"")</f>
        <v>Región de Metropolitana de Santiago</v>
      </c>
    </row>
    <row r="976" spans="1:10" ht="14.25" customHeight="1" x14ac:dyDescent="0.25">
      <c r="A976">
        <v>763893839</v>
      </c>
      <c r="B976" t="s">
        <v>479</v>
      </c>
      <c r="C976" t="s">
        <v>4187</v>
      </c>
      <c r="D976">
        <v>13</v>
      </c>
      <c r="E976" t="s">
        <v>4445</v>
      </c>
      <c r="F976" t="s">
        <v>2586</v>
      </c>
      <c r="G976" t="s">
        <v>5568</v>
      </c>
      <c r="H976" t="s">
        <v>4915</v>
      </c>
      <c r="I976" s="79" t="str">
        <f>IF(Tabla13[[#This Row],[RUT]]=774097899,"DIST",_xlfn.XLOOKUP(Tabla13[[#This Row],[VENDEDOR]],dimensiones!$C$21:$C$28,dimensiones!$D$21:$D$28,""))</f>
        <v>ATEL</v>
      </c>
      <c r="J976" s="125" t="str">
        <f>_xlfn.XLOOKUP(Tabla13[[#This Row],[REGION]],dimensiones!C:C,dimensiones!D:D,"")</f>
        <v>Región de Metropolitana de Santiago</v>
      </c>
    </row>
    <row r="977" spans="1:10" ht="14.25" customHeight="1" x14ac:dyDescent="0.25">
      <c r="A977">
        <v>763909670</v>
      </c>
      <c r="B977" t="s">
        <v>5494</v>
      </c>
      <c r="C977" t="s">
        <v>4391</v>
      </c>
      <c r="D977">
        <v>13</v>
      </c>
      <c r="E977" t="s">
        <v>4445</v>
      </c>
      <c r="F977" t="s">
        <v>5495</v>
      </c>
      <c r="G977" t="s">
        <v>5568</v>
      </c>
      <c r="H977" t="s">
        <v>4915</v>
      </c>
      <c r="I977" s="79" t="str">
        <f>IF(Tabla13[[#This Row],[RUT]]=774097899,"DIST",_xlfn.XLOOKUP(Tabla13[[#This Row],[VENDEDOR]],dimensiones!$C$21:$C$28,dimensiones!$D$21:$D$28,""))</f>
        <v>ATEL</v>
      </c>
      <c r="J977" s="125" t="str">
        <f>_xlfn.XLOOKUP(Tabla13[[#This Row],[REGION]],dimensiones!C:C,dimensiones!D:D,"")</f>
        <v>Región de Metropolitana de Santiago</v>
      </c>
    </row>
    <row r="978" spans="1:10" ht="14.25" customHeight="1" x14ac:dyDescent="0.25">
      <c r="A978">
        <v>763991776</v>
      </c>
      <c r="B978" t="s">
        <v>820</v>
      </c>
      <c r="C978" t="s">
        <v>4292</v>
      </c>
      <c r="D978">
        <v>10</v>
      </c>
      <c r="E978" t="s">
        <v>4445</v>
      </c>
      <c r="F978" t="s">
        <v>2588</v>
      </c>
      <c r="G978" t="s">
        <v>5570</v>
      </c>
      <c r="H978" t="s">
        <v>4915</v>
      </c>
      <c r="I978" s="79" t="str">
        <f>IF(Tabla13[[#This Row],[RUT]]=774097899,"DIST",_xlfn.XLOOKUP(Tabla13[[#This Row],[VENDEDOR]],dimensiones!$C$21:$C$28,dimensiones!$D$21:$D$28,""))</f>
        <v>ATEL</v>
      </c>
      <c r="J978" s="125" t="str">
        <f>_xlfn.XLOOKUP(Tabla13[[#This Row],[REGION]],dimensiones!C:C,dimensiones!D:D,"")</f>
        <v>Región de Los Lagos</v>
      </c>
    </row>
    <row r="979" spans="1:10" ht="14.25" customHeight="1" x14ac:dyDescent="0.25">
      <c r="A979">
        <v>764003837</v>
      </c>
      <c r="B979" t="s">
        <v>821</v>
      </c>
      <c r="C979" t="s">
        <v>4460</v>
      </c>
      <c r="D979">
        <v>8</v>
      </c>
      <c r="E979" t="s">
        <v>4445</v>
      </c>
      <c r="F979" t="s">
        <v>2180</v>
      </c>
      <c r="G979" t="s">
        <v>5568</v>
      </c>
      <c r="H979" t="s">
        <v>4915</v>
      </c>
      <c r="I979" s="79" t="str">
        <f>IF(Tabla13[[#This Row],[RUT]]=774097899,"DIST",_xlfn.XLOOKUP(Tabla13[[#This Row],[VENDEDOR]],dimensiones!$C$21:$C$28,dimensiones!$D$21:$D$28,""))</f>
        <v>ATEL</v>
      </c>
      <c r="J979" s="125" t="str">
        <f>_xlfn.XLOOKUP(Tabla13[[#This Row],[REGION]],dimensiones!C:C,dimensiones!D:D,"")</f>
        <v>Región de Biobío</v>
      </c>
    </row>
    <row r="980" spans="1:10" ht="14.25" customHeight="1" x14ac:dyDescent="0.25">
      <c r="A980">
        <v>764074270</v>
      </c>
      <c r="B980" t="s">
        <v>480</v>
      </c>
      <c r="C980" t="s">
        <v>4391</v>
      </c>
      <c r="D980">
        <v>13</v>
      </c>
      <c r="E980" t="s">
        <v>4445</v>
      </c>
      <c r="F980" t="s">
        <v>2592</v>
      </c>
      <c r="G980" t="s">
        <v>5570</v>
      </c>
      <c r="H980" t="s">
        <v>4915</v>
      </c>
      <c r="I980" s="79" t="str">
        <f>IF(Tabla13[[#This Row],[RUT]]=774097899,"DIST",_xlfn.XLOOKUP(Tabla13[[#This Row],[VENDEDOR]],dimensiones!$C$21:$C$28,dimensiones!$D$21:$D$28,""))</f>
        <v>ATEL</v>
      </c>
      <c r="J980" s="125" t="str">
        <f>_xlfn.XLOOKUP(Tabla13[[#This Row],[REGION]],dimensiones!C:C,dimensiones!D:D,"")</f>
        <v>Región de Metropolitana de Santiago</v>
      </c>
    </row>
    <row r="981" spans="1:10" ht="14.25" customHeight="1" x14ac:dyDescent="0.25">
      <c r="A981">
        <v>764164660</v>
      </c>
      <c r="B981" t="s">
        <v>481</v>
      </c>
      <c r="C981" t="s">
        <v>4390</v>
      </c>
      <c r="D981">
        <v>13</v>
      </c>
      <c r="E981" t="s">
        <v>4445</v>
      </c>
      <c r="F981" t="s">
        <v>1717</v>
      </c>
      <c r="G981" t="s">
        <v>5568</v>
      </c>
      <c r="H981" t="s">
        <v>4915</v>
      </c>
      <c r="I981" s="79" t="str">
        <f>IF(Tabla13[[#This Row],[RUT]]=774097899,"DIST",_xlfn.XLOOKUP(Tabla13[[#This Row],[VENDEDOR]],dimensiones!$C$21:$C$28,dimensiones!$D$21:$D$28,""))</f>
        <v>ATEL</v>
      </c>
      <c r="J981" s="125" t="str">
        <f>_xlfn.XLOOKUP(Tabla13[[#This Row],[REGION]],dimensiones!C:C,dimensiones!D:D,"")</f>
        <v>Región de Metropolitana de Santiago</v>
      </c>
    </row>
    <row r="982" spans="1:10" ht="14.25" customHeight="1" x14ac:dyDescent="0.25">
      <c r="A982">
        <v>764254597</v>
      </c>
      <c r="B982" t="s">
        <v>482</v>
      </c>
      <c r="C982" t="s">
        <v>4449</v>
      </c>
      <c r="D982">
        <v>13</v>
      </c>
      <c r="E982" t="s">
        <v>4445</v>
      </c>
      <c r="F982" t="s">
        <v>2597</v>
      </c>
      <c r="G982" t="s">
        <v>5570</v>
      </c>
      <c r="H982" t="s">
        <v>4915</v>
      </c>
      <c r="I982" s="79" t="str">
        <f>IF(Tabla13[[#This Row],[RUT]]=774097899,"DIST",_xlfn.XLOOKUP(Tabla13[[#This Row],[VENDEDOR]],dimensiones!$C$21:$C$28,dimensiones!$D$21:$D$28,""))</f>
        <v>ATEL</v>
      </c>
      <c r="J982" s="125" t="str">
        <f>_xlfn.XLOOKUP(Tabla13[[#This Row],[REGION]],dimensiones!C:C,dimensiones!D:D,"")</f>
        <v>Región de Metropolitana de Santiago</v>
      </c>
    </row>
    <row r="983" spans="1:10" ht="14.25" customHeight="1" x14ac:dyDescent="0.25">
      <c r="A983">
        <v>764259122</v>
      </c>
      <c r="B983" t="s">
        <v>931</v>
      </c>
      <c r="C983" t="s">
        <v>4497</v>
      </c>
      <c r="D983">
        <v>8</v>
      </c>
      <c r="E983" t="s">
        <v>4445</v>
      </c>
      <c r="F983" t="s">
        <v>2599</v>
      </c>
      <c r="G983" t="s">
        <v>5570</v>
      </c>
      <c r="H983" t="s">
        <v>4915</v>
      </c>
      <c r="I983" s="79" t="str">
        <f>IF(Tabla13[[#This Row],[RUT]]=774097899,"DIST",_xlfn.XLOOKUP(Tabla13[[#This Row],[VENDEDOR]],dimensiones!$C$21:$C$28,dimensiones!$D$21:$D$28,""))</f>
        <v>ATEL</v>
      </c>
      <c r="J983" s="125" t="str">
        <f>_xlfn.XLOOKUP(Tabla13[[#This Row],[REGION]],dimensiones!C:C,dimensiones!D:D,"")</f>
        <v>Región de Biobío</v>
      </c>
    </row>
    <row r="984" spans="1:10" ht="14.25" customHeight="1" x14ac:dyDescent="0.25">
      <c r="A984">
        <v>764447409</v>
      </c>
      <c r="B984" t="s">
        <v>114</v>
      </c>
      <c r="C984" t="s">
        <v>4292</v>
      </c>
      <c r="D984">
        <v>10</v>
      </c>
      <c r="E984" t="s">
        <v>4454</v>
      </c>
      <c r="F984" t="s">
        <v>2833</v>
      </c>
      <c r="G984" t="s">
        <v>5570</v>
      </c>
      <c r="H984" t="s">
        <v>4915</v>
      </c>
      <c r="I984" s="79" t="str">
        <f>IF(Tabla13[[#This Row],[RUT]]=774097899,"DIST",_xlfn.XLOOKUP(Tabla13[[#This Row],[VENDEDOR]],dimensiones!$C$21:$C$28,dimensiones!$D$21:$D$28,""))</f>
        <v>SUR2</v>
      </c>
      <c r="J984" s="125" t="str">
        <f>_xlfn.XLOOKUP(Tabla13[[#This Row],[REGION]],dimensiones!C:C,dimensiones!D:D,"")</f>
        <v>Región de Los Lagos</v>
      </c>
    </row>
    <row r="985" spans="1:10" ht="14.25" customHeight="1" x14ac:dyDescent="0.25">
      <c r="A985">
        <v>764497848</v>
      </c>
      <c r="B985" t="s">
        <v>2605</v>
      </c>
      <c r="C985" t="s">
        <v>4264</v>
      </c>
      <c r="D985">
        <v>7</v>
      </c>
      <c r="E985" t="s">
        <v>4445</v>
      </c>
      <c r="F985" t="s">
        <v>2604</v>
      </c>
      <c r="G985" t="s">
        <v>5570</v>
      </c>
      <c r="H985" t="s">
        <v>4915</v>
      </c>
      <c r="I985" s="79" t="str">
        <f>IF(Tabla13[[#This Row],[RUT]]=774097899,"DIST",_xlfn.XLOOKUP(Tabla13[[#This Row],[VENDEDOR]],dimensiones!$C$21:$C$28,dimensiones!$D$21:$D$28,""))</f>
        <v>ATEL</v>
      </c>
      <c r="J985" s="125" t="str">
        <f>_xlfn.XLOOKUP(Tabla13[[#This Row],[REGION]],dimensiones!C:C,dimensiones!D:D,"")</f>
        <v>Región de Maule</v>
      </c>
    </row>
    <row r="986" spans="1:10" ht="14.25" customHeight="1" x14ac:dyDescent="0.25">
      <c r="A986">
        <v>764520084</v>
      </c>
      <c r="B986" t="s">
        <v>3795</v>
      </c>
      <c r="C986" t="s">
        <v>4456</v>
      </c>
      <c r="D986">
        <v>13</v>
      </c>
      <c r="E986" t="s">
        <v>4445</v>
      </c>
      <c r="F986" t="s">
        <v>3794</v>
      </c>
      <c r="G986" t="s">
        <v>5568</v>
      </c>
      <c r="H986" t="s">
        <v>4915</v>
      </c>
      <c r="I986" s="79" t="str">
        <f>IF(Tabla13[[#This Row],[RUT]]=774097899,"DIST",_xlfn.XLOOKUP(Tabla13[[#This Row],[VENDEDOR]],dimensiones!$C$21:$C$28,dimensiones!$D$21:$D$28,""))</f>
        <v>ATEL</v>
      </c>
      <c r="J986" s="125" t="str">
        <f>_xlfn.XLOOKUP(Tabla13[[#This Row],[REGION]],dimensiones!C:C,dimensiones!D:D,"")</f>
        <v>Región de Metropolitana de Santiago</v>
      </c>
    </row>
    <row r="987" spans="1:10" ht="14.25" customHeight="1" x14ac:dyDescent="0.25">
      <c r="A987">
        <v>764523776</v>
      </c>
      <c r="B987" t="s">
        <v>483</v>
      </c>
      <c r="C987" t="s">
        <v>4460</v>
      </c>
      <c r="D987">
        <v>8</v>
      </c>
      <c r="E987" t="s">
        <v>4445</v>
      </c>
      <c r="F987" t="s">
        <v>2607</v>
      </c>
      <c r="G987" t="s">
        <v>5570</v>
      </c>
      <c r="H987" t="s">
        <v>4915</v>
      </c>
      <c r="I987" s="79" t="str">
        <f>IF(Tabla13[[#This Row],[RUT]]=774097899,"DIST",_xlfn.XLOOKUP(Tabla13[[#This Row],[VENDEDOR]],dimensiones!$C$21:$C$28,dimensiones!$D$21:$D$28,""))</f>
        <v>ATEL</v>
      </c>
      <c r="J987" s="125" t="str">
        <f>_xlfn.XLOOKUP(Tabla13[[#This Row],[REGION]],dimensiones!C:C,dimensiones!D:D,"")</f>
        <v>Región de Biobío</v>
      </c>
    </row>
    <row r="988" spans="1:10" ht="14.25" customHeight="1" x14ac:dyDescent="0.25">
      <c r="A988">
        <v>764534581</v>
      </c>
      <c r="B988" t="s">
        <v>484</v>
      </c>
      <c r="C988" t="s">
        <v>4465</v>
      </c>
      <c r="D988">
        <v>13</v>
      </c>
      <c r="E988" t="s">
        <v>4445</v>
      </c>
      <c r="F988" t="s">
        <v>1610</v>
      </c>
      <c r="G988" t="s">
        <v>5570</v>
      </c>
      <c r="H988" t="s">
        <v>4915</v>
      </c>
      <c r="I988" s="79" t="str">
        <f>IF(Tabla13[[#This Row],[RUT]]=774097899,"DIST",_xlfn.XLOOKUP(Tabla13[[#This Row],[VENDEDOR]],dimensiones!$C$21:$C$28,dimensiones!$D$21:$D$28,""))</f>
        <v>ATEL</v>
      </c>
      <c r="J988" s="125" t="str">
        <f>_xlfn.XLOOKUP(Tabla13[[#This Row],[REGION]],dimensiones!C:C,dimensiones!D:D,"")</f>
        <v>Región de Metropolitana de Santiago</v>
      </c>
    </row>
    <row r="989" spans="1:10" ht="14.25" customHeight="1" x14ac:dyDescent="0.25">
      <c r="A989">
        <v>764605608</v>
      </c>
      <c r="B989" t="s">
        <v>822</v>
      </c>
      <c r="C989" t="s">
        <v>4187</v>
      </c>
      <c r="D989">
        <v>13</v>
      </c>
      <c r="E989" t="s">
        <v>4445</v>
      </c>
      <c r="F989" t="s">
        <v>3939</v>
      </c>
      <c r="G989" t="s">
        <v>5568</v>
      </c>
      <c r="H989" t="s">
        <v>4915</v>
      </c>
      <c r="I989" s="79" t="str">
        <f>IF(Tabla13[[#This Row],[RUT]]=774097899,"DIST",_xlfn.XLOOKUP(Tabla13[[#This Row],[VENDEDOR]],dimensiones!$C$21:$C$28,dimensiones!$D$21:$D$28,""))</f>
        <v>ATEL</v>
      </c>
      <c r="J989" s="125" t="str">
        <f>_xlfn.XLOOKUP(Tabla13[[#This Row],[REGION]],dimensiones!C:C,dimensiones!D:D,"")</f>
        <v>Región de Metropolitana de Santiago</v>
      </c>
    </row>
    <row r="990" spans="1:10" ht="14.25" customHeight="1" x14ac:dyDescent="0.25">
      <c r="A990">
        <v>764614062</v>
      </c>
      <c r="B990" t="s">
        <v>823</v>
      </c>
      <c r="C990" t="s">
        <v>4237</v>
      </c>
      <c r="D990">
        <v>2</v>
      </c>
      <c r="E990" t="s">
        <v>4445</v>
      </c>
      <c r="F990" t="s">
        <v>3941</v>
      </c>
      <c r="G990" t="s">
        <v>5568</v>
      </c>
      <c r="H990" t="s">
        <v>4915</v>
      </c>
      <c r="I990" s="79" t="str">
        <f>IF(Tabla13[[#This Row],[RUT]]=774097899,"DIST",_xlfn.XLOOKUP(Tabla13[[#This Row],[VENDEDOR]],dimensiones!$C$21:$C$28,dimensiones!$D$21:$D$28,""))</f>
        <v>ATEL</v>
      </c>
      <c r="J990" s="125" t="str">
        <f>_xlfn.XLOOKUP(Tabla13[[#This Row],[REGION]],dimensiones!C:C,dimensiones!D:D,"")</f>
        <v>Región de Antofagasta</v>
      </c>
    </row>
    <row r="991" spans="1:10" ht="14.25" customHeight="1" x14ac:dyDescent="0.25">
      <c r="A991" t="s">
        <v>5661</v>
      </c>
      <c r="B991" t="s">
        <v>5662</v>
      </c>
      <c r="C991" t="s">
        <v>4395</v>
      </c>
      <c r="D991">
        <v>13</v>
      </c>
      <c r="E991" t="s">
        <v>4445</v>
      </c>
      <c r="F991" t="s">
        <v>5663</v>
      </c>
      <c r="G991" t="s">
        <v>5568</v>
      </c>
      <c r="H991" t="s">
        <v>4915</v>
      </c>
      <c r="I991" s="79" t="str">
        <f>IF(Tabla13[[#This Row],[RUT]]=774097899,"DIST",_xlfn.XLOOKUP(Tabla13[[#This Row],[VENDEDOR]],dimensiones!$C$21:$C$28,dimensiones!$D$21:$D$28,""))</f>
        <v>ATEL</v>
      </c>
      <c r="J991" s="125" t="str">
        <f>_xlfn.XLOOKUP(Tabla13[[#This Row],[REGION]],dimensiones!C:C,dimensiones!D:D,"")</f>
        <v>Región de Metropolitana de Santiago</v>
      </c>
    </row>
    <row r="992" spans="1:10" ht="14.25" customHeight="1" x14ac:dyDescent="0.25">
      <c r="A992">
        <v>764715128</v>
      </c>
      <c r="B992" t="s">
        <v>4965</v>
      </c>
      <c r="C992" t="s">
        <v>4218</v>
      </c>
      <c r="D992">
        <v>9</v>
      </c>
      <c r="E992" t="s">
        <v>4445</v>
      </c>
      <c r="F992" t="s">
        <v>4966</v>
      </c>
      <c r="G992" t="s">
        <v>5568</v>
      </c>
      <c r="H992" t="s">
        <v>4915</v>
      </c>
      <c r="I992" s="79" t="str">
        <f>IF(Tabla13[[#This Row],[RUT]]=774097899,"DIST",_xlfn.XLOOKUP(Tabla13[[#This Row],[VENDEDOR]],dimensiones!$C$21:$C$28,dimensiones!$D$21:$D$28,""))</f>
        <v>ATEL</v>
      </c>
      <c r="J992" s="125" t="str">
        <f>_xlfn.XLOOKUP(Tabla13[[#This Row],[REGION]],dimensiones!C:C,dimensiones!D:D,"")</f>
        <v>Región de La Araucanía</v>
      </c>
    </row>
    <row r="993" spans="1:10" ht="14.25" customHeight="1" x14ac:dyDescent="0.25">
      <c r="A993">
        <v>764717384</v>
      </c>
      <c r="B993" t="s">
        <v>3276</v>
      </c>
      <c r="C993" t="s">
        <v>4460</v>
      </c>
      <c r="D993">
        <v>8</v>
      </c>
      <c r="E993" t="s">
        <v>4445</v>
      </c>
      <c r="F993" t="s">
        <v>3275</v>
      </c>
      <c r="G993" t="s">
        <v>5568</v>
      </c>
      <c r="H993" t="s">
        <v>4915</v>
      </c>
      <c r="I993" s="79" t="str">
        <f>IF(Tabla13[[#This Row],[RUT]]=774097899,"DIST",_xlfn.XLOOKUP(Tabla13[[#This Row],[VENDEDOR]],dimensiones!$C$21:$C$28,dimensiones!$D$21:$D$28,""))</f>
        <v>ATEL</v>
      </c>
      <c r="J993" s="125" t="str">
        <f>_xlfn.XLOOKUP(Tabla13[[#This Row],[REGION]],dimensiones!C:C,dimensiones!D:D,"")</f>
        <v>Región de Biobío</v>
      </c>
    </row>
    <row r="994" spans="1:10" ht="14.25" customHeight="1" x14ac:dyDescent="0.25">
      <c r="A994">
        <v>764755081</v>
      </c>
      <c r="B994" t="s">
        <v>3944</v>
      </c>
      <c r="C994" t="s">
        <v>4551</v>
      </c>
      <c r="D994">
        <v>13</v>
      </c>
      <c r="E994" t="s">
        <v>4445</v>
      </c>
      <c r="F994" t="s">
        <v>3943</v>
      </c>
      <c r="G994" t="s">
        <v>5569</v>
      </c>
      <c r="H994" t="s">
        <v>4915</v>
      </c>
      <c r="I994" s="79" t="str">
        <f>IF(Tabla13[[#This Row],[RUT]]=774097899,"DIST",_xlfn.XLOOKUP(Tabla13[[#This Row],[VENDEDOR]],dimensiones!$C$21:$C$28,dimensiones!$D$21:$D$28,""))</f>
        <v>ATEL</v>
      </c>
      <c r="J994" s="125" t="str">
        <f>_xlfn.XLOOKUP(Tabla13[[#This Row],[REGION]],dimensiones!C:C,dimensiones!D:D,"")</f>
        <v>Región de Metropolitana de Santiago</v>
      </c>
    </row>
    <row r="995" spans="1:10" ht="14.25" customHeight="1" x14ac:dyDescent="0.25">
      <c r="A995">
        <v>764760271</v>
      </c>
      <c r="B995" t="s">
        <v>485</v>
      </c>
      <c r="C995" t="s">
        <v>4341</v>
      </c>
      <c r="D995">
        <v>7</v>
      </c>
      <c r="E995" t="s">
        <v>4445</v>
      </c>
      <c r="F995" t="s">
        <v>3946</v>
      </c>
      <c r="G995" t="s">
        <v>5570</v>
      </c>
      <c r="H995" t="s">
        <v>4915</v>
      </c>
      <c r="I995" s="79" t="str">
        <f>IF(Tabla13[[#This Row],[RUT]]=774097899,"DIST",_xlfn.XLOOKUP(Tabla13[[#This Row],[VENDEDOR]],dimensiones!$C$21:$C$28,dimensiones!$D$21:$D$28,""))</f>
        <v>ATEL</v>
      </c>
      <c r="J995" s="125" t="str">
        <f>_xlfn.XLOOKUP(Tabla13[[#This Row],[REGION]],dimensiones!C:C,dimensiones!D:D,"")</f>
        <v>Región de Maule</v>
      </c>
    </row>
    <row r="996" spans="1:10" ht="14.25" customHeight="1" x14ac:dyDescent="0.25">
      <c r="A996">
        <v>764793692</v>
      </c>
      <c r="B996" t="s">
        <v>825</v>
      </c>
      <c r="C996" t="s">
        <v>4391</v>
      </c>
      <c r="D996">
        <v>13</v>
      </c>
      <c r="E996" t="s">
        <v>4445</v>
      </c>
      <c r="F996" t="s">
        <v>3948</v>
      </c>
      <c r="G996" t="s">
        <v>5570</v>
      </c>
      <c r="H996" t="s">
        <v>4915</v>
      </c>
      <c r="I996" s="79" t="str">
        <f>IF(Tabla13[[#This Row],[RUT]]=774097899,"DIST",_xlfn.XLOOKUP(Tabla13[[#This Row],[VENDEDOR]],dimensiones!$C$21:$C$28,dimensiones!$D$21:$D$28,""))</f>
        <v>ATEL</v>
      </c>
      <c r="J996" s="125" t="str">
        <f>_xlfn.XLOOKUP(Tabla13[[#This Row],[REGION]],dimensiones!C:C,dimensiones!D:D,"")</f>
        <v>Región de Metropolitana de Santiago</v>
      </c>
    </row>
    <row r="997" spans="1:10" ht="14.25" customHeight="1" x14ac:dyDescent="0.25">
      <c r="A997">
        <v>764797507</v>
      </c>
      <c r="B997" t="s">
        <v>932</v>
      </c>
      <c r="C997" t="s">
        <v>4395</v>
      </c>
      <c r="D997">
        <v>13</v>
      </c>
      <c r="E997" t="s">
        <v>4445</v>
      </c>
      <c r="F997" t="s">
        <v>3950</v>
      </c>
      <c r="G997" t="s">
        <v>5568</v>
      </c>
      <c r="H997" t="s">
        <v>4915</v>
      </c>
      <c r="I997" s="79" t="str">
        <f>IF(Tabla13[[#This Row],[RUT]]=774097899,"DIST",_xlfn.XLOOKUP(Tabla13[[#This Row],[VENDEDOR]],dimensiones!$C$21:$C$28,dimensiones!$D$21:$D$28,""))</f>
        <v>ATEL</v>
      </c>
      <c r="J997" s="125" t="str">
        <f>_xlfn.XLOOKUP(Tabla13[[#This Row],[REGION]],dimensiones!C:C,dimensiones!D:D,"")</f>
        <v>Región de Metropolitana de Santiago</v>
      </c>
    </row>
    <row r="998" spans="1:10" ht="14.25" customHeight="1" x14ac:dyDescent="0.25">
      <c r="A998" t="s">
        <v>156</v>
      </c>
      <c r="B998" t="s">
        <v>3920</v>
      </c>
      <c r="C998" t="s">
        <v>4391</v>
      </c>
      <c r="D998">
        <v>13</v>
      </c>
      <c r="E998" t="s">
        <v>4445</v>
      </c>
      <c r="F998" t="s">
        <v>3919</v>
      </c>
      <c r="G998" t="s">
        <v>5570</v>
      </c>
      <c r="H998" t="s">
        <v>4915</v>
      </c>
      <c r="I998" s="79" t="str">
        <f>IF(Tabla13[[#This Row],[RUT]]=774097899,"DIST",_xlfn.XLOOKUP(Tabla13[[#This Row],[VENDEDOR]],dimensiones!$C$21:$C$28,dimensiones!$D$21:$D$28,""))</f>
        <v>ATEL</v>
      </c>
      <c r="J998" s="125" t="str">
        <f>_xlfn.XLOOKUP(Tabla13[[#This Row],[REGION]],dimensiones!C:C,dimensiones!D:D,"")</f>
        <v>Región de Metropolitana de Santiago</v>
      </c>
    </row>
    <row r="999" spans="1:10" ht="14.25" customHeight="1" x14ac:dyDescent="0.25">
      <c r="A999">
        <v>764831675</v>
      </c>
      <c r="B999" t="s">
        <v>3954</v>
      </c>
      <c r="C999" t="s">
        <v>4490</v>
      </c>
      <c r="D999">
        <v>5</v>
      </c>
      <c r="E999" t="s">
        <v>4445</v>
      </c>
      <c r="F999" t="s">
        <v>3953</v>
      </c>
      <c r="G999" t="s">
        <v>5568</v>
      </c>
      <c r="H999" t="s">
        <v>4915</v>
      </c>
      <c r="I999" s="79" t="str">
        <f>IF(Tabla13[[#This Row],[RUT]]=774097899,"DIST",_xlfn.XLOOKUP(Tabla13[[#This Row],[VENDEDOR]],dimensiones!$C$21:$C$28,dimensiones!$D$21:$D$28,""))</f>
        <v>ATEL</v>
      </c>
      <c r="J999" s="125" t="str">
        <f>_xlfn.XLOOKUP(Tabla13[[#This Row],[REGION]],dimensiones!C:C,dimensiones!D:D,"")</f>
        <v>Región de Valparaíso</v>
      </c>
    </row>
    <row r="1000" spans="1:10" ht="14.25" customHeight="1" x14ac:dyDescent="0.25">
      <c r="A1000">
        <v>764898419</v>
      </c>
      <c r="B1000" t="s">
        <v>5588</v>
      </c>
      <c r="C1000" t="s">
        <v>4190</v>
      </c>
      <c r="D1000">
        <v>10</v>
      </c>
      <c r="E1000" t="s">
        <v>4445</v>
      </c>
      <c r="F1000" t="s">
        <v>4878</v>
      </c>
      <c r="G1000" t="s">
        <v>5568</v>
      </c>
      <c r="H1000" t="s">
        <v>4915</v>
      </c>
      <c r="I1000" s="79" t="str">
        <f>IF(Tabla13[[#This Row],[RUT]]=774097899,"DIST",_xlfn.XLOOKUP(Tabla13[[#This Row],[VENDEDOR]],dimensiones!$C$21:$C$28,dimensiones!$D$21:$D$28,""))</f>
        <v>ATEL</v>
      </c>
      <c r="J1000" s="125" t="str">
        <f>_xlfn.XLOOKUP(Tabla13[[#This Row],[REGION]],dimensiones!C:C,dimensiones!D:D,"")</f>
        <v>Región de Los Lagos</v>
      </c>
    </row>
    <row r="1001" spans="1:10" ht="14.25" customHeight="1" x14ac:dyDescent="0.25">
      <c r="A1001">
        <v>764919629</v>
      </c>
      <c r="B1001" t="s">
        <v>486</v>
      </c>
      <c r="C1001" t="s">
        <v>4510</v>
      </c>
      <c r="D1001">
        <v>13</v>
      </c>
      <c r="E1001" t="s">
        <v>4445</v>
      </c>
      <c r="F1001" t="s">
        <v>3956</v>
      </c>
      <c r="G1001" t="s">
        <v>5568</v>
      </c>
      <c r="H1001" t="s">
        <v>4915</v>
      </c>
      <c r="I1001" s="79" t="str">
        <f>IF(Tabla13[[#This Row],[RUT]]=774097899,"DIST",_xlfn.XLOOKUP(Tabla13[[#This Row],[VENDEDOR]],dimensiones!$C$21:$C$28,dimensiones!$D$21:$D$28,""))</f>
        <v>ATEL</v>
      </c>
      <c r="J1001" s="125" t="str">
        <f>_xlfn.XLOOKUP(Tabla13[[#This Row],[REGION]],dimensiones!C:C,dimensiones!D:D,"")</f>
        <v>Región de Metropolitana de Santiago</v>
      </c>
    </row>
    <row r="1002" spans="1:10" ht="14.25" customHeight="1" x14ac:dyDescent="0.25">
      <c r="A1002">
        <v>764954165</v>
      </c>
      <c r="B1002" t="s">
        <v>487</v>
      </c>
      <c r="C1002" t="s">
        <v>4391</v>
      </c>
      <c r="D1002">
        <v>13</v>
      </c>
      <c r="E1002" t="s">
        <v>4445</v>
      </c>
      <c r="F1002" t="s">
        <v>1780</v>
      </c>
      <c r="G1002" t="s">
        <v>5570</v>
      </c>
      <c r="H1002" t="s">
        <v>4915</v>
      </c>
      <c r="I1002" s="79" t="str">
        <f>IF(Tabla13[[#This Row],[RUT]]=774097899,"DIST",_xlfn.XLOOKUP(Tabla13[[#This Row],[VENDEDOR]],dimensiones!$C$21:$C$28,dimensiones!$D$21:$D$28,""))</f>
        <v>ATEL</v>
      </c>
      <c r="J1002" s="125" t="str">
        <f>_xlfn.XLOOKUP(Tabla13[[#This Row],[REGION]],dimensiones!C:C,dimensiones!D:D,"")</f>
        <v>Región de Metropolitana de Santiago</v>
      </c>
    </row>
    <row r="1003" spans="1:10" ht="14.25" customHeight="1" x14ac:dyDescent="0.25">
      <c r="A1003">
        <v>765012791</v>
      </c>
      <c r="B1003" t="s">
        <v>826</v>
      </c>
      <c r="C1003" t="s">
        <v>4383</v>
      </c>
      <c r="D1003">
        <v>13</v>
      </c>
      <c r="E1003" t="s">
        <v>4445</v>
      </c>
      <c r="F1003" t="s">
        <v>3958</v>
      </c>
      <c r="G1003" t="s">
        <v>5568</v>
      </c>
      <c r="H1003" t="s">
        <v>4915</v>
      </c>
      <c r="I1003" s="79" t="str">
        <f>IF(Tabla13[[#This Row],[RUT]]=774097899,"DIST",_xlfn.XLOOKUP(Tabla13[[#This Row],[VENDEDOR]],dimensiones!$C$21:$C$28,dimensiones!$D$21:$D$28,""))</f>
        <v>ATEL</v>
      </c>
      <c r="J1003" s="125" t="str">
        <f>_xlfn.XLOOKUP(Tabla13[[#This Row],[REGION]],dimensiones!C:C,dimensiones!D:D,"")</f>
        <v>Región de Metropolitana de Santiago</v>
      </c>
    </row>
    <row r="1004" spans="1:10" ht="14.25" customHeight="1" x14ac:dyDescent="0.25">
      <c r="A1004" t="s">
        <v>708</v>
      </c>
      <c r="B1004" t="s">
        <v>709</v>
      </c>
      <c r="C1004" t="s">
        <v>4395</v>
      </c>
      <c r="D1004">
        <v>13</v>
      </c>
      <c r="E1004" t="s">
        <v>4445</v>
      </c>
      <c r="F1004" t="s">
        <v>3960</v>
      </c>
      <c r="G1004" t="s">
        <v>5568</v>
      </c>
      <c r="H1004" t="s">
        <v>4915</v>
      </c>
      <c r="I1004" s="79" t="str">
        <f>IF(Tabla13[[#This Row],[RUT]]=774097899,"DIST",_xlfn.XLOOKUP(Tabla13[[#This Row],[VENDEDOR]],dimensiones!$C$21:$C$28,dimensiones!$D$21:$D$28,""))</f>
        <v>ATEL</v>
      </c>
      <c r="J1004" s="125" t="str">
        <f>_xlfn.XLOOKUP(Tabla13[[#This Row],[REGION]],dimensiones!C:C,dimensiones!D:D,"")</f>
        <v>Región de Metropolitana de Santiago</v>
      </c>
    </row>
    <row r="1005" spans="1:10" ht="14.25" customHeight="1" x14ac:dyDescent="0.25">
      <c r="A1005">
        <v>765149134</v>
      </c>
      <c r="B1005" t="s">
        <v>5434</v>
      </c>
      <c r="C1005" t="s">
        <v>4448</v>
      </c>
      <c r="D1005">
        <v>13</v>
      </c>
      <c r="E1005" t="s">
        <v>4445</v>
      </c>
      <c r="F1005" t="s">
        <v>5435</v>
      </c>
      <c r="G1005" t="s">
        <v>5568</v>
      </c>
      <c r="H1005" t="s">
        <v>4915</v>
      </c>
      <c r="I1005" s="79" t="str">
        <f>IF(Tabla13[[#This Row],[RUT]]=774097899,"DIST",_xlfn.XLOOKUP(Tabla13[[#This Row],[VENDEDOR]],dimensiones!$C$21:$C$28,dimensiones!$D$21:$D$28,""))</f>
        <v>ATEL</v>
      </c>
      <c r="J1005" s="125" t="str">
        <f>_xlfn.XLOOKUP(Tabla13[[#This Row],[REGION]],dimensiones!C:C,dimensiones!D:D,"")</f>
        <v>Región de Metropolitana de Santiago</v>
      </c>
    </row>
    <row r="1006" spans="1:10" ht="14.25" customHeight="1" x14ac:dyDescent="0.25">
      <c r="A1006">
        <v>765150701</v>
      </c>
      <c r="B1006" t="s">
        <v>115</v>
      </c>
      <c r="C1006" t="s">
        <v>4495</v>
      </c>
      <c r="D1006">
        <v>16</v>
      </c>
      <c r="E1006" t="s">
        <v>4464</v>
      </c>
      <c r="F1006" t="s">
        <v>3601</v>
      </c>
      <c r="G1006" t="s">
        <v>5570</v>
      </c>
      <c r="H1006" t="s">
        <v>4915</v>
      </c>
      <c r="I1006" s="79" t="str">
        <f>IF(Tabla13[[#This Row],[RUT]]=774097899,"DIST",_xlfn.XLOOKUP(Tabla13[[#This Row],[VENDEDOR]],dimensiones!$C$21:$C$28,dimensiones!$D$21:$D$28,""))</f>
        <v>SUR1</v>
      </c>
      <c r="J1006" s="125" t="str">
        <f>_xlfn.XLOOKUP(Tabla13[[#This Row],[REGION]],dimensiones!C:C,dimensiones!D:D,"")</f>
        <v>Región de Ñuble</v>
      </c>
    </row>
    <row r="1007" spans="1:10" ht="14.25" customHeight="1" x14ac:dyDescent="0.25">
      <c r="A1007">
        <v>765184304</v>
      </c>
      <c r="B1007" t="s">
        <v>3411</v>
      </c>
      <c r="C1007" t="s">
        <v>4381</v>
      </c>
      <c r="D1007">
        <v>13</v>
      </c>
      <c r="E1007" t="s">
        <v>4445</v>
      </c>
      <c r="F1007" t="s">
        <v>3410</v>
      </c>
      <c r="G1007" t="s">
        <v>5570</v>
      </c>
      <c r="H1007" t="s">
        <v>4915</v>
      </c>
      <c r="I1007" s="79" t="str">
        <f>IF(Tabla13[[#This Row],[RUT]]=774097899,"DIST",_xlfn.XLOOKUP(Tabla13[[#This Row],[VENDEDOR]],dimensiones!$C$21:$C$28,dimensiones!$D$21:$D$28,""))</f>
        <v>ATEL</v>
      </c>
      <c r="J1007" s="125" t="str">
        <f>_xlfn.XLOOKUP(Tabla13[[#This Row],[REGION]],dimensiones!C:C,dimensiones!D:D,"")</f>
        <v>Región de Metropolitana de Santiago</v>
      </c>
    </row>
    <row r="1008" spans="1:10" ht="14.25" customHeight="1" x14ac:dyDescent="0.25">
      <c r="A1008">
        <v>765208491</v>
      </c>
      <c r="B1008" t="s">
        <v>488</v>
      </c>
      <c r="C1008" t="s">
        <v>4391</v>
      </c>
      <c r="D1008">
        <v>13</v>
      </c>
      <c r="E1008" t="s">
        <v>4445</v>
      </c>
      <c r="F1008" t="s">
        <v>3967</v>
      </c>
      <c r="G1008" t="s">
        <v>5570</v>
      </c>
      <c r="H1008" t="s">
        <v>4915</v>
      </c>
      <c r="I1008" s="79" t="str">
        <f>IF(Tabla13[[#This Row],[RUT]]=774097899,"DIST",_xlfn.XLOOKUP(Tabla13[[#This Row],[VENDEDOR]],dimensiones!$C$21:$C$28,dimensiones!$D$21:$D$28,""))</f>
        <v>ATEL</v>
      </c>
      <c r="J1008" s="125" t="str">
        <f>_xlfn.XLOOKUP(Tabla13[[#This Row],[REGION]],dimensiones!C:C,dimensiones!D:D,"")</f>
        <v>Región de Metropolitana de Santiago</v>
      </c>
    </row>
    <row r="1009" spans="1:10" ht="14.25" customHeight="1" x14ac:dyDescent="0.25">
      <c r="A1009">
        <v>765255600</v>
      </c>
      <c r="B1009" t="s">
        <v>1081</v>
      </c>
      <c r="C1009" t="s">
        <v>4552</v>
      </c>
      <c r="D1009">
        <v>13</v>
      </c>
      <c r="E1009" t="s">
        <v>4445</v>
      </c>
      <c r="F1009" t="s">
        <v>2610</v>
      </c>
      <c r="G1009" t="s">
        <v>5570</v>
      </c>
      <c r="H1009" t="s">
        <v>4915</v>
      </c>
      <c r="I1009" s="79" t="str">
        <f>IF(Tabla13[[#This Row],[RUT]]=774097899,"DIST",_xlfn.XLOOKUP(Tabla13[[#This Row],[VENDEDOR]],dimensiones!$C$21:$C$28,dimensiones!$D$21:$D$28,""))</f>
        <v>ATEL</v>
      </c>
      <c r="J1009" s="125" t="str">
        <f>_xlfn.XLOOKUP(Tabla13[[#This Row],[REGION]],dimensiones!C:C,dimensiones!D:D,"")</f>
        <v>Región de Metropolitana de Santiago</v>
      </c>
    </row>
    <row r="1010" spans="1:10" ht="14.25" customHeight="1" x14ac:dyDescent="0.25">
      <c r="A1010">
        <v>765327229</v>
      </c>
      <c r="B1010" t="s">
        <v>489</v>
      </c>
      <c r="C1010" t="s">
        <v>4381</v>
      </c>
      <c r="D1010">
        <v>13</v>
      </c>
      <c r="E1010" t="s">
        <v>4445</v>
      </c>
      <c r="F1010" t="s">
        <v>2612</v>
      </c>
      <c r="G1010" t="s">
        <v>5568</v>
      </c>
      <c r="H1010" t="s">
        <v>4915</v>
      </c>
      <c r="I1010" s="79" t="str">
        <f>IF(Tabla13[[#This Row],[RUT]]=774097899,"DIST",_xlfn.XLOOKUP(Tabla13[[#This Row],[VENDEDOR]],dimensiones!$C$21:$C$28,dimensiones!$D$21:$D$28,""))</f>
        <v>ATEL</v>
      </c>
      <c r="J1010" s="125" t="str">
        <f>_xlfn.XLOOKUP(Tabla13[[#This Row],[REGION]],dimensiones!C:C,dimensiones!D:D,"")</f>
        <v>Región de Metropolitana de Santiago</v>
      </c>
    </row>
    <row r="1011" spans="1:10" ht="14.25" customHeight="1" x14ac:dyDescent="0.25">
      <c r="A1011">
        <v>765444527</v>
      </c>
      <c r="B1011" t="s">
        <v>2615</v>
      </c>
      <c r="C1011" t="s">
        <v>4401</v>
      </c>
      <c r="D1011">
        <v>13</v>
      </c>
      <c r="E1011" t="s">
        <v>5563</v>
      </c>
      <c r="F1011" t="s">
        <v>2614</v>
      </c>
      <c r="G1011" t="s">
        <v>5568</v>
      </c>
      <c r="H1011" t="s">
        <v>4915</v>
      </c>
      <c r="I1011" s="79" t="str">
        <f>IF(Tabla13[[#This Row],[RUT]]=774097899,"DIST",_xlfn.XLOOKUP(Tabla13[[#This Row],[VENDEDOR]],dimensiones!$C$21:$C$28,dimensiones!$D$21:$D$28,""))</f>
        <v/>
      </c>
      <c r="J1011" s="125" t="str">
        <f>_xlfn.XLOOKUP(Tabla13[[#This Row],[REGION]],dimensiones!C:C,dimensiones!D:D,"")</f>
        <v>Región de Metropolitana de Santiago</v>
      </c>
    </row>
    <row r="1012" spans="1:10" ht="14.25" customHeight="1" x14ac:dyDescent="0.25">
      <c r="A1012">
        <v>765464307</v>
      </c>
      <c r="B1012" t="s">
        <v>827</v>
      </c>
      <c r="C1012" t="s">
        <v>4465</v>
      </c>
      <c r="D1012">
        <v>13</v>
      </c>
      <c r="E1012" t="s">
        <v>4445</v>
      </c>
      <c r="F1012" t="s">
        <v>2617</v>
      </c>
      <c r="G1012" t="s">
        <v>5570</v>
      </c>
      <c r="H1012" t="s">
        <v>4915</v>
      </c>
      <c r="I1012" s="79" t="str">
        <f>IF(Tabla13[[#This Row],[RUT]]=774097899,"DIST",_xlfn.XLOOKUP(Tabla13[[#This Row],[VENDEDOR]],dimensiones!$C$21:$C$28,dimensiones!$D$21:$D$28,""))</f>
        <v>ATEL</v>
      </c>
      <c r="J1012" s="125" t="str">
        <f>_xlfn.XLOOKUP(Tabla13[[#This Row],[REGION]],dimensiones!C:C,dimensiones!D:D,"")</f>
        <v>Región de Metropolitana de Santiago</v>
      </c>
    </row>
    <row r="1013" spans="1:10" ht="14.25" customHeight="1" x14ac:dyDescent="0.25">
      <c r="A1013">
        <v>765478049</v>
      </c>
      <c r="B1013" t="s">
        <v>490</v>
      </c>
      <c r="C1013" t="s">
        <v>4250</v>
      </c>
      <c r="D1013">
        <v>5</v>
      </c>
      <c r="E1013" t="s">
        <v>4445</v>
      </c>
      <c r="F1013" t="s">
        <v>2619</v>
      </c>
      <c r="G1013" t="s">
        <v>5570</v>
      </c>
      <c r="H1013" t="s">
        <v>4915</v>
      </c>
      <c r="I1013" s="79" t="str">
        <f>IF(Tabla13[[#This Row],[RUT]]=774097899,"DIST",_xlfn.XLOOKUP(Tabla13[[#This Row],[VENDEDOR]],dimensiones!$C$21:$C$28,dimensiones!$D$21:$D$28,""))</f>
        <v>ATEL</v>
      </c>
      <c r="J1013" s="125" t="str">
        <f>_xlfn.XLOOKUP(Tabla13[[#This Row],[REGION]],dimensiones!C:C,dimensiones!D:D,"")</f>
        <v>Región de Valparaíso</v>
      </c>
    </row>
    <row r="1014" spans="1:10" ht="14.25" customHeight="1" x14ac:dyDescent="0.25">
      <c r="A1014">
        <v>765501296</v>
      </c>
      <c r="B1014" t="s">
        <v>1015</v>
      </c>
      <c r="C1014" t="s">
        <v>4395</v>
      </c>
      <c r="D1014">
        <v>13</v>
      </c>
      <c r="E1014" t="s">
        <v>4445</v>
      </c>
      <c r="F1014" t="s">
        <v>2204</v>
      </c>
      <c r="G1014" t="s">
        <v>5568</v>
      </c>
      <c r="H1014" t="s">
        <v>4915</v>
      </c>
      <c r="I1014" s="79" t="str">
        <f>IF(Tabla13[[#This Row],[RUT]]=774097899,"DIST",_xlfn.XLOOKUP(Tabla13[[#This Row],[VENDEDOR]],dimensiones!$C$21:$C$28,dimensiones!$D$21:$D$28,""))</f>
        <v>ATEL</v>
      </c>
      <c r="J1014" s="125" t="str">
        <f>_xlfn.XLOOKUP(Tabla13[[#This Row],[REGION]],dimensiones!C:C,dimensiones!D:D,"")</f>
        <v>Región de Metropolitana de Santiago</v>
      </c>
    </row>
    <row r="1015" spans="1:10" ht="14.25" customHeight="1" x14ac:dyDescent="0.25">
      <c r="A1015" t="s">
        <v>710</v>
      </c>
      <c r="B1015" t="s">
        <v>881</v>
      </c>
      <c r="C1015" t="s">
        <v>4175</v>
      </c>
      <c r="D1015">
        <v>5</v>
      </c>
      <c r="E1015" t="s">
        <v>4445</v>
      </c>
      <c r="F1015" t="s">
        <v>2624</v>
      </c>
      <c r="G1015" t="s">
        <v>5568</v>
      </c>
      <c r="H1015" t="s">
        <v>4915</v>
      </c>
      <c r="I1015" s="79" t="str">
        <f>IF(Tabla13[[#This Row],[RUT]]=774097899,"DIST",_xlfn.XLOOKUP(Tabla13[[#This Row],[VENDEDOR]],dimensiones!$C$21:$C$28,dimensiones!$D$21:$D$28,""))</f>
        <v>ATEL</v>
      </c>
      <c r="J1015" s="125" t="str">
        <f>_xlfn.XLOOKUP(Tabla13[[#This Row],[REGION]],dimensiones!C:C,dimensiones!D:D,"")</f>
        <v>Región de Valparaíso</v>
      </c>
    </row>
    <row r="1016" spans="1:10" ht="14.25" customHeight="1" x14ac:dyDescent="0.25">
      <c r="A1016">
        <v>765558700</v>
      </c>
      <c r="B1016" t="s">
        <v>116</v>
      </c>
      <c r="C1016" t="s">
        <v>4170</v>
      </c>
      <c r="D1016">
        <v>14</v>
      </c>
      <c r="E1016" t="s">
        <v>4454</v>
      </c>
      <c r="F1016" t="s">
        <v>1742</v>
      </c>
      <c r="G1016" t="s">
        <v>5570</v>
      </c>
      <c r="H1016" t="s">
        <v>4915</v>
      </c>
      <c r="I1016" s="79" t="str">
        <f>IF(Tabla13[[#This Row],[RUT]]=774097899,"DIST",_xlfn.XLOOKUP(Tabla13[[#This Row],[VENDEDOR]],dimensiones!$C$21:$C$28,dimensiones!$D$21:$D$28,""))</f>
        <v>SUR2</v>
      </c>
      <c r="J1016" s="125" t="str">
        <f>_xlfn.XLOOKUP(Tabla13[[#This Row],[REGION]],dimensiones!C:C,dimensiones!D:D,"")</f>
        <v>Región de Los Ríos</v>
      </c>
    </row>
    <row r="1017" spans="1:10" ht="14.25" customHeight="1" x14ac:dyDescent="0.25">
      <c r="A1017">
        <v>765626188</v>
      </c>
      <c r="B1017" t="s">
        <v>491</v>
      </c>
      <c r="C1017" t="s">
        <v>4182</v>
      </c>
      <c r="D1017">
        <v>2</v>
      </c>
      <c r="E1017" t="s">
        <v>4445</v>
      </c>
      <c r="F1017" t="s">
        <v>1952</v>
      </c>
      <c r="G1017" t="s">
        <v>5568</v>
      </c>
      <c r="H1017" t="s">
        <v>4915</v>
      </c>
      <c r="I1017" s="79" t="str">
        <f>IF(Tabla13[[#This Row],[RUT]]=774097899,"DIST",_xlfn.XLOOKUP(Tabla13[[#This Row],[VENDEDOR]],dimensiones!$C$21:$C$28,dimensiones!$D$21:$D$28,""))</f>
        <v>ATEL</v>
      </c>
      <c r="J1017" s="125" t="str">
        <f>_xlfn.XLOOKUP(Tabla13[[#This Row],[REGION]],dimensiones!C:C,dimensiones!D:D,"")</f>
        <v>Región de Antofagasta</v>
      </c>
    </row>
    <row r="1018" spans="1:10" ht="14.25" customHeight="1" x14ac:dyDescent="0.25">
      <c r="A1018">
        <v>765902134</v>
      </c>
      <c r="B1018" t="s">
        <v>492</v>
      </c>
      <c r="C1018" t="s">
        <v>4465</v>
      </c>
      <c r="D1018">
        <v>13</v>
      </c>
      <c r="E1018" t="s">
        <v>4445</v>
      </c>
      <c r="F1018" t="s">
        <v>2630</v>
      </c>
      <c r="G1018" t="s">
        <v>5568</v>
      </c>
      <c r="H1018" t="s">
        <v>4915</v>
      </c>
      <c r="I1018" s="79" t="str">
        <f>IF(Tabla13[[#This Row],[RUT]]=774097899,"DIST",_xlfn.XLOOKUP(Tabla13[[#This Row],[VENDEDOR]],dimensiones!$C$21:$C$28,dimensiones!$D$21:$D$28,""))</f>
        <v>ATEL</v>
      </c>
      <c r="J1018" s="125" t="str">
        <f>_xlfn.XLOOKUP(Tabla13[[#This Row],[REGION]],dimensiones!C:C,dimensiones!D:D,"")</f>
        <v>Región de Metropolitana de Santiago</v>
      </c>
    </row>
    <row r="1019" spans="1:10" ht="14.25" customHeight="1" x14ac:dyDescent="0.25">
      <c r="A1019">
        <v>765944619</v>
      </c>
      <c r="B1019" t="s">
        <v>2633</v>
      </c>
      <c r="C1019" t="s">
        <v>4552</v>
      </c>
      <c r="D1019">
        <v>13</v>
      </c>
      <c r="E1019" t="s">
        <v>4445</v>
      </c>
      <c r="F1019" t="s">
        <v>2632</v>
      </c>
      <c r="G1019" t="s">
        <v>5568</v>
      </c>
      <c r="H1019" t="s">
        <v>4915</v>
      </c>
      <c r="I1019" s="79" t="str">
        <f>IF(Tabla13[[#This Row],[RUT]]=774097899,"DIST",_xlfn.XLOOKUP(Tabla13[[#This Row],[VENDEDOR]],dimensiones!$C$21:$C$28,dimensiones!$D$21:$D$28,""))</f>
        <v>ATEL</v>
      </c>
      <c r="J1019" s="125" t="str">
        <f>_xlfn.XLOOKUP(Tabla13[[#This Row],[REGION]],dimensiones!C:C,dimensiones!D:D,"")</f>
        <v>Región de Metropolitana de Santiago</v>
      </c>
    </row>
    <row r="1020" spans="1:10" ht="14.25" customHeight="1" x14ac:dyDescent="0.25">
      <c r="A1020">
        <v>765946247</v>
      </c>
      <c r="B1020" t="s">
        <v>828</v>
      </c>
      <c r="C1020" t="s">
        <v>4391</v>
      </c>
      <c r="D1020">
        <v>13</v>
      </c>
      <c r="E1020" t="s">
        <v>4445</v>
      </c>
      <c r="F1020" t="s">
        <v>2635</v>
      </c>
      <c r="G1020" t="s">
        <v>5570</v>
      </c>
      <c r="H1020" t="s">
        <v>4915</v>
      </c>
      <c r="I1020" s="79" t="str">
        <f>IF(Tabla13[[#This Row],[RUT]]=774097899,"DIST",_xlfn.XLOOKUP(Tabla13[[#This Row],[VENDEDOR]],dimensiones!$C$21:$C$28,dimensiones!$D$21:$D$28,""))</f>
        <v>ATEL</v>
      </c>
      <c r="J1020" s="125" t="str">
        <f>_xlfn.XLOOKUP(Tabla13[[#This Row],[REGION]],dimensiones!C:C,dimensiones!D:D,"")</f>
        <v>Región de Metropolitana de Santiago</v>
      </c>
    </row>
    <row r="1021" spans="1:10" ht="14.25" customHeight="1" x14ac:dyDescent="0.25">
      <c r="A1021">
        <v>766025838</v>
      </c>
      <c r="B1021" t="s">
        <v>493</v>
      </c>
      <c r="C1021" t="s">
        <v>4170</v>
      </c>
      <c r="D1021">
        <v>14</v>
      </c>
      <c r="E1021" t="s">
        <v>4445</v>
      </c>
      <c r="F1021" t="s">
        <v>2111</v>
      </c>
      <c r="G1021" t="s">
        <v>5568</v>
      </c>
      <c r="H1021" t="s">
        <v>4915</v>
      </c>
      <c r="I1021" s="79" t="str">
        <f>IF(Tabla13[[#This Row],[RUT]]=774097899,"DIST",_xlfn.XLOOKUP(Tabla13[[#This Row],[VENDEDOR]],dimensiones!$C$21:$C$28,dimensiones!$D$21:$D$28,""))</f>
        <v>ATEL</v>
      </c>
      <c r="J1021" s="125" t="str">
        <f>_xlfn.XLOOKUP(Tabla13[[#This Row],[REGION]],dimensiones!C:C,dimensiones!D:D,"")</f>
        <v>Región de Los Ríos</v>
      </c>
    </row>
    <row r="1022" spans="1:10" ht="14.25" customHeight="1" x14ac:dyDescent="0.25">
      <c r="A1022">
        <v>766053971</v>
      </c>
      <c r="B1022" t="s">
        <v>5664</v>
      </c>
      <c r="C1022" t="s">
        <v>4190</v>
      </c>
      <c r="D1022">
        <v>10</v>
      </c>
      <c r="E1022" t="s">
        <v>4445</v>
      </c>
      <c r="F1022" t="s">
        <v>5665</v>
      </c>
      <c r="G1022" t="s">
        <v>5568</v>
      </c>
      <c r="H1022" t="s">
        <v>4915</v>
      </c>
      <c r="I1022" s="79" t="str">
        <f>IF(Tabla13[[#This Row],[RUT]]=774097899,"DIST",_xlfn.XLOOKUP(Tabla13[[#This Row],[VENDEDOR]],dimensiones!$C$21:$C$28,dimensiones!$D$21:$D$28,""))</f>
        <v>ATEL</v>
      </c>
      <c r="J1022" s="125" t="str">
        <f>_xlfn.XLOOKUP(Tabla13[[#This Row],[REGION]],dimensiones!C:C,dimensiones!D:D,"")</f>
        <v>Región de Los Lagos</v>
      </c>
    </row>
    <row r="1023" spans="1:10" ht="14.25" customHeight="1" x14ac:dyDescent="0.25">
      <c r="A1023">
        <v>766208177</v>
      </c>
      <c r="B1023" t="s">
        <v>494</v>
      </c>
      <c r="C1023" t="s">
        <v>4170</v>
      </c>
      <c r="D1023">
        <v>14</v>
      </c>
      <c r="E1023" t="s">
        <v>4445</v>
      </c>
      <c r="F1023" t="s">
        <v>1322</v>
      </c>
      <c r="G1023" t="s">
        <v>5568</v>
      </c>
      <c r="H1023" t="s">
        <v>4915</v>
      </c>
      <c r="I1023" s="79" t="str">
        <f>IF(Tabla13[[#This Row],[RUT]]=774097899,"DIST",_xlfn.XLOOKUP(Tabla13[[#This Row],[VENDEDOR]],dimensiones!$C$21:$C$28,dimensiones!$D$21:$D$28,""))</f>
        <v>ATEL</v>
      </c>
      <c r="J1023" s="125" t="str">
        <f>_xlfn.XLOOKUP(Tabla13[[#This Row],[REGION]],dimensiones!C:C,dimensiones!D:D,"")</f>
        <v>Región de Los Ríos</v>
      </c>
    </row>
    <row r="1024" spans="1:10" ht="14.25" customHeight="1" x14ac:dyDescent="0.25">
      <c r="A1024" t="s">
        <v>5472</v>
      </c>
      <c r="B1024" t="s">
        <v>5473</v>
      </c>
      <c r="C1024" t="s">
        <v>4391</v>
      </c>
      <c r="D1024">
        <v>13</v>
      </c>
      <c r="E1024" t="s">
        <v>4445</v>
      </c>
      <c r="F1024" t="s">
        <v>5474</v>
      </c>
      <c r="G1024" t="s">
        <v>5568</v>
      </c>
      <c r="H1024" t="s">
        <v>4915</v>
      </c>
      <c r="I1024" s="79" t="str">
        <f>IF(Tabla13[[#This Row],[RUT]]=774097899,"DIST",_xlfn.XLOOKUP(Tabla13[[#This Row],[VENDEDOR]],dimensiones!$C$21:$C$28,dimensiones!$D$21:$D$28,""))</f>
        <v>ATEL</v>
      </c>
      <c r="J1024" s="125" t="str">
        <f>_xlfn.XLOOKUP(Tabla13[[#This Row],[REGION]],dimensiones!C:C,dimensiones!D:D,"")</f>
        <v>Región de Metropolitana de Santiago</v>
      </c>
    </row>
    <row r="1025" spans="1:10" ht="14.25" customHeight="1" x14ac:dyDescent="0.25">
      <c r="A1025">
        <v>766402496</v>
      </c>
      <c r="B1025" t="s">
        <v>5436</v>
      </c>
      <c r="C1025" t="s">
        <v>4410</v>
      </c>
      <c r="D1025">
        <v>13</v>
      </c>
      <c r="E1025" t="s">
        <v>4445</v>
      </c>
      <c r="F1025" t="s">
        <v>3168</v>
      </c>
      <c r="G1025" t="s">
        <v>5568</v>
      </c>
      <c r="H1025" t="s">
        <v>4915</v>
      </c>
      <c r="I1025" s="79" t="str">
        <f>IF(Tabla13[[#This Row],[RUT]]=774097899,"DIST",_xlfn.XLOOKUP(Tabla13[[#This Row],[VENDEDOR]],dimensiones!$C$21:$C$28,dimensiones!$D$21:$D$28,""))</f>
        <v>ATEL</v>
      </c>
      <c r="J1025" s="125" t="str">
        <f>_xlfn.XLOOKUP(Tabla13[[#This Row],[REGION]],dimensiones!C:C,dimensiones!D:D,"")</f>
        <v>Región de Metropolitana de Santiago</v>
      </c>
    </row>
    <row r="1026" spans="1:10" ht="14.25" customHeight="1" x14ac:dyDescent="0.25">
      <c r="A1026">
        <v>766425852</v>
      </c>
      <c r="B1026" t="s">
        <v>495</v>
      </c>
      <c r="C1026" t="s">
        <v>4510</v>
      </c>
      <c r="D1026">
        <v>13</v>
      </c>
      <c r="E1026" t="s">
        <v>4445</v>
      </c>
      <c r="F1026" t="s">
        <v>2645</v>
      </c>
      <c r="G1026" t="s">
        <v>5568</v>
      </c>
      <c r="H1026" t="s">
        <v>4915</v>
      </c>
      <c r="I1026" s="79" t="str">
        <f>IF(Tabla13[[#This Row],[RUT]]=774097899,"DIST",_xlfn.XLOOKUP(Tabla13[[#This Row],[VENDEDOR]],dimensiones!$C$21:$C$28,dimensiones!$D$21:$D$28,""))</f>
        <v>ATEL</v>
      </c>
      <c r="J1026" s="125" t="str">
        <f>_xlfn.XLOOKUP(Tabla13[[#This Row],[REGION]],dimensiones!C:C,dimensiones!D:D,"")</f>
        <v>Región de Metropolitana de Santiago</v>
      </c>
    </row>
    <row r="1027" spans="1:10" ht="14.25" customHeight="1" x14ac:dyDescent="0.25">
      <c r="A1027">
        <v>766434436</v>
      </c>
      <c r="B1027" t="s">
        <v>496</v>
      </c>
      <c r="C1027" t="s">
        <v>4460</v>
      </c>
      <c r="D1027">
        <v>8</v>
      </c>
      <c r="E1027" t="s">
        <v>4445</v>
      </c>
      <c r="F1027" t="s">
        <v>2647</v>
      </c>
      <c r="G1027" t="s">
        <v>5568</v>
      </c>
      <c r="H1027" t="s">
        <v>4915</v>
      </c>
      <c r="I1027" s="79" t="str">
        <f>IF(Tabla13[[#This Row],[RUT]]=774097899,"DIST",_xlfn.XLOOKUP(Tabla13[[#This Row],[VENDEDOR]],dimensiones!$C$21:$C$28,dimensiones!$D$21:$D$28,""))</f>
        <v>ATEL</v>
      </c>
      <c r="J1027" s="125" t="str">
        <f>_xlfn.XLOOKUP(Tabla13[[#This Row],[REGION]],dimensiones!C:C,dimensiones!D:D,"")</f>
        <v>Región de Biobío</v>
      </c>
    </row>
    <row r="1028" spans="1:10" ht="14.25" customHeight="1" x14ac:dyDescent="0.25">
      <c r="A1028">
        <v>766456863</v>
      </c>
      <c r="B1028" t="s">
        <v>497</v>
      </c>
      <c r="C1028" t="s">
        <v>4195</v>
      </c>
      <c r="D1028">
        <v>13</v>
      </c>
      <c r="E1028" t="s">
        <v>4445</v>
      </c>
      <c r="F1028" t="s">
        <v>2660</v>
      </c>
      <c r="G1028" t="s">
        <v>5568</v>
      </c>
      <c r="H1028" t="s">
        <v>4915</v>
      </c>
      <c r="I1028" s="79" t="str">
        <f>IF(Tabla13[[#This Row],[RUT]]=774097899,"DIST",_xlfn.XLOOKUP(Tabla13[[#This Row],[VENDEDOR]],dimensiones!$C$21:$C$28,dimensiones!$D$21:$D$28,""))</f>
        <v>ATEL</v>
      </c>
      <c r="J1028" s="125" t="str">
        <f>_xlfn.XLOOKUP(Tabla13[[#This Row],[REGION]],dimensiones!C:C,dimensiones!D:D,"")</f>
        <v>Región de Metropolitana de Santiago</v>
      </c>
    </row>
    <row r="1029" spans="1:10" ht="14.25" customHeight="1" x14ac:dyDescent="0.25">
      <c r="A1029">
        <v>766499104</v>
      </c>
      <c r="B1029" t="s">
        <v>830</v>
      </c>
      <c r="C1029" t="s">
        <v>4495</v>
      </c>
      <c r="D1029">
        <v>16</v>
      </c>
      <c r="E1029" t="s">
        <v>4445</v>
      </c>
      <c r="F1029" t="s">
        <v>2649</v>
      </c>
      <c r="G1029" t="s">
        <v>5570</v>
      </c>
      <c r="H1029" t="s">
        <v>4915</v>
      </c>
      <c r="I1029" s="79" t="str">
        <f>IF(Tabla13[[#This Row],[RUT]]=774097899,"DIST",_xlfn.XLOOKUP(Tabla13[[#This Row],[VENDEDOR]],dimensiones!$C$21:$C$28,dimensiones!$D$21:$D$28,""))</f>
        <v>ATEL</v>
      </c>
      <c r="J1029" s="125" t="str">
        <f>_xlfn.XLOOKUP(Tabla13[[#This Row],[REGION]],dimensiones!C:C,dimensiones!D:D,"")</f>
        <v>Región de Ñuble</v>
      </c>
    </row>
    <row r="1030" spans="1:10" ht="14.25" customHeight="1" x14ac:dyDescent="0.25">
      <c r="A1030">
        <v>766658113</v>
      </c>
      <c r="B1030" t="s">
        <v>2652</v>
      </c>
      <c r="C1030" t="s">
        <v>4391</v>
      </c>
      <c r="D1030">
        <v>13</v>
      </c>
      <c r="E1030" t="s">
        <v>4445</v>
      </c>
      <c r="F1030" t="s">
        <v>2651</v>
      </c>
      <c r="G1030" t="s">
        <v>5568</v>
      </c>
      <c r="H1030" t="s">
        <v>4915</v>
      </c>
      <c r="I1030" s="79" t="str">
        <f>IF(Tabla13[[#This Row],[RUT]]=774097899,"DIST",_xlfn.XLOOKUP(Tabla13[[#This Row],[VENDEDOR]],dimensiones!$C$21:$C$28,dimensiones!$D$21:$D$28,""))</f>
        <v>ATEL</v>
      </c>
      <c r="J1030" s="125" t="str">
        <f>_xlfn.XLOOKUP(Tabla13[[#This Row],[REGION]],dimensiones!C:C,dimensiones!D:D,"")</f>
        <v>Región de Metropolitana de Santiago</v>
      </c>
    </row>
    <row r="1031" spans="1:10" ht="14.25" customHeight="1" x14ac:dyDescent="0.25">
      <c r="A1031">
        <v>766666744</v>
      </c>
      <c r="B1031" t="s">
        <v>498</v>
      </c>
      <c r="C1031" t="s">
        <v>4391</v>
      </c>
      <c r="D1031">
        <v>13</v>
      </c>
      <c r="E1031" t="s">
        <v>4445</v>
      </c>
      <c r="F1031" t="s">
        <v>3660</v>
      </c>
      <c r="G1031" t="s">
        <v>5568</v>
      </c>
      <c r="H1031" t="s">
        <v>4915</v>
      </c>
      <c r="I1031" s="79" t="str">
        <f>IF(Tabla13[[#This Row],[RUT]]=774097899,"DIST",_xlfn.XLOOKUP(Tabla13[[#This Row],[VENDEDOR]],dimensiones!$C$21:$C$28,dimensiones!$D$21:$D$28,""))</f>
        <v>ATEL</v>
      </c>
      <c r="J1031" s="125" t="str">
        <f>_xlfn.XLOOKUP(Tabla13[[#This Row],[REGION]],dimensiones!C:C,dimensiones!D:D,"")</f>
        <v>Región de Metropolitana de Santiago</v>
      </c>
    </row>
    <row r="1032" spans="1:10" ht="14.25" customHeight="1" x14ac:dyDescent="0.25">
      <c r="A1032">
        <v>766844154</v>
      </c>
      <c r="B1032" t="s">
        <v>4568</v>
      </c>
      <c r="C1032" t="s">
        <v>4391</v>
      </c>
      <c r="D1032">
        <v>13</v>
      </c>
      <c r="E1032" t="s">
        <v>4445</v>
      </c>
      <c r="F1032" t="s">
        <v>3789</v>
      </c>
      <c r="G1032" t="s">
        <v>5570</v>
      </c>
      <c r="H1032" t="s">
        <v>4915</v>
      </c>
      <c r="I1032" s="79" t="str">
        <f>IF(Tabla13[[#This Row],[RUT]]=774097899,"DIST",_xlfn.XLOOKUP(Tabla13[[#This Row],[VENDEDOR]],dimensiones!$C$21:$C$28,dimensiones!$D$21:$D$28,""))</f>
        <v>ATEL</v>
      </c>
      <c r="J1032" s="125" t="str">
        <f>_xlfn.XLOOKUP(Tabla13[[#This Row],[REGION]],dimensiones!C:C,dimensiones!D:D,"")</f>
        <v>Región de Metropolitana de Santiago</v>
      </c>
    </row>
    <row r="1033" spans="1:10" ht="14.25" customHeight="1" x14ac:dyDescent="0.25">
      <c r="A1033" t="s">
        <v>4768</v>
      </c>
      <c r="B1033" t="s">
        <v>4570</v>
      </c>
      <c r="C1033" t="s">
        <v>4218</v>
      </c>
      <c r="D1033">
        <v>9</v>
      </c>
      <c r="E1033" t="s">
        <v>4445</v>
      </c>
      <c r="F1033" t="s">
        <v>4569</v>
      </c>
      <c r="G1033" t="s">
        <v>5568</v>
      </c>
      <c r="H1033" t="s">
        <v>4915</v>
      </c>
      <c r="I1033" s="79" t="str">
        <f>IF(Tabla13[[#This Row],[RUT]]=774097899,"DIST",_xlfn.XLOOKUP(Tabla13[[#This Row],[VENDEDOR]],dimensiones!$C$21:$C$28,dimensiones!$D$21:$D$28,""))</f>
        <v>ATEL</v>
      </c>
      <c r="J1033" s="125" t="str">
        <f>_xlfn.XLOOKUP(Tabla13[[#This Row],[REGION]],dimensiones!C:C,dimensiones!D:D,"")</f>
        <v>Región de La Araucanía</v>
      </c>
    </row>
    <row r="1034" spans="1:10" ht="14.25" customHeight="1" x14ac:dyDescent="0.25">
      <c r="A1034">
        <v>766858872</v>
      </c>
      <c r="B1034" t="s">
        <v>4989</v>
      </c>
      <c r="C1034" t="s">
        <v>4168</v>
      </c>
      <c r="D1034">
        <v>13</v>
      </c>
      <c r="E1034" t="s">
        <v>4445</v>
      </c>
      <c r="F1034" t="s">
        <v>4990</v>
      </c>
      <c r="G1034" t="s">
        <v>5568</v>
      </c>
      <c r="H1034" t="s">
        <v>4915</v>
      </c>
      <c r="I1034" s="79" t="str">
        <f>IF(Tabla13[[#This Row],[RUT]]=774097899,"DIST",_xlfn.XLOOKUP(Tabla13[[#This Row],[VENDEDOR]],dimensiones!$C$21:$C$28,dimensiones!$D$21:$D$28,""))</f>
        <v>ATEL</v>
      </c>
      <c r="J1034" s="125" t="str">
        <f>_xlfn.XLOOKUP(Tabla13[[#This Row],[REGION]],dimensiones!C:C,dimensiones!D:D,"")</f>
        <v>Región de Metropolitana de Santiago</v>
      </c>
    </row>
    <row r="1035" spans="1:10" ht="14.25" customHeight="1" x14ac:dyDescent="0.25">
      <c r="A1035">
        <v>766862357</v>
      </c>
      <c r="B1035" t="s">
        <v>499</v>
      </c>
      <c r="C1035" t="s">
        <v>4391</v>
      </c>
      <c r="D1035">
        <v>13</v>
      </c>
      <c r="E1035" t="s">
        <v>4445</v>
      </c>
      <c r="F1035" t="s">
        <v>2658</v>
      </c>
      <c r="G1035" t="s">
        <v>5570</v>
      </c>
      <c r="H1035" t="s">
        <v>4915</v>
      </c>
      <c r="I1035" s="79" t="str">
        <f>IF(Tabla13[[#This Row],[RUT]]=774097899,"DIST",_xlfn.XLOOKUP(Tabla13[[#This Row],[VENDEDOR]],dimensiones!$C$21:$C$28,dimensiones!$D$21:$D$28,""))</f>
        <v>ATEL</v>
      </c>
      <c r="J1035" s="125" t="str">
        <f>_xlfn.XLOOKUP(Tabla13[[#This Row],[REGION]],dimensiones!C:C,dimensiones!D:D,"")</f>
        <v>Región de Metropolitana de Santiago</v>
      </c>
    </row>
    <row r="1036" spans="1:10" ht="14.25" customHeight="1" x14ac:dyDescent="0.25">
      <c r="A1036">
        <v>766878997</v>
      </c>
      <c r="B1036" t="s">
        <v>1003</v>
      </c>
      <c r="C1036" t="s">
        <v>4490</v>
      </c>
      <c r="D1036">
        <v>5</v>
      </c>
      <c r="E1036" t="s">
        <v>4445</v>
      </c>
      <c r="F1036" t="s">
        <v>2662</v>
      </c>
      <c r="G1036" t="s">
        <v>5570</v>
      </c>
      <c r="H1036" t="s">
        <v>4915</v>
      </c>
      <c r="I1036" s="79" t="str">
        <f>IF(Tabla13[[#This Row],[RUT]]=774097899,"DIST",_xlfn.XLOOKUP(Tabla13[[#This Row],[VENDEDOR]],dimensiones!$C$21:$C$28,dimensiones!$D$21:$D$28,""))</f>
        <v>ATEL</v>
      </c>
      <c r="J1036" s="125" t="str">
        <f>_xlfn.XLOOKUP(Tabla13[[#This Row],[REGION]],dimensiones!C:C,dimensiones!D:D,"")</f>
        <v>Región de Valparaíso</v>
      </c>
    </row>
    <row r="1037" spans="1:10" ht="14.25" customHeight="1" x14ac:dyDescent="0.25">
      <c r="A1037">
        <v>766951309</v>
      </c>
      <c r="B1037" t="s">
        <v>500</v>
      </c>
      <c r="C1037" t="s">
        <v>4178</v>
      </c>
      <c r="D1037">
        <v>6</v>
      </c>
      <c r="E1037" t="s">
        <v>4445</v>
      </c>
      <c r="F1037" t="s">
        <v>2664</v>
      </c>
      <c r="G1037" t="s">
        <v>5568</v>
      </c>
      <c r="H1037" t="s">
        <v>4915</v>
      </c>
      <c r="I1037" s="79" t="str">
        <f>IF(Tabla13[[#This Row],[RUT]]=774097899,"DIST",_xlfn.XLOOKUP(Tabla13[[#This Row],[VENDEDOR]],dimensiones!$C$21:$C$28,dimensiones!$D$21:$D$28,""))</f>
        <v>ATEL</v>
      </c>
      <c r="J1037" s="125" t="str">
        <f>_xlfn.XLOOKUP(Tabla13[[#This Row],[REGION]],dimensiones!C:C,dimensiones!D:D,"")</f>
        <v>Región de Libertador General Bernardo O'Higgins</v>
      </c>
    </row>
    <row r="1038" spans="1:10" ht="14.25" customHeight="1" x14ac:dyDescent="0.25">
      <c r="A1038">
        <v>767012691</v>
      </c>
      <c r="B1038" t="s">
        <v>4572</v>
      </c>
      <c r="C1038" t="s">
        <v>4456</v>
      </c>
      <c r="D1038">
        <v>13</v>
      </c>
      <c r="E1038" t="s">
        <v>4445</v>
      </c>
      <c r="F1038" t="s">
        <v>4571</v>
      </c>
      <c r="G1038" t="s">
        <v>5569</v>
      </c>
      <c r="H1038" t="s">
        <v>4915</v>
      </c>
      <c r="I1038" s="79" t="str">
        <f>IF(Tabla13[[#This Row],[RUT]]=774097899,"DIST",_xlfn.XLOOKUP(Tabla13[[#This Row],[VENDEDOR]],dimensiones!$C$21:$C$28,dimensiones!$D$21:$D$28,""))</f>
        <v>ATEL</v>
      </c>
      <c r="J1038" s="125" t="str">
        <f>_xlfn.XLOOKUP(Tabla13[[#This Row],[REGION]],dimensiones!C:C,dimensiones!D:D,"")</f>
        <v>Región de Metropolitana de Santiago</v>
      </c>
    </row>
    <row r="1039" spans="1:10" ht="14.25" customHeight="1" x14ac:dyDescent="0.25">
      <c r="A1039">
        <v>767059825</v>
      </c>
      <c r="B1039" t="s">
        <v>2667</v>
      </c>
      <c r="C1039" t="s">
        <v>4399</v>
      </c>
      <c r="D1039">
        <v>13</v>
      </c>
      <c r="E1039" t="s">
        <v>4445</v>
      </c>
      <c r="F1039" t="s">
        <v>2666</v>
      </c>
      <c r="G1039" t="s">
        <v>5568</v>
      </c>
      <c r="H1039" t="s">
        <v>4915</v>
      </c>
      <c r="I1039" s="79" t="str">
        <f>IF(Tabla13[[#This Row],[RUT]]=774097899,"DIST",_xlfn.XLOOKUP(Tabla13[[#This Row],[VENDEDOR]],dimensiones!$C$21:$C$28,dimensiones!$D$21:$D$28,""))</f>
        <v>ATEL</v>
      </c>
      <c r="J1039" s="125" t="str">
        <f>_xlfn.XLOOKUP(Tabla13[[#This Row],[REGION]],dimensiones!C:C,dimensiones!D:D,"")</f>
        <v>Región de Metropolitana de Santiago</v>
      </c>
    </row>
    <row r="1040" spans="1:10" ht="14.25" customHeight="1" x14ac:dyDescent="0.25">
      <c r="A1040">
        <v>767166966</v>
      </c>
      <c r="B1040" t="s">
        <v>501</v>
      </c>
      <c r="C1040" t="s">
        <v>4495</v>
      </c>
      <c r="D1040">
        <v>16</v>
      </c>
      <c r="E1040" t="s">
        <v>4445</v>
      </c>
      <c r="F1040" t="s">
        <v>2669</v>
      </c>
      <c r="G1040" t="s">
        <v>5568</v>
      </c>
      <c r="H1040" t="s">
        <v>4915</v>
      </c>
      <c r="I1040" s="79" t="str">
        <f>IF(Tabla13[[#This Row],[RUT]]=774097899,"DIST",_xlfn.XLOOKUP(Tabla13[[#This Row],[VENDEDOR]],dimensiones!$C$21:$C$28,dimensiones!$D$21:$D$28,""))</f>
        <v>ATEL</v>
      </c>
      <c r="J1040" s="125" t="str">
        <f>_xlfn.XLOOKUP(Tabla13[[#This Row],[REGION]],dimensiones!C:C,dimensiones!D:D,"")</f>
        <v>Región de Ñuble</v>
      </c>
    </row>
    <row r="1041" spans="1:10" ht="14.25" customHeight="1" x14ac:dyDescent="0.25">
      <c r="A1041" t="s">
        <v>711</v>
      </c>
      <c r="B1041" t="s">
        <v>712</v>
      </c>
      <c r="C1041" t="s">
        <v>4394</v>
      </c>
      <c r="D1041">
        <v>13</v>
      </c>
      <c r="E1041" t="s">
        <v>4445</v>
      </c>
      <c r="F1041" t="s">
        <v>2671</v>
      </c>
      <c r="G1041" t="s">
        <v>5568</v>
      </c>
      <c r="H1041" t="s">
        <v>4915</v>
      </c>
      <c r="I1041" s="79" t="str">
        <f>IF(Tabla13[[#This Row],[RUT]]=774097899,"DIST",_xlfn.XLOOKUP(Tabla13[[#This Row],[VENDEDOR]],dimensiones!$C$21:$C$28,dimensiones!$D$21:$D$28,""))</f>
        <v>ATEL</v>
      </c>
      <c r="J1041" s="125" t="str">
        <f>_xlfn.XLOOKUP(Tabla13[[#This Row],[REGION]],dimensiones!C:C,dimensiones!D:D,"")</f>
        <v>Región de Metropolitana de Santiago</v>
      </c>
    </row>
    <row r="1042" spans="1:10" ht="14.25" customHeight="1" x14ac:dyDescent="0.25">
      <c r="A1042">
        <v>767253591</v>
      </c>
      <c r="B1042" t="s">
        <v>832</v>
      </c>
      <c r="C1042" t="s">
        <v>4257</v>
      </c>
      <c r="D1042">
        <v>7</v>
      </c>
      <c r="E1042" t="s">
        <v>4445</v>
      </c>
      <c r="F1042" t="s">
        <v>2673</v>
      </c>
      <c r="G1042" t="s">
        <v>5568</v>
      </c>
      <c r="H1042" t="s">
        <v>4915</v>
      </c>
      <c r="I1042" s="79" t="str">
        <f>IF(Tabla13[[#This Row],[RUT]]=774097899,"DIST",_xlfn.XLOOKUP(Tabla13[[#This Row],[VENDEDOR]],dimensiones!$C$21:$C$28,dimensiones!$D$21:$D$28,""))</f>
        <v>ATEL</v>
      </c>
      <c r="J1042" s="125" t="str">
        <f>_xlfn.XLOOKUP(Tabla13[[#This Row],[REGION]],dimensiones!C:C,dimensiones!D:D,"")</f>
        <v>Región de Maule</v>
      </c>
    </row>
    <row r="1043" spans="1:10" ht="14.25" customHeight="1" x14ac:dyDescent="0.25">
      <c r="A1043">
        <v>767343795</v>
      </c>
      <c r="B1043" t="s">
        <v>5005</v>
      </c>
      <c r="C1043" t="s">
        <v>4460</v>
      </c>
      <c r="D1043">
        <v>8</v>
      </c>
      <c r="E1043" t="s">
        <v>4445</v>
      </c>
      <c r="F1043" t="s">
        <v>5006</v>
      </c>
      <c r="G1043" t="s">
        <v>5568</v>
      </c>
      <c r="H1043" t="s">
        <v>4915</v>
      </c>
      <c r="I1043" s="79" t="str">
        <f>IF(Tabla13[[#This Row],[RUT]]=774097899,"DIST",_xlfn.XLOOKUP(Tabla13[[#This Row],[VENDEDOR]],dimensiones!$C$21:$C$28,dimensiones!$D$21:$D$28,""))</f>
        <v>ATEL</v>
      </c>
      <c r="J1043" s="125" t="str">
        <f>_xlfn.XLOOKUP(Tabla13[[#This Row],[REGION]],dimensiones!C:C,dimensiones!D:D,"")</f>
        <v>Región de Biobío</v>
      </c>
    </row>
    <row r="1044" spans="1:10" ht="14.25" customHeight="1" x14ac:dyDescent="0.25">
      <c r="A1044">
        <v>767344848</v>
      </c>
      <c r="B1044" t="s">
        <v>933</v>
      </c>
      <c r="C1044" t="s">
        <v>4168</v>
      </c>
      <c r="D1044">
        <v>13</v>
      </c>
      <c r="E1044" t="s">
        <v>4445</v>
      </c>
      <c r="F1044" t="s">
        <v>2675</v>
      </c>
      <c r="G1044" t="s">
        <v>5568</v>
      </c>
      <c r="H1044" t="s">
        <v>4915</v>
      </c>
      <c r="I1044" s="79" t="str">
        <f>IF(Tabla13[[#This Row],[RUT]]=774097899,"DIST",_xlfn.XLOOKUP(Tabla13[[#This Row],[VENDEDOR]],dimensiones!$C$21:$C$28,dimensiones!$D$21:$D$28,""))</f>
        <v>ATEL</v>
      </c>
      <c r="J1044" s="125" t="str">
        <f>_xlfn.XLOOKUP(Tabla13[[#This Row],[REGION]],dimensiones!C:C,dimensiones!D:D,"")</f>
        <v>Región de Metropolitana de Santiago</v>
      </c>
    </row>
    <row r="1045" spans="1:10" ht="14.25" customHeight="1" x14ac:dyDescent="0.25">
      <c r="A1045">
        <v>767382995</v>
      </c>
      <c r="B1045" t="s">
        <v>502</v>
      </c>
      <c r="C1045" t="s">
        <v>4460</v>
      </c>
      <c r="D1045">
        <v>8</v>
      </c>
      <c r="E1045" t="s">
        <v>4445</v>
      </c>
      <c r="F1045" t="s">
        <v>2677</v>
      </c>
      <c r="G1045" t="s">
        <v>5570</v>
      </c>
      <c r="H1045" t="s">
        <v>4915</v>
      </c>
      <c r="I1045" s="79" t="str">
        <f>IF(Tabla13[[#This Row],[RUT]]=774097899,"DIST",_xlfn.XLOOKUP(Tabla13[[#This Row],[VENDEDOR]],dimensiones!$C$21:$C$28,dimensiones!$D$21:$D$28,""))</f>
        <v>ATEL</v>
      </c>
      <c r="J1045" s="125" t="str">
        <f>_xlfn.XLOOKUP(Tabla13[[#This Row],[REGION]],dimensiones!C:C,dimensiones!D:D,"")</f>
        <v>Región de Biobío</v>
      </c>
    </row>
    <row r="1046" spans="1:10" ht="14.25" customHeight="1" x14ac:dyDescent="0.25">
      <c r="A1046" t="s">
        <v>713</v>
      </c>
      <c r="B1046" t="s">
        <v>714</v>
      </c>
      <c r="C1046" t="s">
        <v>4391</v>
      </c>
      <c r="D1046">
        <v>13</v>
      </c>
      <c r="E1046" t="s">
        <v>4445</v>
      </c>
      <c r="F1046" t="s">
        <v>2679</v>
      </c>
      <c r="G1046" t="s">
        <v>5568</v>
      </c>
      <c r="H1046" t="s">
        <v>4915</v>
      </c>
      <c r="I1046" s="79" t="str">
        <f>IF(Tabla13[[#This Row],[RUT]]=774097899,"DIST",_xlfn.XLOOKUP(Tabla13[[#This Row],[VENDEDOR]],dimensiones!$C$21:$C$28,dimensiones!$D$21:$D$28,""))</f>
        <v>ATEL</v>
      </c>
      <c r="J1046" s="125" t="str">
        <f>_xlfn.XLOOKUP(Tabla13[[#This Row],[REGION]],dimensiones!C:C,dimensiones!D:D,"")</f>
        <v>Región de Metropolitana de Santiago</v>
      </c>
    </row>
    <row r="1047" spans="1:10" ht="14.25" customHeight="1" x14ac:dyDescent="0.25">
      <c r="A1047">
        <v>767407939</v>
      </c>
      <c r="B1047" t="s">
        <v>833</v>
      </c>
      <c r="C1047" t="s">
        <v>4460</v>
      </c>
      <c r="D1047">
        <v>8</v>
      </c>
      <c r="E1047" t="s">
        <v>4445</v>
      </c>
      <c r="F1047" t="s">
        <v>3228</v>
      </c>
      <c r="G1047" t="s">
        <v>5570</v>
      </c>
      <c r="H1047" t="s">
        <v>4915</v>
      </c>
      <c r="I1047" s="79" t="str">
        <f>IF(Tabla13[[#This Row],[RUT]]=774097899,"DIST",_xlfn.XLOOKUP(Tabla13[[#This Row],[VENDEDOR]],dimensiones!$C$21:$C$28,dimensiones!$D$21:$D$28,""))</f>
        <v>ATEL</v>
      </c>
      <c r="J1047" s="125" t="str">
        <f>_xlfn.XLOOKUP(Tabla13[[#This Row],[REGION]],dimensiones!C:C,dimensiones!D:D,"")</f>
        <v>Región de Biobío</v>
      </c>
    </row>
    <row r="1048" spans="1:10" ht="14.25" customHeight="1" x14ac:dyDescent="0.25">
      <c r="A1048">
        <v>767409354</v>
      </c>
      <c r="B1048" t="s">
        <v>834</v>
      </c>
      <c r="C1048" t="s">
        <v>4495</v>
      </c>
      <c r="D1048">
        <v>16</v>
      </c>
      <c r="E1048" t="s">
        <v>4445</v>
      </c>
      <c r="F1048" t="s">
        <v>3241</v>
      </c>
      <c r="G1048" t="s">
        <v>5568</v>
      </c>
      <c r="H1048" t="s">
        <v>4915</v>
      </c>
      <c r="I1048" s="79" t="str">
        <f>IF(Tabla13[[#This Row],[RUT]]=774097899,"DIST",_xlfn.XLOOKUP(Tabla13[[#This Row],[VENDEDOR]],dimensiones!$C$21:$C$28,dimensiones!$D$21:$D$28,""))</f>
        <v>ATEL</v>
      </c>
      <c r="J1048" s="125" t="str">
        <f>_xlfn.XLOOKUP(Tabla13[[#This Row],[REGION]],dimensiones!C:C,dimensiones!D:D,"")</f>
        <v>Región de Ñuble</v>
      </c>
    </row>
    <row r="1049" spans="1:10" ht="14.25" customHeight="1" x14ac:dyDescent="0.25">
      <c r="A1049">
        <v>767409842</v>
      </c>
      <c r="B1049" t="s">
        <v>835</v>
      </c>
      <c r="C1049" t="s">
        <v>4168</v>
      </c>
      <c r="D1049">
        <v>13</v>
      </c>
      <c r="E1049" t="s">
        <v>4445</v>
      </c>
      <c r="F1049" t="s">
        <v>2685</v>
      </c>
      <c r="G1049" t="s">
        <v>5568</v>
      </c>
      <c r="H1049" t="s">
        <v>4915</v>
      </c>
      <c r="I1049" s="79" t="str">
        <f>IF(Tabla13[[#This Row],[RUT]]=774097899,"DIST",_xlfn.XLOOKUP(Tabla13[[#This Row],[VENDEDOR]],dimensiones!$C$21:$C$28,dimensiones!$D$21:$D$28,""))</f>
        <v>ATEL</v>
      </c>
      <c r="J1049" s="125" t="str">
        <f>_xlfn.XLOOKUP(Tabla13[[#This Row],[REGION]],dimensiones!C:C,dimensiones!D:D,"")</f>
        <v>Región de Metropolitana de Santiago</v>
      </c>
    </row>
    <row r="1050" spans="1:10" ht="14.25" customHeight="1" x14ac:dyDescent="0.25">
      <c r="A1050">
        <v>767461364</v>
      </c>
      <c r="B1050" t="s">
        <v>2688</v>
      </c>
      <c r="C1050" t="s">
        <v>4465</v>
      </c>
      <c r="D1050">
        <v>13</v>
      </c>
      <c r="E1050" t="s">
        <v>4445</v>
      </c>
      <c r="F1050" t="s">
        <v>2687</v>
      </c>
      <c r="G1050" t="s">
        <v>5570</v>
      </c>
      <c r="H1050" t="s">
        <v>4915</v>
      </c>
      <c r="I1050" s="79" t="str">
        <f>IF(Tabla13[[#This Row],[RUT]]=774097899,"DIST",_xlfn.XLOOKUP(Tabla13[[#This Row],[VENDEDOR]],dimensiones!$C$21:$C$28,dimensiones!$D$21:$D$28,""))</f>
        <v>ATEL</v>
      </c>
      <c r="J1050" s="125" t="str">
        <f>_xlfn.XLOOKUP(Tabla13[[#This Row],[REGION]],dimensiones!C:C,dimensiones!D:D,"")</f>
        <v>Región de Metropolitana de Santiago</v>
      </c>
    </row>
    <row r="1051" spans="1:10" ht="14.25" customHeight="1" x14ac:dyDescent="0.25">
      <c r="A1051">
        <v>767486421</v>
      </c>
      <c r="B1051" t="s">
        <v>503</v>
      </c>
      <c r="C1051" t="s">
        <v>4465</v>
      </c>
      <c r="D1051">
        <v>13</v>
      </c>
      <c r="E1051" t="s">
        <v>4445</v>
      </c>
      <c r="F1051" t="s">
        <v>2690</v>
      </c>
      <c r="G1051" t="s">
        <v>5570</v>
      </c>
      <c r="H1051" t="s">
        <v>4915</v>
      </c>
      <c r="I1051" s="79" t="str">
        <f>IF(Tabla13[[#This Row],[RUT]]=774097899,"DIST",_xlfn.XLOOKUP(Tabla13[[#This Row],[VENDEDOR]],dimensiones!$C$21:$C$28,dimensiones!$D$21:$D$28,""))</f>
        <v>ATEL</v>
      </c>
      <c r="J1051" s="125" t="str">
        <f>_xlfn.XLOOKUP(Tabla13[[#This Row],[REGION]],dimensiones!C:C,dimensiones!D:D,"")</f>
        <v>Región de Metropolitana de Santiago</v>
      </c>
    </row>
    <row r="1052" spans="1:10" ht="14.25" customHeight="1" x14ac:dyDescent="0.25">
      <c r="A1052">
        <v>767495641</v>
      </c>
      <c r="B1052" t="s">
        <v>1833</v>
      </c>
      <c r="C1052" t="s">
        <v>4364</v>
      </c>
      <c r="D1052">
        <v>9</v>
      </c>
      <c r="E1052" t="s">
        <v>4445</v>
      </c>
      <c r="F1052" t="s">
        <v>1832</v>
      </c>
      <c r="G1052" t="s">
        <v>5568</v>
      </c>
      <c r="H1052" t="s">
        <v>4915</v>
      </c>
      <c r="I1052" s="79" t="str">
        <f>IF(Tabla13[[#This Row],[RUT]]=774097899,"DIST",_xlfn.XLOOKUP(Tabla13[[#This Row],[VENDEDOR]],dimensiones!$C$21:$C$28,dimensiones!$D$21:$D$28,""))</f>
        <v>ATEL</v>
      </c>
      <c r="J1052" s="125" t="str">
        <f>_xlfn.XLOOKUP(Tabla13[[#This Row],[REGION]],dimensiones!C:C,dimensiones!D:D,"")</f>
        <v>Región de La Araucanía</v>
      </c>
    </row>
    <row r="1053" spans="1:10" ht="14.25" customHeight="1" x14ac:dyDescent="0.25">
      <c r="A1053">
        <v>767529732</v>
      </c>
      <c r="B1053" t="s">
        <v>2696</v>
      </c>
      <c r="C1053" t="s">
        <v>4305</v>
      </c>
      <c r="D1053">
        <v>5</v>
      </c>
      <c r="E1053" t="s">
        <v>4445</v>
      </c>
      <c r="F1053" t="s">
        <v>2695</v>
      </c>
      <c r="G1053" t="s">
        <v>5570</v>
      </c>
      <c r="H1053" t="s">
        <v>4915</v>
      </c>
      <c r="I1053" s="79" t="str">
        <f>IF(Tabla13[[#This Row],[RUT]]=774097899,"DIST",_xlfn.XLOOKUP(Tabla13[[#This Row],[VENDEDOR]],dimensiones!$C$21:$C$28,dimensiones!$D$21:$D$28,""))</f>
        <v>ATEL</v>
      </c>
      <c r="J1053" s="125" t="str">
        <f>_xlfn.XLOOKUP(Tabla13[[#This Row],[REGION]],dimensiones!C:C,dimensiones!D:D,"")</f>
        <v>Región de Valparaíso</v>
      </c>
    </row>
    <row r="1054" spans="1:10" ht="14.25" customHeight="1" x14ac:dyDescent="0.25">
      <c r="A1054">
        <v>767542968</v>
      </c>
      <c r="B1054" t="s">
        <v>2711</v>
      </c>
      <c r="C1054" t="s">
        <v>4172</v>
      </c>
      <c r="D1054">
        <v>13</v>
      </c>
      <c r="E1054" t="s">
        <v>4445</v>
      </c>
      <c r="F1054" t="s">
        <v>2710</v>
      </c>
      <c r="H1054" t="s">
        <v>4915</v>
      </c>
      <c r="I1054" s="79" t="str">
        <f>IF(Tabla13[[#This Row],[RUT]]=774097899,"DIST",_xlfn.XLOOKUP(Tabla13[[#This Row],[VENDEDOR]],dimensiones!$C$21:$C$28,dimensiones!$D$21:$D$28,""))</f>
        <v>ATEL</v>
      </c>
      <c r="J1054" s="125" t="str">
        <f>_xlfn.XLOOKUP(Tabla13[[#This Row],[REGION]],dimensiones!C:C,dimensiones!D:D,"")</f>
        <v>Región de Metropolitana de Santiago</v>
      </c>
    </row>
    <row r="1055" spans="1:10" ht="14.25" customHeight="1" x14ac:dyDescent="0.25">
      <c r="A1055">
        <v>767568088</v>
      </c>
      <c r="B1055" t="s">
        <v>836</v>
      </c>
      <c r="C1055" t="s">
        <v>4395</v>
      </c>
      <c r="D1055">
        <v>13</v>
      </c>
      <c r="E1055" t="s">
        <v>4445</v>
      </c>
      <c r="F1055" t="s">
        <v>1978</v>
      </c>
      <c r="G1055" t="s">
        <v>5568</v>
      </c>
      <c r="H1055" t="s">
        <v>4915</v>
      </c>
      <c r="I1055" s="79" t="str">
        <f>IF(Tabla13[[#This Row],[RUT]]=774097899,"DIST",_xlfn.XLOOKUP(Tabla13[[#This Row],[VENDEDOR]],dimensiones!$C$21:$C$28,dimensiones!$D$21:$D$28,""))</f>
        <v>ATEL</v>
      </c>
      <c r="J1055" s="125" t="str">
        <f>_xlfn.XLOOKUP(Tabla13[[#This Row],[REGION]],dimensiones!C:C,dimensiones!D:D,"")</f>
        <v>Región de Metropolitana de Santiago</v>
      </c>
    </row>
    <row r="1056" spans="1:10" ht="14.25" customHeight="1" x14ac:dyDescent="0.25">
      <c r="A1056" t="s">
        <v>715</v>
      </c>
      <c r="B1056" t="s">
        <v>716</v>
      </c>
      <c r="C1056" t="s">
        <v>4391</v>
      </c>
      <c r="D1056">
        <v>13</v>
      </c>
      <c r="E1056" t="s">
        <v>4445</v>
      </c>
      <c r="F1056" t="s">
        <v>2701</v>
      </c>
      <c r="G1056" t="s">
        <v>5568</v>
      </c>
      <c r="H1056" t="s">
        <v>4915</v>
      </c>
      <c r="I1056" s="79" t="str">
        <f>IF(Tabla13[[#This Row],[RUT]]=774097899,"DIST",_xlfn.XLOOKUP(Tabla13[[#This Row],[VENDEDOR]],dimensiones!$C$21:$C$28,dimensiones!$D$21:$D$28,""))</f>
        <v>ATEL</v>
      </c>
      <c r="J1056" s="125" t="str">
        <f>_xlfn.XLOOKUP(Tabla13[[#This Row],[REGION]],dimensiones!C:C,dimensiones!D:D,"")</f>
        <v>Región de Metropolitana de Santiago</v>
      </c>
    </row>
    <row r="1057" spans="1:12" ht="14.25" customHeight="1" x14ac:dyDescent="0.25">
      <c r="A1057">
        <v>767586930</v>
      </c>
      <c r="B1057" t="s">
        <v>2704</v>
      </c>
      <c r="C1057" t="s">
        <v>4465</v>
      </c>
      <c r="D1057">
        <v>13</v>
      </c>
      <c r="E1057" t="s">
        <v>4445</v>
      </c>
      <c r="F1057" t="s">
        <v>2703</v>
      </c>
      <c r="G1057" t="s">
        <v>5568</v>
      </c>
      <c r="H1057" t="s">
        <v>4915</v>
      </c>
      <c r="I1057" s="79" t="str">
        <f>IF(Tabla13[[#This Row],[RUT]]=774097899,"DIST",_xlfn.XLOOKUP(Tabla13[[#This Row],[VENDEDOR]],dimensiones!$C$21:$C$28,dimensiones!$D$21:$D$28,""))</f>
        <v>ATEL</v>
      </c>
      <c r="J1057" s="125" t="str">
        <f>_xlfn.XLOOKUP(Tabla13[[#This Row],[REGION]],dimensiones!C:C,dimensiones!D:D,"")</f>
        <v>Región de Metropolitana de Santiago</v>
      </c>
    </row>
    <row r="1058" spans="1:12" ht="14.25" customHeight="1" x14ac:dyDescent="0.25">
      <c r="A1058" t="s">
        <v>4761</v>
      </c>
      <c r="B1058" t="s">
        <v>955</v>
      </c>
      <c r="C1058" t="s">
        <v>4401</v>
      </c>
      <c r="D1058">
        <v>13</v>
      </c>
      <c r="E1058" t="s">
        <v>4445</v>
      </c>
      <c r="F1058" t="s">
        <v>2706</v>
      </c>
      <c r="G1058" t="s">
        <v>5568</v>
      </c>
      <c r="H1058" t="s">
        <v>4915</v>
      </c>
      <c r="I1058" s="79" t="str">
        <f>IF(Tabla13[[#This Row],[RUT]]=774097899,"DIST",_xlfn.XLOOKUP(Tabla13[[#This Row],[VENDEDOR]],dimensiones!$C$21:$C$28,dimensiones!$D$21:$D$28,""))</f>
        <v>ATEL</v>
      </c>
      <c r="J1058" s="125" t="str">
        <f>_xlfn.XLOOKUP(Tabla13[[#This Row],[REGION]],dimensiones!C:C,dimensiones!D:D,"")</f>
        <v>Región de Metropolitana de Santiago</v>
      </c>
    </row>
    <row r="1059" spans="1:12" ht="14.25" customHeight="1" x14ac:dyDescent="0.25">
      <c r="A1059">
        <v>767754396</v>
      </c>
      <c r="B1059" t="s">
        <v>504</v>
      </c>
      <c r="C1059" t="s">
        <v>4391</v>
      </c>
      <c r="D1059">
        <v>13</v>
      </c>
      <c r="E1059" t="s">
        <v>4445</v>
      </c>
      <c r="F1059" t="s">
        <v>2708</v>
      </c>
      <c r="G1059" t="s">
        <v>5568</v>
      </c>
      <c r="H1059" t="s">
        <v>4915</v>
      </c>
      <c r="I1059" s="79" t="str">
        <f>IF(Tabla13[[#This Row],[RUT]]=774097899,"DIST",_xlfn.XLOOKUP(Tabla13[[#This Row],[VENDEDOR]],dimensiones!$C$21:$C$28,dimensiones!$D$21:$D$28,""))</f>
        <v>ATEL</v>
      </c>
      <c r="J1059" s="125" t="str">
        <f>_xlfn.XLOOKUP(Tabla13[[#This Row],[REGION]],dimensiones!C:C,dimensiones!D:D,"")</f>
        <v>Región de Metropolitana de Santiago</v>
      </c>
    </row>
    <row r="1060" spans="1:12" ht="14.25" customHeight="1" x14ac:dyDescent="0.25">
      <c r="A1060">
        <v>767813252</v>
      </c>
      <c r="B1060" t="s">
        <v>837</v>
      </c>
      <c r="C1060" t="s">
        <v>4506</v>
      </c>
      <c r="D1060">
        <v>13</v>
      </c>
      <c r="E1060" t="s">
        <v>4445</v>
      </c>
      <c r="F1060" t="s">
        <v>2712</v>
      </c>
      <c r="G1060" t="s">
        <v>5568</v>
      </c>
      <c r="H1060" t="s">
        <v>4915</v>
      </c>
      <c r="I1060" s="79" t="str">
        <f>IF(Tabla13[[#This Row],[RUT]]=774097899,"DIST",_xlfn.XLOOKUP(Tabla13[[#This Row],[VENDEDOR]],dimensiones!$C$21:$C$28,dimensiones!$D$21:$D$28,""))</f>
        <v>ATEL</v>
      </c>
      <c r="J1060" s="125" t="str">
        <f>_xlfn.XLOOKUP(Tabla13[[#This Row],[REGION]],dimensiones!C:C,dimensiones!D:D,"")</f>
        <v>Región de Metropolitana de Santiago</v>
      </c>
    </row>
    <row r="1061" spans="1:12" ht="14.25" customHeight="1" x14ac:dyDescent="0.25">
      <c r="A1061">
        <v>767839332</v>
      </c>
      <c r="B1061" t="s">
        <v>2715</v>
      </c>
      <c r="C1061" t="s">
        <v>4490</v>
      </c>
      <c r="D1061">
        <v>5</v>
      </c>
      <c r="E1061" t="s">
        <v>4445</v>
      </c>
      <c r="F1061" t="s">
        <v>2714</v>
      </c>
      <c r="G1061" t="s">
        <v>5568</v>
      </c>
      <c r="H1061" t="s">
        <v>4915</v>
      </c>
      <c r="I1061" s="79" t="str">
        <f>IF(Tabla13[[#This Row],[RUT]]=774097899,"DIST",_xlfn.XLOOKUP(Tabla13[[#This Row],[VENDEDOR]],dimensiones!$C$21:$C$28,dimensiones!$D$21:$D$28,""))</f>
        <v>ATEL</v>
      </c>
      <c r="J1061" s="125" t="str">
        <f>_xlfn.XLOOKUP(Tabla13[[#This Row],[REGION]],dimensiones!C:C,dimensiones!D:D,"")</f>
        <v>Región de Valparaíso</v>
      </c>
      <c r="L1061" s="91"/>
    </row>
    <row r="1062" spans="1:12" ht="14.25" customHeight="1" x14ac:dyDescent="0.25">
      <c r="A1062">
        <v>767852096</v>
      </c>
      <c r="B1062" t="s">
        <v>5496</v>
      </c>
      <c r="C1062" t="s">
        <v>4245</v>
      </c>
      <c r="D1062">
        <v>4</v>
      </c>
      <c r="E1062" t="s">
        <v>4445</v>
      </c>
      <c r="F1062" t="s">
        <v>5497</v>
      </c>
      <c r="G1062" t="s">
        <v>5568</v>
      </c>
      <c r="H1062" t="s">
        <v>4915</v>
      </c>
      <c r="I1062" s="79" t="str">
        <f>IF(Tabla13[[#This Row],[RUT]]=774097899,"DIST",_xlfn.XLOOKUP(Tabla13[[#This Row],[VENDEDOR]],dimensiones!$C$21:$C$28,dimensiones!$D$21:$D$28,""))</f>
        <v>ATEL</v>
      </c>
      <c r="J1062" s="125" t="str">
        <f>_xlfn.XLOOKUP(Tabla13[[#This Row],[REGION]],dimensiones!C:C,dimensiones!D:D,"")</f>
        <v>Región de Coquimbo</v>
      </c>
      <c r="L1062" s="91"/>
    </row>
    <row r="1063" spans="1:12" ht="14.25" customHeight="1" x14ac:dyDescent="0.25">
      <c r="A1063">
        <v>767884176</v>
      </c>
      <c r="B1063" t="s">
        <v>838</v>
      </c>
      <c r="C1063" t="s">
        <v>4551</v>
      </c>
      <c r="D1063">
        <v>13</v>
      </c>
      <c r="E1063" t="s">
        <v>4445</v>
      </c>
      <c r="F1063" t="s">
        <v>2717</v>
      </c>
      <c r="G1063" t="s">
        <v>5568</v>
      </c>
      <c r="H1063" t="s">
        <v>4915</v>
      </c>
      <c r="I1063" s="79" t="str">
        <f>IF(Tabla13[[#This Row],[RUT]]=774097899,"DIST",_xlfn.XLOOKUP(Tabla13[[#This Row],[VENDEDOR]],dimensiones!$C$21:$C$28,dimensiones!$D$21:$D$28,""))</f>
        <v>ATEL</v>
      </c>
      <c r="J1063" s="125" t="str">
        <f>_xlfn.XLOOKUP(Tabla13[[#This Row],[REGION]],dimensiones!C:C,dimensiones!D:D,"")</f>
        <v>Región de Metropolitana de Santiago</v>
      </c>
      <c r="L1063" s="91"/>
    </row>
    <row r="1064" spans="1:12" ht="14.25" customHeight="1" x14ac:dyDescent="0.25">
      <c r="A1064">
        <v>767892799</v>
      </c>
      <c r="B1064" t="s">
        <v>839</v>
      </c>
      <c r="C1064" t="s">
        <v>4465</v>
      </c>
      <c r="D1064">
        <v>13</v>
      </c>
      <c r="E1064" t="s">
        <v>4445</v>
      </c>
      <c r="F1064" t="s">
        <v>2719</v>
      </c>
      <c r="G1064" t="s">
        <v>5568</v>
      </c>
      <c r="H1064" t="s">
        <v>4915</v>
      </c>
      <c r="I1064" s="79" t="str">
        <f>IF(Tabla13[[#This Row],[RUT]]=774097899,"DIST",_xlfn.XLOOKUP(Tabla13[[#This Row],[VENDEDOR]],dimensiones!$C$21:$C$28,dimensiones!$D$21:$D$28,""))</f>
        <v>ATEL</v>
      </c>
      <c r="J1064" s="125" t="str">
        <f>_xlfn.XLOOKUP(Tabla13[[#This Row],[REGION]],dimensiones!C:C,dimensiones!D:D,"")</f>
        <v>Región de Metropolitana de Santiago</v>
      </c>
      <c r="L1064" s="91"/>
    </row>
    <row r="1065" spans="1:12" ht="14.25" customHeight="1" x14ac:dyDescent="0.25">
      <c r="A1065">
        <v>767904088</v>
      </c>
      <c r="B1065" t="s">
        <v>840</v>
      </c>
      <c r="C1065" t="s">
        <v>4465</v>
      </c>
      <c r="D1065">
        <v>13</v>
      </c>
      <c r="E1065" t="s">
        <v>4445</v>
      </c>
      <c r="F1065" t="s">
        <v>2721</v>
      </c>
      <c r="G1065" t="s">
        <v>5576</v>
      </c>
      <c r="H1065" t="s">
        <v>4915</v>
      </c>
      <c r="I1065" s="79" t="str">
        <f>IF(Tabla13[[#This Row],[RUT]]=774097899,"DIST",_xlfn.XLOOKUP(Tabla13[[#This Row],[VENDEDOR]],dimensiones!$C$21:$C$28,dimensiones!$D$21:$D$28,""))</f>
        <v>ATEL</v>
      </c>
      <c r="J1065" s="125" t="str">
        <f>_xlfn.XLOOKUP(Tabla13[[#This Row],[REGION]],dimensiones!C:C,dimensiones!D:D,"")</f>
        <v>Región de Metropolitana de Santiago</v>
      </c>
      <c r="L1065" s="91"/>
    </row>
    <row r="1066" spans="1:12" ht="14.25" customHeight="1" x14ac:dyDescent="0.25">
      <c r="A1066">
        <v>767952236</v>
      </c>
      <c r="B1066" t="s">
        <v>5007</v>
      </c>
      <c r="C1066" t="s">
        <v>4529</v>
      </c>
      <c r="D1066">
        <v>13</v>
      </c>
      <c r="E1066" t="s">
        <v>4445</v>
      </c>
      <c r="F1066" t="s">
        <v>5008</v>
      </c>
      <c r="G1066" t="s">
        <v>5568</v>
      </c>
      <c r="H1066" t="s">
        <v>4915</v>
      </c>
      <c r="I1066" s="79" t="str">
        <f>IF(Tabla13[[#This Row],[RUT]]=774097899,"DIST",_xlfn.XLOOKUP(Tabla13[[#This Row],[VENDEDOR]],dimensiones!$C$21:$C$28,dimensiones!$D$21:$D$28,""))</f>
        <v>ATEL</v>
      </c>
      <c r="J1066" s="125" t="str">
        <f>_xlfn.XLOOKUP(Tabla13[[#This Row],[REGION]],dimensiones!C:C,dimensiones!D:D,"")</f>
        <v>Región de Metropolitana de Santiago</v>
      </c>
      <c r="L1066" s="91"/>
    </row>
    <row r="1067" spans="1:12" ht="14.25" customHeight="1" x14ac:dyDescent="0.25">
      <c r="A1067">
        <v>768078661</v>
      </c>
      <c r="B1067" t="s">
        <v>841</v>
      </c>
      <c r="C1067" t="s">
        <v>4465</v>
      </c>
      <c r="D1067">
        <v>13</v>
      </c>
      <c r="E1067" t="s">
        <v>4445</v>
      </c>
      <c r="F1067" t="s">
        <v>2723</v>
      </c>
      <c r="G1067" t="s">
        <v>5570</v>
      </c>
      <c r="H1067" t="s">
        <v>4915</v>
      </c>
      <c r="I1067" s="79" t="str">
        <f>IF(Tabla13[[#This Row],[RUT]]=774097899,"DIST",_xlfn.XLOOKUP(Tabla13[[#This Row],[VENDEDOR]],dimensiones!$C$21:$C$28,dimensiones!$D$21:$D$28,""))</f>
        <v>ATEL</v>
      </c>
      <c r="J1067" s="125" t="str">
        <f>_xlfn.XLOOKUP(Tabla13[[#This Row],[REGION]],dimensiones!C:C,dimensiones!D:D,"")</f>
        <v>Región de Metropolitana de Santiago</v>
      </c>
      <c r="L1067" s="91"/>
    </row>
    <row r="1068" spans="1:12" ht="14.25" customHeight="1" x14ac:dyDescent="0.25">
      <c r="A1068">
        <v>768101337</v>
      </c>
      <c r="B1068" t="s">
        <v>4574</v>
      </c>
      <c r="C1068" t="s">
        <v>4563</v>
      </c>
      <c r="D1068">
        <v>5</v>
      </c>
      <c r="E1068" t="s">
        <v>4445</v>
      </c>
      <c r="F1068" t="s">
        <v>4573</v>
      </c>
      <c r="G1068" t="s">
        <v>5568</v>
      </c>
      <c r="H1068" t="s">
        <v>4915</v>
      </c>
      <c r="I1068" s="79" t="str">
        <f>IF(Tabla13[[#This Row],[RUT]]=774097899,"DIST",_xlfn.XLOOKUP(Tabla13[[#This Row],[VENDEDOR]],dimensiones!$C$21:$C$28,dimensiones!$D$21:$D$28,""))</f>
        <v>ATEL</v>
      </c>
      <c r="J1068" s="125" t="str">
        <f>_xlfn.XLOOKUP(Tabla13[[#This Row],[REGION]],dimensiones!C:C,dimensiones!D:D,"")</f>
        <v>Región de Valparaíso</v>
      </c>
      <c r="L1068" s="91"/>
    </row>
    <row r="1069" spans="1:12" ht="14.25" customHeight="1" x14ac:dyDescent="0.25">
      <c r="A1069" t="s">
        <v>4769</v>
      </c>
      <c r="B1069" t="s">
        <v>2726</v>
      </c>
      <c r="C1069" t="s">
        <v>4391</v>
      </c>
      <c r="D1069">
        <v>13</v>
      </c>
      <c r="E1069" t="s">
        <v>4445</v>
      </c>
      <c r="F1069" t="s">
        <v>2725</v>
      </c>
      <c r="G1069" t="s">
        <v>5568</v>
      </c>
      <c r="H1069" t="s">
        <v>4915</v>
      </c>
      <c r="I1069" s="79" t="str">
        <f>IF(Tabla13[[#This Row],[RUT]]=774097899,"DIST",_xlfn.XLOOKUP(Tabla13[[#This Row],[VENDEDOR]],dimensiones!$C$21:$C$28,dimensiones!$D$21:$D$28,""))</f>
        <v>ATEL</v>
      </c>
      <c r="J1069" s="125" t="str">
        <f>_xlfn.XLOOKUP(Tabla13[[#This Row],[REGION]],dimensiones!C:C,dimensiones!D:D,"")</f>
        <v>Región de Metropolitana de Santiago</v>
      </c>
      <c r="L1069" s="91"/>
    </row>
    <row r="1070" spans="1:12" ht="14.25" customHeight="1" x14ac:dyDescent="0.25">
      <c r="A1070">
        <v>768142173</v>
      </c>
      <c r="B1070" t="s">
        <v>505</v>
      </c>
      <c r="C1070" t="s">
        <v>4196</v>
      </c>
      <c r="D1070">
        <v>13</v>
      </c>
      <c r="E1070" t="s">
        <v>4445</v>
      </c>
      <c r="F1070" t="s">
        <v>2728</v>
      </c>
      <c r="G1070" t="s">
        <v>5568</v>
      </c>
      <c r="H1070" t="s">
        <v>4915</v>
      </c>
      <c r="I1070" s="79" t="str">
        <f>IF(Tabla13[[#This Row],[RUT]]=774097899,"DIST",_xlfn.XLOOKUP(Tabla13[[#This Row],[VENDEDOR]],dimensiones!$C$21:$C$28,dimensiones!$D$21:$D$28,""))</f>
        <v>ATEL</v>
      </c>
      <c r="J1070" s="125" t="str">
        <f>_xlfn.XLOOKUP(Tabla13[[#This Row],[REGION]],dimensiones!C:C,dimensiones!D:D,"")</f>
        <v>Región de Metropolitana de Santiago</v>
      </c>
      <c r="L1070" s="91"/>
    </row>
    <row r="1071" spans="1:12" ht="14.25" customHeight="1" x14ac:dyDescent="0.25">
      <c r="A1071">
        <v>768144222</v>
      </c>
      <c r="B1071" t="s">
        <v>3301</v>
      </c>
      <c r="C1071" t="s">
        <v>4183</v>
      </c>
      <c r="D1071">
        <v>8</v>
      </c>
      <c r="E1071" t="s">
        <v>4445</v>
      </c>
      <c r="F1071" t="s">
        <v>3300</v>
      </c>
      <c r="G1071" t="s">
        <v>5569</v>
      </c>
      <c r="H1071" t="s">
        <v>4915</v>
      </c>
      <c r="I1071" s="79" t="str">
        <f>IF(Tabla13[[#This Row],[RUT]]=774097899,"DIST",_xlfn.XLOOKUP(Tabla13[[#This Row],[VENDEDOR]],dimensiones!$C$21:$C$28,dimensiones!$D$21:$D$28,""))</f>
        <v>ATEL</v>
      </c>
      <c r="J1071" s="125" t="str">
        <f>_xlfn.XLOOKUP(Tabla13[[#This Row],[REGION]],dimensiones!C:C,dimensiones!D:D,"")</f>
        <v>Región de Biobío</v>
      </c>
      <c r="L1071" s="91"/>
    </row>
    <row r="1072" spans="1:12" ht="14.25" customHeight="1" x14ac:dyDescent="0.25">
      <c r="A1072">
        <v>768224552</v>
      </c>
      <c r="B1072" t="s">
        <v>4980</v>
      </c>
      <c r="C1072" t="s">
        <v>4197</v>
      </c>
      <c r="D1072">
        <v>13</v>
      </c>
      <c r="E1072" t="s">
        <v>4445</v>
      </c>
      <c r="F1072" t="s">
        <v>4981</v>
      </c>
      <c r="G1072" t="s">
        <v>5568</v>
      </c>
      <c r="H1072" t="s">
        <v>4915</v>
      </c>
      <c r="I1072" s="79" t="str">
        <f>IF(Tabla13[[#This Row],[RUT]]=774097899,"DIST",_xlfn.XLOOKUP(Tabla13[[#This Row],[VENDEDOR]],dimensiones!$C$21:$C$28,dimensiones!$D$21:$D$28,""))</f>
        <v>ATEL</v>
      </c>
      <c r="J1072" s="125" t="str">
        <f>_xlfn.XLOOKUP(Tabla13[[#This Row],[REGION]],dimensiones!C:C,dimensiones!D:D,"")</f>
        <v>Región de Metropolitana de Santiago</v>
      </c>
      <c r="L1072" s="91"/>
    </row>
    <row r="1073" spans="1:12" ht="14.25" customHeight="1" x14ac:dyDescent="0.25">
      <c r="A1073">
        <v>768357935</v>
      </c>
      <c r="B1073" t="s">
        <v>2734</v>
      </c>
      <c r="C1073" t="s">
        <v>4391</v>
      </c>
      <c r="D1073">
        <v>13</v>
      </c>
      <c r="E1073" t="s">
        <v>4445</v>
      </c>
      <c r="F1073" t="s">
        <v>2733</v>
      </c>
      <c r="G1073" t="s">
        <v>5568</v>
      </c>
      <c r="H1073" t="s">
        <v>4915</v>
      </c>
      <c r="I1073" s="79" t="str">
        <f>IF(Tabla13[[#This Row],[RUT]]=774097899,"DIST",_xlfn.XLOOKUP(Tabla13[[#This Row],[VENDEDOR]],dimensiones!$C$21:$C$28,dimensiones!$D$21:$D$28,""))</f>
        <v>ATEL</v>
      </c>
      <c r="J1073" s="125" t="str">
        <f>_xlfn.XLOOKUP(Tabla13[[#This Row],[REGION]],dimensiones!C:C,dimensiones!D:D,"")</f>
        <v>Región de Metropolitana de Santiago</v>
      </c>
      <c r="L1073" s="91"/>
    </row>
    <row r="1074" spans="1:12" ht="14.25" customHeight="1" x14ac:dyDescent="0.25">
      <c r="A1074">
        <v>768426007</v>
      </c>
      <c r="B1074" t="s">
        <v>506</v>
      </c>
      <c r="C1074" t="s">
        <v>4257</v>
      </c>
      <c r="D1074">
        <v>7</v>
      </c>
      <c r="E1074" t="s">
        <v>4445</v>
      </c>
      <c r="F1074" t="s">
        <v>3671</v>
      </c>
      <c r="G1074" t="s">
        <v>5570</v>
      </c>
      <c r="H1074" t="s">
        <v>4915</v>
      </c>
      <c r="I1074" s="79" t="str">
        <f>IF(Tabla13[[#This Row],[RUT]]=774097899,"DIST",_xlfn.XLOOKUP(Tabla13[[#This Row],[VENDEDOR]],dimensiones!$C$21:$C$28,dimensiones!$D$21:$D$28,""))</f>
        <v>ATEL</v>
      </c>
      <c r="J1074" s="125" t="str">
        <f>_xlfn.XLOOKUP(Tabla13[[#This Row],[REGION]],dimensiones!C:C,dimensiones!D:D,"")</f>
        <v>Región de Maule</v>
      </c>
      <c r="L1074" s="91"/>
    </row>
    <row r="1075" spans="1:12" ht="14.25" customHeight="1" x14ac:dyDescent="0.25">
      <c r="A1075">
        <v>768449252</v>
      </c>
      <c r="B1075" t="s">
        <v>507</v>
      </c>
      <c r="C1075" t="s">
        <v>4391</v>
      </c>
      <c r="D1075">
        <v>13</v>
      </c>
      <c r="E1075" t="s">
        <v>4445</v>
      </c>
      <c r="F1075" t="s">
        <v>2738</v>
      </c>
      <c r="G1075" t="s">
        <v>5570</v>
      </c>
      <c r="H1075" t="s">
        <v>4915</v>
      </c>
      <c r="I1075" s="79" t="str">
        <f>IF(Tabla13[[#This Row],[RUT]]=774097899,"DIST",_xlfn.XLOOKUP(Tabla13[[#This Row],[VENDEDOR]],dimensiones!$C$21:$C$28,dimensiones!$D$21:$D$28,""))</f>
        <v>ATEL</v>
      </c>
      <c r="J1075" s="125" t="str">
        <f>_xlfn.XLOOKUP(Tabla13[[#This Row],[REGION]],dimensiones!C:C,dimensiones!D:D,"")</f>
        <v>Región de Metropolitana de Santiago</v>
      </c>
      <c r="L1075" s="91"/>
    </row>
    <row r="1076" spans="1:12" ht="14.25" customHeight="1" x14ac:dyDescent="0.25">
      <c r="A1076">
        <v>768473536</v>
      </c>
      <c r="B1076" t="s">
        <v>508</v>
      </c>
      <c r="C1076" t="s">
        <v>4416</v>
      </c>
      <c r="D1076">
        <v>13</v>
      </c>
      <c r="E1076" t="s">
        <v>4445</v>
      </c>
      <c r="F1076" t="s">
        <v>4099</v>
      </c>
      <c r="G1076" t="s">
        <v>5568</v>
      </c>
      <c r="H1076" t="s">
        <v>4915</v>
      </c>
      <c r="I1076" s="79" t="str">
        <f>IF(Tabla13[[#This Row],[RUT]]=774097899,"DIST",_xlfn.XLOOKUP(Tabla13[[#This Row],[VENDEDOR]],dimensiones!$C$21:$C$28,dimensiones!$D$21:$D$28,""))</f>
        <v>ATEL</v>
      </c>
      <c r="J1076" s="125" t="str">
        <f>_xlfn.XLOOKUP(Tabla13[[#This Row],[REGION]],dimensiones!C:C,dimensiones!D:D,"")</f>
        <v>Región de Metropolitana de Santiago</v>
      </c>
    </row>
    <row r="1077" spans="1:12" ht="14.25" customHeight="1" x14ac:dyDescent="0.25">
      <c r="A1077">
        <v>768489920</v>
      </c>
      <c r="B1077" t="s">
        <v>4576</v>
      </c>
      <c r="C1077" t="s">
        <v>4497</v>
      </c>
      <c r="D1077">
        <v>8</v>
      </c>
      <c r="E1077" t="s">
        <v>4445</v>
      </c>
      <c r="F1077" t="s">
        <v>4575</v>
      </c>
      <c r="H1077" t="s">
        <v>4915</v>
      </c>
      <c r="I1077" s="79" t="str">
        <f>IF(Tabla13[[#This Row],[RUT]]=774097899,"DIST",_xlfn.XLOOKUP(Tabla13[[#This Row],[VENDEDOR]],dimensiones!$C$21:$C$28,dimensiones!$D$21:$D$28,""))</f>
        <v>ATEL</v>
      </c>
      <c r="J1077" s="125" t="str">
        <f>_xlfn.XLOOKUP(Tabla13[[#This Row],[REGION]],dimensiones!C:C,dimensiones!D:D,"")</f>
        <v>Región de Biobío</v>
      </c>
    </row>
    <row r="1078" spans="1:12" ht="14.25" customHeight="1" x14ac:dyDescent="0.25">
      <c r="A1078" t="s">
        <v>717</v>
      </c>
      <c r="B1078" t="s">
        <v>2741</v>
      </c>
      <c r="C1078" t="s">
        <v>4497</v>
      </c>
      <c r="D1078">
        <v>8</v>
      </c>
      <c r="E1078" t="s">
        <v>4445</v>
      </c>
      <c r="F1078" t="s">
        <v>2740</v>
      </c>
      <c r="G1078" t="s">
        <v>5570</v>
      </c>
      <c r="H1078" t="s">
        <v>4915</v>
      </c>
      <c r="I1078" s="79" t="str">
        <f>IF(Tabla13[[#This Row],[RUT]]=774097899,"DIST",_xlfn.XLOOKUP(Tabla13[[#This Row],[VENDEDOR]],dimensiones!$C$21:$C$28,dimensiones!$D$21:$D$28,""))</f>
        <v>ATEL</v>
      </c>
      <c r="J1078" s="125" t="str">
        <f>_xlfn.XLOOKUP(Tabla13[[#This Row],[REGION]],dimensiones!C:C,dimensiones!D:D,"")</f>
        <v>Región de Biobío</v>
      </c>
    </row>
    <row r="1079" spans="1:12" ht="14.25" customHeight="1" x14ac:dyDescent="0.25">
      <c r="A1079">
        <v>768526907</v>
      </c>
      <c r="B1079" t="s">
        <v>2744</v>
      </c>
      <c r="C1079" t="s">
        <v>4465</v>
      </c>
      <c r="D1079">
        <v>13</v>
      </c>
      <c r="E1079" t="s">
        <v>4445</v>
      </c>
      <c r="F1079" t="s">
        <v>2743</v>
      </c>
      <c r="G1079" t="s">
        <v>5568</v>
      </c>
      <c r="H1079" t="s">
        <v>4915</v>
      </c>
      <c r="I1079" s="79" t="str">
        <f>IF(Tabla13[[#This Row],[RUT]]=774097899,"DIST",_xlfn.XLOOKUP(Tabla13[[#This Row],[VENDEDOR]],dimensiones!$C$21:$C$28,dimensiones!$D$21:$D$28,""))</f>
        <v>ATEL</v>
      </c>
      <c r="J1079" s="125" t="str">
        <f>_xlfn.XLOOKUP(Tabla13[[#This Row],[REGION]],dimensiones!C:C,dimensiones!D:D,"")</f>
        <v>Región de Metropolitana de Santiago</v>
      </c>
    </row>
    <row r="1080" spans="1:12" ht="14.25" customHeight="1" x14ac:dyDescent="0.25">
      <c r="A1080">
        <v>768557993</v>
      </c>
      <c r="B1080" t="s">
        <v>2747</v>
      </c>
      <c r="C1080" t="s">
        <v>4168</v>
      </c>
      <c r="D1080">
        <v>13</v>
      </c>
      <c r="E1080" t="s">
        <v>4445</v>
      </c>
      <c r="F1080" t="s">
        <v>2746</v>
      </c>
      <c r="G1080" t="s">
        <v>5568</v>
      </c>
      <c r="H1080" t="s">
        <v>4915</v>
      </c>
      <c r="I1080" s="79" t="str">
        <f>IF(Tabla13[[#This Row],[RUT]]=774097899,"DIST",_xlfn.XLOOKUP(Tabla13[[#This Row],[VENDEDOR]],dimensiones!$C$21:$C$28,dimensiones!$D$21:$D$28,""))</f>
        <v>ATEL</v>
      </c>
      <c r="J1080" s="125" t="str">
        <f>_xlfn.XLOOKUP(Tabla13[[#This Row],[REGION]],dimensiones!C:C,dimensiones!D:D,"")</f>
        <v>Región de Metropolitana de Santiago</v>
      </c>
    </row>
    <row r="1081" spans="1:12" ht="14.25" customHeight="1" x14ac:dyDescent="0.25">
      <c r="A1081">
        <v>768575673</v>
      </c>
      <c r="B1081" t="s">
        <v>5643</v>
      </c>
      <c r="C1081" t="s">
        <v>4178</v>
      </c>
      <c r="D1081">
        <v>13</v>
      </c>
      <c r="E1081" t="s">
        <v>4445</v>
      </c>
      <c r="F1081" t="s">
        <v>5644</v>
      </c>
      <c r="G1081" t="s">
        <v>5568</v>
      </c>
      <c r="H1081" t="s">
        <v>4915</v>
      </c>
      <c r="I1081" s="79" t="str">
        <f>IF(Tabla13[[#This Row],[RUT]]=774097899,"DIST",_xlfn.XLOOKUP(Tabla13[[#This Row],[VENDEDOR]],dimensiones!$C$21:$C$28,dimensiones!$D$21:$D$28,""))</f>
        <v>ATEL</v>
      </c>
      <c r="J1081" s="125" t="str">
        <f>_xlfn.XLOOKUP(Tabla13[[#This Row],[REGION]],dimensiones!C:C,dimensiones!D:D,"")</f>
        <v>Región de Metropolitana de Santiago</v>
      </c>
    </row>
    <row r="1082" spans="1:12" ht="14.25" customHeight="1" x14ac:dyDescent="0.25">
      <c r="A1082" t="s">
        <v>4770</v>
      </c>
      <c r="B1082" t="s">
        <v>2750</v>
      </c>
      <c r="C1082" t="s">
        <v>4510</v>
      </c>
      <c r="D1082">
        <v>13</v>
      </c>
      <c r="E1082" t="s">
        <v>4445</v>
      </c>
      <c r="F1082" t="s">
        <v>2749</v>
      </c>
      <c r="G1082" t="s">
        <v>5568</v>
      </c>
      <c r="H1082" t="s">
        <v>4915</v>
      </c>
      <c r="I1082" s="79" t="str">
        <f>IF(Tabla13[[#This Row],[RUT]]=774097899,"DIST",_xlfn.XLOOKUP(Tabla13[[#This Row],[VENDEDOR]],dimensiones!$C$21:$C$28,dimensiones!$D$21:$D$28,""))</f>
        <v>ATEL</v>
      </c>
      <c r="J1082" s="125" t="str">
        <f>_xlfn.XLOOKUP(Tabla13[[#This Row],[REGION]],dimensiones!C:C,dimensiones!D:D,"")</f>
        <v>Región de Metropolitana de Santiago</v>
      </c>
    </row>
    <row r="1083" spans="1:12" ht="14.25" customHeight="1" x14ac:dyDescent="0.25">
      <c r="A1083">
        <v>768658846</v>
      </c>
      <c r="B1083" t="s">
        <v>510</v>
      </c>
      <c r="C1083" t="s">
        <v>4391</v>
      </c>
      <c r="D1083">
        <v>13</v>
      </c>
      <c r="E1083" t="s">
        <v>4445</v>
      </c>
      <c r="F1083" t="s">
        <v>2752</v>
      </c>
      <c r="G1083" t="s">
        <v>5568</v>
      </c>
      <c r="H1083" t="s">
        <v>4915</v>
      </c>
      <c r="I1083" s="79" t="str">
        <f>IF(Tabla13[[#This Row],[RUT]]=774097899,"DIST",_xlfn.XLOOKUP(Tabla13[[#This Row],[VENDEDOR]],dimensiones!$C$21:$C$28,dimensiones!$D$21:$D$28,""))</f>
        <v>ATEL</v>
      </c>
      <c r="J1083" s="125" t="str">
        <f>_xlfn.XLOOKUP(Tabla13[[#This Row],[REGION]],dimensiones!C:C,dimensiones!D:D,"")</f>
        <v>Región de Metropolitana de Santiago</v>
      </c>
    </row>
    <row r="1084" spans="1:12" ht="14.25" customHeight="1" x14ac:dyDescent="0.25">
      <c r="A1084" t="s">
        <v>718</v>
      </c>
      <c r="B1084" t="s">
        <v>719</v>
      </c>
      <c r="C1084" t="s">
        <v>4465</v>
      </c>
      <c r="D1084">
        <v>13</v>
      </c>
      <c r="E1084" t="s">
        <v>4445</v>
      </c>
      <c r="F1084" t="s">
        <v>1986</v>
      </c>
      <c r="G1084" t="s">
        <v>5570</v>
      </c>
      <c r="H1084" t="s">
        <v>4915</v>
      </c>
      <c r="I1084" s="79" t="str">
        <f>IF(Tabla13[[#This Row],[RUT]]=774097899,"DIST",_xlfn.XLOOKUP(Tabla13[[#This Row],[VENDEDOR]],dimensiones!$C$21:$C$28,dimensiones!$D$21:$D$28,""))</f>
        <v>ATEL</v>
      </c>
      <c r="J1084" s="125" t="str">
        <f>_xlfn.XLOOKUP(Tabla13[[#This Row],[REGION]],dimensiones!C:C,dimensiones!D:D,"")</f>
        <v>Región de Metropolitana de Santiago</v>
      </c>
    </row>
    <row r="1085" spans="1:12" ht="14.25" customHeight="1" x14ac:dyDescent="0.25">
      <c r="A1085" t="s">
        <v>720</v>
      </c>
      <c r="B1085" t="s">
        <v>721</v>
      </c>
      <c r="C1085" t="s">
        <v>4175</v>
      </c>
      <c r="D1085">
        <v>5</v>
      </c>
      <c r="E1085" t="s">
        <v>4445</v>
      </c>
      <c r="F1085" t="s">
        <v>2756</v>
      </c>
      <c r="G1085" t="s">
        <v>5570</v>
      </c>
      <c r="H1085" t="s">
        <v>4915</v>
      </c>
      <c r="I1085" s="79" t="str">
        <f>IF(Tabla13[[#This Row],[RUT]]=774097899,"DIST",_xlfn.XLOOKUP(Tabla13[[#This Row],[VENDEDOR]],dimensiones!$C$21:$C$28,dimensiones!$D$21:$D$28,""))</f>
        <v>ATEL</v>
      </c>
      <c r="J1085" s="125" t="str">
        <f>_xlfn.XLOOKUP(Tabla13[[#This Row],[REGION]],dimensiones!C:C,dimensiones!D:D,"")</f>
        <v>Región de Valparaíso</v>
      </c>
    </row>
    <row r="1086" spans="1:12" ht="14.25" customHeight="1" x14ac:dyDescent="0.25">
      <c r="A1086">
        <v>768795401</v>
      </c>
      <c r="B1086" t="s">
        <v>5544</v>
      </c>
      <c r="C1086" t="s">
        <v>4460</v>
      </c>
      <c r="D1086">
        <v>8</v>
      </c>
      <c r="E1086" t="s">
        <v>4445</v>
      </c>
      <c r="F1086" t="s">
        <v>5545</v>
      </c>
      <c r="G1086" t="s">
        <v>5570</v>
      </c>
      <c r="H1086" t="s">
        <v>4915</v>
      </c>
      <c r="I1086" s="79" t="str">
        <f>IF(Tabla13[[#This Row],[RUT]]=774097899,"DIST",_xlfn.XLOOKUP(Tabla13[[#This Row],[VENDEDOR]],dimensiones!$C$21:$C$28,dimensiones!$D$21:$D$28,""))</f>
        <v>ATEL</v>
      </c>
      <c r="J1086" s="125" t="str">
        <f>_xlfn.XLOOKUP(Tabla13[[#This Row],[REGION]],dimensiones!C:C,dimensiones!D:D,"")</f>
        <v>Región de Biobío</v>
      </c>
    </row>
    <row r="1087" spans="1:12" ht="14.25" customHeight="1" x14ac:dyDescent="0.25">
      <c r="A1087">
        <v>768805636</v>
      </c>
      <c r="B1087" t="s">
        <v>511</v>
      </c>
      <c r="C1087" t="s">
        <v>4395</v>
      </c>
      <c r="D1087">
        <v>13</v>
      </c>
      <c r="E1087" t="s">
        <v>4445</v>
      </c>
      <c r="F1087" t="s">
        <v>1318</v>
      </c>
      <c r="G1087" t="s">
        <v>5570</v>
      </c>
      <c r="H1087" t="s">
        <v>4915</v>
      </c>
      <c r="I1087" s="79" t="str">
        <f>IF(Tabla13[[#This Row],[RUT]]=774097899,"DIST",_xlfn.XLOOKUP(Tabla13[[#This Row],[VENDEDOR]],dimensiones!$C$21:$C$28,dimensiones!$D$21:$D$28,""))</f>
        <v>ATEL</v>
      </c>
      <c r="J1087" s="125" t="str">
        <f>_xlfn.XLOOKUP(Tabla13[[#This Row],[REGION]],dimensiones!C:C,dimensiones!D:D,"")</f>
        <v>Región de Metropolitana de Santiago</v>
      </c>
    </row>
    <row r="1088" spans="1:12" ht="14.25" customHeight="1" x14ac:dyDescent="0.25">
      <c r="A1088" t="s">
        <v>4771</v>
      </c>
      <c r="B1088" t="s">
        <v>3365</v>
      </c>
      <c r="C1088" t="s">
        <v>4381</v>
      </c>
      <c r="D1088">
        <v>13</v>
      </c>
      <c r="E1088" t="s">
        <v>4445</v>
      </c>
      <c r="F1088" t="s">
        <v>3364</v>
      </c>
      <c r="G1088" t="s">
        <v>5568</v>
      </c>
      <c r="H1088" t="s">
        <v>4915</v>
      </c>
      <c r="I1088" s="79" t="str">
        <f>IF(Tabla13[[#This Row],[RUT]]=774097899,"DIST",_xlfn.XLOOKUP(Tabla13[[#This Row],[VENDEDOR]],dimensiones!$C$21:$C$28,dimensiones!$D$21:$D$28,""))</f>
        <v>ATEL</v>
      </c>
      <c r="J1088" s="125" t="str">
        <f>_xlfn.XLOOKUP(Tabla13[[#This Row],[REGION]],dimensiones!C:C,dimensiones!D:D,"")</f>
        <v>Región de Metropolitana de Santiago</v>
      </c>
    </row>
    <row r="1089" spans="1:11" ht="14.25" customHeight="1" x14ac:dyDescent="0.25">
      <c r="A1089">
        <v>768840040</v>
      </c>
      <c r="B1089" t="s">
        <v>5513</v>
      </c>
      <c r="C1089" t="s">
        <v>4183</v>
      </c>
      <c r="D1089">
        <v>8</v>
      </c>
      <c r="E1089" t="s">
        <v>4445</v>
      </c>
      <c r="F1089" t="s">
        <v>5514</v>
      </c>
      <c r="G1089" t="s">
        <v>5569</v>
      </c>
      <c r="H1089" t="s">
        <v>4915</v>
      </c>
      <c r="I1089" s="79" t="str">
        <f>IF(Tabla13[[#This Row],[RUT]]=774097899,"DIST",_xlfn.XLOOKUP(Tabla13[[#This Row],[VENDEDOR]],dimensiones!$C$21:$C$28,dimensiones!$D$21:$D$28,""))</f>
        <v>ATEL</v>
      </c>
      <c r="J1089" s="125" t="str">
        <f>_xlfn.XLOOKUP(Tabla13[[#This Row],[REGION]],dimensiones!C:C,dimensiones!D:D,"")</f>
        <v>Región de Biobío</v>
      </c>
    </row>
    <row r="1090" spans="1:11" ht="14.25" customHeight="1" x14ac:dyDescent="0.25">
      <c r="A1090">
        <v>768893845</v>
      </c>
      <c r="B1090" t="s">
        <v>512</v>
      </c>
      <c r="C1090" t="s">
        <v>4273</v>
      </c>
      <c r="D1090">
        <v>8</v>
      </c>
      <c r="E1090" t="s">
        <v>4445</v>
      </c>
      <c r="F1090" t="s">
        <v>2764</v>
      </c>
      <c r="G1090" t="s">
        <v>5570</v>
      </c>
      <c r="H1090" t="s">
        <v>4915</v>
      </c>
      <c r="I1090" s="79" t="str">
        <f>IF(Tabla13[[#This Row],[RUT]]=774097899,"DIST",_xlfn.XLOOKUP(Tabla13[[#This Row],[VENDEDOR]],dimensiones!$C$21:$C$28,dimensiones!$D$21:$D$28,""))</f>
        <v>ATEL</v>
      </c>
      <c r="J1090" s="125" t="str">
        <f>_xlfn.XLOOKUP(Tabla13[[#This Row],[REGION]],dimensiones!C:C,dimensiones!D:D,"")</f>
        <v>Región de Biobío</v>
      </c>
    </row>
    <row r="1091" spans="1:11" ht="14.25" customHeight="1" x14ac:dyDescent="0.25">
      <c r="A1091">
        <v>768905975</v>
      </c>
      <c r="B1091" t="s">
        <v>513</v>
      </c>
      <c r="C1091" t="s">
        <v>4394</v>
      </c>
      <c r="D1091">
        <v>13</v>
      </c>
      <c r="E1091" t="s">
        <v>4445</v>
      </c>
      <c r="F1091" t="s">
        <v>1451</v>
      </c>
      <c r="G1091" t="s">
        <v>5568</v>
      </c>
      <c r="H1091" t="s">
        <v>4915</v>
      </c>
      <c r="I1091" s="79" t="str">
        <f>IF(Tabla13[[#This Row],[RUT]]=774097899,"DIST",_xlfn.XLOOKUP(Tabla13[[#This Row],[VENDEDOR]],dimensiones!$C$21:$C$28,dimensiones!$D$21:$D$28,""))</f>
        <v>ATEL</v>
      </c>
      <c r="J1091" s="125" t="str">
        <f>_xlfn.XLOOKUP(Tabla13[[#This Row],[REGION]],dimensiones!C:C,dimensiones!D:D,"")</f>
        <v>Región de Metropolitana de Santiago</v>
      </c>
    </row>
    <row r="1092" spans="1:11" ht="14.25" customHeight="1" x14ac:dyDescent="0.25">
      <c r="A1092">
        <v>768913161</v>
      </c>
      <c r="B1092" t="s">
        <v>2770</v>
      </c>
      <c r="C1092" t="s">
        <v>4460</v>
      </c>
      <c r="D1092">
        <v>8</v>
      </c>
      <c r="E1092" t="s">
        <v>4445</v>
      </c>
      <c r="F1092" t="s">
        <v>2769</v>
      </c>
      <c r="G1092" t="s">
        <v>5568</v>
      </c>
      <c r="H1092" t="s">
        <v>4915</v>
      </c>
      <c r="I1092" s="79" t="str">
        <f>IF(Tabla13[[#This Row],[RUT]]=774097899,"DIST",_xlfn.XLOOKUP(Tabla13[[#This Row],[VENDEDOR]],dimensiones!$C$21:$C$28,dimensiones!$D$21:$D$28,""))</f>
        <v>ATEL</v>
      </c>
      <c r="J1092" s="125" t="str">
        <f>_xlfn.XLOOKUP(Tabla13[[#This Row],[REGION]],dimensiones!C:C,dimensiones!D:D,"")</f>
        <v>Región de Biobío</v>
      </c>
    </row>
    <row r="1093" spans="1:11" ht="14.25" customHeight="1" x14ac:dyDescent="0.25">
      <c r="A1093">
        <v>769078231</v>
      </c>
      <c r="B1093" t="s">
        <v>5666</v>
      </c>
      <c r="C1093" t="s">
        <v>4218</v>
      </c>
      <c r="D1093">
        <v>9</v>
      </c>
      <c r="E1093" t="s">
        <v>4445</v>
      </c>
      <c r="F1093" t="s">
        <v>5667</v>
      </c>
      <c r="G1093" t="s">
        <v>5568</v>
      </c>
      <c r="H1093" t="s">
        <v>4915</v>
      </c>
      <c r="I1093" s="79" t="str">
        <f>IF(Tabla13[[#This Row],[RUT]]=774097899,"DIST",_xlfn.XLOOKUP(Tabla13[[#This Row],[VENDEDOR]],dimensiones!$C$21:$C$28,dimensiones!$D$21:$D$28,""))</f>
        <v>ATEL</v>
      </c>
      <c r="J1093" s="125" t="str">
        <f>_xlfn.XLOOKUP(Tabla13[[#This Row],[REGION]],dimensiones!C:C,dimensiones!D:D,"")</f>
        <v>Región de La Araucanía</v>
      </c>
    </row>
    <row r="1094" spans="1:11" ht="14.25" customHeight="1" x14ac:dyDescent="0.25">
      <c r="A1094">
        <v>769142584</v>
      </c>
      <c r="B1094" t="s">
        <v>4578</v>
      </c>
      <c r="C1094" t="s">
        <v>4465</v>
      </c>
      <c r="D1094">
        <v>13</v>
      </c>
      <c r="E1094" t="s">
        <v>4445</v>
      </c>
      <c r="F1094" t="s">
        <v>4577</v>
      </c>
      <c r="G1094" t="s">
        <v>5568</v>
      </c>
      <c r="H1094" t="s">
        <v>4915</v>
      </c>
      <c r="I1094" s="79" t="str">
        <f>IF(Tabla13[[#This Row],[RUT]]=774097899,"DIST",_xlfn.XLOOKUP(Tabla13[[#This Row],[VENDEDOR]],dimensiones!$C$21:$C$28,dimensiones!$D$21:$D$28,""))</f>
        <v>ATEL</v>
      </c>
      <c r="J1094" s="125" t="str">
        <f>_xlfn.XLOOKUP(Tabla13[[#This Row],[REGION]],dimensiones!C:C,dimensiones!D:D,"")</f>
        <v>Región de Metropolitana de Santiago</v>
      </c>
    </row>
    <row r="1095" spans="1:11" ht="14.25" customHeight="1" x14ac:dyDescent="0.25">
      <c r="A1095">
        <v>769148574</v>
      </c>
      <c r="B1095" t="s">
        <v>4995</v>
      </c>
      <c r="C1095" t="s">
        <v>4275</v>
      </c>
      <c r="D1095">
        <v>8</v>
      </c>
      <c r="E1095" t="s">
        <v>4445</v>
      </c>
      <c r="F1095" t="s">
        <v>4996</v>
      </c>
      <c r="G1095" t="s">
        <v>5568</v>
      </c>
      <c r="H1095" t="s">
        <v>4915</v>
      </c>
      <c r="I1095" s="79" t="str">
        <f>IF(Tabla13[[#This Row],[RUT]]=774097899,"DIST",_xlfn.XLOOKUP(Tabla13[[#This Row],[VENDEDOR]],dimensiones!$C$21:$C$28,dimensiones!$D$21:$D$28,""))</f>
        <v>ATEL</v>
      </c>
      <c r="J1095" s="125" t="str">
        <f>_xlfn.XLOOKUP(Tabla13[[#This Row],[REGION]],dimensiones!C:C,dimensiones!D:D,"")</f>
        <v>Región de Biobío</v>
      </c>
    </row>
    <row r="1096" spans="1:11" ht="14.25" customHeight="1" x14ac:dyDescent="0.25">
      <c r="A1096">
        <v>769304231</v>
      </c>
      <c r="B1096" t="s">
        <v>2773</v>
      </c>
      <c r="C1096" t="s">
        <v>4456</v>
      </c>
      <c r="D1096">
        <v>13</v>
      </c>
      <c r="E1096" t="s">
        <v>4445</v>
      </c>
      <c r="F1096" t="s">
        <v>2772</v>
      </c>
      <c r="G1096" t="s">
        <v>5568</v>
      </c>
      <c r="H1096" t="s">
        <v>4915</v>
      </c>
      <c r="I1096" s="79" t="str">
        <f>IF(Tabla13[[#This Row],[RUT]]=774097899,"DIST",_xlfn.XLOOKUP(Tabla13[[#This Row],[VENDEDOR]],dimensiones!$C$21:$C$28,dimensiones!$D$21:$D$28,""))</f>
        <v>ATEL</v>
      </c>
      <c r="J1096" s="125" t="str">
        <f>_xlfn.XLOOKUP(Tabla13[[#This Row],[REGION]],dimensiones!C:C,dimensiones!D:D,"")</f>
        <v>Región de Metropolitana de Santiago</v>
      </c>
    </row>
    <row r="1097" spans="1:11" ht="14.25" customHeight="1" x14ac:dyDescent="0.25">
      <c r="A1097">
        <v>769372512</v>
      </c>
      <c r="B1097" t="s">
        <v>5580</v>
      </c>
      <c r="C1097" t="s">
        <v>4391</v>
      </c>
      <c r="D1097">
        <v>13</v>
      </c>
      <c r="E1097" t="s">
        <v>4445</v>
      </c>
      <c r="F1097" t="s">
        <v>5581</v>
      </c>
      <c r="G1097" t="s">
        <v>5568</v>
      </c>
      <c r="H1097" t="s">
        <v>4915</v>
      </c>
      <c r="I1097" s="79" t="str">
        <f>IF(Tabla13[[#This Row],[RUT]]=774097899,"DIST",_xlfn.XLOOKUP(Tabla13[[#This Row],[VENDEDOR]],dimensiones!$C$21:$C$28,dimensiones!$D$21:$D$28,""))</f>
        <v>ATEL</v>
      </c>
      <c r="J1097" s="125" t="str">
        <f>_xlfn.XLOOKUP(Tabla13[[#This Row],[REGION]],dimensiones!C:C,dimensiones!D:D,"")</f>
        <v>Región de Metropolitana de Santiago</v>
      </c>
    </row>
    <row r="1098" spans="1:11" ht="14.25" customHeight="1" x14ac:dyDescent="0.25">
      <c r="A1098" t="s">
        <v>722</v>
      </c>
      <c r="B1098" t="s">
        <v>723</v>
      </c>
      <c r="C1098" t="s">
        <v>4466</v>
      </c>
      <c r="D1098">
        <v>3</v>
      </c>
      <c r="E1098" t="s">
        <v>4445</v>
      </c>
      <c r="F1098" t="s">
        <v>2248</v>
      </c>
      <c r="G1098" t="s">
        <v>5570</v>
      </c>
      <c r="H1098" t="s">
        <v>4915</v>
      </c>
      <c r="I1098" s="79" t="str">
        <f>IF(Tabla13[[#This Row],[RUT]]=774097899,"DIST",_xlfn.XLOOKUP(Tabla13[[#This Row],[VENDEDOR]],dimensiones!$C$21:$C$28,dimensiones!$D$21:$D$28,""))</f>
        <v>ATEL</v>
      </c>
      <c r="J1098" s="125" t="str">
        <f>_xlfn.XLOOKUP(Tabla13[[#This Row],[REGION]],dimensiones!C:C,dimensiones!D:D,"")</f>
        <v>Región de Atacama</v>
      </c>
    </row>
    <row r="1099" spans="1:11" ht="14.25" customHeight="1" x14ac:dyDescent="0.25">
      <c r="A1099">
        <v>769396942</v>
      </c>
      <c r="B1099" t="s">
        <v>514</v>
      </c>
      <c r="C1099" t="s">
        <v>4544</v>
      </c>
      <c r="D1099">
        <v>9</v>
      </c>
      <c r="E1099" t="s">
        <v>4445</v>
      </c>
      <c r="F1099" t="s">
        <v>2778</v>
      </c>
      <c r="G1099" t="s">
        <v>5570</v>
      </c>
      <c r="H1099" t="s">
        <v>4915</v>
      </c>
      <c r="I1099" s="79" t="str">
        <f>IF(Tabla13[[#This Row],[RUT]]=774097899,"DIST",_xlfn.XLOOKUP(Tabla13[[#This Row],[VENDEDOR]],dimensiones!$C$21:$C$28,dimensiones!$D$21:$D$28,""))</f>
        <v>ATEL</v>
      </c>
      <c r="J1099" s="125" t="str">
        <f>_xlfn.XLOOKUP(Tabla13[[#This Row],[REGION]],dimensiones!C:C,dimensiones!D:D,"")</f>
        <v>Región de La Araucanía</v>
      </c>
    </row>
    <row r="1100" spans="1:11" ht="14.25" customHeight="1" x14ac:dyDescent="0.25">
      <c r="A1100">
        <v>769501495</v>
      </c>
      <c r="B1100" t="s">
        <v>5455</v>
      </c>
      <c r="C1100" t="s">
        <v>4264</v>
      </c>
      <c r="D1100">
        <v>7</v>
      </c>
      <c r="E1100" t="s">
        <v>4445</v>
      </c>
      <c r="F1100" t="s">
        <v>5456</v>
      </c>
      <c r="G1100" t="s">
        <v>5570</v>
      </c>
      <c r="H1100" t="s">
        <v>4915</v>
      </c>
      <c r="I1100" s="79" t="str">
        <f>IF(Tabla13[[#This Row],[RUT]]=774097899,"DIST",_xlfn.XLOOKUP(Tabla13[[#This Row],[VENDEDOR]],dimensiones!$C$21:$C$28,dimensiones!$D$21:$D$28,""))</f>
        <v>ATEL</v>
      </c>
      <c r="J1100" s="125" t="str">
        <f>_xlfn.XLOOKUP(Tabla13[[#This Row],[REGION]],dimensiones!C:C,dimensiones!D:D,"")</f>
        <v>Región de Maule</v>
      </c>
    </row>
    <row r="1101" spans="1:11" ht="14.25" customHeight="1" x14ac:dyDescent="0.25">
      <c r="A1101">
        <v>769535454</v>
      </c>
      <c r="B1101" t="s">
        <v>5653</v>
      </c>
      <c r="C1101" t="s">
        <v>4182</v>
      </c>
      <c r="D1101">
        <v>2</v>
      </c>
      <c r="E1101" t="s">
        <v>4445</v>
      </c>
      <c r="F1101" t="s">
        <v>5654</v>
      </c>
      <c r="G1101" t="s">
        <v>5568</v>
      </c>
      <c r="H1101" t="s">
        <v>4915</v>
      </c>
      <c r="I1101" s="79" t="str">
        <f>IF(Tabla13[[#This Row],[RUT]]=774097899,"DIST",_xlfn.XLOOKUP(Tabla13[[#This Row],[VENDEDOR]],dimensiones!$C$21:$C$28,dimensiones!$D$21:$D$28,""))</f>
        <v>ATEL</v>
      </c>
      <c r="J1101" s="125" t="str">
        <f>_xlfn.XLOOKUP(Tabla13[[#This Row],[REGION]],dimensiones!C:C,dimensiones!D:D,"")</f>
        <v>Región de Antofagasta</v>
      </c>
      <c r="K1101" s="16"/>
    </row>
    <row r="1102" spans="1:11" ht="14.25" customHeight="1" x14ac:dyDescent="0.25">
      <c r="A1102">
        <v>769610235</v>
      </c>
      <c r="B1102" t="s">
        <v>2781</v>
      </c>
      <c r="C1102" t="s">
        <v>4245</v>
      </c>
      <c r="D1102">
        <v>4</v>
      </c>
      <c r="E1102" t="s">
        <v>4445</v>
      </c>
      <c r="F1102" t="s">
        <v>2780</v>
      </c>
      <c r="G1102" t="s">
        <v>5568</v>
      </c>
      <c r="H1102" t="s">
        <v>4915</v>
      </c>
      <c r="I1102" s="79" t="str">
        <f>IF(Tabla13[[#This Row],[RUT]]=774097899,"DIST",_xlfn.XLOOKUP(Tabla13[[#This Row],[VENDEDOR]],dimensiones!$C$21:$C$28,dimensiones!$D$21:$D$28,""))</f>
        <v>ATEL</v>
      </c>
      <c r="J1102" s="125" t="str">
        <f>_xlfn.XLOOKUP(Tabla13[[#This Row],[REGION]],dimensiones!C:C,dimensiones!D:D,"")</f>
        <v>Región de Coquimbo</v>
      </c>
      <c r="K1102" s="16"/>
    </row>
    <row r="1103" spans="1:11" ht="14.25" customHeight="1" x14ac:dyDescent="0.25">
      <c r="A1103">
        <v>769729186</v>
      </c>
      <c r="B1103" t="s">
        <v>3457</v>
      </c>
      <c r="C1103" t="s">
        <v>4460</v>
      </c>
      <c r="D1103">
        <v>8</v>
      </c>
      <c r="E1103" t="s">
        <v>4445</v>
      </c>
      <c r="F1103" t="s">
        <v>3456</v>
      </c>
      <c r="G1103" t="s">
        <v>5568</v>
      </c>
      <c r="H1103" t="s">
        <v>4915</v>
      </c>
      <c r="I1103" s="79" t="str">
        <f>IF(Tabla13[[#This Row],[RUT]]=774097899,"DIST",_xlfn.XLOOKUP(Tabla13[[#This Row],[VENDEDOR]],dimensiones!$C$21:$C$28,dimensiones!$D$21:$D$28,""))</f>
        <v>ATEL</v>
      </c>
      <c r="J1103" s="125" t="str">
        <f>_xlfn.XLOOKUP(Tabla13[[#This Row],[REGION]],dimensiones!C:C,dimensiones!D:D,"")</f>
        <v>Región de Biobío</v>
      </c>
      <c r="K1103" s="16"/>
    </row>
    <row r="1104" spans="1:11" ht="14.25" customHeight="1" x14ac:dyDescent="0.25">
      <c r="A1104">
        <v>769770453</v>
      </c>
      <c r="B1104" t="s">
        <v>515</v>
      </c>
      <c r="C1104" t="s">
        <v>4394</v>
      </c>
      <c r="D1104">
        <v>13</v>
      </c>
      <c r="E1104" t="s">
        <v>4445</v>
      </c>
      <c r="F1104" t="s">
        <v>3370</v>
      </c>
      <c r="G1104" t="s">
        <v>5568</v>
      </c>
      <c r="H1104" t="s">
        <v>4915</v>
      </c>
      <c r="I1104" s="79" t="str">
        <f>IF(Tabla13[[#This Row],[RUT]]=774097899,"DIST",_xlfn.XLOOKUP(Tabla13[[#This Row],[VENDEDOR]],dimensiones!$C$21:$C$28,dimensiones!$D$21:$D$28,""))</f>
        <v>ATEL</v>
      </c>
      <c r="J1104" s="125" t="str">
        <f>_xlfn.XLOOKUP(Tabla13[[#This Row],[REGION]],dimensiones!C:C,dimensiones!D:D,"")</f>
        <v>Región de Metropolitana de Santiago</v>
      </c>
      <c r="K1104" s="16"/>
    </row>
    <row r="1105" spans="1:12" ht="14.25" customHeight="1" x14ac:dyDescent="0.25">
      <c r="A1105">
        <v>769798501</v>
      </c>
      <c r="B1105" t="s">
        <v>3886</v>
      </c>
      <c r="C1105" t="s">
        <v>4561</v>
      </c>
      <c r="D1105">
        <v>13</v>
      </c>
      <c r="E1105" t="s">
        <v>4445</v>
      </c>
      <c r="F1105" t="s">
        <v>3885</v>
      </c>
      <c r="G1105" t="s">
        <v>5568</v>
      </c>
      <c r="H1105" t="s">
        <v>4915</v>
      </c>
      <c r="I1105" s="79" t="str">
        <f>IF(Tabla13[[#This Row],[RUT]]=774097899,"DIST",_xlfn.XLOOKUP(Tabla13[[#This Row],[VENDEDOR]],dimensiones!$C$21:$C$28,dimensiones!$D$21:$D$28,""))</f>
        <v>ATEL</v>
      </c>
      <c r="J1105" s="125" t="str">
        <f>_xlfn.XLOOKUP(Tabla13[[#This Row],[REGION]],dimensiones!C:C,dimensiones!D:D,"")</f>
        <v>Región de Metropolitana de Santiago</v>
      </c>
    </row>
    <row r="1106" spans="1:12" ht="14.25" customHeight="1" x14ac:dyDescent="0.25">
      <c r="A1106">
        <v>769834427</v>
      </c>
      <c r="B1106" t="s">
        <v>2789</v>
      </c>
      <c r="C1106" t="s">
        <v>4185</v>
      </c>
      <c r="D1106">
        <v>12</v>
      </c>
      <c r="E1106" t="s">
        <v>4445</v>
      </c>
      <c r="F1106" t="s">
        <v>2788</v>
      </c>
      <c r="G1106" t="s">
        <v>5570</v>
      </c>
      <c r="H1106" t="s">
        <v>4915</v>
      </c>
      <c r="I1106" s="79" t="str">
        <f>IF(Tabla13[[#This Row],[RUT]]=774097899,"DIST",_xlfn.XLOOKUP(Tabla13[[#This Row],[VENDEDOR]],dimensiones!$C$21:$C$28,dimensiones!$D$21:$D$28,""))</f>
        <v>ATEL</v>
      </c>
      <c r="J1106" s="125" t="str">
        <f>_xlfn.XLOOKUP(Tabla13[[#This Row],[REGION]],dimensiones!C:C,dimensiones!D:D,"")</f>
        <v>Región de Magallanes y de la Antártica Chilena</v>
      </c>
    </row>
    <row r="1107" spans="1:12" ht="14.25" customHeight="1" x14ac:dyDescent="0.25">
      <c r="A1107">
        <v>769902112</v>
      </c>
      <c r="B1107" t="s">
        <v>2792</v>
      </c>
      <c r="C1107" t="s">
        <v>4465</v>
      </c>
      <c r="D1107">
        <v>13</v>
      </c>
      <c r="E1107" t="s">
        <v>4445</v>
      </c>
      <c r="F1107" t="s">
        <v>2791</v>
      </c>
      <c r="G1107" t="s">
        <v>5568</v>
      </c>
      <c r="H1107" t="s">
        <v>4915</v>
      </c>
      <c r="I1107" s="79" t="str">
        <f>IF(Tabla13[[#This Row],[RUT]]=774097899,"DIST",_xlfn.XLOOKUP(Tabla13[[#This Row],[VENDEDOR]],dimensiones!$C$21:$C$28,dimensiones!$D$21:$D$28,""))</f>
        <v>ATEL</v>
      </c>
      <c r="J1107" s="125" t="str">
        <f>_xlfn.XLOOKUP(Tabla13[[#This Row],[REGION]],dimensiones!C:C,dimensiones!D:D,"")</f>
        <v>Región de Metropolitana de Santiago</v>
      </c>
      <c r="K1107" s="16"/>
    </row>
    <row r="1108" spans="1:12" ht="14.25" customHeight="1" x14ac:dyDescent="0.25">
      <c r="A1108">
        <v>769915311</v>
      </c>
      <c r="B1108" t="s">
        <v>516</v>
      </c>
      <c r="C1108" t="s">
        <v>4218</v>
      </c>
      <c r="D1108">
        <v>9</v>
      </c>
      <c r="E1108" t="s">
        <v>4445</v>
      </c>
      <c r="F1108" t="s">
        <v>3714</v>
      </c>
      <c r="G1108" t="s">
        <v>5568</v>
      </c>
      <c r="H1108" t="s">
        <v>4915</v>
      </c>
      <c r="I1108" s="79" t="str">
        <f>IF(Tabla13[[#This Row],[RUT]]=774097899,"DIST",_xlfn.XLOOKUP(Tabla13[[#This Row],[VENDEDOR]],dimensiones!$C$21:$C$28,dimensiones!$D$21:$D$28,""))</f>
        <v>ATEL</v>
      </c>
      <c r="J1108" s="125" t="str">
        <f>_xlfn.XLOOKUP(Tabla13[[#This Row],[REGION]],dimensiones!C:C,dimensiones!D:D,"")</f>
        <v>Región de La Araucanía</v>
      </c>
      <c r="K1108" s="16"/>
    </row>
    <row r="1109" spans="1:12" ht="14.25" customHeight="1" x14ac:dyDescent="0.25">
      <c r="A1109">
        <v>769919759</v>
      </c>
      <c r="B1109" t="s">
        <v>517</v>
      </c>
      <c r="C1109" t="s">
        <v>4390</v>
      </c>
      <c r="D1109">
        <v>13</v>
      </c>
      <c r="E1109" t="s">
        <v>4445</v>
      </c>
      <c r="F1109" t="s">
        <v>2796</v>
      </c>
      <c r="G1109" t="s">
        <v>5568</v>
      </c>
      <c r="H1109" t="s">
        <v>4915</v>
      </c>
      <c r="I1109" s="79" t="str">
        <f>IF(Tabla13[[#This Row],[RUT]]=774097899,"DIST",_xlfn.XLOOKUP(Tabla13[[#This Row],[VENDEDOR]],dimensiones!$C$21:$C$28,dimensiones!$D$21:$D$28,""))</f>
        <v>ATEL</v>
      </c>
      <c r="J1109" s="125" t="str">
        <f>_xlfn.XLOOKUP(Tabla13[[#This Row],[REGION]],dimensiones!C:C,dimensiones!D:D,"")</f>
        <v>Región de Metropolitana de Santiago</v>
      </c>
      <c r="K1109" s="16"/>
    </row>
    <row r="1110" spans="1:12" ht="14.25" customHeight="1" x14ac:dyDescent="0.25">
      <c r="A1110">
        <v>769957855</v>
      </c>
      <c r="B1110" t="s">
        <v>518</v>
      </c>
      <c r="C1110" t="s">
        <v>4497</v>
      </c>
      <c r="D1110">
        <v>8</v>
      </c>
      <c r="E1110" t="s">
        <v>4445</v>
      </c>
      <c r="F1110" t="s">
        <v>2798</v>
      </c>
      <c r="G1110" t="s">
        <v>5568</v>
      </c>
      <c r="H1110" t="s">
        <v>4915</v>
      </c>
      <c r="I1110" s="79" t="str">
        <f>IF(Tabla13[[#This Row],[RUT]]=774097899,"DIST",_xlfn.XLOOKUP(Tabla13[[#This Row],[VENDEDOR]],dimensiones!$C$21:$C$28,dimensiones!$D$21:$D$28,""))</f>
        <v>ATEL</v>
      </c>
      <c r="J1110" s="125" t="str">
        <f>_xlfn.XLOOKUP(Tabla13[[#This Row],[REGION]],dimensiones!C:C,dimensiones!D:D,"")</f>
        <v>Región de Biobío</v>
      </c>
      <c r="K1110" s="16"/>
    </row>
    <row r="1111" spans="1:12" ht="14.25" customHeight="1" x14ac:dyDescent="0.25">
      <c r="A1111">
        <v>769958789</v>
      </c>
      <c r="B1111" t="s">
        <v>519</v>
      </c>
      <c r="C1111" t="s">
        <v>4393</v>
      </c>
      <c r="D1111">
        <v>13</v>
      </c>
      <c r="E1111" t="s">
        <v>4445</v>
      </c>
      <c r="F1111" t="s">
        <v>3252</v>
      </c>
      <c r="G1111" t="s">
        <v>5568</v>
      </c>
      <c r="H1111" t="s">
        <v>4915</v>
      </c>
      <c r="I1111" s="79" t="str">
        <f>IF(Tabla13[[#This Row],[RUT]]=774097899,"DIST",_xlfn.XLOOKUP(Tabla13[[#This Row],[VENDEDOR]],dimensiones!$C$21:$C$28,dimensiones!$D$21:$D$28,""))</f>
        <v>ATEL</v>
      </c>
      <c r="J1111" s="125" t="str">
        <f>_xlfn.XLOOKUP(Tabla13[[#This Row],[REGION]],dimensiones!C:C,dimensiones!D:D,"")</f>
        <v>Región de Metropolitana de Santiago</v>
      </c>
      <c r="K1111" s="16"/>
    </row>
    <row r="1112" spans="1:12" ht="14.25" customHeight="1" x14ac:dyDescent="0.25">
      <c r="A1112">
        <v>769987304</v>
      </c>
      <c r="B1112" t="s">
        <v>2435</v>
      </c>
      <c r="C1112" t="s">
        <v>4183</v>
      </c>
      <c r="D1112">
        <v>8</v>
      </c>
      <c r="E1112" t="s">
        <v>4445</v>
      </c>
      <c r="F1112" t="s">
        <v>2434</v>
      </c>
      <c r="G1112" t="s">
        <v>5568</v>
      </c>
      <c r="H1112" t="s">
        <v>4915</v>
      </c>
      <c r="I1112" s="79" t="str">
        <f>IF(Tabla13[[#This Row],[RUT]]=774097899,"DIST",_xlfn.XLOOKUP(Tabla13[[#This Row],[VENDEDOR]],dimensiones!$C$21:$C$28,dimensiones!$D$21:$D$28,""))</f>
        <v>ATEL</v>
      </c>
      <c r="J1112" s="125" t="str">
        <f>_xlfn.XLOOKUP(Tabla13[[#This Row],[REGION]],dimensiones!C:C,dimensiones!D:D,"")</f>
        <v>Región de Biobío</v>
      </c>
      <c r="K1112" s="16"/>
    </row>
    <row r="1113" spans="1:12" ht="14.25" customHeight="1" x14ac:dyDescent="0.25">
      <c r="A1113">
        <v>770052645</v>
      </c>
      <c r="B1113" t="s">
        <v>5668</v>
      </c>
      <c r="C1113" t="s">
        <v>4206</v>
      </c>
      <c r="D1113">
        <v>6</v>
      </c>
      <c r="E1113" t="s">
        <v>4445</v>
      </c>
      <c r="F1113" t="s">
        <v>5669</v>
      </c>
      <c r="G1113" t="s">
        <v>5568</v>
      </c>
      <c r="H1113" t="s">
        <v>4915</v>
      </c>
      <c r="I1113" s="79" t="str">
        <f>IF(Tabla13[[#This Row],[RUT]]=774097899,"DIST",_xlfn.XLOOKUP(Tabla13[[#This Row],[VENDEDOR]],dimensiones!$C$21:$C$28,dimensiones!$D$21:$D$28,""))</f>
        <v>ATEL</v>
      </c>
      <c r="J1113" s="125" t="str">
        <f>_xlfn.XLOOKUP(Tabla13[[#This Row],[REGION]],dimensiones!C:C,dimensiones!D:D,"")</f>
        <v>Región de Libertador General Bernardo O'Higgins</v>
      </c>
    </row>
    <row r="1114" spans="1:12" ht="14.25" customHeight="1" x14ac:dyDescent="0.25">
      <c r="A1114">
        <v>770084466</v>
      </c>
      <c r="B1114" t="s">
        <v>520</v>
      </c>
      <c r="C1114" t="s">
        <v>4257</v>
      </c>
      <c r="D1114">
        <v>7</v>
      </c>
      <c r="E1114" t="s">
        <v>4445</v>
      </c>
      <c r="F1114" t="s">
        <v>1974</v>
      </c>
      <c r="G1114" t="s">
        <v>5568</v>
      </c>
      <c r="H1114" t="s">
        <v>4915</v>
      </c>
      <c r="I1114" s="79" t="str">
        <f>IF(Tabla13[[#This Row],[RUT]]=774097899,"DIST",_xlfn.XLOOKUP(Tabla13[[#This Row],[VENDEDOR]],dimensiones!$C$21:$C$28,dimensiones!$D$21:$D$28,""))</f>
        <v>ATEL</v>
      </c>
      <c r="J1114" s="125" t="str">
        <f>_xlfn.XLOOKUP(Tabla13[[#This Row],[REGION]],dimensiones!C:C,dimensiones!D:D,"")</f>
        <v>Región de Maule</v>
      </c>
    </row>
    <row r="1115" spans="1:12" ht="14.25" customHeight="1" x14ac:dyDescent="0.25">
      <c r="A1115">
        <v>770085454</v>
      </c>
      <c r="B1115" t="s">
        <v>2808</v>
      </c>
      <c r="C1115" t="s">
        <v>4182</v>
      </c>
      <c r="D1115">
        <v>2</v>
      </c>
      <c r="E1115" t="s">
        <v>4445</v>
      </c>
      <c r="F1115" t="s">
        <v>2807</v>
      </c>
      <c r="G1115" t="s">
        <v>5570</v>
      </c>
      <c r="H1115" t="s">
        <v>4915</v>
      </c>
      <c r="I1115" s="79" t="str">
        <f>IF(Tabla13[[#This Row],[RUT]]=774097899,"DIST",_xlfn.XLOOKUP(Tabla13[[#This Row],[VENDEDOR]],dimensiones!$C$21:$C$28,dimensiones!$D$21:$D$28,""))</f>
        <v>ATEL</v>
      </c>
      <c r="J1115" s="125" t="str">
        <f>_xlfn.XLOOKUP(Tabla13[[#This Row],[REGION]],dimensiones!C:C,dimensiones!D:D,"")</f>
        <v>Región de Antofagasta</v>
      </c>
    </row>
    <row r="1116" spans="1:12" ht="14.25" customHeight="1" x14ac:dyDescent="0.25">
      <c r="A1116">
        <v>770120012</v>
      </c>
      <c r="B1116" t="s">
        <v>2811</v>
      </c>
      <c r="C1116" t="s">
        <v>4395</v>
      </c>
      <c r="D1116">
        <v>13</v>
      </c>
      <c r="E1116" t="s">
        <v>4445</v>
      </c>
      <c r="F1116" t="s">
        <v>2810</v>
      </c>
      <c r="G1116" t="s">
        <v>5569</v>
      </c>
      <c r="H1116" t="s">
        <v>4915</v>
      </c>
      <c r="I1116" s="79" t="str">
        <f>IF(Tabla13[[#This Row],[RUT]]=774097899,"DIST",_xlfn.XLOOKUP(Tabla13[[#This Row],[VENDEDOR]],dimensiones!$C$21:$C$28,dimensiones!$D$21:$D$28,""))</f>
        <v>ATEL</v>
      </c>
      <c r="J1116" s="125" t="str">
        <f>_xlfn.XLOOKUP(Tabla13[[#This Row],[REGION]],dimensiones!C:C,dimensiones!D:D,"")</f>
        <v>Región de Metropolitana de Santiago</v>
      </c>
    </row>
    <row r="1117" spans="1:12" ht="14.25" customHeight="1" x14ac:dyDescent="0.25">
      <c r="A1117">
        <v>770220416</v>
      </c>
      <c r="B1117" t="s">
        <v>5498</v>
      </c>
      <c r="C1117" t="s">
        <v>4395</v>
      </c>
      <c r="D1117">
        <v>13</v>
      </c>
      <c r="E1117" t="s">
        <v>4445</v>
      </c>
      <c r="F1117" t="s">
        <v>5499</v>
      </c>
      <c r="G1117" t="s">
        <v>5569</v>
      </c>
      <c r="H1117" t="s">
        <v>4915</v>
      </c>
      <c r="I1117" s="79" t="str">
        <f>IF(Tabla13[[#This Row],[RUT]]=774097899,"DIST",_xlfn.XLOOKUP(Tabla13[[#This Row],[VENDEDOR]],dimensiones!$C$21:$C$28,dimensiones!$D$21:$D$28,""))</f>
        <v>ATEL</v>
      </c>
      <c r="J1117" s="125" t="str">
        <f>_xlfn.XLOOKUP(Tabla13[[#This Row],[REGION]],dimensiones!C:C,dimensiones!D:D,"")</f>
        <v>Región de Metropolitana de Santiago</v>
      </c>
      <c r="L1117" s="16"/>
    </row>
    <row r="1118" spans="1:12" ht="14.25" customHeight="1" x14ac:dyDescent="0.25">
      <c r="A1118">
        <v>770252970</v>
      </c>
      <c r="B1118" t="s">
        <v>846</v>
      </c>
      <c r="C1118" t="s">
        <v>4168</v>
      </c>
      <c r="D1118">
        <v>13</v>
      </c>
      <c r="E1118" t="s">
        <v>4445</v>
      </c>
      <c r="F1118" t="s">
        <v>2813</v>
      </c>
      <c r="G1118" t="s">
        <v>5570</v>
      </c>
      <c r="H1118" t="s">
        <v>4915</v>
      </c>
      <c r="I1118" s="79" t="str">
        <f>IF(Tabla13[[#This Row],[RUT]]=774097899,"DIST",_xlfn.XLOOKUP(Tabla13[[#This Row],[VENDEDOR]],dimensiones!$C$21:$C$28,dimensiones!$D$21:$D$28,""))</f>
        <v>ATEL</v>
      </c>
      <c r="J1118" s="125" t="str">
        <f>_xlfn.XLOOKUP(Tabla13[[#This Row],[REGION]],dimensiones!C:C,dimensiones!D:D,"")</f>
        <v>Región de Metropolitana de Santiago</v>
      </c>
      <c r="L1118" s="16"/>
    </row>
    <row r="1119" spans="1:12" ht="14.25" customHeight="1" x14ac:dyDescent="0.25">
      <c r="A1119">
        <v>770253160</v>
      </c>
      <c r="B1119" t="s">
        <v>521</v>
      </c>
      <c r="C1119" t="s">
        <v>4465</v>
      </c>
      <c r="D1119">
        <v>13</v>
      </c>
      <c r="E1119" t="s">
        <v>4445</v>
      </c>
      <c r="F1119" t="s">
        <v>3580</v>
      </c>
      <c r="G1119" t="s">
        <v>5568</v>
      </c>
      <c r="H1119" t="s">
        <v>4915</v>
      </c>
      <c r="I1119" s="79" t="str">
        <f>IF(Tabla13[[#This Row],[RUT]]=774097899,"DIST",_xlfn.XLOOKUP(Tabla13[[#This Row],[VENDEDOR]],dimensiones!$C$21:$C$28,dimensiones!$D$21:$D$28,""))</f>
        <v>ATEL</v>
      </c>
      <c r="J1119" s="125" t="str">
        <f>_xlfn.XLOOKUP(Tabla13[[#This Row],[REGION]],dimensiones!C:C,dimensiones!D:D,"")</f>
        <v>Región de Metropolitana de Santiago</v>
      </c>
      <c r="L1119" s="16"/>
    </row>
    <row r="1120" spans="1:12" ht="14.25" customHeight="1" x14ac:dyDescent="0.25">
      <c r="A1120">
        <v>770264847</v>
      </c>
      <c r="B1120" t="s">
        <v>1004</v>
      </c>
      <c r="C1120" t="s">
        <v>4497</v>
      </c>
      <c r="D1120">
        <v>8</v>
      </c>
      <c r="E1120" t="s">
        <v>4445</v>
      </c>
      <c r="F1120" t="s">
        <v>2817</v>
      </c>
      <c r="G1120" t="s">
        <v>5570</v>
      </c>
      <c r="H1120" t="s">
        <v>4915</v>
      </c>
      <c r="I1120" s="79" t="str">
        <f>IF(Tabla13[[#This Row],[RUT]]=774097899,"DIST",_xlfn.XLOOKUP(Tabla13[[#This Row],[VENDEDOR]],dimensiones!$C$21:$C$28,dimensiones!$D$21:$D$28,""))</f>
        <v>ATEL</v>
      </c>
      <c r="J1120" s="125" t="str">
        <f>_xlfn.XLOOKUP(Tabla13[[#This Row],[REGION]],dimensiones!C:C,dimensiones!D:D,"")</f>
        <v>Región de Biobío</v>
      </c>
      <c r="L1120" s="16"/>
    </row>
    <row r="1121" spans="1:15" ht="14.25" customHeight="1" x14ac:dyDescent="0.25">
      <c r="A1121">
        <v>770270642</v>
      </c>
      <c r="B1121" t="s">
        <v>2820</v>
      </c>
      <c r="C1121" t="s">
        <v>4391</v>
      </c>
      <c r="D1121">
        <v>13</v>
      </c>
      <c r="E1121" t="s">
        <v>4445</v>
      </c>
      <c r="F1121" t="s">
        <v>2819</v>
      </c>
      <c r="G1121" t="s">
        <v>5568</v>
      </c>
      <c r="H1121" t="s">
        <v>4915</v>
      </c>
      <c r="I1121" s="79" t="str">
        <f>IF(Tabla13[[#This Row],[RUT]]=774097899,"DIST",_xlfn.XLOOKUP(Tabla13[[#This Row],[VENDEDOR]],dimensiones!$C$21:$C$28,dimensiones!$D$21:$D$28,""))</f>
        <v>ATEL</v>
      </c>
      <c r="J1121" s="125" t="str">
        <f>_xlfn.XLOOKUP(Tabla13[[#This Row],[REGION]],dimensiones!C:C,dimensiones!D:D,"")</f>
        <v>Región de Metropolitana de Santiago</v>
      </c>
    </row>
    <row r="1122" spans="1:15" ht="14.25" customHeight="1" x14ac:dyDescent="0.25">
      <c r="A1122">
        <v>770324580</v>
      </c>
      <c r="B1122" t="s">
        <v>5714</v>
      </c>
      <c r="C1122" t="s">
        <v>4391</v>
      </c>
      <c r="D1122">
        <v>13</v>
      </c>
      <c r="E1122" t="s">
        <v>4445</v>
      </c>
      <c r="F1122" t="s">
        <v>5715</v>
      </c>
      <c r="G1122" t="s">
        <v>5568</v>
      </c>
      <c r="H1122" t="s">
        <v>4915</v>
      </c>
      <c r="I1122" s="79" t="str">
        <f>IF(Tabla13[[#This Row],[RUT]]=774097899,"DIST",_xlfn.XLOOKUP(Tabla13[[#This Row],[VENDEDOR]],dimensiones!$C$21:$C$28,dimensiones!$D$21:$D$28,""))</f>
        <v>ATEL</v>
      </c>
      <c r="J1122" s="125" t="str">
        <f>_xlfn.XLOOKUP(Tabla13[[#This Row],[REGION]],dimensiones!C:C,dimensiones!D:D,"")</f>
        <v>Región de Metropolitana de Santiago</v>
      </c>
    </row>
    <row r="1123" spans="1:15" ht="14.25" customHeight="1" x14ac:dyDescent="0.25">
      <c r="A1123">
        <v>770342554</v>
      </c>
      <c r="B1123" t="s">
        <v>3057</v>
      </c>
      <c r="C1123" t="s">
        <v>4490</v>
      </c>
      <c r="D1123">
        <v>5</v>
      </c>
      <c r="E1123" t="s">
        <v>4445</v>
      </c>
      <c r="F1123" t="s">
        <v>3056</v>
      </c>
      <c r="G1123" t="s">
        <v>5568</v>
      </c>
      <c r="H1123" t="s">
        <v>4915</v>
      </c>
      <c r="I1123" s="79" t="str">
        <f>IF(Tabla13[[#This Row],[RUT]]=774097899,"DIST",_xlfn.XLOOKUP(Tabla13[[#This Row],[VENDEDOR]],dimensiones!$C$21:$C$28,dimensiones!$D$21:$D$28,""))</f>
        <v>ATEL</v>
      </c>
      <c r="J1123" s="125" t="str">
        <f>_xlfn.XLOOKUP(Tabla13[[#This Row],[REGION]],dimensiones!C:C,dimensiones!D:D,"")</f>
        <v>Región de Valparaíso</v>
      </c>
    </row>
    <row r="1124" spans="1:15" ht="14.25" customHeight="1" x14ac:dyDescent="0.25">
      <c r="A1124" t="s">
        <v>934</v>
      </c>
      <c r="B1124" t="s">
        <v>941</v>
      </c>
      <c r="C1124" t="s">
        <v>4178</v>
      </c>
      <c r="D1124">
        <v>6</v>
      </c>
      <c r="E1124" t="s">
        <v>4445</v>
      </c>
      <c r="F1124" t="s">
        <v>2822</v>
      </c>
      <c r="G1124" t="s">
        <v>5568</v>
      </c>
      <c r="H1124" t="s">
        <v>4915</v>
      </c>
      <c r="I1124" s="79" t="str">
        <f>IF(Tabla13[[#This Row],[RUT]]=774097899,"DIST",_xlfn.XLOOKUP(Tabla13[[#This Row],[VENDEDOR]],dimensiones!$C$21:$C$28,dimensiones!$D$21:$D$28,""))</f>
        <v>ATEL</v>
      </c>
      <c r="J1124" s="125" t="str">
        <f>_xlfn.XLOOKUP(Tabla13[[#This Row],[REGION]],dimensiones!C:C,dimensiones!D:D,"")</f>
        <v>Región de Libertador General Bernardo O'Higgins</v>
      </c>
    </row>
    <row r="1125" spans="1:15" ht="14.25" customHeight="1" x14ac:dyDescent="0.25">
      <c r="A1125">
        <v>770377528</v>
      </c>
      <c r="B1125" t="s">
        <v>4991</v>
      </c>
      <c r="C1125" t="s">
        <v>4168</v>
      </c>
      <c r="D1125">
        <v>13</v>
      </c>
      <c r="E1125" t="s">
        <v>4445</v>
      </c>
      <c r="F1125" t="s">
        <v>4992</v>
      </c>
      <c r="G1125" t="s">
        <v>5568</v>
      </c>
      <c r="H1125" t="s">
        <v>4915</v>
      </c>
      <c r="I1125" s="79" t="str">
        <f>IF(Tabla13[[#This Row],[RUT]]=774097899,"DIST",_xlfn.XLOOKUP(Tabla13[[#This Row],[VENDEDOR]],dimensiones!$C$21:$C$28,dimensiones!$D$21:$D$28,""))</f>
        <v>ATEL</v>
      </c>
      <c r="J1125" s="125" t="str">
        <f>_xlfn.XLOOKUP(Tabla13[[#This Row],[REGION]],dimensiones!C:C,dimensiones!D:D,"")</f>
        <v>Región de Metropolitana de Santiago</v>
      </c>
    </row>
    <row r="1126" spans="1:15" ht="14.25" customHeight="1" x14ac:dyDescent="0.25">
      <c r="A1126">
        <v>770422620</v>
      </c>
      <c r="B1126" t="s">
        <v>935</v>
      </c>
      <c r="C1126" t="s">
        <v>4460</v>
      </c>
      <c r="D1126">
        <v>8</v>
      </c>
      <c r="E1126" t="s">
        <v>4445</v>
      </c>
      <c r="F1126" t="s">
        <v>2824</v>
      </c>
      <c r="G1126" t="s">
        <v>5570</v>
      </c>
      <c r="H1126" t="s">
        <v>4915</v>
      </c>
      <c r="I1126" s="79" t="str">
        <f>IF(Tabla13[[#This Row],[RUT]]=774097899,"DIST",_xlfn.XLOOKUP(Tabla13[[#This Row],[VENDEDOR]],dimensiones!$C$21:$C$28,dimensiones!$D$21:$D$28,""))</f>
        <v>ATEL</v>
      </c>
      <c r="J1126" s="125" t="str">
        <f>_xlfn.XLOOKUP(Tabla13[[#This Row],[REGION]],dimensiones!C:C,dimensiones!D:D,"")</f>
        <v>Región de Biobío</v>
      </c>
    </row>
    <row r="1127" spans="1:15" ht="14.25" customHeight="1" x14ac:dyDescent="0.25">
      <c r="A1127">
        <v>770443032</v>
      </c>
      <c r="B1127" t="s">
        <v>522</v>
      </c>
      <c r="C1127" t="s">
        <v>4465</v>
      </c>
      <c r="D1127">
        <v>13</v>
      </c>
      <c r="E1127" t="s">
        <v>4445</v>
      </c>
      <c r="F1127" t="s">
        <v>2826</v>
      </c>
      <c r="G1127" t="s">
        <v>5570</v>
      </c>
      <c r="H1127" t="s">
        <v>4915</v>
      </c>
      <c r="I1127" s="79" t="str">
        <f>IF(Tabla13[[#This Row],[RUT]]=774097899,"DIST",_xlfn.XLOOKUP(Tabla13[[#This Row],[VENDEDOR]],dimensiones!$C$21:$C$28,dimensiones!$D$21:$D$28,""))</f>
        <v>ATEL</v>
      </c>
      <c r="J1127" s="125" t="str">
        <f>_xlfn.XLOOKUP(Tabla13[[#This Row],[REGION]],dimensiones!C:C,dimensiones!D:D,"")</f>
        <v>Región de Metropolitana de Santiago</v>
      </c>
    </row>
    <row r="1128" spans="1:15" ht="14.25" customHeight="1" x14ac:dyDescent="0.25">
      <c r="A1128">
        <v>770510473</v>
      </c>
      <c r="B1128" t="s">
        <v>523</v>
      </c>
      <c r="C1128" t="s">
        <v>4395</v>
      </c>
      <c r="D1128">
        <v>13</v>
      </c>
      <c r="E1128" t="s">
        <v>4445</v>
      </c>
      <c r="F1128" t="s">
        <v>2237</v>
      </c>
      <c r="G1128" t="s">
        <v>5570</v>
      </c>
      <c r="H1128" t="s">
        <v>4915</v>
      </c>
      <c r="I1128" s="79" t="str">
        <f>IF(Tabla13[[#This Row],[RUT]]=774097899,"DIST",_xlfn.XLOOKUP(Tabla13[[#This Row],[VENDEDOR]],dimensiones!$C$21:$C$28,dimensiones!$D$21:$D$28,""))</f>
        <v>ATEL</v>
      </c>
      <c r="J1128" s="125" t="str">
        <f>_xlfn.XLOOKUP(Tabla13[[#This Row],[REGION]],dimensiones!C:C,dimensiones!D:D,"")</f>
        <v>Región de Metropolitana de Santiago</v>
      </c>
    </row>
    <row r="1129" spans="1:15" ht="14.25" customHeight="1" x14ac:dyDescent="0.25">
      <c r="A1129">
        <v>770540283</v>
      </c>
      <c r="B1129" t="s">
        <v>4580</v>
      </c>
      <c r="C1129" t="s">
        <v>4465</v>
      </c>
      <c r="D1129">
        <v>13</v>
      </c>
      <c r="E1129" t="s">
        <v>4445</v>
      </c>
      <c r="F1129" t="s">
        <v>4579</v>
      </c>
      <c r="G1129" t="s">
        <v>5568</v>
      </c>
      <c r="H1129" t="s">
        <v>4915</v>
      </c>
      <c r="I1129" s="79" t="str">
        <f>IF(Tabla13[[#This Row],[RUT]]=774097899,"DIST",_xlfn.XLOOKUP(Tabla13[[#This Row],[VENDEDOR]],dimensiones!$C$21:$C$28,dimensiones!$D$21:$D$28,""))</f>
        <v>ATEL</v>
      </c>
      <c r="J1129" s="125" t="str">
        <f>_xlfn.XLOOKUP(Tabla13[[#This Row],[REGION]],dimensiones!C:C,dimensiones!D:D,"")</f>
        <v>Región de Metropolitana de Santiago</v>
      </c>
    </row>
    <row r="1130" spans="1:15" ht="14.25" customHeight="1" x14ac:dyDescent="0.25">
      <c r="A1130">
        <v>770634911</v>
      </c>
      <c r="B1130" t="s">
        <v>4752</v>
      </c>
      <c r="C1130" t="s">
        <v>4552</v>
      </c>
      <c r="D1130">
        <v>13</v>
      </c>
      <c r="E1130" t="s">
        <v>4445</v>
      </c>
      <c r="F1130" t="s">
        <v>4909</v>
      </c>
      <c r="G1130" t="s">
        <v>5568</v>
      </c>
      <c r="H1130" t="s">
        <v>4915</v>
      </c>
      <c r="I1130" s="79" t="str">
        <f>IF(Tabla13[[#This Row],[RUT]]=774097899,"DIST",_xlfn.XLOOKUP(Tabla13[[#This Row],[VENDEDOR]],dimensiones!$C$21:$C$28,dimensiones!$D$21:$D$28,""))</f>
        <v>ATEL</v>
      </c>
      <c r="J1130" s="125" t="str">
        <f>_xlfn.XLOOKUP(Tabla13[[#This Row],[REGION]],dimensiones!C:C,dimensiones!D:D,"")</f>
        <v>Región de Metropolitana de Santiago</v>
      </c>
    </row>
    <row r="1131" spans="1:15" ht="14.25" customHeight="1" x14ac:dyDescent="0.25">
      <c r="A1131">
        <v>770697182</v>
      </c>
      <c r="B1131" t="s">
        <v>524</v>
      </c>
      <c r="C1131" t="s">
        <v>4395</v>
      </c>
      <c r="D1131">
        <v>13</v>
      </c>
      <c r="E1131" t="s">
        <v>4445</v>
      </c>
      <c r="F1131" t="s">
        <v>2831</v>
      </c>
      <c r="G1131" t="s">
        <v>5569</v>
      </c>
      <c r="H1131" t="s">
        <v>4915</v>
      </c>
      <c r="I1131" s="79" t="str">
        <f>IF(Tabla13[[#This Row],[RUT]]=774097899,"DIST",_xlfn.XLOOKUP(Tabla13[[#This Row],[VENDEDOR]],dimensiones!$C$21:$C$28,dimensiones!$D$21:$D$28,""))</f>
        <v>ATEL</v>
      </c>
      <c r="J1131" s="125" t="str">
        <f>_xlfn.XLOOKUP(Tabla13[[#This Row],[REGION]],dimensiones!C:C,dimensiones!D:D,"")</f>
        <v>Región de Metropolitana de Santiago</v>
      </c>
      <c r="L1131" s="16"/>
    </row>
    <row r="1132" spans="1:15" ht="14.25" customHeight="1" x14ac:dyDescent="0.25">
      <c r="A1132">
        <v>770724309</v>
      </c>
      <c r="B1132" t="s">
        <v>525</v>
      </c>
      <c r="C1132" t="s">
        <v>4264</v>
      </c>
      <c r="D1132">
        <v>7</v>
      </c>
      <c r="E1132" t="s">
        <v>4445</v>
      </c>
      <c r="F1132" t="s">
        <v>4122</v>
      </c>
      <c r="G1132" t="s">
        <v>5570</v>
      </c>
      <c r="H1132" t="s">
        <v>4915</v>
      </c>
      <c r="I1132" s="79" t="str">
        <f>IF(Tabla13[[#This Row],[RUT]]=774097899,"DIST",_xlfn.XLOOKUP(Tabla13[[#This Row],[VENDEDOR]],dimensiones!$C$21:$C$28,dimensiones!$D$21:$D$28,""))</f>
        <v>ATEL</v>
      </c>
      <c r="J1132" s="125" t="str">
        <f>_xlfn.XLOOKUP(Tabla13[[#This Row],[REGION]],dimensiones!C:C,dimensiones!D:D,"")</f>
        <v>Región de Maule</v>
      </c>
      <c r="L1132" s="16"/>
    </row>
    <row r="1133" spans="1:15" ht="14.25" customHeight="1" x14ac:dyDescent="0.25">
      <c r="A1133">
        <v>770734444</v>
      </c>
      <c r="B1133" t="s">
        <v>5700</v>
      </c>
      <c r="C1133" t="s">
        <v>4465</v>
      </c>
      <c r="D1133">
        <v>13</v>
      </c>
      <c r="E1133" t="s">
        <v>4445</v>
      </c>
      <c r="F1133" t="s">
        <v>5701</v>
      </c>
      <c r="G1133" t="s">
        <v>5568</v>
      </c>
      <c r="H1133" t="s">
        <v>4915</v>
      </c>
      <c r="I1133" s="79" t="str">
        <f>IF(Tabla13[[#This Row],[RUT]]=774097899,"DIST",_xlfn.XLOOKUP(Tabla13[[#This Row],[VENDEDOR]],dimensiones!$C$21:$C$28,dimensiones!$D$21:$D$28,""))</f>
        <v>ATEL</v>
      </c>
      <c r="J1133" s="125" t="str">
        <f>_xlfn.XLOOKUP(Tabla13[[#This Row],[REGION]],dimensiones!C:C,dimensiones!D:D,"")</f>
        <v>Región de Metropolitana de Santiago</v>
      </c>
      <c r="L1133" s="16"/>
    </row>
    <row r="1134" spans="1:15" ht="14.25" customHeight="1" x14ac:dyDescent="0.25">
      <c r="A1134">
        <v>770796555</v>
      </c>
      <c r="B1134" t="s">
        <v>5475</v>
      </c>
      <c r="C1134" t="s">
        <v>4273</v>
      </c>
      <c r="D1134">
        <v>8</v>
      </c>
      <c r="E1134" t="s">
        <v>4445</v>
      </c>
      <c r="F1134" t="s">
        <v>5476</v>
      </c>
      <c r="G1134" t="s">
        <v>5568</v>
      </c>
      <c r="H1134" t="s">
        <v>4915</v>
      </c>
      <c r="I1134" s="79" t="str">
        <f>IF(Tabla13[[#This Row],[RUT]]=774097899,"DIST",_xlfn.XLOOKUP(Tabla13[[#This Row],[VENDEDOR]],dimensiones!$C$21:$C$28,dimensiones!$D$21:$D$28,""))</f>
        <v>ATEL</v>
      </c>
      <c r="J1134" s="125" t="str">
        <f>_xlfn.XLOOKUP(Tabla13[[#This Row],[REGION]],dimensiones!C:C,dimensiones!D:D,"")</f>
        <v>Región de Biobío</v>
      </c>
      <c r="L1134" s="16"/>
    </row>
    <row r="1135" spans="1:15" ht="14.25" customHeight="1" x14ac:dyDescent="0.25">
      <c r="A1135">
        <v>770834589</v>
      </c>
      <c r="B1135" t="s">
        <v>1082</v>
      </c>
      <c r="C1135" t="s">
        <v>4168</v>
      </c>
      <c r="D1135">
        <v>13</v>
      </c>
      <c r="E1135" t="s">
        <v>4445</v>
      </c>
      <c r="F1135" t="s">
        <v>2835</v>
      </c>
      <c r="G1135" t="s">
        <v>5570</v>
      </c>
      <c r="H1135" t="s">
        <v>4915</v>
      </c>
      <c r="I1135" s="79" t="str">
        <f>IF(Tabla13[[#This Row],[RUT]]=774097899,"DIST",_xlfn.XLOOKUP(Tabla13[[#This Row],[VENDEDOR]],dimensiones!$C$21:$C$28,dimensiones!$D$21:$D$28,""))</f>
        <v>ATEL</v>
      </c>
      <c r="J1135" s="125" t="str">
        <f>_xlfn.XLOOKUP(Tabla13[[#This Row],[REGION]],dimensiones!C:C,dimensiones!D:D,"")</f>
        <v>Región de Metropolitana de Santiago</v>
      </c>
      <c r="L1135" s="16"/>
    </row>
    <row r="1136" spans="1:15" ht="14.25" customHeight="1" x14ac:dyDescent="0.25">
      <c r="A1136">
        <v>770867053</v>
      </c>
      <c r="B1136" t="s">
        <v>2838</v>
      </c>
      <c r="C1136" t="s">
        <v>4381</v>
      </c>
      <c r="D1136">
        <v>13</v>
      </c>
      <c r="E1136" t="s">
        <v>4445</v>
      </c>
      <c r="F1136" t="s">
        <v>2837</v>
      </c>
      <c r="G1136" t="s">
        <v>5568</v>
      </c>
      <c r="H1136" t="s">
        <v>4915</v>
      </c>
      <c r="I1136" s="79" t="str">
        <f>IF(Tabla13[[#This Row],[RUT]]=774097899,"DIST",_xlfn.XLOOKUP(Tabla13[[#This Row],[VENDEDOR]],dimensiones!$C$21:$C$28,dimensiones!$D$21:$D$28,""))</f>
        <v>ATEL</v>
      </c>
      <c r="J1136" s="125" t="str">
        <f>_xlfn.XLOOKUP(Tabla13[[#This Row],[REGION]],dimensiones!C:C,dimensiones!D:D,"")</f>
        <v>Región de Metropolitana de Santiago</v>
      </c>
      <c r="L1136" s="16"/>
      <c r="O1136" s="16"/>
    </row>
    <row r="1137" spans="1:31" ht="14.25" customHeight="1" x14ac:dyDescent="0.25">
      <c r="A1137">
        <v>770874432</v>
      </c>
      <c r="B1137" t="s">
        <v>2167</v>
      </c>
      <c r="C1137" t="s">
        <v>4465</v>
      </c>
      <c r="D1137">
        <v>13</v>
      </c>
      <c r="E1137" t="s">
        <v>4445</v>
      </c>
      <c r="F1137" t="s">
        <v>2166</v>
      </c>
      <c r="G1137" t="s">
        <v>5570</v>
      </c>
      <c r="H1137" t="s">
        <v>4915</v>
      </c>
      <c r="I1137" s="79" t="str">
        <f>IF(Tabla13[[#This Row],[RUT]]=774097899,"DIST",_xlfn.XLOOKUP(Tabla13[[#This Row],[VENDEDOR]],dimensiones!$C$21:$C$28,dimensiones!$D$21:$D$28,""))</f>
        <v>ATEL</v>
      </c>
      <c r="J1137" s="125" t="str">
        <f>_xlfn.XLOOKUP(Tabla13[[#This Row],[REGION]],dimensiones!C:C,dimensiones!D:D,"")</f>
        <v>Región de Metropolitana de Santiago</v>
      </c>
      <c r="O1137" s="16"/>
    </row>
    <row r="1138" spans="1:31" ht="14.25" customHeight="1" x14ac:dyDescent="0.25">
      <c r="A1138">
        <v>770930960</v>
      </c>
      <c r="B1138" t="s">
        <v>2841</v>
      </c>
      <c r="C1138" t="s">
        <v>4490</v>
      </c>
      <c r="D1138">
        <v>5</v>
      </c>
      <c r="E1138" t="s">
        <v>4445</v>
      </c>
      <c r="F1138" t="s">
        <v>2840</v>
      </c>
      <c r="G1138" t="s">
        <v>5568</v>
      </c>
      <c r="H1138" t="s">
        <v>4915</v>
      </c>
      <c r="I1138" s="79" t="str">
        <f>IF(Tabla13[[#This Row],[RUT]]=774097899,"DIST",_xlfn.XLOOKUP(Tabla13[[#This Row],[VENDEDOR]],dimensiones!$C$21:$C$28,dimensiones!$D$21:$D$28,""))</f>
        <v>ATEL</v>
      </c>
      <c r="J1138" s="125" t="str">
        <f>_xlfn.XLOOKUP(Tabla13[[#This Row],[REGION]],dimensiones!C:C,dimensiones!D:D,"")</f>
        <v>Región de Valparaíso</v>
      </c>
      <c r="O1138" s="16"/>
    </row>
    <row r="1139" spans="1:31" ht="14.25" customHeight="1" x14ac:dyDescent="0.25">
      <c r="A1139">
        <v>770940354</v>
      </c>
      <c r="B1139" t="s">
        <v>526</v>
      </c>
      <c r="C1139" t="s">
        <v>4168</v>
      </c>
      <c r="D1139">
        <v>13</v>
      </c>
      <c r="E1139" t="s">
        <v>4445</v>
      </c>
      <c r="F1139" t="s">
        <v>2843</v>
      </c>
      <c r="G1139" t="s">
        <v>5568</v>
      </c>
      <c r="H1139" t="s">
        <v>4915</v>
      </c>
      <c r="I1139" s="79" t="str">
        <f>IF(Tabla13[[#This Row],[RUT]]=774097899,"DIST",_xlfn.XLOOKUP(Tabla13[[#This Row],[VENDEDOR]],dimensiones!$C$21:$C$28,dimensiones!$D$21:$D$28,""))</f>
        <v>ATEL</v>
      </c>
      <c r="J1139" s="125" t="str">
        <f>_xlfn.XLOOKUP(Tabla13[[#This Row],[REGION]],dimensiones!C:C,dimensiones!D:D,"")</f>
        <v>Región de Metropolitana de Santiago</v>
      </c>
      <c r="O1139" s="16"/>
    </row>
    <row r="1140" spans="1:31" ht="14.25" customHeight="1" x14ac:dyDescent="0.25">
      <c r="A1140">
        <v>771015123</v>
      </c>
      <c r="B1140" t="s">
        <v>3777</v>
      </c>
      <c r="C1140" t="s">
        <v>4168</v>
      </c>
      <c r="D1140">
        <v>13</v>
      </c>
      <c r="E1140" t="s">
        <v>4445</v>
      </c>
      <c r="F1140" t="s">
        <v>3776</v>
      </c>
      <c r="G1140" t="s">
        <v>5568</v>
      </c>
      <c r="H1140" t="s">
        <v>4915</v>
      </c>
      <c r="I1140" s="79" t="str">
        <f>IF(Tabla13[[#This Row],[RUT]]=774097899,"DIST",_xlfn.XLOOKUP(Tabla13[[#This Row],[VENDEDOR]],dimensiones!$C$21:$C$28,dimensiones!$D$21:$D$28,""))</f>
        <v>ATEL</v>
      </c>
      <c r="J1140" s="125" t="str">
        <f>_xlfn.XLOOKUP(Tabla13[[#This Row],[REGION]],dimensiones!C:C,dimensiones!D:D,"")</f>
        <v>Región de Metropolitana de Santiago</v>
      </c>
    </row>
    <row r="1141" spans="1:31" ht="14.25" customHeight="1" x14ac:dyDescent="0.25">
      <c r="A1141">
        <v>771077935</v>
      </c>
      <c r="B1141" t="s">
        <v>2849</v>
      </c>
      <c r="C1141" t="s">
        <v>4555</v>
      </c>
      <c r="D1141">
        <v>13</v>
      </c>
      <c r="E1141" t="s">
        <v>4445</v>
      </c>
      <c r="F1141" t="s">
        <v>2848</v>
      </c>
      <c r="G1141" t="s">
        <v>5568</v>
      </c>
      <c r="H1141" t="s">
        <v>4915</v>
      </c>
      <c r="I1141" s="79" t="str">
        <f>IF(Tabla13[[#This Row],[RUT]]=774097899,"DIST",_xlfn.XLOOKUP(Tabla13[[#This Row],[VENDEDOR]],dimensiones!$C$21:$C$28,dimensiones!$D$21:$D$28,""))</f>
        <v>ATEL</v>
      </c>
      <c r="J1141" s="125" t="str">
        <f>_xlfn.XLOOKUP(Tabla13[[#This Row],[REGION]],dimensiones!C:C,dimensiones!D:D,"")</f>
        <v>Región de Metropolitana de Santiago</v>
      </c>
    </row>
    <row r="1142" spans="1:31" ht="14.25" customHeight="1" x14ac:dyDescent="0.25">
      <c r="A1142">
        <v>771139620</v>
      </c>
      <c r="B1142" t="s">
        <v>848</v>
      </c>
      <c r="C1142" t="s">
        <v>4470</v>
      </c>
      <c r="D1142">
        <v>13</v>
      </c>
      <c r="E1142" t="s">
        <v>4445</v>
      </c>
      <c r="F1142" t="s">
        <v>2851</v>
      </c>
      <c r="G1142" t="s">
        <v>5570</v>
      </c>
      <c r="H1142" t="s">
        <v>4915</v>
      </c>
      <c r="I1142" s="79" t="str">
        <f>IF(Tabla13[[#This Row],[RUT]]=774097899,"DIST",_xlfn.XLOOKUP(Tabla13[[#This Row],[VENDEDOR]],dimensiones!$C$21:$C$28,dimensiones!$D$21:$D$28,""))</f>
        <v>ATEL</v>
      </c>
      <c r="J1142" s="125" t="str">
        <f>_xlfn.XLOOKUP(Tabla13[[#This Row],[REGION]],dimensiones!C:C,dimensiones!D:D,"")</f>
        <v>Región de Metropolitana de Santiago</v>
      </c>
    </row>
    <row r="1143" spans="1:31" ht="14.25" customHeight="1" x14ac:dyDescent="0.25">
      <c r="A1143">
        <v>771164862</v>
      </c>
      <c r="B1143" t="s">
        <v>5457</v>
      </c>
      <c r="C1143" t="s">
        <v>4391</v>
      </c>
      <c r="D1143">
        <v>13</v>
      </c>
      <c r="E1143" t="s">
        <v>4445</v>
      </c>
      <c r="F1143" t="s">
        <v>5458</v>
      </c>
      <c r="G1143" t="s">
        <v>5568</v>
      </c>
      <c r="H1143" t="s">
        <v>4915</v>
      </c>
      <c r="I1143" s="79" t="str">
        <f>IF(Tabla13[[#This Row],[RUT]]=774097899,"DIST",_xlfn.XLOOKUP(Tabla13[[#This Row],[VENDEDOR]],dimensiones!$C$21:$C$28,dimensiones!$D$21:$D$28,""))</f>
        <v>ATEL</v>
      </c>
      <c r="J1143" s="125" t="str">
        <f>_xlfn.XLOOKUP(Tabla13[[#This Row],[REGION]],dimensiones!C:C,dimensiones!D:D,"")</f>
        <v>Región de Metropolitana de Santiago</v>
      </c>
      <c r="K1143" s="16"/>
      <c r="L1143" s="16"/>
    </row>
    <row r="1144" spans="1:31" ht="14.25" customHeight="1" x14ac:dyDescent="0.25">
      <c r="A1144">
        <v>771264034</v>
      </c>
      <c r="B1144" t="s">
        <v>3340</v>
      </c>
      <c r="C1144" t="s">
        <v>4175</v>
      </c>
      <c r="D1144">
        <v>5</v>
      </c>
      <c r="E1144" t="s">
        <v>4445</v>
      </c>
      <c r="F1144" t="s">
        <v>3339</v>
      </c>
      <c r="G1144" t="s">
        <v>5568</v>
      </c>
      <c r="H1144" t="s">
        <v>4915</v>
      </c>
      <c r="I1144" s="79" t="str">
        <f>IF(Tabla13[[#This Row],[RUT]]=774097899,"DIST",_xlfn.XLOOKUP(Tabla13[[#This Row],[VENDEDOR]],dimensiones!$C$21:$C$28,dimensiones!$D$21:$D$28,""))</f>
        <v>ATEL</v>
      </c>
      <c r="J1144" s="125" t="str">
        <f>_xlfn.XLOOKUP(Tabla13[[#This Row],[REGION]],dimensiones!C:C,dimensiones!D:D,"")</f>
        <v>Región de Valparaíso</v>
      </c>
      <c r="K1144" s="16"/>
      <c r="L1144" s="16"/>
    </row>
    <row r="1145" spans="1:31" ht="14.25" customHeight="1" x14ac:dyDescent="0.25">
      <c r="A1145">
        <v>771314945</v>
      </c>
      <c r="B1145" t="s">
        <v>527</v>
      </c>
      <c r="C1145" t="s">
        <v>4460</v>
      </c>
      <c r="D1145">
        <v>8</v>
      </c>
      <c r="E1145" t="s">
        <v>4445</v>
      </c>
      <c r="F1145" t="s">
        <v>2856</v>
      </c>
      <c r="G1145" t="s">
        <v>5570</v>
      </c>
      <c r="H1145" t="s">
        <v>4915</v>
      </c>
      <c r="I1145" s="79" t="str">
        <f>IF(Tabla13[[#This Row],[RUT]]=774097899,"DIST",_xlfn.XLOOKUP(Tabla13[[#This Row],[VENDEDOR]],dimensiones!$C$21:$C$28,dimensiones!$D$21:$D$28,""))</f>
        <v>ATEL</v>
      </c>
      <c r="J1145" s="125" t="str">
        <f>_xlfn.XLOOKUP(Tabla13[[#This Row],[REGION]],dimensiones!C:C,dimensiones!D:D,"")</f>
        <v>Región de Biobío</v>
      </c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  <c r="AA1145" s="16"/>
      <c r="AB1145" s="16"/>
      <c r="AC1145" s="16"/>
      <c r="AD1145" s="16"/>
      <c r="AE1145" s="16"/>
    </row>
    <row r="1146" spans="1:31" ht="14.25" customHeight="1" x14ac:dyDescent="0.25">
      <c r="A1146">
        <v>771399762</v>
      </c>
      <c r="B1146" t="s">
        <v>5546</v>
      </c>
      <c r="C1146" t="s">
        <v>4380</v>
      </c>
      <c r="D1146">
        <v>8</v>
      </c>
      <c r="E1146" t="s">
        <v>4445</v>
      </c>
      <c r="F1146" t="s">
        <v>5547</v>
      </c>
      <c r="G1146" t="s">
        <v>5569</v>
      </c>
      <c r="H1146" t="s">
        <v>4915</v>
      </c>
      <c r="I1146" s="79" t="str">
        <f>IF(Tabla13[[#This Row],[RUT]]=774097899,"DIST",_xlfn.XLOOKUP(Tabla13[[#This Row],[VENDEDOR]],dimensiones!$C$21:$C$28,dimensiones!$D$21:$D$28,""))</f>
        <v>ATEL</v>
      </c>
      <c r="J1146" s="125" t="str">
        <f>_xlfn.XLOOKUP(Tabla13[[#This Row],[REGION]],dimensiones!C:C,dimensiones!D:D,"")</f>
        <v>Región de Biobío</v>
      </c>
      <c r="K1146" s="16"/>
      <c r="L1146" s="16"/>
      <c r="M1146" s="16"/>
      <c r="N1146" s="37"/>
      <c r="O1146" s="16"/>
      <c r="P1146" s="16"/>
      <c r="Q1146" s="36"/>
      <c r="R1146" s="16"/>
      <c r="S1146" s="36"/>
      <c r="T1146" s="16"/>
      <c r="U1146" s="16"/>
      <c r="V1146" s="36"/>
      <c r="W1146" s="36"/>
      <c r="X1146" s="38"/>
      <c r="Y1146" s="38"/>
      <c r="Z1146" s="39"/>
      <c r="AA1146" s="16"/>
      <c r="AB1146" s="40"/>
      <c r="AC1146" s="16"/>
      <c r="AD1146" s="16"/>
      <c r="AE1146" s="16"/>
    </row>
    <row r="1147" spans="1:31" ht="14.25" customHeight="1" x14ac:dyDescent="0.25">
      <c r="A1147">
        <v>771451667</v>
      </c>
      <c r="B1147" t="s">
        <v>5674</v>
      </c>
      <c r="C1147" t="s">
        <v>4510</v>
      </c>
      <c r="D1147">
        <v>13</v>
      </c>
      <c r="E1147" t="s">
        <v>4445</v>
      </c>
      <c r="F1147" t="s">
        <v>5675</v>
      </c>
      <c r="G1147" t="s">
        <v>5569</v>
      </c>
      <c r="H1147" t="s">
        <v>4915</v>
      </c>
      <c r="I1147" s="79" t="str">
        <f>IF(Tabla13[[#This Row],[RUT]]=774097899,"DIST",_xlfn.XLOOKUP(Tabla13[[#This Row],[VENDEDOR]],dimensiones!$C$21:$C$28,dimensiones!$D$21:$D$28,""))</f>
        <v>ATEL</v>
      </c>
      <c r="J1147" s="125" t="str">
        <f>_xlfn.XLOOKUP(Tabla13[[#This Row],[REGION]],dimensiones!C:C,dimensiones!D:D,"")</f>
        <v>Región de Metropolitana de Santiago</v>
      </c>
      <c r="K1147" s="16"/>
      <c r="L1147" s="16"/>
      <c r="M1147" s="16"/>
      <c r="N1147" s="37"/>
      <c r="O1147" s="16"/>
      <c r="P1147" s="16"/>
      <c r="Q1147" s="36"/>
      <c r="R1147" s="16"/>
      <c r="S1147" s="36"/>
      <c r="T1147" s="16"/>
      <c r="U1147" s="16"/>
      <c r="V1147" s="36"/>
      <c r="W1147" s="36"/>
      <c r="X1147" s="38"/>
      <c r="Y1147" s="38"/>
      <c r="Z1147" s="39"/>
      <c r="AA1147" s="16"/>
      <c r="AB1147" s="40"/>
      <c r="AC1147" s="16"/>
      <c r="AD1147" s="16"/>
      <c r="AE1147" s="16"/>
    </row>
    <row r="1148" spans="1:31" ht="14.25" customHeight="1" x14ac:dyDescent="0.25">
      <c r="A1148">
        <v>771455840</v>
      </c>
      <c r="B1148" t="s">
        <v>528</v>
      </c>
      <c r="C1148" t="s">
        <v>4257</v>
      </c>
      <c r="D1148">
        <v>7</v>
      </c>
      <c r="E1148" t="s">
        <v>4445</v>
      </c>
      <c r="F1148" t="s">
        <v>2858</v>
      </c>
      <c r="G1148" t="s">
        <v>5570</v>
      </c>
      <c r="H1148" t="s">
        <v>4915</v>
      </c>
      <c r="I1148" s="79" t="str">
        <f>IF(Tabla13[[#This Row],[RUT]]=774097899,"DIST",_xlfn.XLOOKUP(Tabla13[[#This Row],[VENDEDOR]],dimensiones!$C$21:$C$28,dimensiones!$D$21:$D$28,""))</f>
        <v>ATEL</v>
      </c>
      <c r="J1148" s="125" t="str">
        <f>_xlfn.XLOOKUP(Tabla13[[#This Row],[REGION]],dimensiones!C:C,dimensiones!D:D,"")</f>
        <v>Región de Maule</v>
      </c>
      <c r="M1148" s="16"/>
      <c r="N1148" s="37"/>
      <c r="O1148" s="16"/>
      <c r="P1148" s="16"/>
      <c r="Q1148" s="36"/>
      <c r="R1148" s="16"/>
      <c r="S1148" s="36"/>
      <c r="T1148" s="16"/>
      <c r="U1148" s="16"/>
      <c r="V1148" s="36"/>
      <c r="W1148" s="36"/>
      <c r="X1148" s="38"/>
      <c r="Y1148" s="38"/>
      <c r="Z1148" s="39"/>
      <c r="AA1148" s="16"/>
      <c r="AB1148" s="40"/>
      <c r="AC1148" s="16"/>
      <c r="AD1148" s="16"/>
      <c r="AE1148" s="16"/>
    </row>
    <row r="1149" spans="1:31" ht="14.25" customHeight="1" x14ac:dyDescent="0.25">
      <c r="A1149">
        <v>771477356</v>
      </c>
      <c r="B1149" t="s">
        <v>529</v>
      </c>
      <c r="C1149" t="s">
        <v>4495</v>
      </c>
      <c r="D1149">
        <v>16</v>
      </c>
      <c r="E1149" t="s">
        <v>4445</v>
      </c>
      <c r="F1149" t="s">
        <v>1969</v>
      </c>
      <c r="G1149" t="s">
        <v>5568</v>
      </c>
      <c r="H1149" t="s">
        <v>4915</v>
      </c>
      <c r="I1149" s="79" t="str">
        <f>IF(Tabla13[[#This Row],[RUT]]=774097899,"DIST",_xlfn.XLOOKUP(Tabla13[[#This Row],[VENDEDOR]],dimensiones!$C$21:$C$28,dimensiones!$D$21:$D$28,""))</f>
        <v>ATEL</v>
      </c>
      <c r="J1149" s="125" t="str">
        <f>_xlfn.XLOOKUP(Tabla13[[#This Row],[REGION]],dimensiones!C:C,dimensiones!D:D,"")</f>
        <v>Región de Ñuble</v>
      </c>
      <c r="M1149" s="16"/>
      <c r="N1149" s="37"/>
      <c r="O1149" s="16"/>
      <c r="P1149" s="16"/>
      <c r="Q1149" s="36"/>
      <c r="R1149" s="16"/>
      <c r="S1149" s="36"/>
      <c r="T1149" s="16"/>
      <c r="U1149" s="16"/>
      <c r="V1149" s="36"/>
      <c r="W1149" s="36"/>
      <c r="X1149" s="38"/>
      <c r="Y1149" s="38"/>
      <c r="Z1149" s="39"/>
      <c r="AA1149" s="16"/>
      <c r="AB1149" s="40"/>
      <c r="AC1149" s="16"/>
      <c r="AD1149" s="16"/>
      <c r="AE1149" s="16"/>
    </row>
    <row r="1150" spans="1:31" ht="14.25" customHeight="1" x14ac:dyDescent="0.25">
      <c r="A1150" t="s">
        <v>4928</v>
      </c>
      <c r="B1150" t="s">
        <v>4929</v>
      </c>
      <c r="C1150" t="s">
        <v>4287</v>
      </c>
      <c r="D1150">
        <v>13</v>
      </c>
      <c r="E1150" t="s">
        <v>4445</v>
      </c>
      <c r="F1150" t="s">
        <v>4930</v>
      </c>
      <c r="G1150" t="s">
        <v>5568</v>
      </c>
      <c r="H1150" t="s">
        <v>4915</v>
      </c>
      <c r="I1150" s="79" t="str">
        <f>IF(Tabla13[[#This Row],[RUT]]=774097899,"DIST",_xlfn.XLOOKUP(Tabla13[[#This Row],[VENDEDOR]],dimensiones!$C$21:$C$28,dimensiones!$D$21:$D$28,""))</f>
        <v>ATEL</v>
      </c>
      <c r="J1150" s="125" t="str">
        <f>_xlfn.XLOOKUP(Tabla13[[#This Row],[REGION]],dimensiones!C:C,dimensiones!D:D,"")</f>
        <v>Región de Metropolitana de Santiago</v>
      </c>
      <c r="M1150" s="16"/>
      <c r="N1150" s="37"/>
      <c r="O1150" s="16"/>
      <c r="P1150" s="16"/>
      <c r="Q1150" s="36"/>
      <c r="R1150" s="16"/>
      <c r="S1150" s="36"/>
      <c r="T1150" s="16"/>
      <c r="U1150" s="16"/>
      <c r="V1150" s="36"/>
      <c r="W1150" s="36"/>
      <c r="X1150" s="38"/>
      <c r="Y1150" s="38"/>
      <c r="Z1150" s="39"/>
      <c r="AA1150" s="16"/>
      <c r="AB1150" s="40"/>
      <c r="AC1150" s="16"/>
      <c r="AD1150" s="16"/>
      <c r="AE1150" s="16"/>
    </row>
    <row r="1151" spans="1:31" ht="14.25" customHeight="1" x14ac:dyDescent="0.25">
      <c r="A1151">
        <v>771478026</v>
      </c>
      <c r="B1151" t="s">
        <v>530</v>
      </c>
      <c r="C1151" t="s">
        <v>4168</v>
      </c>
      <c r="D1151">
        <v>13</v>
      </c>
      <c r="E1151" t="s">
        <v>4445</v>
      </c>
      <c r="F1151" t="s">
        <v>2863</v>
      </c>
      <c r="G1151" t="s">
        <v>5568</v>
      </c>
      <c r="H1151" t="s">
        <v>4915</v>
      </c>
      <c r="I1151" s="79" t="str">
        <f>IF(Tabla13[[#This Row],[RUT]]=774097899,"DIST",_xlfn.XLOOKUP(Tabla13[[#This Row],[VENDEDOR]],dimensiones!$C$21:$C$28,dimensiones!$D$21:$D$28,""))</f>
        <v>ATEL</v>
      </c>
      <c r="J1151" s="125" t="str">
        <f>_xlfn.XLOOKUP(Tabla13[[#This Row],[REGION]],dimensiones!C:C,dimensiones!D:D,"")</f>
        <v>Región de Metropolitana de Santiago</v>
      </c>
      <c r="M1151" s="16"/>
      <c r="N1151" s="37"/>
      <c r="O1151" s="16"/>
      <c r="P1151" s="16"/>
      <c r="Q1151" s="36"/>
      <c r="R1151" s="16"/>
      <c r="S1151" s="36"/>
      <c r="T1151" s="16"/>
      <c r="U1151" s="16"/>
      <c r="V1151" s="36"/>
      <c r="W1151" s="36"/>
      <c r="X1151" s="38"/>
      <c r="Y1151" s="38"/>
      <c r="Z1151" s="39"/>
      <c r="AA1151" s="16"/>
      <c r="AB1151" s="40"/>
      <c r="AC1151" s="16"/>
      <c r="AD1151" s="16"/>
      <c r="AE1151" s="16"/>
    </row>
    <row r="1152" spans="1:31" ht="14.25" customHeight="1" x14ac:dyDescent="0.25">
      <c r="A1152">
        <v>771480330</v>
      </c>
      <c r="B1152" t="s">
        <v>531</v>
      </c>
      <c r="C1152" t="s">
        <v>4528</v>
      </c>
      <c r="D1152">
        <v>13</v>
      </c>
      <c r="E1152" t="s">
        <v>4445</v>
      </c>
      <c r="F1152" t="s">
        <v>2865</v>
      </c>
      <c r="G1152" t="s">
        <v>5570</v>
      </c>
      <c r="H1152" t="s">
        <v>4915</v>
      </c>
      <c r="I1152" s="79" t="str">
        <f>IF(Tabla13[[#This Row],[RUT]]=774097899,"DIST",_xlfn.XLOOKUP(Tabla13[[#This Row],[VENDEDOR]],dimensiones!$C$21:$C$28,dimensiones!$D$21:$D$28,""))</f>
        <v>ATEL</v>
      </c>
      <c r="J1152" s="125" t="str">
        <f>_xlfn.XLOOKUP(Tabla13[[#This Row],[REGION]],dimensiones!C:C,dimensiones!D:D,"")</f>
        <v>Región de Metropolitana de Santiago</v>
      </c>
      <c r="M1152" s="16"/>
      <c r="N1152" s="37"/>
      <c r="O1152" s="16"/>
      <c r="P1152" s="16"/>
      <c r="Q1152" s="36"/>
      <c r="R1152" s="16"/>
      <c r="S1152" s="36"/>
      <c r="T1152" s="16"/>
      <c r="U1152" s="16"/>
      <c r="V1152" s="36"/>
      <c r="W1152" s="36"/>
      <c r="X1152" s="38"/>
      <c r="Y1152" s="38"/>
      <c r="Z1152" s="39"/>
      <c r="AA1152" s="16"/>
      <c r="AB1152" s="40"/>
      <c r="AC1152" s="16"/>
      <c r="AD1152" s="16"/>
      <c r="AE1152" s="16"/>
    </row>
    <row r="1153" spans="1:31" ht="14.25" customHeight="1" x14ac:dyDescent="0.25">
      <c r="A1153">
        <v>771497691</v>
      </c>
      <c r="B1153" t="s">
        <v>849</v>
      </c>
      <c r="C1153" t="s">
        <v>4391</v>
      </c>
      <c r="D1153">
        <v>13</v>
      </c>
      <c r="E1153" t="s">
        <v>4445</v>
      </c>
      <c r="F1153" t="s">
        <v>1271</v>
      </c>
      <c r="G1153" t="s">
        <v>5570</v>
      </c>
      <c r="H1153" t="s">
        <v>4915</v>
      </c>
      <c r="I1153" s="79" t="str">
        <f>IF(Tabla13[[#This Row],[RUT]]=774097899,"DIST",_xlfn.XLOOKUP(Tabla13[[#This Row],[VENDEDOR]],dimensiones!$C$21:$C$28,dimensiones!$D$21:$D$28,""))</f>
        <v>ATEL</v>
      </c>
      <c r="J1153" s="125" t="str">
        <f>_xlfn.XLOOKUP(Tabla13[[#This Row],[REGION]],dimensiones!C:C,dimensiones!D:D,"")</f>
        <v>Región de Metropolitana de Santiago</v>
      </c>
      <c r="M1153" s="16"/>
      <c r="N1153" s="37"/>
      <c r="O1153" s="16"/>
      <c r="P1153" s="16"/>
      <c r="Q1153" s="36"/>
      <c r="R1153" s="16"/>
      <c r="S1153" s="36"/>
      <c r="T1153" s="16"/>
      <c r="U1153" s="16"/>
      <c r="V1153" s="36"/>
      <c r="W1153" s="36"/>
      <c r="X1153" s="38"/>
      <c r="Y1153" s="38"/>
      <c r="Z1153" s="39"/>
      <c r="AA1153" s="16"/>
      <c r="AB1153" s="40"/>
      <c r="AC1153" s="16"/>
      <c r="AD1153" s="16"/>
      <c r="AE1153" s="16"/>
    </row>
    <row r="1154" spans="1:31" ht="14.25" customHeight="1" x14ac:dyDescent="0.25">
      <c r="A1154">
        <v>771513638</v>
      </c>
      <c r="B1154" t="s">
        <v>532</v>
      </c>
      <c r="C1154" t="s">
        <v>4409</v>
      </c>
      <c r="D1154">
        <v>13</v>
      </c>
      <c r="E1154" t="s">
        <v>4445</v>
      </c>
      <c r="F1154" t="s">
        <v>2870</v>
      </c>
      <c r="G1154" t="s">
        <v>5568</v>
      </c>
      <c r="H1154" t="s">
        <v>4915</v>
      </c>
      <c r="I1154" s="79" t="str">
        <f>IF(Tabla13[[#This Row],[RUT]]=774097899,"DIST",_xlfn.XLOOKUP(Tabla13[[#This Row],[VENDEDOR]],dimensiones!$C$21:$C$28,dimensiones!$D$21:$D$28,""))</f>
        <v>ATEL</v>
      </c>
      <c r="J1154" s="125" t="str">
        <f>_xlfn.XLOOKUP(Tabla13[[#This Row],[REGION]],dimensiones!C:C,dimensiones!D:D,"")</f>
        <v>Región de Metropolitana de Santiago</v>
      </c>
      <c r="M1154" s="16"/>
      <c r="N1154" s="37"/>
      <c r="O1154" s="16"/>
      <c r="P1154" s="16"/>
      <c r="Q1154" s="36"/>
      <c r="R1154" s="16"/>
      <c r="S1154" s="36"/>
      <c r="T1154" s="16"/>
      <c r="U1154" s="16"/>
      <c r="V1154" s="36"/>
      <c r="W1154" s="36"/>
      <c r="X1154" s="38"/>
      <c r="Y1154" s="38"/>
      <c r="Z1154" s="39"/>
      <c r="AA1154" s="16"/>
      <c r="AB1154" s="40"/>
      <c r="AC1154" s="16"/>
      <c r="AD1154" s="16"/>
      <c r="AE1154" s="16"/>
    </row>
    <row r="1155" spans="1:31" ht="14.25" customHeight="1" x14ac:dyDescent="0.25">
      <c r="A1155">
        <v>771532128</v>
      </c>
      <c r="B1155" t="s">
        <v>850</v>
      </c>
      <c r="C1155" t="s">
        <v>4391</v>
      </c>
      <c r="D1155">
        <v>13</v>
      </c>
      <c r="E1155" t="s">
        <v>4445</v>
      </c>
      <c r="F1155" t="s">
        <v>2872</v>
      </c>
      <c r="G1155" t="s">
        <v>5568</v>
      </c>
      <c r="H1155" t="s">
        <v>4915</v>
      </c>
      <c r="I1155" s="79" t="str">
        <f>IF(Tabla13[[#This Row],[RUT]]=774097899,"DIST",_xlfn.XLOOKUP(Tabla13[[#This Row],[VENDEDOR]],dimensiones!$C$21:$C$28,dimensiones!$D$21:$D$28,""))</f>
        <v>ATEL</v>
      </c>
      <c r="J1155" s="125" t="str">
        <f>_xlfn.XLOOKUP(Tabla13[[#This Row],[REGION]],dimensiones!C:C,dimensiones!D:D,"")</f>
        <v>Región de Metropolitana de Santiago</v>
      </c>
      <c r="M1155" s="16"/>
      <c r="N1155" s="37"/>
      <c r="O1155" s="16"/>
      <c r="P1155" s="16"/>
      <c r="Q1155" s="36"/>
      <c r="R1155" s="16"/>
      <c r="S1155" s="36"/>
      <c r="T1155" s="16"/>
      <c r="U1155" s="16"/>
      <c r="V1155" s="36"/>
      <c r="W1155" s="36"/>
      <c r="X1155" s="38"/>
      <c r="Y1155" s="38"/>
      <c r="Z1155" s="39"/>
      <c r="AA1155" s="16"/>
      <c r="AB1155" s="40"/>
      <c r="AC1155" s="16"/>
      <c r="AD1155" s="16"/>
      <c r="AE1155" s="16"/>
    </row>
    <row r="1156" spans="1:31" ht="14.25" customHeight="1" x14ac:dyDescent="0.25">
      <c r="A1156">
        <v>771563767</v>
      </c>
      <c r="B1156" t="s">
        <v>3337</v>
      </c>
      <c r="C1156" t="s">
        <v>4395</v>
      </c>
      <c r="D1156">
        <v>13</v>
      </c>
      <c r="E1156" t="s">
        <v>4445</v>
      </c>
      <c r="F1156" t="s">
        <v>3336</v>
      </c>
      <c r="G1156" t="s">
        <v>5569</v>
      </c>
      <c r="H1156" t="s">
        <v>4915</v>
      </c>
      <c r="I1156" s="79" t="str">
        <f>IF(Tabla13[[#This Row],[RUT]]=774097899,"DIST",_xlfn.XLOOKUP(Tabla13[[#This Row],[VENDEDOR]],dimensiones!$C$21:$C$28,dimensiones!$D$21:$D$28,""))</f>
        <v>ATEL</v>
      </c>
      <c r="J1156" s="125" t="str">
        <f>_xlfn.XLOOKUP(Tabla13[[#This Row],[REGION]],dimensiones!C:C,dimensiones!D:D,"")</f>
        <v>Región de Metropolitana de Santiago</v>
      </c>
      <c r="M1156" s="16"/>
      <c r="N1156" s="37"/>
      <c r="O1156" s="16"/>
      <c r="P1156" s="16"/>
      <c r="Q1156" s="36"/>
      <c r="R1156" s="16"/>
      <c r="S1156" s="36"/>
      <c r="T1156" s="16"/>
      <c r="U1156" s="16"/>
      <c r="V1156" s="36"/>
      <c r="W1156" s="36"/>
      <c r="X1156" s="38"/>
      <c r="Y1156" s="38"/>
      <c r="Z1156" s="39"/>
      <c r="AA1156" s="16"/>
      <c r="AB1156" s="40"/>
      <c r="AC1156" s="16"/>
      <c r="AD1156" s="16"/>
      <c r="AE1156" s="16"/>
    </row>
    <row r="1157" spans="1:31" ht="14.25" customHeight="1" x14ac:dyDescent="0.25">
      <c r="A1157">
        <v>771564356</v>
      </c>
      <c r="B1157" t="s">
        <v>533</v>
      </c>
      <c r="C1157" t="s">
        <v>4465</v>
      </c>
      <c r="D1157">
        <v>13</v>
      </c>
      <c r="E1157" t="s">
        <v>4445</v>
      </c>
      <c r="F1157" t="s">
        <v>2877</v>
      </c>
      <c r="G1157" t="s">
        <v>5568</v>
      </c>
      <c r="H1157" t="s">
        <v>4915</v>
      </c>
      <c r="I1157" s="79" t="str">
        <f>IF(Tabla13[[#This Row],[RUT]]=774097899,"DIST",_xlfn.XLOOKUP(Tabla13[[#This Row],[VENDEDOR]],dimensiones!$C$21:$C$28,dimensiones!$D$21:$D$28,""))</f>
        <v>ATEL</v>
      </c>
      <c r="J1157" s="125" t="str">
        <f>_xlfn.XLOOKUP(Tabla13[[#This Row],[REGION]],dimensiones!C:C,dimensiones!D:D,"")</f>
        <v>Región de Metropolitana de Santiago</v>
      </c>
      <c r="M1157" s="16"/>
      <c r="N1157" s="37"/>
      <c r="O1157" s="16"/>
      <c r="P1157" s="16"/>
      <c r="Q1157" s="36"/>
      <c r="R1157" s="16"/>
      <c r="S1157" s="36"/>
      <c r="T1157" s="16"/>
      <c r="U1157" s="16"/>
      <c r="V1157" s="36"/>
      <c r="W1157" s="36"/>
      <c r="X1157" s="38"/>
      <c r="Y1157" s="38"/>
      <c r="Z1157" s="39"/>
      <c r="AA1157" s="16"/>
      <c r="AB1157" s="40"/>
      <c r="AC1157" s="16"/>
      <c r="AD1157" s="16"/>
      <c r="AE1157" s="16"/>
    </row>
    <row r="1158" spans="1:31" ht="14.25" customHeight="1" x14ac:dyDescent="0.25">
      <c r="A1158">
        <v>771601715</v>
      </c>
      <c r="B1158" t="s">
        <v>534</v>
      </c>
      <c r="C1158" t="s">
        <v>4528</v>
      </c>
      <c r="D1158">
        <v>13</v>
      </c>
      <c r="E1158" t="s">
        <v>4445</v>
      </c>
      <c r="F1158" t="s">
        <v>2879</v>
      </c>
      <c r="G1158" t="s">
        <v>5568</v>
      </c>
      <c r="H1158" t="s">
        <v>4915</v>
      </c>
      <c r="I1158" s="79" t="str">
        <f>IF(Tabla13[[#This Row],[RUT]]=774097899,"DIST",_xlfn.XLOOKUP(Tabla13[[#This Row],[VENDEDOR]],dimensiones!$C$21:$C$28,dimensiones!$D$21:$D$28,""))</f>
        <v>ATEL</v>
      </c>
      <c r="J1158" s="125" t="str">
        <f>_xlfn.XLOOKUP(Tabla13[[#This Row],[REGION]],dimensiones!C:C,dimensiones!D:D,"")</f>
        <v>Región de Metropolitana de Santiago</v>
      </c>
    </row>
    <row r="1159" spans="1:31" ht="14.25" customHeight="1" x14ac:dyDescent="0.25">
      <c r="A1159" t="s">
        <v>5577</v>
      </c>
      <c r="B1159" t="s">
        <v>5578</v>
      </c>
      <c r="C1159" t="s">
        <v>4175</v>
      </c>
      <c r="D1159">
        <v>5</v>
      </c>
      <c r="E1159" t="s">
        <v>4445</v>
      </c>
      <c r="F1159" t="s">
        <v>5579</v>
      </c>
      <c r="G1159" t="s">
        <v>5570</v>
      </c>
      <c r="H1159" t="s">
        <v>4915</v>
      </c>
      <c r="I1159" s="79" t="str">
        <f>IF(Tabla13[[#This Row],[RUT]]=774097899,"DIST",_xlfn.XLOOKUP(Tabla13[[#This Row],[VENDEDOR]],dimensiones!$C$21:$C$28,dimensiones!$D$21:$D$28,""))</f>
        <v>ATEL</v>
      </c>
      <c r="J1159" s="125" t="str">
        <f>_xlfn.XLOOKUP(Tabla13[[#This Row],[REGION]],dimensiones!C:C,dimensiones!D:D,"")</f>
        <v>Región de Valparaíso</v>
      </c>
    </row>
    <row r="1160" spans="1:31" ht="14.25" customHeight="1" x14ac:dyDescent="0.25">
      <c r="A1160">
        <v>771711480</v>
      </c>
      <c r="B1160" t="s">
        <v>4433</v>
      </c>
      <c r="C1160" t="s">
        <v>4245</v>
      </c>
      <c r="D1160">
        <v>4</v>
      </c>
      <c r="E1160" t="s">
        <v>4445</v>
      </c>
      <c r="F1160" t="s">
        <v>4581</v>
      </c>
      <c r="G1160" t="s">
        <v>5568</v>
      </c>
      <c r="H1160" t="s">
        <v>4915</v>
      </c>
      <c r="I1160" s="79" t="str">
        <f>IF(Tabla13[[#This Row],[RUT]]=774097899,"DIST",_xlfn.XLOOKUP(Tabla13[[#This Row],[VENDEDOR]],dimensiones!$C$21:$C$28,dimensiones!$D$21:$D$28,""))</f>
        <v>ATEL</v>
      </c>
      <c r="J1160" s="125" t="str">
        <f>_xlfn.XLOOKUP(Tabla13[[#This Row],[REGION]],dimensiones!C:C,dimensiones!D:D,"")</f>
        <v>Región de Coquimbo</v>
      </c>
    </row>
    <row r="1161" spans="1:31" ht="14.25" customHeight="1" x14ac:dyDescent="0.25">
      <c r="A1161">
        <v>771736238</v>
      </c>
      <c r="B1161" t="s">
        <v>4583</v>
      </c>
      <c r="C1161" t="s">
        <v>4465</v>
      </c>
      <c r="D1161">
        <v>13</v>
      </c>
      <c r="E1161" t="s">
        <v>4445</v>
      </c>
      <c r="F1161" t="s">
        <v>4582</v>
      </c>
      <c r="G1161" t="s">
        <v>5568</v>
      </c>
      <c r="H1161" t="s">
        <v>4915</v>
      </c>
      <c r="I1161" s="79" t="str">
        <f>IF(Tabla13[[#This Row],[RUT]]=774097899,"DIST",_xlfn.XLOOKUP(Tabla13[[#This Row],[VENDEDOR]],dimensiones!$C$21:$C$28,dimensiones!$D$21:$D$28,""))</f>
        <v>ATEL</v>
      </c>
      <c r="J1161" s="125" t="str">
        <f>_xlfn.XLOOKUP(Tabla13[[#This Row],[REGION]],dimensiones!C:C,dimensiones!D:D,"")</f>
        <v>Región de Metropolitana de Santiago</v>
      </c>
    </row>
    <row r="1162" spans="1:31" ht="14.25" customHeight="1" x14ac:dyDescent="0.25">
      <c r="A1162">
        <v>771784062</v>
      </c>
      <c r="B1162" t="s">
        <v>535</v>
      </c>
      <c r="C1162" t="s">
        <v>4182</v>
      </c>
      <c r="D1162">
        <v>2</v>
      </c>
      <c r="E1162" t="s">
        <v>4445</v>
      </c>
      <c r="F1162" t="s">
        <v>2881</v>
      </c>
      <c r="G1162" t="s">
        <v>5576</v>
      </c>
      <c r="H1162" t="s">
        <v>4915</v>
      </c>
      <c r="I1162" s="79" t="str">
        <f>IF(Tabla13[[#This Row],[RUT]]=774097899,"DIST",_xlfn.XLOOKUP(Tabla13[[#This Row],[VENDEDOR]],dimensiones!$C$21:$C$28,dimensiones!$D$21:$D$28,""))</f>
        <v>ATEL</v>
      </c>
      <c r="J1162" s="125" t="str">
        <f>_xlfn.XLOOKUP(Tabla13[[#This Row],[REGION]],dimensiones!C:C,dimensiones!D:D,"")</f>
        <v>Región de Antofagasta</v>
      </c>
    </row>
    <row r="1163" spans="1:31" ht="14.25" customHeight="1" x14ac:dyDescent="0.25">
      <c r="A1163">
        <v>771834574</v>
      </c>
      <c r="B1163" t="s">
        <v>4982</v>
      </c>
      <c r="C1163" t="s">
        <v>4264</v>
      </c>
      <c r="D1163">
        <v>7</v>
      </c>
      <c r="E1163" t="s">
        <v>4445</v>
      </c>
      <c r="F1163" t="s">
        <v>4983</v>
      </c>
      <c r="H1163" t="s">
        <v>4915</v>
      </c>
      <c r="I1163" s="79" t="str">
        <f>IF(Tabla13[[#This Row],[RUT]]=774097899,"DIST",_xlfn.XLOOKUP(Tabla13[[#This Row],[VENDEDOR]],dimensiones!$C$21:$C$28,dimensiones!$D$21:$D$28,""))</f>
        <v>ATEL</v>
      </c>
      <c r="J1163" s="125" t="str">
        <f>_xlfn.XLOOKUP(Tabla13[[#This Row],[REGION]],dimensiones!C:C,dimensiones!D:D,"")</f>
        <v>Región de Maule</v>
      </c>
    </row>
    <row r="1164" spans="1:31" ht="14.25" customHeight="1" x14ac:dyDescent="0.25">
      <c r="A1164">
        <v>771855199</v>
      </c>
      <c r="B1164" t="s">
        <v>536</v>
      </c>
      <c r="C1164" t="s">
        <v>4168</v>
      </c>
      <c r="D1164">
        <v>13</v>
      </c>
      <c r="E1164" t="s">
        <v>4445</v>
      </c>
      <c r="F1164" t="s">
        <v>1286</v>
      </c>
      <c r="G1164" t="s">
        <v>5568</v>
      </c>
      <c r="H1164" t="s">
        <v>4915</v>
      </c>
      <c r="I1164" s="79" t="str">
        <f>IF(Tabla13[[#This Row],[RUT]]=774097899,"DIST",_xlfn.XLOOKUP(Tabla13[[#This Row],[VENDEDOR]],dimensiones!$C$21:$C$28,dimensiones!$D$21:$D$28,""))</f>
        <v>ATEL</v>
      </c>
      <c r="J1164" s="125" t="str">
        <f>_xlfn.XLOOKUP(Tabla13[[#This Row],[REGION]],dimensiones!C:C,dimensiones!D:D,"")</f>
        <v>Región de Metropolitana de Santiago</v>
      </c>
    </row>
    <row r="1165" spans="1:31" ht="14.25" customHeight="1" x14ac:dyDescent="0.25">
      <c r="A1165">
        <v>771867634</v>
      </c>
      <c r="B1165" t="s">
        <v>851</v>
      </c>
      <c r="C1165" t="s">
        <v>4175</v>
      </c>
      <c r="D1165">
        <v>5</v>
      </c>
      <c r="E1165" t="s">
        <v>4445</v>
      </c>
      <c r="F1165" t="s">
        <v>2886</v>
      </c>
      <c r="G1165" t="s">
        <v>5568</v>
      </c>
      <c r="H1165" t="s">
        <v>4915</v>
      </c>
      <c r="I1165" s="79" t="str">
        <f>IF(Tabla13[[#This Row],[RUT]]=774097899,"DIST",_xlfn.XLOOKUP(Tabla13[[#This Row],[VENDEDOR]],dimensiones!$C$21:$C$28,dimensiones!$D$21:$D$28,""))</f>
        <v>ATEL</v>
      </c>
      <c r="J1165" s="125" t="str">
        <f>_xlfn.XLOOKUP(Tabla13[[#This Row],[REGION]],dimensiones!C:C,dimensiones!D:D,"")</f>
        <v>Región de Valparaíso</v>
      </c>
    </row>
    <row r="1166" spans="1:31" ht="14.25" customHeight="1" x14ac:dyDescent="0.25">
      <c r="A1166">
        <v>771868592</v>
      </c>
      <c r="B1166" t="s">
        <v>537</v>
      </c>
      <c r="C1166" t="s">
        <v>4218</v>
      </c>
      <c r="D1166">
        <v>9</v>
      </c>
      <c r="E1166" t="s">
        <v>4445</v>
      </c>
      <c r="F1166" t="s">
        <v>1228</v>
      </c>
      <c r="G1166" t="s">
        <v>5568</v>
      </c>
      <c r="H1166" t="s">
        <v>4915</v>
      </c>
      <c r="I1166" s="79" t="str">
        <f>IF(Tabla13[[#This Row],[RUT]]=774097899,"DIST",_xlfn.XLOOKUP(Tabla13[[#This Row],[VENDEDOR]],dimensiones!$C$21:$C$28,dimensiones!$D$21:$D$28,""))</f>
        <v>ATEL</v>
      </c>
      <c r="J1166" s="125" t="str">
        <f>_xlfn.XLOOKUP(Tabla13[[#This Row],[REGION]],dimensiones!C:C,dimensiones!D:D,"")</f>
        <v>Región de La Araucanía</v>
      </c>
    </row>
    <row r="1167" spans="1:31" ht="14.25" customHeight="1" x14ac:dyDescent="0.25">
      <c r="A1167">
        <v>771873316</v>
      </c>
      <c r="B1167" t="s">
        <v>2892</v>
      </c>
      <c r="C1167" t="s">
        <v>4264</v>
      </c>
      <c r="D1167">
        <v>7</v>
      </c>
      <c r="E1167" t="s">
        <v>4445</v>
      </c>
      <c r="F1167" t="s">
        <v>2891</v>
      </c>
      <c r="G1167" t="s">
        <v>5568</v>
      </c>
      <c r="H1167" t="s">
        <v>4915</v>
      </c>
      <c r="I1167" s="79" t="str">
        <f>IF(Tabla13[[#This Row],[RUT]]=774097899,"DIST",_xlfn.XLOOKUP(Tabla13[[#This Row],[VENDEDOR]],dimensiones!$C$21:$C$28,dimensiones!$D$21:$D$28,""))</f>
        <v>ATEL</v>
      </c>
      <c r="J1167" s="125" t="str">
        <f>_xlfn.XLOOKUP(Tabla13[[#This Row],[REGION]],dimensiones!C:C,dimensiones!D:D,"")</f>
        <v>Región de Maule</v>
      </c>
    </row>
    <row r="1168" spans="1:31" ht="14.25" customHeight="1" x14ac:dyDescent="0.25">
      <c r="A1168">
        <v>771875475</v>
      </c>
      <c r="B1168" t="s">
        <v>2895</v>
      </c>
      <c r="C1168" t="s">
        <v>4175</v>
      </c>
      <c r="D1168">
        <v>5</v>
      </c>
      <c r="E1168" t="s">
        <v>4445</v>
      </c>
      <c r="F1168" t="s">
        <v>2894</v>
      </c>
      <c r="G1168" t="s">
        <v>5568</v>
      </c>
      <c r="H1168" t="s">
        <v>4915</v>
      </c>
      <c r="I1168" s="79" t="str">
        <f>IF(Tabla13[[#This Row],[RUT]]=774097899,"DIST",_xlfn.XLOOKUP(Tabla13[[#This Row],[VENDEDOR]],dimensiones!$C$21:$C$28,dimensiones!$D$21:$D$28,""))</f>
        <v>ATEL</v>
      </c>
      <c r="J1168" s="125" t="str">
        <f>_xlfn.XLOOKUP(Tabla13[[#This Row],[REGION]],dimensiones!C:C,dimensiones!D:D,"")</f>
        <v>Región de Valparaíso</v>
      </c>
    </row>
    <row r="1169" spans="1:10" ht="14.25" customHeight="1" x14ac:dyDescent="0.25">
      <c r="A1169">
        <v>771893740</v>
      </c>
      <c r="B1169" t="s">
        <v>852</v>
      </c>
      <c r="C1169" t="s">
        <v>4168</v>
      </c>
      <c r="D1169">
        <v>13</v>
      </c>
      <c r="E1169" t="s">
        <v>4445</v>
      </c>
      <c r="F1169" t="s">
        <v>2897</v>
      </c>
      <c r="G1169" t="s">
        <v>5569</v>
      </c>
      <c r="H1169" t="s">
        <v>4915</v>
      </c>
      <c r="I1169" s="79" t="str">
        <f>IF(Tabla13[[#This Row],[RUT]]=774097899,"DIST",_xlfn.XLOOKUP(Tabla13[[#This Row],[VENDEDOR]],dimensiones!$C$21:$C$28,dimensiones!$D$21:$D$28,""))</f>
        <v>ATEL</v>
      </c>
      <c r="J1169" s="125" t="str">
        <f>_xlfn.XLOOKUP(Tabla13[[#This Row],[REGION]],dimensiones!C:C,dimensiones!D:D,"")</f>
        <v>Región de Metropolitana de Santiago</v>
      </c>
    </row>
    <row r="1170" spans="1:10" ht="14.25" customHeight="1" x14ac:dyDescent="0.25">
      <c r="A1170">
        <v>771907199</v>
      </c>
      <c r="B1170" t="s">
        <v>1038</v>
      </c>
      <c r="C1170" t="s">
        <v>4465</v>
      </c>
      <c r="D1170">
        <v>13</v>
      </c>
      <c r="E1170" t="s">
        <v>4445</v>
      </c>
      <c r="F1170" t="s">
        <v>2899</v>
      </c>
      <c r="G1170" t="s">
        <v>5568</v>
      </c>
      <c r="H1170" t="s">
        <v>4915</v>
      </c>
      <c r="I1170" s="79" t="str">
        <f>IF(Tabla13[[#This Row],[RUT]]=774097899,"DIST",_xlfn.XLOOKUP(Tabla13[[#This Row],[VENDEDOR]],dimensiones!$C$21:$C$28,dimensiones!$D$21:$D$28,""))</f>
        <v>ATEL</v>
      </c>
      <c r="J1170" s="125" t="str">
        <f>_xlfn.XLOOKUP(Tabla13[[#This Row],[REGION]],dimensiones!C:C,dimensiones!D:D,"")</f>
        <v>Región de Metropolitana de Santiago</v>
      </c>
    </row>
    <row r="1171" spans="1:10" ht="14.25" customHeight="1" x14ac:dyDescent="0.25">
      <c r="A1171">
        <v>771908802</v>
      </c>
      <c r="B1171" t="s">
        <v>2100</v>
      </c>
      <c r="C1171" t="s">
        <v>4456</v>
      </c>
      <c r="D1171">
        <v>13</v>
      </c>
      <c r="E1171" t="s">
        <v>4445</v>
      </c>
      <c r="F1171" t="s">
        <v>2901</v>
      </c>
      <c r="G1171" t="s">
        <v>5568</v>
      </c>
      <c r="H1171" t="s">
        <v>4915</v>
      </c>
      <c r="I1171" s="79" t="str">
        <f>IF(Tabla13[[#This Row],[RUT]]=774097899,"DIST",_xlfn.XLOOKUP(Tabla13[[#This Row],[VENDEDOR]],dimensiones!$C$21:$C$28,dimensiones!$D$21:$D$28,""))</f>
        <v>ATEL</v>
      </c>
      <c r="J1171" s="125" t="str">
        <f>_xlfn.XLOOKUP(Tabla13[[#This Row],[REGION]],dimensiones!C:C,dimensiones!D:D,"")</f>
        <v>Región de Metropolitana de Santiago</v>
      </c>
    </row>
    <row r="1172" spans="1:10" ht="14.25" customHeight="1" x14ac:dyDescent="0.25">
      <c r="A1172">
        <v>771911862</v>
      </c>
      <c r="B1172" t="s">
        <v>539</v>
      </c>
      <c r="C1172" t="s">
        <v>4245</v>
      </c>
      <c r="D1172">
        <v>4</v>
      </c>
      <c r="E1172" t="s">
        <v>4445</v>
      </c>
      <c r="F1172" t="s">
        <v>2902</v>
      </c>
      <c r="G1172" t="s">
        <v>5570</v>
      </c>
      <c r="H1172" t="s">
        <v>4915</v>
      </c>
      <c r="I1172" s="79" t="str">
        <f>IF(Tabla13[[#This Row],[RUT]]=774097899,"DIST",_xlfn.XLOOKUP(Tabla13[[#This Row],[VENDEDOR]],dimensiones!$C$21:$C$28,dimensiones!$D$21:$D$28,""))</f>
        <v>ATEL</v>
      </c>
      <c r="J1172" s="125" t="str">
        <f>_xlfn.XLOOKUP(Tabla13[[#This Row],[REGION]],dimensiones!C:C,dimensiones!D:D,"")</f>
        <v>Región de Coquimbo</v>
      </c>
    </row>
    <row r="1173" spans="1:10" ht="14.25" customHeight="1" x14ac:dyDescent="0.25">
      <c r="A1173">
        <v>771935117</v>
      </c>
      <c r="B1173" t="s">
        <v>2905</v>
      </c>
      <c r="C1173" t="s">
        <v>4218</v>
      </c>
      <c r="D1173">
        <v>9</v>
      </c>
      <c r="E1173" t="s">
        <v>4445</v>
      </c>
      <c r="F1173" t="s">
        <v>2904</v>
      </c>
      <c r="G1173" t="s">
        <v>5568</v>
      </c>
      <c r="H1173" t="s">
        <v>4915</v>
      </c>
      <c r="I1173" s="79" t="str">
        <f>IF(Tabla13[[#This Row],[RUT]]=774097899,"DIST",_xlfn.XLOOKUP(Tabla13[[#This Row],[VENDEDOR]],dimensiones!$C$21:$C$28,dimensiones!$D$21:$D$28,""))</f>
        <v>ATEL</v>
      </c>
      <c r="J1173" s="125" t="str">
        <f>_xlfn.XLOOKUP(Tabla13[[#This Row],[REGION]],dimensiones!C:C,dimensiones!D:D,"")</f>
        <v>Región de La Araucanía</v>
      </c>
    </row>
    <row r="1174" spans="1:10" ht="14.25" customHeight="1" x14ac:dyDescent="0.25">
      <c r="A1174">
        <v>771962610</v>
      </c>
      <c r="B1174" t="s">
        <v>5463</v>
      </c>
      <c r="C1174" t="s">
        <v>4175</v>
      </c>
      <c r="D1174">
        <v>5</v>
      </c>
      <c r="E1174" t="s">
        <v>4445</v>
      </c>
      <c r="F1174" t="s">
        <v>5464</v>
      </c>
      <c r="G1174" t="s">
        <v>5568</v>
      </c>
      <c r="H1174" t="s">
        <v>4915</v>
      </c>
      <c r="I1174" s="79" t="str">
        <f>IF(Tabla13[[#This Row],[RUT]]=774097899,"DIST",_xlfn.XLOOKUP(Tabla13[[#This Row],[VENDEDOR]],dimensiones!$C$21:$C$28,dimensiones!$D$21:$D$28,""))</f>
        <v>ATEL</v>
      </c>
      <c r="J1174" s="125" t="str">
        <f>_xlfn.XLOOKUP(Tabla13[[#This Row],[REGION]],dimensiones!C:C,dimensiones!D:D,"")</f>
        <v>Región de Valparaíso</v>
      </c>
    </row>
    <row r="1175" spans="1:10" ht="14.25" customHeight="1" x14ac:dyDescent="0.25">
      <c r="A1175" t="s">
        <v>724</v>
      </c>
      <c r="B1175" t="s">
        <v>725</v>
      </c>
      <c r="C1175" t="s">
        <v>4465</v>
      </c>
      <c r="D1175">
        <v>13</v>
      </c>
      <c r="E1175" t="s">
        <v>4445</v>
      </c>
      <c r="F1175" t="s">
        <v>2907</v>
      </c>
      <c r="G1175" t="s">
        <v>5570</v>
      </c>
      <c r="H1175" t="s">
        <v>4915</v>
      </c>
      <c r="I1175" s="79" t="str">
        <f>IF(Tabla13[[#This Row],[RUT]]=774097899,"DIST",_xlfn.XLOOKUP(Tabla13[[#This Row],[VENDEDOR]],dimensiones!$C$21:$C$28,dimensiones!$D$21:$D$28,""))</f>
        <v>ATEL</v>
      </c>
      <c r="J1175" s="125" t="str">
        <f>_xlfn.XLOOKUP(Tabla13[[#This Row],[REGION]],dimensiones!C:C,dimensiones!D:D,"")</f>
        <v>Región de Metropolitana de Santiago</v>
      </c>
    </row>
    <row r="1176" spans="1:10" ht="14.25" customHeight="1" x14ac:dyDescent="0.25">
      <c r="A1176">
        <v>772043074</v>
      </c>
      <c r="B1176" t="s">
        <v>540</v>
      </c>
      <c r="C1176" t="s">
        <v>4293</v>
      </c>
      <c r="D1176">
        <v>10</v>
      </c>
      <c r="E1176" t="s">
        <v>4445</v>
      </c>
      <c r="F1176" t="s">
        <v>2909</v>
      </c>
      <c r="G1176" t="s">
        <v>5568</v>
      </c>
      <c r="H1176" t="s">
        <v>4915</v>
      </c>
      <c r="I1176" s="79" t="str">
        <f>IF(Tabla13[[#This Row],[RUT]]=774097899,"DIST",_xlfn.XLOOKUP(Tabla13[[#This Row],[VENDEDOR]],dimensiones!$C$21:$C$28,dimensiones!$D$21:$D$28,""))</f>
        <v>ATEL</v>
      </c>
      <c r="J1176" s="125" t="str">
        <f>_xlfn.XLOOKUP(Tabla13[[#This Row],[REGION]],dimensiones!C:C,dimensiones!D:D,"")</f>
        <v>Región de Los Lagos</v>
      </c>
    </row>
    <row r="1177" spans="1:10" ht="14.25" customHeight="1" x14ac:dyDescent="0.25">
      <c r="A1177">
        <v>772070012</v>
      </c>
      <c r="B1177" t="s">
        <v>5631</v>
      </c>
      <c r="C1177" t="s">
        <v>4467</v>
      </c>
      <c r="D1177">
        <v>14</v>
      </c>
      <c r="E1177" t="s">
        <v>4445</v>
      </c>
      <c r="F1177" t="s">
        <v>5632</v>
      </c>
      <c r="G1177" t="s">
        <v>5568</v>
      </c>
      <c r="H1177" t="s">
        <v>4915</v>
      </c>
      <c r="I1177" s="79" t="str">
        <f>IF(Tabla13[[#This Row],[RUT]]=774097899,"DIST",_xlfn.XLOOKUP(Tabla13[[#This Row],[VENDEDOR]],dimensiones!$C$21:$C$28,dimensiones!$D$21:$D$28,""))</f>
        <v>ATEL</v>
      </c>
      <c r="J1177" s="125" t="str">
        <f>_xlfn.XLOOKUP(Tabla13[[#This Row],[REGION]],dimensiones!C:C,dimensiones!D:D,"")</f>
        <v>Región de Los Ríos</v>
      </c>
    </row>
    <row r="1178" spans="1:10" ht="14.25" customHeight="1" x14ac:dyDescent="0.25">
      <c r="A1178">
        <v>772087233</v>
      </c>
      <c r="B1178" t="s">
        <v>541</v>
      </c>
      <c r="C1178" t="s">
        <v>4168</v>
      </c>
      <c r="D1178">
        <v>13</v>
      </c>
      <c r="E1178" t="s">
        <v>4445</v>
      </c>
      <c r="F1178" t="s">
        <v>1905</v>
      </c>
      <c r="G1178" t="s">
        <v>5568</v>
      </c>
      <c r="H1178" t="s">
        <v>4915</v>
      </c>
      <c r="I1178" s="79" t="str">
        <f>IF(Tabla13[[#This Row],[RUT]]=774097899,"DIST",_xlfn.XLOOKUP(Tabla13[[#This Row],[VENDEDOR]],dimensiones!$C$21:$C$28,dimensiones!$D$21:$D$28,""))</f>
        <v>ATEL</v>
      </c>
      <c r="J1178" s="125" t="str">
        <f>_xlfn.XLOOKUP(Tabla13[[#This Row],[REGION]],dimensiones!C:C,dimensiones!D:D,"")</f>
        <v>Región de Metropolitana de Santiago</v>
      </c>
    </row>
    <row r="1179" spans="1:10" ht="14.25" customHeight="1" x14ac:dyDescent="0.25">
      <c r="A1179">
        <v>772221533</v>
      </c>
      <c r="B1179" t="s">
        <v>853</v>
      </c>
      <c r="C1179" t="s">
        <v>4465</v>
      </c>
      <c r="D1179">
        <v>13</v>
      </c>
      <c r="E1179" t="s">
        <v>4445</v>
      </c>
      <c r="F1179" t="s">
        <v>2914</v>
      </c>
      <c r="G1179" t="s">
        <v>5570</v>
      </c>
      <c r="H1179" t="s">
        <v>4915</v>
      </c>
      <c r="I1179" s="79" t="str">
        <f>IF(Tabla13[[#This Row],[RUT]]=774097899,"DIST",_xlfn.XLOOKUP(Tabla13[[#This Row],[VENDEDOR]],dimensiones!$C$21:$C$28,dimensiones!$D$21:$D$28,""))</f>
        <v>ATEL</v>
      </c>
      <c r="J1179" s="125" t="str">
        <f>_xlfn.XLOOKUP(Tabla13[[#This Row],[REGION]],dimensiones!C:C,dimensiones!D:D,"")</f>
        <v>Región de Metropolitana de Santiago</v>
      </c>
    </row>
    <row r="1180" spans="1:10" ht="14.25" customHeight="1" x14ac:dyDescent="0.25">
      <c r="A1180">
        <v>772235445</v>
      </c>
      <c r="B1180" t="s">
        <v>854</v>
      </c>
      <c r="C1180" t="s">
        <v>4183</v>
      </c>
      <c r="D1180">
        <v>8</v>
      </c>
      <c r="E1180" t="s">
        <v>4445</v>
      </c>
      <c r="F1180" t="s">
        <v>1359</v>
      </c>
      <c r="G1180" t="s">
        <v>5568</v>
      </c>
      <c r="H1180" t="s">
        <v>4915</v>
      </c>
      <c r="I1180" s="79" t="str">
        <f>IF(Tabla13[[#This Row],[RUT]]=774097899,"DIST",_xlfn.XLOOKUP(Tabla13[[#This Row],[VENDEDOR]],dimensiones!$C$21:$C$28,dimensiones!$D$21:$D$28,""))</f>
        <v>ATEL</v>
      </c>
      <c r="J1180" s="125" t="str">
        <f>_xlfn.XLOOKUP(Tabla13[[#This Row],[REGION]],dimensiones!C:C,dimensiones!D:D,"")</f>
        <v>Región de Biobío</v>
      </c>
    </row>
    <row r="1181" spans="1:10" ht="14.25" customHeight="1" x14ac:dyDescent="0.25">
      <c r="A1181">
        <v>772263198</v>
      </c>
      <c r="B1181" t="s">
        <v>2920</v>
      </c>
      <c r="C1181" t="s">
        <v>4401</v>
      </c>
      <c r="D1181">
        <v>13</v>
      </c>
      <c r="E1181" t="s">
        <v>4445</v>
      </c>
      <c r="F1181" t="s">
        <v>2919</v>
      </c>
      <c r="G1181" t="s">
        <v>5568</v>
      </c>
      <c r="H1181" t="s">
        <v>4915</v>
      </c>
      <c r="I1181" s="79" t="str">
        <f>IF(Tabla13[[#This Row],[RUT]]=774097899,"DIST",_xlfn.XLOOKUP(Tabla13[[#This Row],[VENDEDOR]],dimensiones!$C$21:$C$28,dimensiones!$D$21:$D$28,""))</f>
        <v>ATEL</v>
      </c>
      <c r="J1181" s="125" t="str">
        <f>_xlfn.XLOOKUP(Tabla13[[#This Row],[REGION]],dimensiones!C:C,dimensiones!D:D,"")</f>
        <v>Región de Metropolitana de Santiago</v>
      </c>
    </row>
    <row r="1182" spans="1:10" ht="14.25" customHeight="1" x14ac:dyDescent="0.25">
      <c r="A1182">
        <v>772336489</v>
      </c>
      <c r="B1182" t="s">
        <v>2923</v>
      </c>
      <c r="C1182" t="s">
        <v>4200</v>
      </c>
      <c r="D1182">
        <v>6</v>
      </c>
      <c r="E1182" t="s">
        <v>4445</v>
      </c>
      <c r="F1182" t="s">
        <v>2922</v>
      </c>
      <c r="G1182" t="s">
        <v>5568</v>
      </c>
      <c r="H1182" t="s">
        <v>4915</v>
      </c>
      <c r="I1182" s="79" t="str">
        <f>IF(Tabla13[[#This Row],[RUT]]=774097899,"DIST",_xlfn.XLOOKUP(Tabla13[[#This Row],[VENDEDOR]],dimensiones!$C$21:$C$28,dimensiones!$D$21:$D$28,""))</f>
        <v>ATEL</v>
      </c>
      <c r="J1182" s="125" t="str">
        <f>_xlfn.XLOOKUP(Tabla13[[#This Row],[REGION]],dimensiones!C:C,dimensiones!D:D,"")</f>
        <v>Región de Libertador General Bernardo O'Higgins</v>
      </c>
    </row>
    <row r="1183" spans="1:10" ht="14.25" customHeight="1" x14ac:dyDescent="0.25">
      <c r="A1183">
        <v>772351844</v>
      </c>
      <c r="B1183" t="s">
        <v>5548</v>
      </c>
      <c r="C1183" t="s">
        <v>4391</v>
      </c>
      <c r="D1183">
        <v>13</v>
      </c>
      <c r="E1183" t="s">
        <v>5549</v>
      </c>
      <c r="F1183" t="s">
        <v>5550</v>
      </c>
      <c r="H1183" t="s">
        <v>4915</v>
      </c>
      <c r="I1183" s="79" t="str">
        <f>IF(Tabla13[[#This Row],[RUT]]=774097899,"DIST",_xlfn.XLOOKUP(Tabla13[[#This Row],[VENDEDOR]],dimensiones!$C$21:$C$28,dimensiones!$D$21:$D$28,""))</f>
        <v/>
      </c>
      <c r="J1183" s="125" t="str">
        <f>_xlfn.XLOOKUP(Tabla13[[#This Row],[REGION]],dimensiones!C:C,dimensiones!D:D,"")</f>
        <v>Región de Metropolitana de Santiago</v>
      </c>
    </row>
    <row r="1184" spans="1:10" ht="14.25" customHeight="1" x14ac:dyDescent="0.25">
      <c r="A1184">
        <v>772409702</v>
      </c>
      <c r="B1184" t="s">
        <v>5486</v>
      </c>
      <c r="C1184" t="s">
        <v>4552</v>
      </c>
      <c r="D1184">
        <v>13</v>
      </c>
      <c r="E1184" t="s">
        <v>4445</v>
      </c>
      <c r="F1184" t="s">
        <v>5487</v>
      </c>
      <c r="G1184" t="s">
        <v>5570</v>
      </c>
      <c r="H1184" t="s">
        <v>4915</v>
      </c>
      <c r="I1184" s="79" t="str">
        <f>IF(Tabla13[[#This Row],[RUT]]=774097899,"DIST",_xlfn.XLOOKUP(Tabla13[[#This Row],[VENDEDOR]],dimensiones!$C$21:$C$28,dimensiones!$D$21:$D$28,""))</f>
        <v>ATEL</v>
      </c>
      <c r="J1184" s="125" t="str">
        <f>_xlfn.XLOOKUP(Tabla13[[#This Row],[REGION]],dimensiones!C:C,dimensiones!D:D,"")</f>
        <v>Región de Metropolitana de Santiago</v>
      </c>
    </row>
    <row r="1185" spans="1:10" ht="14.25" customHeight="1" x14ac:dyDescent="0.25">
      <c r="A1185" t="s">
        <v>726</v>
      </c>
      <c r="B1185" t="s">
        <v>727</v>
      </c>
      <c r="C1185" t="s">
        <v>4528</v>
      </c>
      <c r="D1185">
        <v>13</v>
      </c>
      <c r="E1185" t="s">
        <v>4445</v>
      </c>
      <c r="F1185" t="s">
        <v>2925</v>
      </c>
      <c r="G1185" t="s">
        <v>5570</v>
      </c>
      <c r="H1185" t="s">
        <v>4915</v>
      </c>
      <c r="I1185" s="79" t="str">
        <f>IF(Tabla13[[#This Row],[RUT]]=774097899,"DIST",_xlfn.XLOOKUP(Tabla13[[#This Row],[VENDEDOR]],dimensiones!$C$21:$C$28,dimensiones!$D$21:$D$28,""))</f>
        <v>ATEL</v>
      </c>
      <c r="J1185" s="125" t="str">
        <f>_xlfn.XLOOKUP(Tabla13[[#This Row],[REGION]],dimensiones!C:C,dimensiones!D:D,"")</f>
        <v>Región de Metropolitana de Santiago</v>
      </c>
    </row>
    <row r="1186" spans="1:10" ht="14.25" customHeight="1" x14ac:dyDescent="0.25">
      <c r="A1186">
        <v>772442858</v>
      </c>
      <c r="B1186" t="s">
        <v>1087</v>
      </c>
      <c r="C1186" t="s">
        <v>4490</v>
      </c>
      <c r="D1186">
        <v>5</v>
      </c>
      <c r="E1186" t="s">
        <v>4445</v>
      </c>
      <c r="F1186" t="s">
        <v>3105</v>
      </c>
      <c r="G1186" t="s">
        <v>5570</v>
      </c>
      <c r="H1186" t="s">
        <v>4915</v>
      </c>
      <c r="I1186" s="79" t="str">
        <f>IF(Tabla13[[#This Row],[RUT]]=774097899,"DIST",_xlfn.XLOOKUP(Tabla13[[#This Row],[VENDEDOR]],dimensiones!$C$21:$C$28,dimensiones!$D$21:$D$28,""))</f>
        <v>ATEL</v>
      </c>
      <c r="J1186" s="125" t="str">
        <f>_xlfn.XLOOKUP(Tabla13[[#This Row],[REGION]],dimensiones!C:C,dimensiones!D:D,"")</f>
        <v>Región de Valparaíso</v>
      </c>
    </row>
    <row r="1187" spans="1:10" ht="14.25" customHeight="1" x14ac:dyDescent="0.25">
      <c r="A1187" t="s">
        <v>979</v>
      </c>
      <c r="B1187" t="s">
        <v>984</v>
      </c>
      <c r="C1187" t="s">
        <v>4391</v>
      </c>
      <c r="D1187">
        <v>13</v>
      </c>
      <c r="E1187" t="s">
        <v>4445</v>
      </c>
      <c r="F1187" t="s">
        <v>2930</v>
      </c>
      <c r="G1187" t="s">
        <v>5570</v>
      </c>
      <c r="H1187" t="s">
        <v>4915</v>
      </c>
      <c r="I1187" s="79" t="str">
        <f>IF(Tabla13[[#This Row],[RUT]]=774097899,"DIST",_xlfn.XLOOKUP(Tabla13[[#This Row],[VENDEDOR]],dimensiones!$C$21:$C$28,dimensiones!$D$21:$D$28,""))</f>
        <v>ATEL</v>
      </c>
      <c r="J1187" s="125" t="str">
        <f>_xlfn.XLOOKUP(Tabla13[[#This Row],[REGION]],dimensiones!C:C,dimensiones!D:D,"")</f>
        <v>Región de Metropolitana de Santiago</v>
      </c>
    </row>
    <row r="1188" spans="1:10" ht="14.25" customHeight="1" x14ac:dyDescent="0.25">
      <c r="A1188">
        <v>772638388</v>
      </c>
      <c r="B1188" t="s">
        <v>4585</v>
      </c>
      <c r="C1188" t="s">
        <v>4175</v>
      </c>
      <c r="D1188">
        <v>5</v>
      </c>
      <c r="E1188" t="s">
        <v>4445</v>
      </c>
      <c r="F1188" t="s">
        <v>4584</v>
      </c>
      <c r="G1188" t="s">
        <v>5568</v>
      </c>
      <c r="H1188" t="s">
        <v>4915</v>
      </c>
      <c r="I1188" s="79" t="str">
        <f>IF(Tabla13[[#This Row],[RUT]]=774097899,"DIST",_xlfn.XLOOKUP(Tabla13[[#This Row],[VENDEDOR]],dimensiones!$C$21:$C$28,dimensiones!$D$21:$D$28,""))</f>
        <v>ATEL</v>
      </c>
      <c r="J1188" s="125" t="str">
        <f>_xlfn.XLOOKUP(Tabla13[[#This Row],[REGION]],dimensiones!C:C,dimensiones!D:D,"")</f>
        <v>Región de Valparaíso</v>
      </c>
    </row>
    <row r="1189" spans="1:10" ht="14.25" customHeight="1" x14ac:dyDescent="0.25">
      <c r="A1189">
        <v>772762143</v>
      </c>
      <c r="B1189" t="s">
        <v>2933</v>
      </c>
      <c r="C1189" t="s">
        <v>4168</v>
      </c>
      <c r="D1189">
        <v>13</v>
      </c>
      <c r="E1189" t="s">
        <v>4445</v>
      </c>
      <c r="F1189" t="s">
        <v>2932</v>
      </c>
      <c r="G1189" t="s">
        <v>5570</v>
      </c>
      <c r="H1189" t="s">
        <v>4915</v>
      </c>
      <c r="I1189" s="79" t="str">
        <f>IF(Tabla13[[#This Row],[RUT]]=774097899,"DIST",_xlfn.XLOOKUP(Tabla13[[#This Row],[VENDEDOR]],dimensiones!$C$21:$C$28,dimensiones!$D$21:$D$28,""))</f>
        <v>ATEL</v>
      </c>
      <c r="J1189" s="125" t="str">
        <f>_xlfn.XLOOKUP(Tabla13[[#This Row],[REGION]],dimensiones!C:C,dimensiones!D:D,"")</f>
        <v>Región de Metropolitana de Santiago</v>
      </c>
    </row>
    <row r="1190" spans="1:10" ht="14.25" customHeight="1" x14ac:dyDescent="0.25">
      <c r="A1190">
        <v>772777159</v>
      </c>
      <c r="B1190" t="s">
        <v>543</v>
      </c>
      <c r="C1190" t="s">
        <v>4395</v>
      </c>
      <c r="D1190">
        <v>13</v>
      </c>
      <c r="E1190" t="s">
        <v>4445</v>
      </c>
      <c r="F1190" t="s">
        <v>2935</v>
      </c>
      <c r="G1190" t="s">
        <v>5569</v>
      </c>
      <c r="H1190" t="s">
        <v>4915</v>
      </c>
      <c r="I1190" s="79" t="str">
        <f>IF(Tabla13[[#This Row],[RUT]]=774097899,"DIST",_xlfn.XLOOKUP(Tabla13[[#This Row],[VENDEDOR]],dimensiones!$C$21:$C$28,dimensiones!$D$21:$D$28,""))</f>
        <v>ATEL</v>
      </c>
      <c r="J1190" s="125" t="str">
        <f>_xlfn.XLOOKUP(Tabla13[[#This Row],[REGION]],dimensiones!C:C,dimensiones!D:D,"")</f>
        <v>Región de Metropolitana de Santiago</v>
      </c>
    </row>
    <row r="1191" spans="1:10" ht="14.25" customHeight="1" x14ac:dyDescent="0.25">
      <c r="A1191">
        <v>772966326</v>
      </c>
      <c r="B1191" t="s">
        <v>544</v>
      </c>
      <c r="C1191" t="s">
        <v>4391</v>
      </c>
      <c r="D1191">
        <v>13</v>
      </c>
      <c r="E1191" t="s">
        <v>4445</v>
      </c>
      <c r="F1191" t="s">
        <v>2937</v>
      </c>
      <c r="G1191" t="s">
        <v>5568</v>
      </c>
      <c r="H1191" t="s">
        <v>4915</v>
      </c>
      <c r="I1191" s="79" t="str">
        <f>IF(Tabla13[[#This Row],[RUT]]=774097899,"DIST",_xlfn.XLOOKUP(Tabla13[[#This Row],[VENDEDOR]],dimensiones!$C$21:$C$28,dimensiones!$D$21:$D$28,""))</f>
        <v>ATEL</v>
      </c>
      <c r="J1191" s="125" t="str">
        <f>_xlfn.XLOOKUP(Tabla13[[#This Row],[REGION]],dimensiones!C:C,dimensiones!D:D,"")</f>
        <v>Región de Metropolitana de Santiago</v>
      </c>
    </row>
    <row r="1192" spans="1:10" ht="14.25" customHeight="1" x14ac:dyDescent="0.25">
      <c r="A1192">
        <v>772971834</v>
      </c>
      <c r="B1192" t="s">
        <v>2939</v>
      </c>
      <c r="C1192" t="s">
        <v>4395</v>
      </c>
      <c r="D1192">
        <v>13</v>
      </c>
      <c r="E1192" t="s">
        <v>4445</v>
      </c>
      <c r="F1192" t="s">
        <v>2938</v>
      </c>
      <c r="G1192" t="s">
        <v>5568</v>
      </c>
      <c r="H1192" t="s">
        <v>4915</v>
      </c>
      <c r="I1192" s="79" t="str">
        <f>IF(Tabla13[[#This Row],[RUT]]=774097899,"DIST",_xlfn.XLOOKUP(Tabla13[[#This Row],[VENDEDOR]],dimensiones!$C$21:$C$28,dimensiones!$D$21:$D$28,""))</f>
        <v>ATEL</v>
      </c>
      <c r="J1192" s="125" t="str">
        <f>_xlfn.XLOOKUP(Tabla13[[#This Row],[REGION]],dimensiones!C:C,dimensiones!D:D,"")</f>
        <v>Región de Metropolitana de Santiago</v>
      </c>
    </row>
    <row r="1193" spans="1:10" ht="14.25" customHeight="1" x14ac:dyDescent="0.25">
      <c r="A1193" t="s">
        <v>4772</v>
      </c>
      <c r="B1193" t="s">
        <v>2942</v>
      </c>
      <c r="C1193" t="s">
        <v>4391</v>
      </c>
      <c r="D1193">
        <v>13</v>
      </c>
      <c r="E1193" t="s">
        <v>4445</v>
      </c>
      <c r="F1193" t="s">
        <v>2941</v>
      </c>
      <c r="G1193" t="s">
        <v>5568</v>
      </c>
      <c r="H1193" t="s">
        <v>4915</v>
      </c>
      <c r="I1193" s="79" t="str">
        <f>IF(Tabla13[[#This Row],[RUT]]=774097899,"DIST",_xlfn.XLOOKUP(Tabla13[[#This Row],[VENDEDOR]],dimensiones!$C$21:$C$28,dimensiones!$D$21:$D$28,""))</f>
        <v>ATEL</v>
      </c>
      <c r="J1193" s="125" t="str">
        <f>_xlfn.XLOOKUP(Tabla13[[#This Row],[REGION]],dimensiones!C:C,dimensiones!D:D,"")</f>
        <v>Región de Metropolitana de Santiago</v>
      </c>
    </row>
    <row r="1194" spans="1:10" ht="14.25" customHeight="1" x14ac:dyDescent="0.25">
      <c r="A1194">
        <v>773121702</v>
      </c>
      <c r="B1194" t="s">
        <v>3293</v>
      </c>
      <c r="C1194" t="s">
        <v>4552</v>
      </c>
      <c r="D1194">
        <v>13</v>
      </c>
      <c r="E1194" t="s">
        <v>4445</v>
      </c>
      <c r="F1194" t="s">
        <v>3292</v>
      </c>
      <c r="G1194" t="s">
        <v>5570</v>
      </c>
      <c r="H1194" t="s">
        <v>4915</v>
      </c>
      <c r="I1194" s="79" t="str">
        <f>IF(Tabla13[[#This Row],[RUT]]=774097899,"DIST",_xlfn.XLOOKUP(Tabla13[[#This Row],[VENDEDOR]],dimensiones!$C$21:$C$28,dimensiones!$D$21:$D$28,""))</f>
        <v>ATEL</v>
      </c>
      <c r="J1194" s="125" t="str">
        <f>_xlfn.XLOOKUP(Tabla13[[#This Row],[REGION]],dimensiones!C:C,dimensiones!D:D,"")</f>
        <v>Región de Metropolitana de Santiago</v>
      </c>
    </row>
    <row r="1195" spans="1:10" ht="14.25" customHeight="1" x14ac:dyDescent="0.25">
      <c r="A1195">
        <v>773250065</v>
      </c>
      <c r="B1195" t="s">
        <v>2947</v>
      </c>
      <c r="C1195" t="s">
        <v>4465</v>
      </c>
      <c r="D1195">
        <v>13</v>
      </c>
      <c r="E1195" t="s">
        <v>4445</v>
      </c>
      <c r="F1195" t="s">
        <v>2946</v>
      </c>
      <c r="G1195" t="s">
        <v>5570</v>
      </c>
      <c r="H1195" t="s">
        <v>4915</v>
      </c>
      <c r="I1195" s="79" t="str">
        <f>IF(Tabla13[[#This Row],[RUT]]=774097899,"DIST",_xlfn.XLOOKUP(Tabla13[[#This Row],[VENDEDOR]],dimensiones!$C$21:$C$28,dimensiones!$D$21:$D$28,""))</f>
        <v>ATEL</v>
      </c>
      <c r="J1195" s="125" t="str">
        <f>_xlfn.XLOOKUP(Tabla13[[#This Row],[REGION]],dimensiones!C:C,dimensiones!D:D,"")</f>
        <v>Región de Metropolitana de Santiago</v>
      </c>
    </row>
    <row r="1196" spans="1:10" ht="14.25" customHeight="1" x14ac:dyDescent="0.25">
      <c r="A1196">
        <v>773262896</v>
      </c>
      <c r="B1196" t="s">
        <v>1092</v>
      </c>
      <c r="C1196" t="s">
        <v>4391</v>
      </c>
      <c r="D1196">
        <v>13</v>
      </c>
      <c r="E1196" t="s">
        <v>4445</v>
      </c>
      <c r="F1196" t="s">
        <v>2949</v>
      </c>
      <c r="G1196" t="s">
        <v>5568</v>
      </c>
      <c r="H1196" t="s">
        <v>4915</v>
      </c>
      <c r="I1196" s="79" t="str">
        <f>IF(Tabla13[[#This Row],[RUT]]=774097899,"DIST",_xlfn.XLOOKUP(Tabla13[[#This Row],[VENDEDOR]],dimensiones!$C$21:$C$28,dimensiones!$D$21:$D$28,""))</f>
        <v>ATEL</v>
      </c>
      <c r="J1196" s="125" t="str">
        <f>_xlfn.XLOOKUP(Tabla13[[#This Row],[REGION]],dimensiones!C:C,dimensiones!D:D,"")</f>
        <v>Región de Metropolitana de Santiago</v>
      </c>
    </row>
    <row r="1197" spans="1:10" ht="14.25" customHeight="1" x14ac:dyDescent="0.25">
      <c r="A1197">
        <v>773352550</v>
      </c>
      <c r="B1197" t="s">
        <v>5623</v>
      </c>
      <c r="C1197" t="s">
        <v>4465</v>
      </c>
      <c r="D1197">
        <v>13</v>
      </c>
      <c r="E1197" t="s">
        <v>4445</v>
      </c>
      <c r="F1197" t="s">
        <v>5624</v>
      </c>
      <c r="G1197" t="s">
        <v>5568</v>
      </c>
      <c r="H1197" t="s">
        <v>4915</v>
      </c>
      <c r="I1197" s="79" t="str">
        <f>IF(Tabla13[[#This Row],[RUT]]=774097899,"DIST",_xlfn.XLOOKUP(Tabla13[[#This Row],[VENDEDOR]],dimensiones!$C$21:$C$28,dimensiones!$D$21:$D$28,""))</f>
        <v>ATEL</v>
      </c>
      <c r="J1197" s="125" t="str">
        <f>_xlfn.XLOOKUP(Tabla13[[#This Row],[REGION]],dimensiones!C:C,dimensiones!D:D,"")</f>
        <v>Región de Metropolitana de Santiago</v>
      </c>
    </row>
    <row r="1198" spans="1:10" ht="14.25" customHeight="1" x14ac:dyDescent="0.25">
      <c r="A1198">
        <v>773361207</v>
      </c>
      <c r="B1198" t="s">
        <v>5633</v>
      </c>
      <c r="C1198" t="s">
        <v>4494</v>
      </c>
      <c r="D1198">
        <v>7</v>
      </c>
      <c r="E1198" t="s">
        <v>4445</v>
      </c>
      <c r="F1198" t="s">
        <v>5634</v>
      </c>
      <c r="G1198" t="s">
        <v>5568</v>
      </c>
      <c r="H1198" t="s">
        <v>4915</v>
      </c>
      <c r="I1198" s="79" t="str">
        <f>IF(Tabla13[[#This Row],[RUT]]=774097899,"DIST",_xlfn.XLOOKUP(Tabla13[[#This Row],[VENDEDOR]],dimensiones!$C$21:$C$28,dimensiones!$D$21:$D$28,""))</f>
        <v>ATEL</v>
      </c>
      <c r="J1198" s="125" t="str">
        <f>_xlfn.XLOOKUP(Tabla13[[#This Row],[REGION]],dimensiones!C:C,dimensiones!D:D,"")</f>
        <v>Región de Maule</v>
      </c>
    </row>
    <row r="1199" spans="1:10" ht="14.25" customHeight="1" x14ac:dyDescent="0.25">
      <c r="A1199" t="s">
        <v>728</v>
      </c>
      <c r="B1199" t="s">
        <v>2952</v>
      </c>
      <c r="C1199" t="s">
        <v>4448</v>
      </c>
      <c r="D1199">
        <v>13</v>
      </c>
      <c r="E1199" t="s">
        <v>4445</v>
      </c>
      <c r="F1199" t="s">
        <v>2951</v>
      </c>
      <c r="G1199" t="s">
        <v>5568</v>
      </c>
      <c r="H1199" t="s">
        <v>4915</v>
      </c>
      <c r="I1199" s="79" t="str">
        <f>IF(Tabla13[[#This Row],[RUT]]=774097899,"DIST",_xlfn.XLOOKUP(Tabla13[[#This Row],[VENDEDOR]],dimensiones!$C$21:$C$28,dimensiones!$D$21:$D$28,""))</f>
        <v>ATEL</v>
      </c>
      <c r="J1199" s="125" t="str">
        <f>_xlfn.XLOOKUP(Tabla13[[#This Row],[REGION]],dimensiones!C:C,dimensiones!D:D,"")</f>
        <v>Región de Metropolitana de Santiago</v>
      </c>
    </row>
    <row r="1200" spans="1:10" ht="14.25" customHeight="1" x14ac:dyDescent="0.25">
      <c r="A1200">
        <v>773506590</v>
      </c>
      <c r="B1200" t="s">
        <v>5477</v>
      </c>
      <c r="C1200" t="s">
        <v>4465</v>
      </c>
      <c r="D1200">
        <v>13</v>
      </c>
      <c r="E1200" t="s">
        <v>4445</v>
      </c>
      <c r="F1200" t="s">
        <v>5478</v>
      </c>
      <c r="G1200" t="s">
        <v>5570</v>
      </c>
      <c r="H1200" t="s">
        <v>4915</v>
      </c>
      <c r="I1200" s="79" t="str">
        <f>IF(Tabla13[[#This Row],[RUT]]=774097899,"DIST",_xlfn.XLOOKUP(Tabla13[[#This Row],[VENDEDOR]],dimensiones!$C$21:$C$28,dimensiones!$D$21:$D$28,""))</f>
        <v>ATEL</v>
      </c>
      <c r="J1200" s="125" t="str">
        <f>_xlfn.XLOOKUP(Tabla13[[#This Row],[REGION]],dimensiones!C:C,dimensiones!D:D,"")</f>
        <v>Región de Metropolitana de Santiago</v>
      </c>
    </row>
    <row r="1201" spans="1:10" ht="14.25" customHeight="1" x14ac:dyDescent="0.25">
      <c r="A1201">
        <v>773533776</v>
      </c>
      <c r="B1201" t="s">
        <v>5582</v>
      </c>
      <c r="C1201" t="s">
        <v>4465</v>
      </c>
      <c r="D1201">
        <v>13</v>
      </c>
      <c r="E1201" t="s">
        <v>4445</v>
      </c>
      <c r="F1201" t="s">
        <v>4905</v>
      </c>
      <c r="G1201" t="s">
        <v>5568</v>
      </c>
      <c r="H1201" t="s">
        <v>4915</v>
      </c>
      <c r="I1201" s="79" t="str">
        <f>IF(Tabla13[[#This Row],[RUT]]=774097899,"DIST",_xlfn.XLOOKUP(Tabla13[[#This Row],[VENDEDOR]],dimensiones!$C$21:$C$28,dimensiones!$D$21:$D$28,""))</f>
        <v>ATEL</v>
      </c>
      <c r="J1201" s="125" t="str">
        <f>_xlfn.XLOOKUP(Tabla13[[#This Row],[REGION]],dimensiones!C:C,dimensiones!D:D,"")</f>
        <v>Región de Metropolitana de Santiago</v>
      </c>
    </row>
    <row r="1202" spans="1:10" ht="14.25" customHeight="1" x14ac:dyDescent="0.25">
      <c r="A1202">
        <v>773540845</v>
      </c>
      <c r="B1202" t="s">
        <v>545</v>
      </c>
      <c r="C1202" t="s">
        <v>4465</v>
      </c>
      <c r="D1202">
        <v>13</v>
      </c>
      <c r="E1202" t="s">
        <v>4445</v>
      </c>
      <c r="F1202" t="s">
        <v>2954</v>
      </c>
      <c r="G1202" t="s">
        <v>5568</v>
      </c>
      <c r="H1202" t="s">
        <v>4915</v>
      </c>
      <c r="I1202" s="79" t="str">
        <f>IF(Tabla13[[#This Row],[RUT]]=774097899,"DIST",_xlfn.XLOOKUP(Tabla13[[#This Row],[VENDEDOR]],dimensiones!$C$21:$C$28,dimensiones!$D$21:$D$28,""))</f>
        <v>ATEL</v>
      </c>
      <c r="J1202" s="125" t="str">
        <f>_xlfn.XLOOKUP(Tabla13[[#This Row],[REGION]],dimensiones!C:C,dimensiones!D:D,"")</f>
        <v>Región de Metropolitana de Santiago</v>
      </c>
    </row>
    <row r="1203" spans="1:10" ht="14.25" customHeight="1" x14ac:dyDescent="0.25">
      <c r="A1203">
        <v>773553866</v>
      </c>
      <c r="B1203" t="s">
        <v>1439</v>
      </c>
      <c r="C1203" t="s">
        <v>4185</v>
      </c>
      <c r="D1203">
        <v>12</v>
      </c>
      <c r="E1203" t="s">
        <v>4445</v>
      </c>
      <c r="F1203" t="s">
        <v>1438</v>
      </c>
      <c r="G1203" t="s">
        <v>5569</v>
      </c>
      <c r="H1203" t="s">
        <v>4915</v>
      </c>
      <c r="I1203" s="79" t="str">
        <f>IF(Tabla13[[#This Row],[RUT]]=774097899,"DIST",_xlfn.XLOOKUP(Tabla13[[#This Row],[VENDEDOR]],dimensiones!$C$21:$C$28,dimensiones!$D$21:$D$28,""))</f>
        <v>ATEL</v>
      </c>
      <c r="J1203" s="125" t="str">
        <f>_xlfn.XLOOKUP(Tabla13[[#This Row],[REGION]],dimensiones!C:C,dimensiones!D:D,"")</f>
        <v>Región de Magallanes y de la Antártica Chilena</v>
      </c>
    </row>
    <row r="1204" spans="1:10" ht="14.25" customHeight="1" x14ac:dyDescent="0.25">
      <c r="A1204">
        <v>773608377</v>
      </c>
      <c r="B1204" t="s">
        <v>2960</v>
      </c>
      <c r="C1204" t="s">
        <v>4245</v>
      </c>
      <c r="D1204">
        <v>4</v>
      </c>
      <c r="E1204" t="s">
        <v>4445</v>
      </c>
      <c r="F1204" t="s">
        <v>2959</v>
      </c>
      <c r="G1204" t="s">
        <v>5568</v>
      </c>
      <c r="H1204" t="s">
        <v>4915</v>
      </c>
      <c r="I1204" s="79" t="str">
        <f>IF(Tabla13[[#This Row],[RUT]]=774097899,"DIST",_xlfn.XLOOKUP(Tabla13[[#This Row],[VENDEDOR]],dimensiones!$C$21:$C$28,dimensiones!$D$21:$D$28,""))</f>
        <v>ATEL</v>
      </c>
      <c r="J1204" s="125" t="str">
        <f>_xlfn.XLOOKUP(Tabla13[[#This Row],[REGION]],dimensiones!C:C,dimensiones!D:D,"")</f>
        <v>Región de Coquimbo</v>
      </c>
    </row>
    <row r="1205" spans="1:10" ht="14.25" customHeight="1" x14ac:dyDescent="0.25">
      <c r="A1205">
        <v>773625522</v>
      </c>
      <c r="B1205" t="s">
        <v>2963</v>
      </c>
      <c r="C1205" t="s">
        <v>4168</v>
      </c>
      <c r="D1205">
        <v>13</v>
      </c>
      <c r="E1205" t="s">
        <v>4445</v>
      </c>
      <c r="F1205" t="s">
        <v>2962</v>
      </c>
      <c r="G1205" t="s">
        <v>5570</v>
      </c>
      <c r="H1205" t="s">
        <v>4915</v>
      </c>
      <c r="I1205" s="79" t="str">
        <f>IF(Tabla13[[#This Row],[RUT]]=774097899,"DIST",_xlfn.XLOOKUP(Tabla13[[#This Row],[VENDEDOR]],dimensiones!$C$21:$C$28,dimensiones!$D$21:$D$28,""))</f>
        <v>ATEL</v>
      </c>
      <c r="J1205" s="125" t="str">
        <f>_xlfn.XLOOKUP(Tabla13[[#This Row],[REGION]],dimensiones!C:C,dimensiones!D:D,"")</f>
        <v>Región de Metropolitana de Santiago</v>
      </c>
    </row>
    <row r="1206" spans="1:10" ht="14.25" customHeight="1" x14ac:dyDescent="0.25">
      <c r="A1206" t="s">
        <v>4773</v>
      </c>
      <c r="B1206" t="s">
        <v>2966</v>
      </c>
      <c r="C1206" t="s">
        <v>4391</v>
      </c>
      <c r="D1206">
        <v>13</v>
      </c>
      <c r="E1206" t="s">
        <v>4445</v>
      </c>
      <c r="F1206" t="s">
        <v>2965</v>
      </c>
      <c r="G1206" t="s">
        <v>5568</v>
      </c>
      <c r="H1206" t="s">
        <v>4915</v>
      </c>
      <c r="I1206" s="79" t="str">
        <f>IF(Tabla13[[#This Row],[RUT]]=774097899,"DIST",_xlfn.XLOOKUP(Tabla13[[#This Row],[VENDEDOR]],dimensiones!$C$21:$C$28,dimensiones!$D$21:$D$28,""))</f>
        <v>ATEL</v>
      </c>
      <c r="J1206" s="125" t="str">
        <f>_xlfn.XLOOKUP(Tabla13[[#This Row],[REGION]],dimensiones!C:C,dimensiones!D:D,"")</f>
        <v>Región de Metropolitana de Santiago</v>
      </c>
    </row>
    <row r="1207" spans="1:10" ht="14.25" customHeight="1" x14ac:dyDescent="0.25">
      <c r="A1207" t="s">
        <v>5551</v>
      </c>
      <c r="B1207" t="s">
        <v>5552</v>
      </c>
      <c r="C1207" t="s">
        <v>4399</v>
      </c>
      <c r="D1207">
        <v>13</v>
      </c>
      <c r="E1207" t="s">
        <v>4445</v>
      </c>
      <c r="F1207" t="s">
        <v>5553</v>
      </c>
      <c r="G1207" t="s">
        <v>5568</v>
      </c>
      <c r="H1207" t="s">
        <v>4915</v>
      </c>
      <c r="I1207" s="79" t="str">
        <f>IF(Tabla13[[#This Row],[RUT]]=774097899,"DIST",_xlfn.XLOOKUP(Tabla13[[#This Row],[VENDEDOR]],dimensiones!$C$21:$C$28,dimensiones!$D$21:$D$28,""))</f>
        <v>ATEL</v>
      </c>
      <c r="J1207" s="125" t="str">
        <f>_xlfn.XLOOKUP(Tabla13[[#This Row],[REGION]],dimensiones!C:C,dimensiones!D:D,"")</f>
        <v>Región de Metropolitana de Santiago</v>
      </c>
    </row>
    <row r="1208" spans="1:10" ht="14.25" customHeight="1" x14ac:dyDescent="0.25">
      <c r="A1208">
        <v>773717435</v>
      </c>
      <c r="B1208" t="s">
        <v>2969</v>
      </c>
      <c r="C1208" t="s">
        <v>4391</v>
      </c>
      <c r="D1208">
        <v>13</v>
      </c>
      <c r="E1208" t="s">
        <v>4445</v>
      </c>
      <c r="F1208" t="s">
        <v>2968</v>
      </c>
      <c r="G1208" t="s">
        <v>5568</v>
      </c>
      <c r="H1208" t="s">
        <v>4915</v>
      </c>
      <c r="I1208" s="79" t="str">
        <f>IF(Tabla13[[#This Row],[RUT]]=774097899,"DIST",_xlfn.XLOOKUP(Tabla13[[#This Row],[VENDEDOR]],dimensiones!$C$21:$C$28,dimensiones!$D$21:$D$28,""))</f>
        <v>ATEL</v>
      </c>
      <c r="J1208" s="125" t="str">
        <f>_xlfn.XLOOKUP(Tabla13[[#This Row],[REGION]],dimensiones!C:C,dimensiones!D:D,"")</f>
        <v>Región de Metropolitana de Santiago</v>
      </c>
    </row>
    <row r="1209" spans="1:10" ht="14.25" customHeight="1" x14ac:dyDescent="0.25">
      <c r="A1209">
        <v>773729751</v>
      </c>
      <c r="B1209" t="s">
        <v>986</v>
      </c>
      <c r="C1209" t="s">
        <v>4391</v>
      </c>
      <c r="D1209">
        <v>13</v>
      </c>
      <c r="E1209" t="s">
        <v>4445</v>
      </c>
      <c r="F1209" t="s">
        <v>2971</v>
      </c>
      <c r="G1209" t="s">
        <v>5568</v>
      </c>
      <c r="H1209" t="s">
        <v>4915</v>
      </c>
      <c r="I1209" s="79" t="str">
        <f>IF(Tabla13[[#This Row],[RUT]]=774097899,"DIST",_xlfn.XLOOKUP(Tabla13[[#This Row],[VENDEDOR]],dimensiones!$C$21:$C$28,dimensiones!$D$21:$D$28,""))</f>
        <v>ATEL</v>
      </c>
      <c r="J1209" s="125" t="str">
        <f>_xlfn.XLOOKUP(Tabla13[[#This Row],[REGION]],dimensiones!C:C,dimensiones!D:D,"")</f>
        <v>Región de Metropolitana de Santiago</v>
      </c>
    </row>
    <row r="1210" spans="1:10" ht="14.25" customHeight="1" x14ac:dyDescent="0.25">
      <c r="A1210">
        <v>773828466</v>
      </c>
      <c r="B1210" t="s">
        <v>3700</v>
      </c>
      <c r="C1210" t="s">
        <v>4391</v>
      </c>
      <c r="D1210">
        <v>13</v>
      </c>
      <c r="E1210" t="s">
        <v>4445</v>
      </c>
      <c r="F1210" t="s">
        <v>3699</v>
      </c>
      <c r="G1210" t="s">
        <v>5568</v>
      </c>
      <c r="H1210" t="s">
        <v>4915</v>
      </c>
      <c r="I1210" s="79" t="str">
        <f>IF(Tabla13[[#This Row],[RUT]]=774097899,"DIST",_xlfn.XLOOKUP(Tabla13[[#This Row],[VENDEDOR]],dimensiones!$C$21:$C$28,dimensiones!$D$21:$D$28,""))</f>
        <v>ATEL</v>
      </c>
      <c r="J1210" s="125" t="str">
        <f>_xlfn.XLOOKUP(Tabla13[[#This Row],[REGION]],dimensiones!C:C,dimensiones!D:D,"")</f>
        <v>Región de Metropolitana de Santiago</v>
      </c>
    </row>
    <row r="1211" spans="1:10" ht="14.25" customHeight="1" x14ac:dyDescent="0.25">
      <c r="A1211">
        <v>773845166</v>
      </c>
      <c r="B1211" t="s">
        <v>546</v>
      </c>
      <c r="C1211" t="s">
        <v>4465</v>
      </c>
      <c r="D1211">
        <v>13</v>
      </c>
      <c r="E1211" t="s">
        <v>4445</v>
      </c>
      <c r="F1211" t="s">
        <v>2975</v>
      </c>
      <c r="G1211" t="s">
        <v>5570</v>
      </c>
      <c r="H1211" t="s">
        <v>4915</v>
      </c>
      <c r="I1211" s="79" t="str">
        <f>IF(Tabla13[[#This Row],[RUT]]=774097899,"DIST",_xlfn.XLOOKUP(Tabla13[[#This Row],[VENDEDOR]],dimensiones!$C$21:$C$28,dimensiones!$D$21:$D$28,""))</f>
        <v>ATEL</v>
      </c>
      <c r="J1211" s="125" t="str">
        <f>_xlfn.XLOOKUP(Tabla13[[#This Row],[REGION]],dimensiones!C:C,dimensiones!D:D,"")</f>
        <v>Región de Metropolitana de Santiago</v>
      </c>
    </row>
    <row r="1212" spans="1:10" ht="14.25" customHeight="1" x14ac:dyDescent="0.25">
      <c r="A1212">
        <v>773851808</v>
      </c>
      <c r="B1212" t="s">
        <v>547</v>
      </c>
      <c r="C1212" t="s">
        <v>4391</v>
      </c>
      <c r="D1212">
        <v>13</v>
      </c>
      <c r="E1212" t="s">
        <v>4445</v>
      </c>
      <c r="F1212" t="s">
        <v>2977</v>
      </c>
      <c r="G1212" t="s">
        <v>5568</v>
      </c>
      <c r="H1212" t="s">
        <v>4915</v>
      </c>
      <c r="I1212" s="79" t="str">
        <f>IF(Tabla13[[#This Row],[RUT]]=774097899,"DIST",_xlfn.XLOOKUP(Tabla13[[#This Row],[VENDEDOR]],dimensiones!$C$21:$C$28,dimensiones!$D$21:$D$28,""))</f>
        <v>ATEL</v>
      </c>
      <c r="J1212" s="125" t="str">
        <f>_xlfn.XLOOKUP(Tabla13[[#This Row],[REGION]],dimensiones!C:C,dimensiones!D:D,"")</f>
        <v>Región de Metropolitana de Santiago</v>
      </c>
    </row>
    <row r="1213" spans="1:10" ht="14.25" customHeight="1" x14ac:dyDescent="0.25">
      <c r="A1213">
        <v>773890455</v>
      </c>
      <c r="B1213" t="s">
        <v>2980</v>
      </c>
      <c r="C1213" t="s">
        <v>4460</v>
      </c>
      <c r="D1213">
        <v>8</v>
      </c>
      <c r="E1213" t="s">
        <v>4445</v>
      </c>
      <c r="F1213" t="s">
        <v>2979</v>
      </c>
      <c r="G1213" t="s">
        <v>5568</v>
      </c>
      <c r="H1213" t="s">
        <v>4915</v>
      </c>
      <c r="I1213" s="79" t="str">
        <f>IF(Tabla13[[#This Row],[RUT]]=774097899,"DIST",_xlfn.XLOOKUP(Tabla13[[#This Row],[VENDEDOR]],dimensiones!$C$21:$C$28,dimensiones!$D$21:$D$28,""))</f>
        <v>ATEL</v>
      </c>
      <c r="J1213" s="125" t="str">
        <f>_xlfn.XLOOKUP(Tabla13[[#This Row],[REGION]],dimensiones!C:C,dimensiones!D:D,"")</f>
        <v>Región de Biobío</v>
      </c>
    </row>
    <row r="1214" spans="1:10" ht="14.25" customHeight="1" x14ac:dyDescent="0.25">
      <c r="A1214">
        <v>774020101</v>
      </c>
      <c r="B1214" t="s">
        <v>1078</v>
      </c>
      <c r="C1214" t="s">
        <v>4257</v>
      </c>
      <c r="D1214">
        <v>7</v>
      </c>
      <c r="E1214" t="s">
        <v>4445</v>
      </c>
      <c r="F1214" t="s">
        <v>2982</v>
      </c>
      <c r="G1214" t="s">
        <v>5570</v>
      </c>
      <c r="H1214" t="s">
        <v>4915</v>
      </c>
      <c r="I1214" s="79" t="str">
        <f>IF(Tabla13[[#This Row],[RUT]]=774097899,"DIST",_xlfn.XLOOKUP(Tabla13[[#This Row],[VENDEDOR]],dimensiones!$C$21:$C$28,dimensiones!$D$21:$D$28,""))</f>
        <v>ATEL</v>
      </c>
      <c r="J1214" s="125" t="str">
        <f>_xlfn.XLOOKUP(Tabla13[[#This Row],[REGION]],dimensiones!C:C,dimensiones!D:D,"")</f>
        <v>Región de Maule</v>
      </c>
    </row>
    <row r="1215" spans="1:10" ht="14.25" customHeight="1" x14ac:dyDescent="0.25">
      <c r="A1215" t="s">
        <v>730</v>
      </c>
      <c r="B1215" t="s">
        <v>2985</v>
      </c>
      <c r="C1215" t="s">
        <v>4493</v>
      </c>
      <c r="D1215">
        <v>13</v>
      </c>
      <c r="E1215" t="s">
        <v>4445</v>
      </c>
      <c r="F1215" t="s">
        <v>2984</v>
      </c>
      <c r="G1215" t="s">
        <v>5568</v>
      </c>
      <c r="H1215" t="s">
        <v>4915</v>
      </c>
      <c r="I1215" s="79" t="str">
        <f>IF(Tabla13[[#This Row],[RUT]]=774097899,"DIST",_xlfn.XLOOKUP(Tabla13[[#This Row],[VENDEDOR]],dimensiones!$C$21:$C$28,dimensiones!$D$21:$D$28,""))</f>
        <v>ATEL</v>
      </c>
      <c r="J1215" s="125" t="str">
        <f>_xlfn.XLOOKUP(Tabla13[[#This Row],[REGION]],dimensiones!C:C,dimensiones!D:D,"")</f>
        <v>Región de Metropolitana de Santiago</v>
      </c>
    </row>
    <row r="1216" spans="1:10" ht="14.25" customHeight="1" x14ac:dyDescent="0.25">
      <c r="A1216" t="s">
        <v>731</v>
      </c>
      <c r="B1216" t="s">
        <v>732</v>
      </c>
      <c r="C1216" t="s">
        <v>4224</v>
      </c>
      <c r="D1216">
        <v>10</v>
      </c>
      <c r="E1216" t="s">
        <v>4445</v>
      </c>
      <c r="F1216" t="s">
        <v>2987</v>
      </c>
      <c r="G1216" t="s">
        <v>5570</v>
      </c>
      <c r="H1216" t="s">
        <v>4915</v>
      </c>
      <c r="I1216" s="79" t="str">
        <f>IF(Tabla13[[#This Row],[RUT]]=774097899,"DIST",_xlfn.XLOOKUP(Tabla13[[#This Row],[VENDEDOR]],dimensiones!$C$21:$C$28,dimensiones!$D$21:$D$28,""))</f>
        <v>ATEL</v>
      </c>
      <c r="J1216" s="125" t="str">
        <f>_xlfn.XLOOKUP(Tabla13[[#This Row],[REGION]],dimensiones!C:C,dimensiones!D:D,"")</f>
        <v>Región de Los Lagos</v>
      </c>
    </row>
    <row r="1217" spans="1:10" ht="14.25" customHeight="1" x14ac:dyDescent="0.25">
      <c r="A1217">
        <v>774103872</v>
      </c>
      <c r="B1217" t="s">
        <v>5717</v>
      </c>
      <c r="C1217" t="s">
        <v>4465</v>
      </c>
      <c r="D1217">
        <v>13</v>
      </c>
      <c r="E1217" t="s">
        <v>4445</v>
      </c>
      <c r="F1217" t="s">
        <v>5718</v>
      </c>
      <c r="G1217" t="s">
        <v>5568</v>
      </c>
      <c r="H1217" t="s">
        <v>4915</v>
      </c>
      <c r="I1217" s="79" t="str">
        <f>IF(Tabla13[[#This Row],[RUT]]=774097899,"DIST",_xlfn.XLOOKUP(Tabla13[[#This Row],[VENDEDOR]],dimensiones!$C$21:$C$28,dimensiones!$D$21:$D$28,""))</f>
        <v>ATEL</v>
      </c>
      <c r="J1217" s="125" t="str">
        <f>_xlfn.XLOOKUP(Tabla13[[#This Row],[REGION]],dimensiones!C:C,dimensiones!D:D,"")</f>
        <v>Región de Metropolitana de Santiago</v>
      </c>
    </row>
    <row r="1218" spans="1:10" ht="14.25" customHeight="1" x14ac:dyDescent="0.25">
      <c r="A1218">
        <v>774104089</v>
      </c>
      <c r="B1218" t="s">
        <v>3751</v>
      </c>
      <c r="C1218" t="s">
        <v>4551</v>
      </c>
      <c r="D1218">
        <v>13</v>
      </c>
      <c r="E1218" t="s">
        <v>4445</v>
      </c>
      <c r="F1218" t="s">
        <v>3750</v>
      </c>
      <c r="G1218" t="s">
        <v>5570</v>
      </c>
      <c r="H1218" t="s">
        <v>4915</v>
      </c>
      <c r="I1218" s="79" t="str">
        <f>IF(Tabla13[[#This Row],[RUT]]=774097899,"DIST",_xlfn.XLOOKUP(Tabla13[[#This Row],[VENDEDOR]],dimensiones!$C$21:$C$28,dimensiones!$D$21:$D$28,""))</f>
        <v>ATEL</v>
      </c>
      <c r="J1218" s="125" t="str">
        <f>_xlfn.XLOOKUP(Tabla13[[#This Row],[REGION]],dimensiones!C:C,dimensiones!D:D,"")</f>
        <v>Región de Metropolitana de Santiago</v>
      </c>
    </row>
    <row r="1219" spans="1:10" ht="14.25" customHeight="1" x14ac:dyDescent="0.25">
      <c r="A1219">
        <v>774104216</v>
      </c>
      <c r="B1219" t="s">
        <v>549</v>
      </c>
      <c r="C1219" t="s">
        <v>4448</v>
      </c>
      <c r="D1219">
        <v>13</v>
      </c>
      <c r="E1219" t="s">
        <v>4445</v>
      </c>
      <c r="F1219" t="s">
        <v>2992</v>
      </c>
      <c r="G1219" t="s">
        <v>5570</v>
      </c>
      <c r="H1219" t="s">
        <v>4915</v>
      </c>
      <c r="I1219" s="79" t="str">
        <f>IF(Tabla13[[#This Row],[RUT]]=774097899,"DIST",_xlfn.XLOOKUP(Tabla13[[#This Row],[VENDEDOR]],dimensiones!$C$21:$C$28,dimensiones!$D$21:$D$28,""))</f>
        <v>ATEL</v>
      </c>
      <c r="J1219" s="125" t="str">
        <f>_xlfn.XLOOKUP(Tabla13[[#This Row],[REGION]],dimensiones!C:C,dimensiones!D:D,"")</f>
        <v>Región de Metropolitana de Santiago</v>
      </c>
    </row>
    <row r="1220" spans="1:10" ht="14.25" customHeight="1" x14ac:dyDescent="0.25">
      <c r="A1220">
        <v>774175083</v>
      </c>
      <c r="B1220" t="s">
        <v>857</v>
      </c>
      <c r="C1220" t="s">
        <v>4171</v>
      </c>
      <c r="D1220">
        <v>4</v>
      </c>
      <c r="E1220" t="s">
        <v>4445</v>
      </c>
      <c r="F1220" t="s">
        <v>2007</v>
      </c>
      <c r="G1220" t="s">
        <v>5570</v>
      </c>
      <c r="H1220" t="s">
        <v>4915</v>
      </c>
      <c r="I1220" s="79" t="str">
        <f>IF(Tabla13[[#This Row],[RUT]]=774097899,"DIST",_xlfn.XLOOKUP(Tabla13[[#This Row],[VENDEDOR]],dimensiones!$C$21:$C$28,dimensiones!$D$21:$D$28,""))</f>
        <v>ATEL</v>
      </c>
      <c r="J1220" s="125" t="str">
        <f>_xlfn.XLOOKUP(Tabla13[[#This Row],[REGION]],dimensiones!C:C,dimensiones!D:D,"")</f>
        <v>Región de Coquimbo</v>
      </c>
    </row>
    <row r="1221" spans="1:10" ht="14.25" customHeight="1" x14ac:dyDescent="0.25">
      <c r="A1221">
        <v>774193332</v>
      </c>
      <c r="B1221" t="s">
        <v>1001</v>
      </c>
      <c r="C1221" t="s">
        <v>4185</v>
      </c>
      <c r="D1221">
        <v>12</v>
      </c>
      <c r="E1221" t="s">
        <v>4445</v>
      </c>
      <c r="F1221" t="s">
        <v>2094</v>
      </c>
      <c r="G1221" t="s">
        <v>5568</v>
      </c>
      <c r="H1221" t="s">
        <v>4915</v>
      </c>
      <c r="I1221" s="79" t="str">
        <f>IF(Tabla13[[#This Row],[RUT]]=774097899,"DIST",_xlfn.XLOOKUP(Tabla13[[#This Row],[VENDEDOR]],dimensiones!$C$21:$C$28,dimensiones!$D$21:$D$28,""))</f>
        <v>ATEL</v>
      </c>
      <c r="J1221" s="125" t="str">
        <f>_xlfn.XLOOKUP(Tabla13[[#This Row],[REGION]],dimensiones!C:C,dimensiones!D:D,"")</f>
        <v>Región de Magallanes y de la Antártica Chilena</v>
      </c>
    </row>
    <row r="1222" spans="1:10" ht="14.25" customHeight="1" x14ac:dyDescent="0.25">
      <c r="A1222">
        <v>774277315</v>
      </c>
      <c r="B1222" t="s">
        <v>5447</v>
      </c>
      <c r="C1222" t="s">
        <v>4563</v>
      </c>
      <c r="D1222">
        <v>5</v>
      </c>
      <c r="E1222" t="s">
        <v>4445</v>
      </c>
      <c r="F1222" t="s">
        <v>5448</v>
      </c>
      <c r="G1222" t="s">
        <v>5570</v>
      </c>
      <c r="H1222" t="s">
        <v>4915</v>
      </c>
      <c r="I1222" s="79" t="str">
        <f>IF(Tabla13[[#This Row],[RUT]]=774097899,"DIST",_xlfn.XLOOKUP(Tabla13[[#This Row],[VENDEDOR]],dimensiones!$C$21:$C$28,dimensiones!$D$21:$D$28,""))</f>
        <v>ATEL</v>
      </c>
      <c r="J1222" s="125" t="str">
        <f>_xlfn.XLOOKUP(Tabla13[[#This Row],[REGION]],dimensiones!C:C,dimensiones!D:D,"")</f>
        <v>Región de Valparaíso</v>
      </c>
    </row>
    <row r="1223" spans="1:10" ht="14.25" customHeight="1" x14ac:dyDescent="0.25">
      <c r="A1223">
        <v>774284893</v>
      </c>
      <c r="B1223" t="s">
        <v>4429</v>
      </c>
      <c r="C1223" t="s">
        <v>4460</v>
      </c>
      <c r="D1223">
        <v>8</v>
      </c>
      <c r="E1223" t="s">
        <v>4445</v>
      </c>
      <c r="F1223" t="s">
        <v>4586</v>
      </c>
      <c r="G1223" t="s">
        <v>5568</v>
      </c>
      <c r="H1223" t="s">
        <v>4915</v>
      </c>
      <c r="I1223" s="79" t="str">
        <f>IF(Tabla13[[#This Row],[RUT]]=774097899,"DIST",_xlfn.XLOOKUP(Tabla13[[#This Row],[VENDEDOR]],dimensiones!$C$21:$C$28,dimensiones!$D$21:$D$28,""))</f>
        <v>ATEL</v>
      </c>
      <c r="J1223" s="125" t="str">
        <f>_xlfn.XLOOKUP(Tabla13[[#This Row],[REGION]],dimensiones!C:C,dimensiones!D:D,"")</f>
        <v>Región de Biobío</v>
      </c>
    </row>
    <row r="1224" spans="1:10" ht="14.25" customHeight="1" x14ac:dyDescent="0.25">
      <c r="A1224">
        <v>774317910</v>
      </c>
      <c r="B1224" t="s">
        <v>3000</v>
      </c>
      <c r="C1224" t="s">
        <v>4183</v>
      </c>
      <c r="D1224">
        <v>8</v>
      </c>
      <c r="E1224" t="s">
        <v>4445</v>
      </c>
      <c r="F1224" t="s">
        <v>2999</v>
      </c>
      <c r="G1224" t="s">
        <v>5569</v>
      </c>
      <c r="H1224" t="s">
        <v>4915</v>
      </c>
      <c r="I1224" s="79" t="str">
        <f>IF(Tabla13[[#This Row],[RUT]]=774097899,"DIST",_xlfn.XLOOKUP(Tabla13[[#This Row],[VENDEDOR]],dimensiones!$C$21:$C$28,dimensiones!$D$21:$D$28,""))</f>
        <v>ATEL</v>
      </c>
      <c r="J1224" s="125" t="str">
        <f>_xlfn.XLOOKUP(Tabla13[[#This Row],[REGION]],dimensiones!C:C,dimensiones!D:D,"")</f>
        <v>Región de Biobío</v>
      </c>
    </row>
    <row r="1225" spans="1:10" ht="14.25" customHeight="1" x14ac:dyDescent="0.25">
      <c r="A1225">
        <v>774328483</v>
      </c>
      <c r="B1225" t="s">
        <v>858</v>
      </c>
      <c r="C1225" t="s">
        <v>4313</v>
      </c>
      <c r="D1225">
        <v>5</v>
      </c>
      <c r="E1225" t="s">
        <v>4445</v>
      </c>
      <c r="F1225" t="s">
        <v>2390</v>
      </c>
      <c r="G1225" t="s">
        <v>5570</v>
      </c>
      <c r="H1225" t="s">
        <v>4915</v>
      </c>
      <c r="I1225" s="79" t="str">
        <f>IF(Tabla13[[#This Row],[RUT]]=774097899,"DIST",_xlfn.XLOOKUP(Tabla13[[#This Row],[VENDEDOR]],dimensiones!$C$21:$C$28,dimensiones!$D$21:$D$28,""))</f>
        <v>ATEL</v>
      </c>
      <c r="J1225" s="125" t="str">
        <f>_xlfn.XLOOKUP(Tabla13[[#This Row],[REGION]],dimensiones!C:C,dimensiones!D:D,"")</f>
        <v>Región de Valparaíso</v>
      </c>
    </row>
    <row r="1226" spans="1:10" ht="14.25" customHeight="1" x14ac:dyDescent="0.25">
      <c r="A1226" t="s">
        <v>946</v>
      </c>
      <c r="B1226" t="s">
        <v>947</v>
      </c>
      <c r="C1226" t="s">
        <v>4287</v>
      </c>
      <c r="D1226">
        <v>13</v>
      </c>
      <c r="E1226" t="s">
        <v>4445</v>
      </c>
      <c r="F1226" t="s">
        <v>1740</v>
      </c>
      <c r="G1226" t="s">
        <v>5568</v>
      </c>
      <c r="H1226" t="s">
        <v>4915</v>
      </c>
      <c r="I1226" s="79" t="str">
        <f>IF(Tabla13[[#This Row],[RUT]]=774097899,"DIST",_xlfn.XLOOKUP(Tabla13[[#This Row],[VENDEDOR]],dimensiones!$C$21:$C$28,dimensiones!$D$21:$D$28,""))</f>
        <v>ATEL</v>
      </c>
      <c r="J1226" s="125" t="str">
        <f>_xlfn.XLOOKUP(Tabla13[[#This Row],[REGION]],dimensiones!C:C,dimensiones!D:D,"")</f>
        <v>Región de Metropolitana de Santiago</v>
      </c>
    </row>
    <row r="1227" spans="1:10" ht="14.25" customHeight="1" x14ac:dyDescent="0.25">
      <c r="A1227">
        <v>774393307</v>
      </c>
      <c r="B1227" t="s">
        <v>990</v>
      </c>
      <c r="C1227" t="s">
        <v>4460</v>
      </c>
      <c r="D1227">
        <v>8</v>
      </c>
      <c r="E1227" t="s">
        <v>4445</v>
      </c>
      <c r="F1227" t="s">
        <v>3006</v>
      </c>
      <c r="G1227" t="s">
        <v>5568</v>
      </c>
      <c r="H1227" t="s">
        <v>4915</v>
      </c>
      <c r="I1227" s="79" t="str">
        <f>IF(Tabla13[[#This Row],[RUT]]=774097899,"DIST",_xlfn.XLOOKUP(Tabla13[[#This Row],[VENDEDOR]],dimensiones!$C$21:$C$28,dimensiones!$D$21:$D$28,""))</f>
        <v>ATEL</v>
      </c>
      <c r="J1227" s="125" t="str">
        <f>_xlfn.XLOOKUP(Tabla13[[#This Row],[REGION]],dimensiones!C:C,dimensiones!D:D,"")</f>
        <v>Región de Biobío</v>
      </c>
    </row>
    <row r="1228" spans="1:10" ht="14.25" customHeight="1" x14ac:dyDescent="0.25">
      <c r="A1228">
        <v>774396861</v>
      </c>
      <c r="B1228" t="s">
        <v>3009</v>
      </c>
      <c r="C1228" t="s">
        <v>4168</v>
      </c>
      <c r="D1228">
        <v>13</v>
      </c>
      <c r="E1228" t="s">
        <v>4445</v>
      </c>
      <c r="F1228" t="s">
        <v>3008</v>
      </c>
      <c r="G1228" t="s">
        <v>5569</v>
      </c>
      <c r="H1228" t="s">
        <v>4915</v>
      </c>
      <c r="I1228" s="79" t="str">
        <f>IF(Tabla13[[#This Row],[RUT]]=774097899,"DIST",_xlfn.XLOOKUP(Tabla13[[#This Row],[VENDEDOR]],dimensiones!$C$21:$C$28,dimensiones!$D$21:$D$28,""))</f>
        <v>ATEL</v>
      </c>
      <c r="J1228" s="125" t="str">
        <f>_xlfn.XLOOKUP(Tabla13[[#This Row],[REGION]],dimensiones!C:C,dimensiones!D:D,"")</f>
        <v>Región de Metropolitana de Santiago</v>
      </c>
    </row>
    <row r="1229" spans="1:10" ht="14.25" customHeight="1" x14ac:dyDescent="0.25">
      <c r="A1229">
        <v>774432280</v>
      </c>
      <c r="B1229" t="s">
        <v>1013</v>
      </c>
      <c r="C1229" t="s">
        <v>4280</v>
      </c>
      <c r="D1229">
        <v>14</v>
      </c>
      <c r="E1229" t="s">
        <v>4445</v>
      </c>
      <c r="F1229" t="s">
        <v>3317</v>
      </c>
      <c r="G1229" t="s">
        <v>5570</v>
      </c>
      <c r="H1229" t="s">
        <v>4915</v>
      </c>
      <c r="I1229" s="79" t="str">
        <f>IF(Tabla13[[#This Row],[RUT]]=774097899,"DIST",_xlfn.XLOOKUP(Tabla13[[#This Row],[VENDEDOR]],dimensiones!$C$21:$C$28,dimensiones!$D$21:$D$28,""))</f>
        <v>ATEL</v>
      </c>
      <c r="J1229" s="125" t="str">
        <f>_xlfn.XLOOKUP(Tabla13[[#This Row],[REGION]],dimensiones!C:C,dimensiones!D:D,"")</f>
        <v>Región de Los Ríos</v>
      </c>
    </row>
    <row r="1230" spans="1:10" ht="14.25" customHeight="1" x14ac:dyDescent="0.25">
      <c r="A1230">
        <v>774448799</v>
      </c>
      <c r="B1230" t="s">
        <v>551</v>
      </c>
      <c r="C1230" t="s">
        <v>4458</v>
      </c>
      <c r="D1230">
        <v>13</v>
      </c>
      <c r="E1230" t="s">
        <v>4445</v>
      </c>
      <c r="F1230" t="s">
        <v>3014</v>
      </c>
      <c r="G1230" t="s">
        <v>5568</v>
      </c>
      <c r="H1230" t="s">
        <v>4915</v>
      </c>
      <c r="I1230" s="79" t="str">
        <f>IF(Tabla13[[#This Row],[RUT]]=774097899,"DIST",_xlfn.XLOOKUP(Tabla13[[#This Row],[VENDEDOR]],dimensiones!$C$21:$C$28,dimensiones!$D$21:$D$28,""))</f>
        <v>ATEL</v>
      </c>
      <c r="J1230" s="125" t="str">
        <f>_xlfn.XLOOKUP(Tabla13[[#This Row],[REGION]],dimensiones!C:C,dimensiones!D:D,"")</f>
        <v>Región de Metropolitana de Santiago</v>
      </c>
    </row>
    <row r="1231" spans="1:10" ht="14.25" customHeight="1" x14ac:dyDescent="0.25">
      <c r="A1231">
        <v>774535047</v>
      </c>
      <c r="B1231" t="s">
        <v>5723</v>
      </c>
      <c r="C1231" t="s">
        <v>4391</v>
      </c>
      <c r="D1231">
        <v>13</v>
      </c>
      <c r="E1231" t="s">
        <v>4445</v>
      </c>
      <c r="F1231" t="s">
        <v>5724</v>
      </c>
      <c r="G1231" t="s">
        <v>5570</v>
      </c>
      <c r="H1231" t="s">
        <v>4915</v>
      </c>
      <c r="I1231" s="79" t="str">
        <f>IF(Tabla13[[#This Row],[RUT]]=774097899,"DIST",_xlfn.XLOOKUP(Tabla13[[#This Row],[VENDEDOR]],dimensiones!$C$21:$C$28,dimensiones!$D$21:$D$28,""))</f>
        <v>ATEL</v>
      </c>
      <c r="J1231" s="125" t="str">
        <f>_xlfn.XLOOKUP(Tabla13[[#This Row],[REGION]],dimensiones!C:C,dimensiones!D:D,"")</f>
        <v>Región de Metropolitana de Santiago</v>
      </c>
    </row>
    <row r="1232" spans="1:10" ht="14.25" customHeight="1" x14ac:dyDescent="0.25">
      <c r="A1232">
        <v>774696415</v>
      </c>
      <c r="B1232" t="s">
        <v>5609</v>
      </c>
      <c r="C1232" t="s">
        <v>4411</v>
      </c>
      <c r="D1232">
        <v>13</v>
      </c>
      <c r="E1232" t="s">
        <v>4445</v>
      </c>
      <c r="F1232" t="s">
        <v>5610</v>
      </c>
      <c r="G1232" t="s">
        <v>5568</v>
      </c>
      <c r="H1232" t="s">
        <v>4915</v>
      </c>
      <c r="I1232" s="79" t="str">
        <f>IF(Tabla13[[#This Row],[RUT]]=774097899,"DIST",_xlfn.XLOOKUP(Tabla13[[#This Row],[VENDEDOR]],dimensiones!$C$21:$C$28,dimensiones!$D$21:$D$28,""))</f>
        <v>ATEL</v>
      </c>
      <c r="J1232" s="125" t="str">
        <f>_xlfn.XLOOKUP(Tabla13[[#This Row],[REGION]],dimensiones!C:C,dimensiones!D:D,"")</f>
        <v>Región de Metropolitana de Santiago</v>
      </c>
    </row>
    <row r="1233" spans="1:10" ht="14.25" customHeight="1" x14ac:dyDescent="0.25">
      <c r="A1233" t="s">
        <v>4774</v>
      </c>
      <c r="B1233" t="s">
        <v>4588</v>
      </c>
      <c r="C1233" t="s">
        <v>4561</v>
      </c>
      <c r="D1233">
        <v>13</v>
      </c>
      <c r="E1233" t="s">
        <v>4445</v>
      </c>
      <c r="F1233" t="s">
        <v>4587</v>
      </c>
      <c r="G1233" t="s">
        <v>5568</v>
      </c>
      <c r="H1233" t="s">
        <v>4915</v>
      </c>
      <c r="I1233" s="79" t="str">
        <f>IF(Tabla13[[#This Row],[RUT]]=774097899,"DIST",_xlfn.XLOOKUP(Tabla13[[#This Row],[VENDEDOR]],dimensiones!$C$21:$C$28,dimensiones!$D$21:$D$28,""))</f>
        <v>ATEL</v>
      </c>
      <c r="J1233" s="125" t="str">
        <f>_xlfn.XLOOKUP(Tabla13[[#This Row],[REGION]],dimensiones!C:C,dimensiones!D:D,"")</f>
        <v>Región de Metropolitana de Santiago</v>
      </c>
    </row>
    <row r="1234" spans="1:10" ht="14.25" customHeight="1" x14ac:dyDescent="0.25">
      <c r="A1234">
        <v>774831975</v>
      </c>
      <c r="B1234" t="s">
        <v>552</v>
      </c>
      <c r="C1234" t="s">
        <v>4465</v>
      </c>
      <c r="D1234">
        <v>13</v>
      </c>
      <c r="E1234" t="s">
        <v>4445</v>
      </c>
      <c r="F1234" t="s">
        <v>3016</v>
      </c>
      <c r="G1234" t="s">
        <v>5570</v>
      </c>
      <c r="H1234" t="s">
        <v>4915</v>
      </c>
      <c r="I1234" s="79" t="str">
        <f>IF(Tabla13[[#This Row],[RUT]]=774097899,"DIST",_xlfn.XLOOKUP(Tabla13[[#This Row],[VENDEDOR]],dimensiones!$C$21:$C$28,dimensiones!$D$21:$D$28,""))</f>
        <v>ATEL</v>
      </c>
      <c r="J1234" s="125" t="str">
        <f>_xlfn.XLOOKUP(Tabla13[[#This Row],[REGION]],dimensiones!C:C,dimensiones!D:D,"")</f>
        <v>Región de Metropolitana de Santiago</v>
      </c>
    </row>
    <row r="1235" spans="1:10" ht="14.25" customHeight="1" x14ac:dyDescent="0.25">
      <c r="A1235">
        <v>774884955</v>
      </c>
      <c r="B1235" t="s">
        <v>5625</v>
      </c>
      <c r="C1235" t="s">
        <v>4391</v>
      </c>
      <c r="D1235">
        <v>13</v>
      </c>
      <c r="E1235" t="s">
        <v>4445</v>
      </c>
      <c r="F1235" t="s">
        <v>5626</v>
      </c>
      <c r="G1235" t="s">
        <v>5568</v>
      </c>
      <c r="H1235" t="s">
        <v>4915</v>
      </c>
      <c r="I1235" s="79" t="str">
        <f>IF(Tabla13[[#This Row],[RUT]]=774097899,"DIST",_xlfn.XLOOKUP(Tabla13[[#This Row],[VENDEDOR]],dimensiones!$C$21:$C$28,dimensiones!$D$21:$D$28,""))</f>
        <v>ATEL</v>
      </c>
      <c r="J1235" s="125" t="str">
        <f>_xlfn.XLOOKUP(Tabla13[[#This Row],[REGION]],dimensiones!C:C,dimensiones!D:D,"")</f>
        <v>Región de Metropolitana de Santiago</v>
      </c>
    </row>
    <row r="1236" spans="1:10" ht="14.25" customHeight="1" x14ac:dyDescent="0.25">
      <c r="A1236">
        <v>774889191</v>
      </c>
      <c r="B1236" t="s">
        <v>859</v>
      </c>
      <c r="C1236" t="s">
        <v>4168</v>
      </c>
      <c r="D1236">
        <v>13</v>
      </c>
      <c r="E1236" t="s">
        <v>4445</v>
      </c>
      <c r="F1236" t="s">
        <v>3018</v>
      </c>
      <c r="G1236" t="s">
        <v>5570</v>
      </c>
      <c r="H1236" t="s">
        <v>4915</v>
      </c>
      <c r="I1236" s="79" t="str">
        <f>IF(Tabla13[[#This Row],[RUT]]=774097899,"DIST",_xlfn.XLOOKUP(Tabla13[[#This Row],[VENDEDOR]],dimensiones!$C$21:$C$28,dimensiones!$D$21:$D$28,""))</f>
        <v>ATEL</v>
      </c>
      <c r="J1236" s="125" t="str">
        <f>_xlfn.XLOOKUP(Tabla13[[#This Row],[REGION]],dimensiones!C:C,dimensiones!D:D,"")</f>
        <v>Región de Metropolitana de Santiago</v>
      </c>
    </row>
    <row r="1237" spans="1:10" ht="14.25" customHeight="1" x14ac:dyDescent="0.25">
      <c r="A1237" t="s">
        <v>4762</v>
      </c>
      <c r="B1237" t="s">
        <v>3021</v>
      </c>
      <c r="C1237" t="s">
        <v>4168</v>
      </c>
      <c r="D1237">
        <v>13</v>
      </c>
      <c r="E1237" t="s">
        <v>4445</v>
      </c>
      <c r="F1237" t="s">
        <v>3020</v>
      </c>
      <c r="G1237" t="s">
        <v>5570</v>
      </c>
      <c r="H1237" t="s">
        <v>4915</v>
      </c>
      <c r="I1237" s="79" t="str">
        <f>IF(Tabla13[[#This Row],[RUT]]=774097899,"DIST",_xlfn.XLOOKUP(Tabla13[[#This Row],[VENDEDOR]],dimensiones!$C$21:$C$28,dimensiones!$D$21:$D$28,""))</f>
        <v>ATEL</v>
      </c>
      <c r="J1237" s="125" t="str">
        <f>_xlfn.XLOOKUP(Tabla13[[#This Row],[REGION]],dimensiones!C:C,dimensiones!D:D,"")</f>
        <v>Región de Metropolitana de Santiago</v>
      </c>
    </row>
    <row r="1238" spans="1:10" ht="14.25" customHeight="1" x14ac:dyDescent="0.25">
      <c r="A1238">
        <v>774904492</v>
      </c>
      <c r="B1238" t="s">
        <v>2693</v>
      </c>
      <c r="C1238" t="s">
        <v>4391</v>
      </c>
      <c r="D1238">
        <v>13</v>
      </c>
      <c r="E1238" t="s">
        <v>4445</v>
      </c>
      <c r="F1238" t="s">
        <v>2692</v>
      </c>
      <c r="G1238" t="s">
        <v>5568</v>
      </c>
      <c r="H1238" t="s">
        <v>4915</v>
      </c>
      <c r="I1238" s="79" t="str">
        <f>IF(Tabla13[[#This Row],[RUT]]=774097899,"DIST",_xlfn.XLOOKUP(Tabla13[[#This Row],[VENDEDOR]],dimensiones!$C$21:$C$28,dimensiones!$D$21:$D$28,""))</f>
        <v>ATEL</v>
      </c>
      <c r="J1238" s="125" t="str">
        <f>_xlfn.XLOOKUP(Tabla13[[#This Row],[REGION]],dimensiones!C:C,dimensiones!D:D,"")</f>
        <v>Región de Metropolitana de Santiago</v>
      </c>
    </row>
    <row r="1239" spans="1:10" ht="14.25" customHeight="1" x14ac:dyDescent="0.25">
      <c r="A1239">
        <v>775003081</v>
      </c>
      <c r="B1239" t="s">
        <v>5647</v>
      </c>
      <c r="C1239" t="s">
        <v>4292</v>
      </c>
      <c r="D1239">
        <v>10</v>
      </c>
      <c r="E1239" t="s">
        <v>4445</v>
      </c>
      <c r="F1239" t="s">
        <v>5648</v>
      </c>
      <c r="G1239" t="s">
        <v>5568</v>
      </c>
      <c r="H1239" t="s">
        <v>4915</v>
      </c>
      <c r="I1239" s="79" t="str">
        <f>IF(Tabla13[[#This Row],[RUT]]=774097899,"DIST",_xlfn.XLOOKUP(Tabla13[[#This Row],[VENDEDOR]],dimensiones!$C$21:$C$28,dimensiones!$D$21:$D$28,""))</f>
        <v>ATEL</v>
      </c>
      <c r="J1239" s="125" t="str">
        <f>_xlfn.XLOOKUP(Tabla13[[#This Row],[REGION]],dimensiones!C:C,dimensiones!D:D,"")</f>
        <v>Región de Los Lagos</v>
      </c>
    </row>
    <row r="1240" spans="1:10" ht="14.25" customHeight="1" x14ac:dyDescent="0.25">
      <c r="A1240">
        <v>775013796</v>
      </c>
      <c r="B1240" t="s">
        <v>553</v>
      </c>
      <c r="C1240" t="s">
        <v>4250</v>
      </c>
      <c r="D1240">
        <v>5</v>
      </c>
      <c r="E1240" t="s">
        <v>4445</v>
      </c>
      <c r="F1240" t="s">
        <v>3023</v>
      </c>
      <c r="G1240" t="s">
        <v>5570</v>
      </c>
      <c r="H1240" t="s">
        <v>4915</v>
      </c>
      <c r="I1240" s="79" t="str">
        <f>IF(Tabla13[[#This Row],[RUT]]=774097899,"DIST",_xlfn.XLOOKUP(Tabla13[[#This Row],[VENDEDOR]],dimensiones!$C$21:$C$28,dimensiones!$D$21:$D$28,""))</f>
        <v>ATEL</v>
      </c>
      <c r="J1240" s="125" t="str">
        <f>_xlfn.XLOOKUP(Tabla13[[#This Row],[REGION]],dimensiones!C:C,dimensiones!D:D,"")</f>
        <v>Región de Valparaíso</v>
      </c>
    </row>
    <row r="1241" spans="1:10" ht="14.25" customHeight="1" x14ac:dyDescent="0.25">
      <c r="A1241">
        <v>775046813</v>
      </c>
      <c r="B1241" t="s">
        <v>554</v>
      </c>
      <c r="C1241" t="s">
        <v>4168</v>
      </c>
      <c r="D1241">
        <v>13</v>
      </c>
      <c r="E1241" t="s">
        <v>4445</v>
      </c>
      <c r="F1241" t="s">
        <v>3025</v>
      </c>
      <c r="G1241" t="s">
        <v>5568</v>
      </c>
      <c r="H1241" t="s">
        <v>4915</v>
      </c>
      <c r="I1241" s="79" t="str">
        <f>IF(Tabla13[[#This Row],[RUT]]=774097899,"DIST",_xlfn.XLOOKUP(Tabla13[[#This Row],[VENDEDOR]],dimensiones!$C$21:$C$28,dimensiones!$D$21:$D$28,""))</f>
        <v>ATEL</v>
      </c>
      <c r="J1241" s="125" t="str">
        <f>_xlfn.XLOOKUP(Tabla13[[#This Row],[REGION]],dimensiones!C:C,dimensiones!D:D,"")</f>
        <v>Región de Metropolitana de Santiago</v>
      </c>
    </row>
    <row r="1242" spans="1:10" ht="14.25" customHeight="1" x14ac:dyDescent="0.25">
      <c r="A1242">
        <v>775139897</v>
      </c>
      <c r="B1242" t="s">
        <v>3689</v>
      </c>
      <c r="C1242" t="s">
        <v>4175</v>
      </c>
      <c r="D1242">
        <v>5</v>
      </c>
      <c r="E1242" t="s">
        <v>4445</v>
      </c>
      <c r="F1242" t="s">
        <v>3688</v>
      </c>
      <c r="G1242" t="s">
        <v>5570</v>
      </c>
      <c r="H1242" t="s">
        <v>4915</v>
      </c>
      <c r="I1242" s="79" t="str">
        <f>IF(Tabla13[[#This Row],[RUT]]=774097899,"DIST",_xlfn.XLOOKUP(Tabla13[[#This Row],[VENDEDOR]],dimensiones!$C$21:$C$28,dimensiones!$D$21:$D$28,""))</f>
        <v>ATEL</v>
      </c>
      <c r="J1242" s="125" t="str">
        <f>_xlfn.XLOOKUP(Tabla13[[#This Row],[REGION]],dimensiones!C:C,dimensiones!D:D,"")</f>
        <v>Región de Valparaíso</v>
      </c>
    </row>
    <row r="1243" spans="1:10" ht="14.25" customHeight="1" x14ac:dyDescent="0.25">
      <c r="A1243" t="s">
        <v>733</v>
      </c>
      <c r="B1243" t="s">
        <v>734</v>
      </c>
      <c r="C1243" t="s">
        <v>4168</v>
      </c>
      <c r="D1243">
        <v>13</v>
      </c>
      <c r="E1243" t="s">
        <v>4445</v>
      </c>
      <c r="F1243" t="s">
        <v>3030</v>
      </c>
      <c r="G1243" t="s">
        <v>5570</v>
      </c>
      <c r="H1243" t="s">
        <v>4915</v>
      </c>
      <c r="I1243" s="79" t="str">
        <f>IF(Tabla13[[#This Row],[RUT]]=774097899,"DIST",_xlfn.XLOOKUP(Tabla13[[#This Row],[VENDEDOR]],dimensiones!$C$21:$C$28,dimensiones!$D$21:$D$28,""))</f>
        <v>ATEL</v>
      </c>
      <c r="J1243" s="125" t="str">
        <f>_xlfn.XLOOKUP(Tabla13[[#This Row],[REGION]],dimensiones!C:C,dimensiones!D:D,"")</f>
        <v>Región de Metropolitana de Santiago</v>
      </c>
    </row>
    <row r="1244" spans="1:10" ht="14.25" customHeight="1" x14ac:dyDescent="0.25">
      <c r="A1244">
        <v>775190604</v>
      </c>
      <c r="B1244" t="s">
        <v>555</v>
      </c>
      <c r="C1244" t="s">
        <v>4465</v>
      </c>
      <c r="D1244">
        <v>13</v>
      </c>
      <c r="E1244" t="s">
        <v>4445</v>
      </c>
      <c r="F1244" t="s">
        <v>3979</v>
      </c>
      <c r="G1244" t="s">
        <v>5570</v>
      </c>
      <c r="H1244" t="s">
        <v>4915</v>
      </c>
      <c r="I1244" s="79" t="str">
        <f>IF(Tabla13[[#This Row],[RUT]]=774097899,"DIST",_xlfn.XLOOKUP(Tabla13[[#This Row],[VENDEDOR]],dimensiones!$C$21:$C$28,dimensiones!$D$21:$D$28,""))</f>
        <v>ATEL</v>
      </c>
      <c r="J1244" s="125" t="str">
        <f>_xlfn.XLOOKUP(Tabla13[[#This Row],[REGION]],dimensiones!C:C,dimensiones!D:D,"")</f>
        <v>Región de Metropolitana de Santiago</v>
      </c>
    </row>
    <row r="1245" spans="1:10" ht="14.25" customHeight="1" x14ac:dyDescent="0.25">
      <c r="A1245">
        <v>775202769</v>
      </c>
      <c r="B1245" t="s">
        <v>945</v>
      </c>
      <c r="C1245" t="s">
        <v>4391</v>
      </c>
      <c r="D1245">
        <v>13</v>
      </c>
      <c r="E1245" t="s">
        <v>4445</v>
      </c>
      <c r="F1245" t="s">
        <v>3034</v>
      </c>
      <c r="G1245" t="s">
        <v>5568</v>
      </c>
      <c r="H1245" t="s">
        <v>4915</v>
      </c>
      <c r="I1245" s="79" t="str">
        <f>IF(Tabla13[[#This Row],[RUT]]=774097899,"DIST",_xlfn.XLOOKUP(Tabla13[[#This Row],[VENDEDOR]],dimensiones!$C$21:$C$28,dimensiones!$D$21:$D$28,""))</f>
        <v>ATEL</v>
      </c>
      <c r="J1245" s="125" t="str">
        <f>_xlfn.XLOOKUP(Tabla13[[#This Row],[REGION]],dimensiones!C:C,dimensiones!D:D,"")</f>
        <v>Región de Metropolitana de Santiago</v>
      </c>
    </row>
    <row r="1246" spans="1:10" ht="14.25" customHeight="1" x14ac:dyDescent="0.25">
      <c r="A1246">
        <v>775208740</v>
      </c>
      <c r="B1246" t="s">
        <v>3965</v>
      </c>
      <c r="C1246" t="s">
        <v>4552</v>
      </c>
      <c r="D1246">
        <v>13</v>
      </c>
      <c r="E1246" t="s">
        <v>4445</v>
      </c>
      <c r="F1246" t="s">
        <v>3964</v>
      </c>
      <c r="G1246" t="s">
        <v>5568</v>
      </c>
      <c r="H1246" t="s">
        <v>4915</v>
      </c>
      <c r="I1246" s="79" t="str">
        <f>IF(Tabla13[[#This Row],[RUT]]=774097899,"DIST",_xlfn.XLOOKUP(Tabla13[[#This Row],[VENDEDOR]],dimensiones!$C$21:$C$28,dimensiones!$D$21:$D$28,""))</f>
        <v>ATEL</v>
      </c>
      <c r="J1246" s="125" t="str">
        <f>_xlfn.XLOOKUP(Tabla13[[#This Row],[REGION]],dimensiones!C:C,dimensiones!D:D,"")</f>
        <v>Región de Metropolitana de Santiago</v>
      </c>
    </row>
    <row r="1247" spans="1:10" ht="14.25" customHeight="1" x14ac:dyDescent="0.25">
      <c r="A1247">
        <v>775284692</v>
      </c>
      <c r="B1247" t="s">
        <v>3756</v>
      </c>
      <c r="C1247" t="s">
        <v>4170</v>
      </c>
      <c r="D1247">
        <v>14</v>
      </c>
      <c r="E1247" t="s">
        <v>4445</v>
      </c>
      <c r="F1247" t="s">
        <v>3755</v>
      </c>
      <c r="G1247" t="s">
        <v>5570</v>
      </c>
      <c r="H1247" t="s">
        <v>4915</v>
      </c>
      <c r="I1247" s="79" t="str">
        <f>IF(Tabla13[[#This Row],[RUT]]=774097899,"DIST",_xlfn.XLOOKUP(Tabla13[[#This Row],[VENDEDOR]],dimensiones!$C$21:$C$28,dimensiones!$D$21:$D$28,""))</f>
        <v>ATEL</v>
      </c>
      <c r="J1247" s="125" t="str">
        <f>_xlfn.XLOOKUP(Tabla13[[#This Row],[REGION]],dimensiones!C:C,dimensiones!D:D,"")</f>
        <v>Región de Los Ríos</v>
      </c>
    </row>
    <row r="1248" spans="1:10" ht="14.25" customHeight="1" x14ac:dyDescent="0.25">
      <c r="A1248" t="s">
        <v>5465</v>
      </c>
      <c r="B1248" t="s">
        <v>5466</v>
      </c>
      <c r="C1248" t="s">
        <v>4391</v>
      </c>
      <c r="D1248">
        <v>13</v>
      </c>
      <c r="E1248" t="s">
        <v>4445</v>
      </c>
      <c r="F1248" t="s">
        <v>5467</v>
      </c>
      <c r="G1248" t="s">
        <v>5568</v>
      </c>
      <c r="H1248" t="s">
        <v>4915</v>
      </c>
      <c r="I1248" s="79" t="str">
        <f>IF(Tabla13[[#This Row],[RUT]]=774097899,"DIST",_xlfn.XLOOKUP(Tabla13[[#This Row],[VENDEDOR]],dimensiones!$C$21:$C$28,dimensiones!$D$21:$D$28,""))</f>
        <v>ATEL</v>
      </c>
      <c r="J1248" s="125" t="str">
        <f>_xlfn.XLOOKUP(Tabla13[[#This Row],[REGION]],dimensiones!C:C,dimensiones!D:D,"")</f>
        <v>Región de Metropolitana de Santiago</v>
      </c>
    </row>
    <row r="1249" spans="1:10" ht="14.25" customHeight="1" x14ac:dyDescent="0.25">
      <c r="A1249">
        <v>775337451</v>
      </c>
      <c r="B1249" t="s">
        <v>5554</v>
      </c>
      <c r="C1249" t="s">
        <v>4168</v>
      </c>
      <c r="D1249">
        <v>13</v>
      </c>
      <c r="E1249" t="s">
        <v>4445</v>
      </c>
      <c r="F1249" t="s">
        <v>5555</v>
      </c>
      <c r="G1249" t="s">
        <v>5568</v>
      </c>
      <c r="H1249" t="s">
        <v>4915</v>
      </c>
      <c r="I1249" s="79" t="str">
        <f>IF(Tabla13[[#This Row],[RUT]]=774097899,"DIST",_xlfn.XLOOKUP(Tabla13[[#This Row],[VENDEDOR]],dimensiones!$C$21:$C$28,dimensiones!$D$21:$D$28,""))</f>
        <v>ATEL</v>
      </c>
      <c r="J1249" s="125" t="str">
        <f>_xlfn.XLOOKUP(Tabla13[[#This Row],[REGION]],dimensiones!C:C,dimensiones!D:D,"")</f>
        <v>Región de Metropolitana de Santiago</v>
      </c>
    </row>
    <row r="1250" spans="1:10" ht="14.25" customHeight="1" x14ac:dyDescent="0.25">
      <c r="A1250">
        <v>775408936</v>
      </c>
      <c r="B1250" t="s">
        <v>5444</v>
      </c>
      <c r="C1250" t="s">
        <v>4182</v>
      </c>
      <c r="D1250">
        <v>2</v>
      </c>
      <c r="E1250" t="s">
        <v>4445</v>
      </c>
      <c r="F1250" t="s">
        <v>3039</v>
      </c>
      <c r="G1250" t="s">
        <v>5568</v>
      </c>
      <c r="H1250" t="s">
        <v>4915</v>
      </c>
      <c r="I1250" s="79" t="str">
        <f>IF(Tabla13[[#This Row],[RUT]]=774097899,"DIST",_xlfn.XLOOKUP(Tabla13[[#This Row],[VENDEDOR]],dimensiones!$C$21:$C$28,dimensiones!$D$21:$D$28,""))</f>
        <v>ATEL</v>
      </c>
      <c r="J1250" s="125" t="str">
        <f>_xlfn.XLOOKUP(Tabla13[[#This Row],[REGION]],dimensiones!C:C,dimensiones!D:D,"")</f>
        <v>Región de Antofagasta</v>
      </c>
    </row>
    <row r="1251" spans="1:10" ht="14.25" customHeight="1" x14ac:dyDescent="0.25">
      <c r="A1251">
        <v>775462167</v>
      </c>
      <c r="B1251" t="s">
        <v>3043</v>
      </c>
      <c r="C1251" t="s">
        <v>4391</v>
      </c>
      <c r="D1251">
        <v>13</v>
      </c>
      <c r="E1251" t="s">
        <v>4445</v>
      </c>
      <c r="F1251" t="s">
        <v>3042</v>
      </c>
      <c r="G1251" t="s">
        <v>5570</v>
      </c>
      <c r="H1251" t="s">
        <v>4915</v>
      </c>
      <c r="I1251" s="79" t="str">
        <f>IF(Tabla13[[#This Row],[RUT]]=774097899,"DIST",_xlfn.XLOOKUP(Tabla13[[#This Row],[VENDEDOR]],dimensiones!$C$21:$C$28,dimensiones!$D$21:$D$28,""))</f>
        <v>ATEL</v>
      </c>
      <c r="J1251" s="125" t="str">
        <f>_xlfn.XLOOKUP(Tabla13[[#This Row],[REGION]],dimensiones!C:C,dimensiones!D:D,"")</f>
        <v>Región de Metropolitana de Santiago</v>
      </c>
    </row>
    <row r="1252" spans="1:10" ht="14.25" customHeight="1" x14ac:dyDescent="0.25">
      <c r="A1252">
        <v>775462177</v>
      </c>
      <c r="B1252" t="s">
        <v>3046</v>
      </c>
      <c r="C1252" t="s">
        <v>4177</v>
      </c>
      <c r="D1252">
        <v>13</v>
      </c>
      <c r="E1252" t="s">
        <v>4445</v>
      </c>
      <c r="F1252" t="s">
        <v>3045</v>
      </c>
      <c r="G1252" t="s">
        <v>5570</v>
      </c>
      <c r="H1252" t="s">
        <v>4915</v>
      </c>
      <c r="I1252" s="79" t="str">
        <f>IF(Tabla13[[#This Row],[RUT]]=774097899,"DIST",_xlfn.XLOOKUP(Tabla13[[#This Row],[VENDEDOR]],dimensiones!$C$21:$C$28,dimensiones!$D$21:$D$28,""))</f>
        <v>ATEL</v>
      </c>
      <c r="J1252" s="125" t="str">
        <f>_xlfn.XLOOKUP(Tabla13[[#This Row],[REGION]],dimensiones!C:C,dimensiones!D:D,"")</f>
        <v>Región de Metropolitana de Santiago</v>
      </c>
    </row>
    <row r="1253" spans="1:10" ht="14.25" customHeight="1" x14ac:dyDescent="0.25">
      <c r="A1253">
        <v>775571128</v>
      </c>
      <c r="B1253" t="s">
        <v>4431</v>
      </c>
      <c r="C1253" t="s">
        <v>4411</v>
      </c>
      <c r="D1253">
        <v>13</v>
      </c>
      <c r="E1253" t="s">
        <v>4445</v>
      </c>
      <c r="F1253" t="s">
        <v>4589</v>
      </c>
      <c r="G1253" t="s">
        <v>5570</v>
      </c>
      <c r="H1253" t="s">
        <v>4915</v>
      </c>
      <c r="I1253" s="79" t="str">
        <f>IF(Tabla13[[#This Row],[RUT]]=774097899,"DIST",_xlfn.XLOOKUP(Tabla13[[#This Row],[VENDEDOR]],dimensiones!$C$21:$C$28,dimensiones!$D$21:$D$28,""))</f>
        <v>ATEL</v>
      </c>
      <c r="J1253" s="125" t="str">
        <f>_xlfn.XLOOKUP(Tabla13[[#This Row],[REGION]],dimensiones!C:C,dimensiones!D:D,"")</f>
        <v>Región de Metropolitana de Santiago</v>
      </c>
    </row>
    <row r="1254" spans="1:10" ht="14.25" customHeight="1" x14ac:dyDescent="0.25">
      <c r="A1254">
        <v>775583533</v>
      </c>
      <c r="B1254" t="s">
        <v>860</v>
      </c>
      <c r="C1254" t="s">
        <v>4391</v>
      </c>
      <c r="D1254">
        <v>13</v>
      </c>
      <c r="E1254" t="s">
        <v>4445</v>
      </c>
      <c r="F1254" t="s">
        <v>3048</v>
      </c>
      <c r="G1254" t="s">
        <v>5568</v>
      </c>
      <c r="H1254" t="s">
        <v>4915</v>
      </c>
      <c r="I1254" s="79" t="str">
        <f>IF(Tabla13[[#This Row],[RUT]]=774097899,"DIST",_xlfn.XLOOKUP(Tabla13[[#This Row],[VENDEDOR]],dimensiones!$C$21:$C$28,dimensiones!$D$21:$D$28,""))</f>
        <v>ATEL</v>
      </c>
      <c r="J1254" s="125" t="str">
        <f>_xlfn.XLOOKUP(Tabla13[[#This Row],[REGION]],dimensiones!C:C,dimensiones!D:D,"")</f>
        <v>Región de Metropolitana de Santiago</v>
      </c>
    </row>
    <row r="1255" spans="1:10" ht="14.25" customHeight="1" x14ac:dyDescent="0.25">
      <c r="A1255">
        <v>775614315</v>
      </c>
      <c r="B1255" t="s">
        <v>557</v>
      </c>
      <c r="C1255" t="s">
        <v>4463</v>
      </c>
      <c r="D1255">
        <v>2</v>
      </c>
      <c r="E1255" t="s">
        <v>4445</v>
      </c>
      <c r="F1255" t="s">
        <v>2380</v>
      </c>
      <c r="G1255" t="s">
        <v>5570</v>
      </c>
      <c r="H1255" t="s">
        <v>4915</v>
      </c>
      <c r="I1255" s="79" t="str">
        <f>IF(Tabla13[[#This Row],[RUT]]=774097899,"DIST",_xlfn.XLOOKUP(Tabla13[[#This Row],[VENDEDOR]],dimensiones!$C$21:$C$28,dimensiones!$D$21:$D$28,""))</f>
        <v>ATEL</v>
      </c>
      <c r="J1255" s="125" t="str">
        <f>_xlfn.XLOOKUP(Tabla13[[#This Row],[REGION]],dimensiones!C:C,dimensiones!D:D,"")</f>
        <v>Región de Antofagasta</v>
      </c>
    </row>
    <row r="1256" spans="1:10" ht="14.25" customHeight="1" x14ac:dyDescent="0.25">
      <c r="A1256">
        <v>775761539</v>
      </c>
      <c r="B1256" t="s">
        <v>5702</v>
      </c>
      <c r="C1256" t="s">
        <v>4551</v>
      </c>
      <c r="D1256">
        <v>13</v>
      </c>
      <c r="E1256" t="s">
        <v>4445</v>
      </c>
      <c r="F1256" t="s">
        <v>5703</v>
      </c>
      <c r="G1256" t="s">
        <v>5568</v>
      </c>
      <c r="H1256" t="s">
        <v>4915</v>
      </c>
      <c r="I1256" s="79" t="str">
        <f>IF(Tabla13[[#This Row],[RUT]]=774097899,"DIST",_xlfn.XLOOKUP(Tabla13[[#This Row],[VENDEDOR]],dimensiones!$C$21:$C$28,dimensiones!$D$21:$D$28,""))</f>
        <v>ATEL</v>
      </c>
      <c r="J1256" s="125" t="str">
        <f>_xlfn.XLOOKUP(Tabla13[[#This Row],[REGION]],dimensiones!C:C,dimensiones!D:D,"")</f>
        <v>Región de Metropolitana de Santiago</v>
      </c>
    </row>
    <row r="1257" spans="1:10" ht="14.25" customHeight="1" x14ac:dyDescent="0.25">
      <c r="A1257">
        <v>775822279</v>
      </c>
      <c r="B1257" t="s">
        <v>3054</v>
      </c>
      <c r="C1257" t="s">
        <v>4168</v>
      </c>
      <c r="D1257">
        <v>13</v>
      </c>
      <c r="E1257" t="s">
        <v>4445</v>
      </c>
      <c r="F1257" t="s">
        <v>3053</v>
      </c>
      <c r="G1257" t="s">
        <v>5569</v>
      </c>
      <c r="H1257" t="s">
        <v>4915</v>
      </c>
      <c r="I1257" s="79" t="str">
        <f>IF(Tabla13[[#This Row],[RUT]]=774097899,"DIST",_xlfn.XLOOKUP(Tabla13[[#This Row],[VENDEDOR]],dimensiones!$C$21:$C$28,dimensiones!$D$21:$D$28,""))</f>
        <v>ATEL</v>
      </c>
      <c r="J1257" s="125" t="str">
        <f>_xlfn.XLOOKUP(Tabla13[[#This Row],[REGION]],dimensiones!C:C,dimensiones!D:D,"")</f>
        <v>Región de Metropolitana de Santiago</v>
      </c>
    </row>
    <row r="1258" spans="1:10" ht="14.25" customHeight="1" x14ac:dyDescent="0.25">
      <c r="A1258">
        <v>775874295</v>
      </c>
      <c r="B1258" t="s">
        <v>558</v>
      </c>
      <c r="C1258" t="s">
        <v>4175</v>
      </c>
      <c r="D1258">
        <v>5</v>
      </c>
      <c r="E1258" t="s">
        <v>4445</v>
      </c>
      <c r="F1258" t="s">
        <v>2003</v>
      </c>
      <c r="G1258" t="s">
        <v>5570</v>
      </c>
      <c r="H1258" t="s">
        <v>4915</v>
      </c>
      <c r="I1258" s="79" t="str">
        <f>IF(Tabla13[[#This Row],[RUT]]=774097899,"DIST",_xlfn.XLOOKUP(Tabla13[[#This Row],[VENDEDOR]],dimensiones!$C$21:$C$28,dimensiones!$D$21:$D$28,""))</f>
        <v>ATEL</v>
      </c>
      <c r="J1258" s="125" t="str">
        <f>_xlfn.XLOOKUP(Tabla13[[#This Row],[REGION]],dimensiones!C:C,dimensiones!D:D,"")</f>
        <v>Región de Valparaíso</v>
      </c>
    </row>
    <row r="1259" spans="1:10" ht="14.25" customHeight="1" x14ac:dyDescent="0.25">
      <c r="A1259">
        <v>775875119</v>
      </c>
      <c r="B1259" t="s">
        <v>3060</v>
      </c>
      <c r="C1259" t="s">
        <v>4456</v>
      </c>
      <c r="D1259">
        <v>13</v>
      </c>
      <c r="E1259" t="s">
        <v>4445</v>
      </c>
      <c r="F1259" t="s">
        <v>3059</v>
      </c>
      <c r="G1259" t="s">
        <v>5569</v>
      </c>
      <c r="H1259" t="s">
        <v>4915</v>
      </c>
      <c r="I1259" s="79" t="str">
        <f>IF(Tabla13[[#This Row],[RUT]]=774097899,"DIST",_xlfn.XLOOKUP(Tabla13[[#This Row],[VENDEDOR]],dimensiones!$C$21:$C$28,dimensiones!$D$21:$D$28,""))</f>
        <v>ATEL</v>
      </c>
      <c r="J1259" s="125" t="str">
        <f>_xlfn.XLOOKUP(Tabla13[[#This Row],[REGION]],dimensiones!C:C,dimensiones!D:D,"")</f>
        <v>Región de Metropolitana de Santiago</v>
      </c>
    </row>
    <row r="1260" spans="1:10" ht="14.25" customHeight="1" x14ac:dyDescent="0.25">
      <c r="A1260">
        <v>776062200</v>
      </c>
      <c r="B1260" t="s">
        <v>861</v>
      </c>
      <c r="C1260" t="s">
        <v>4456</v>
      </c>
      <c r="D1260">
        <v>13</v>
      </c>
      <c r="E1260" t="s">
        <v>4445</v>
      </c>
      <c r="F1260" t="s">
        <v>3062</v>
      </c>
      <c r="G1260" t="s">
        <v>5568</v>
      </c>
      <c r="H1260" t="s">
        <v>4915</v>
      </c>
      <c r="I1260" s="79" t="str">
        <f>IF(Tabla13[[#This Row],[RUT]]=774097899,"DIST",_xlfn.XLOOKUP(Tabla13[[#This Row],[VENDEDOR]],dimensiones!$C$21:$C$28,dimensiones!$D$21:$D$28,""))</f>
        <v>ATEL</v>
      </c>
      <c r="J1260" s="125" t="str">
        <f>_xlfn.XLOOKUP(Tabla13[[#This Row],[REGION]],dimensiones!C:C,dimensiones!D:D,"")</f>
        <v>Región de Metropolitana de Santiago</v>
      </c>
    </row>
    <row r="1261" spans="1:10" ht="14.25" customHeight="1" x14ac:dyDescent="0.25">
      <c r="A1261">
        <v>776081809</v>
      </c>
      <c r="B1261" t="s">
        <v>559</v>
      </c>
      <c r="C1261" t="s">
        <v>4552</v>
      </c>
      <c r="D1261">
        <v>13</v>
      </c>
      <c r="E1261" t="s">
        <v>4445</v>
      </c>
      <c r="F1261" t="s">
        <v>3064</v>
      </c>
      <c r="G1261" t="s">
        <v>5570</v>
      </c>
      <c r="H1261" t="s">
        <v>4915</v>
      </c>
      <c r="I1261" s="79" t="str">
        <f>IF(Tabla13[[#This Row],[RUT]]=774097899,"DIST",_xlfn.XLOOKUP(Tabla13[[#This Row],[VENDEDOR]],dimensiones!$C$21:$C$28,dimensiones!$D$21:$D$28,""))</f>
        <v>ATEL</v>
      </c>
      <c r="J1261" s="125" t="str">
        <f>_xlfn.XLOOKUP(Tabla13[[#This Row],[REGION]],dimensiones!C:C,dimensiones!D:D,"")</f>
        <v>Región de Metropolitana de Santiago</v>
      </c>
    </row>
    <row r="1262" spans="1:10" ht="14.25" customHeight="1" x14ac:dyDescent="0.25">
      <c r="A1262">
        <v>776108448</v>
      </c>
      <c r="B1262" t="s">
        <v>560</v>
      </c>
      <c r="C1262" t="s">
        <v>4178</v>
      </c>
      <c r="D1262">
        <v>6</v>
      </c>
      <c r="E1262" t="s">
        <v>4445</v>
      </c>
      <c r="F1262" t="s">
        <v>3066</v>
      </c>
      <c r="G1262" t="s">
        <v>5568</v>
      </c>
      <c r="H1262" t="s">
        <v>4915</v>
      </c>
      <c r="I1262" s="79" t="str">
        <f>IF(Tabla13[[#This Row],[RUT]]=774097899,"DIST",_xlfn.XLOOKUP(Tabla13[[#This Row],[VENDEDOR]],dimensiones!$C$21:$C$28,dimensiones!$D$21:$D$28,""))</f>
        <v>ATEL</v>
      </c>
      <c r="J1262" s="125" t="str">
        <f>_xlfn.XLOOKUP(Tabla13[[#This Row],[REGION]],dimensiones!C:C,dimensiones!D:D,"")</f>
        <v>Región de Libertador General Bernardo O'Higgins</v>
      </c>
    </row>
    <row r="1263" spans="1:10" ht="14.25" customHeight="1" x14ac:dyDescent="0.25">
      <c r="A1263">
        <v>776180165</v>
      </c>
      <c r="B1263" t="s">
        <v>5556</v>
      </c>
      <c r="C1263" t="s">
        <v>4557</v>
      </c>
      <c r="D1263">
        <v>13</v>
      </c>
      <c r="E1263" t="s">
        <v>4445</v>
      </c>
      <c r="F1263" t="s">
        <v>5557</v>
      </c>
      <c r="G1263" t="s">
        <v>5568</v>
      </c>
      <c r="H1263" t="s">
        <v>4915</v>
      </c>
      <c r="I1263" s="79" t="str">
        <f>IF(Tabla13[[#This Row],[RUT]]=774097899,"DIST",_xlfn.XLOOKUP(Tabla13[[#This Row],[VENDEDOR]],dimensiones!$C$21:$C$28,dimensiones!$D$21:$D$28,""))</f>
        <v>ATEL</v>
      </c>
      <c r="J1263" s="125" t="str">
        <f>_xlfn.XLOOKUP(Tabla13[[#This Row],[REGION]],dimensiones!C:C,dimensiones!D:D,"")</f>
        <v>Región de Metropolitana de Santiago</v>
      </c>
    </row>
    <row r="1264" spans="1:10" ht="14.25" customHeight="1" x14ac:dyDescent="0.25">
      <c r="A1264">
        <v>776190853</v>
      </c>
      <c r="B1264" t="s">
        <v>3362</v>
      </c>
      <c r="C1264" t="s">
        <v>4463</v>
      </c>
      <c r="D1264">
        <v>13</v>
      </c>
      <c r="E1264" t="s">
        <v>4445</v>
      </c>
      <c r="F1264" t="s">
        <v>3361</v>
      </c>
      <c r="G1264" t="s">
        <v>5568</v>
      </c>
      <c r="H1264" t="s">
        <v>4915</v>
      </c>
      <c r="I1264" s="79" t="str">
        <f>IF(Tabla13[[#This Row],[RUT]]=774097899,"DIST",_xlfn.XLOOKUP(Tabla13[[#This Row],[VENDEDOR]],dimensiones!$C$21:$C$28,dimensiones!$D$21:$D$28,""))</f>
        <v>ATEL</v>
      </c>
      <c r="J1264" s="125" t="str">
        <f>_xlfn.XLOOKUP(Tabla13[[#This Row],[REGION]],dimensiones!C:C,dimensiones!D:D,"")</f>
        <v>Región de Metropolitana de Santiago</v>
      </c>
    </row>
    <row r="1265" spans="1:10" ht="14.25" customHeight="1" x14ac:dyDescent="0.25">
      <c r="A1265">
        <v>776195642</v>
      </c>
      <c r="B1265" t="s">
        <v>4591</v>
      </c>
      <c r="C1265" t="s">
        <v>4393</v>
      </c>
      <c r="D1265">
        <v>13</v>
      </c>
      <c r="E1265" t="s">
        <v>4445</v>
      </c>
      <c r="F1265" t="s">
        <v>4590</v>
      </c>
      <c r="G1265" t="s">
        <v>5568</v>
      </c>
      <c r="H1265" t="s">
        <v>4915</v>
      </c>
      <c r="I1265" s="79" t="str">
        <f>IF(Tabla13[[#This Row],[RUT]]=774097899,"DIST",_xlfn.XLOOKUP(Tabla13[[#This Row],[VENDEDOR]],dimensiones!$C$21:$C$28,dimensiones!$D$21:$D$28,""))</f>
        <v>ATEL</v>
      </c>
      <c r="J1265" s="125" t="str">
        <f>_xlfn.XLOOKUP(Tabla13[[#This Row],[REGION]],dimensiones!C:C,dimensiones!D:D,"")</f>
        <v>Región de Metropolitana de Santiago</v>
      </c>
    </row>
    <row r="1266" spans="1:10" ht="14.25" customHeight="1" x14ac:dyDescent="0.25">
      <c r="A1266">
        <v>776267783</v>
      </c>
      <c r="B1266" t="s">
        <v>3694</v>
      </c>
      <c r="C1266" t="s">
        <v>4490</v>
      </c>
      <c r="D1266">
        <v>5</v>
      </c>
      <c r="E1266" t="s">
        <v>4445</v>
      </c>
      <c r="F1266" t="s">
        <v>3693</v>
      </c>
      <c r="G1266" t="s">
        <v>5570</v>
      </c>
      <c r="H1266" t="s">
        <v>4915</v>
      </c>
      <c r="I1266" s="79" t="str">
        <f>IF(Tabla13[[#This Row],[RUT]]=774097899,"DIST",_xlfn.XLOOKUP(Tabla13[[#This Row],[VENDEDOR]],dimensiones!$C$21:$C$28,dimensiones!$D$21:$D$28,""))</f>
        <v>ATEL</v>
      </c>
      <c r="J1266" s="125" t="str">
        <f>_xlfn.XLOOKUP(Tabla13[[#This Row],[REGION]],dimensiones!C:C,dimensiones!D:D,"")</f>
        <v>Región de Valparaíso</v>
      </c>
    </row>
    <row r="1267" spans="1:10" ht="14.25" customHeight="1" x14ac:dyDescent="0.25">
      <c r="A1267">
        <v>776286303</v>
      </c>
      <c r="B1267" t="s">
        <v>862</v>
      </c>
      <c r="C1267" t="s">
        <v>4198</v>
      </c>
      <c r="D1267">
        <v>5</v>
      </c>
      <c r="E1267" t="s">
        <v>4445</v>
      </c>
      <c r="F1267" t="s">
        <v>3073</v>
      </c>
      <c r="G1267" t="s">
        <v>5570</v>
      </c>
      <c r="H1267" t="s">
        <v>4915</v>
      </c>
      <c r="I1267" s="79" t="str">
        <f>IF(Tabla13[[#This Row],[RUT]]=774097899,"DIST",_xlfn.XLOOKUP(Tabla13[[#This Row],[VENDEDOR]],dimensiones!$C$21:$C$28,dimensiones!$D$21:$D$28,""))</f>
        <v>ATEL</v>
      </c>
      <c r="J1267" s="125" t="str">
        <f>_xlfn.XLOOKUP(Tabla13[[#This Row],[REGION]],dimensiones!C:C,dimensiones!D:D,"")</f>
        <v>Región de Valparaíso</v>
      </c>
    </row>
    <row r="1268" spans="1:10" ht="14.25" customHeight="1" x14ac:dyDescent="0.25">
      <c r="A1268">
        <v>776326887</v>
      </c>
      <c r="B1268" t="s">
        <v>1088</v>
      </c>
      <c r="C1268" t="s">
        <v>4495</v>
      </c>
      <c r="D1268">
        <v>16</v>
      </c>
      <c r="E1268" t="s">
        <v>4445</v>
      </c>
      <c r="F1268" t="s">
        <v>3075</v>
      </c>
      <c r="G1268" t="s">
        <v>5570</v>
      </c>
      <c r="H1268" t="s">
        <v>4915</v>
      </c>
      <c r="I1268" s="79" t="str">
        <f>IF(Tabla13[[#This Row],[RUT]]=774097899,"DIST",_xlfn.XLOOKUP(Tabla13[[#This Row],[VENDEDOR]],dimensiones!$C$21:$C$28,dimensiones!$D$21:$D$28,""))</f>
        <v>ATEL</v>
      </c>
      <c r="J1268" s="125" t="str">
        <f>_xlfn.XLOOKUP(Tabla13[[#This Row],[REGION]],dimensiones!C:C,dimensiones!D:D,"")</f>
        <v>Región de Ñuble</v>
      </c>
    </row>
    <row r="1269" spans="1:10" ht="14.25" customHeight="1" x14ac:dyDescent="0.25">
      <c r="A1269">
        <v>776345512</v>
      </c>
      <c r="B1269" t="s">
        <v>5696</v>
      </c>
      <c r="C1269" t="s">
        <v>4465</v>
      </c>
      <c r="D1269">
        <v>13</v>
      </c>
      <c r="E1269" t="s">
        <v>4445</v>
      </c>
      <c r="F1269" t="s">
        <v>5697</v>
      </c>
      <c r="G1269" t="s">
        <v>5568</v>
      </c>
      <c r="H1269" t="s">
        <v>4915</v>
      </c>
      <c r="I1269" s="79" t="str">
        <f>IF(Tabla13[[#This Row],[RUT]]=774097899,"DIST",_xlfn.XLOOKUP(Tabla13[[#This Row],[VENDEDOR]],dimensiones!$C$21:$C$28,dimensiones!$D$21:$D$28,""))</f>
        <v>ATEL</v>
      </c>
      <c r="J1269" s="125" t="str">
        <f>_xlfn.XLOOKUP(Tabla13[[#This Row],[REGION]],dimensiones!C:C,dimensiones!D:D,"")</f>
        <v>Región de Metropolitana de Santiago</v>
      </c>
    </row>
    <row r="1270" spans="1:10" ht="14.25" customHeight="1" x14ac:dyDescent="0.25">
      <c r="A1270">
        <v>776381233</v>
      </c>
      <c r="B1270" t="s">
        <v>561</v>
      </c>
      <c r="C1270" t="s">
        <v>4465</v>
      </c>
      <c r="D1270">
        <v>13</v>
      </c>
      <c r="E1270" t="s">
        <v>4445</v>
      </c>
      <c r="F1270" t="s">
        <v>1241</v>
      </c>
      <c r="G1270" t="s">
        <v>5570</v>
      </c>
      <c r="H1270" t="s">
        <v>4915</v>
      </c>
      <c r="I1270" s="79" t="str">
        <f>IF(Tabla13[[#This Row],[RUT]]=774097899,"DIST",_xlfn.XLOOKUP(Tabla13[[#This Row],[VENDEDOR]],dimensiones!$C$21:$C$28,dimensiones!$D$21:$D$28,""))</f>
        <v>ATEL</v>
      </c>
      <c r="J1270" s="125" t="str">
        <f>_xlfn.XLOOKUP(Tabla13[[#This Row],[REGION]],dimensiones!C:C,dimensiones!D:D,"")</f>
        <v>Región de Metropolitana de Santiago</v>
      </c>
    </row>
    <row r="1271" spans="1:10" ht="14.25" customHeight="1" x14ac:dyDescent="0.25">
      <c r="A1271">
        <v>776387193</v>
      </c>
      <c r="B1271" t="s">
        <v>5602</v>
      </c>
      <c r="C1271" t="s">
        <v>4287</v>
      </c>
      <c r="D1271">
        <v>13</v>
      </c>
      <c r="E1271" t="s">
        <v>4445</v>
      </c>
      <c r="F1271" t="s">
        <v>5603</v>
      </c>
      <c r="G1271" t="s">
        <v>5568</v>
      </c>
      <c r="H1271" t="s">
        <v>4915</v>
      </c>
      <c r="I1271" s="79" t="str">
        <f>IF(Tabla13[[#This Row],[RUT]]=774097899,"DIST",_xlfn.XLOOKUP(Tabla13[[#This Row],[VENDEDOR]],dimensiones!$C$21:$C$28,dimensiones!$D$21:$D$28,""))</f>
        <v>ATEL</v>
      </c>
      <c r="J1271" s="125" t="str">
        <f>_xlfn.XLOOKUP(Tabla13[[#This Row],[REGION]],dimensiones!C:C,dimensiones!D:D,"")</f>
        <v>Región de Metropolitana de Santiago</v>
      </c>
    </row>
    <row r="1272" spans="1:10" ht="14.25" customHeight="1" x14ac:dyDescent="0.25">
      <c r="A1272">
        <v>776441406</v>
      </c>
      <c r="B1272" t="s">
        <v>562</v>
      </c>
      <c r="C1272" t="s">
        <v>4552</v>
      </c>
      <c r="D1272">
        <v>13</v>
      </c>
      <c r="E1272" t="s">
        <v>4445</v>
      </c>
      <c r="F1272" t="s">
        <v>3078</v>
      </c>
      <c r="G1272" t="s">
        <v>5570</v>
      </c>
      <c r="H1272" t="s">
        <v>4915</v>
      </c>
      <c r="I1272" s="79" t="str">
        <f>IF(Tabla13[[#This Row],[RUT]]=774097899,"DIST",_xlfn.XLOOKUP(Tabla13[[#This Row],[VENDEDOR]],dimensiones!$C$21:$C$28,dimensiones!$D$21:$D$28,""))</f>
        <v>ATEL</v>
      </c>
      <c r="J1272" s="125" t="str">
        <f>_xlfn.XLOOKUP(Tabla13[[#This Row],[REGION]],dimensiones!C:C,dimensiones!D:D,"")</f>
        <v>Región de Metropolitana de Santiago</v>
      </c>
    </row>
    <row r="1273" spans="1:10" ht="14.25" customHeight="1" x14ac:dyDescent="0.25">
      <c r="A1273">
        <v>776495999</v>
      </c>
      <c r="B1273" t="s">
        <v>3081</v>
      </c>
      <c r="C1273" t="s">
        <v>4410</v>
      </c>
      <c r="D1273">
        <v>13</v>
      </c>
      <c r="E1273" t="s">
        <v>4445</v>
      </c>
      <c r="F1273" t="s">
        <v>3080</v>
      </c>
      <c r="G1273" t="s">
        <v>5568</v>
      </c>
      <c r="H1273" t="s">
        <v>4915</v>
      </c>
      <c r="I1273" s="79" t="str">
        <f>IF(Tabla13[[#This Row],[RUT]]=774097899,"DIST",_xlfn.XLOOKUP(Tabla13[[#This Row],[VENDEDOR]],dimensiones!$C$21:$C$28,dimensiones!$D$21:$D$28,""))</f>
        <v>ATEL</v>
      </c>
      <c r="J1273" s="125" t="str">
        <f>_xlfn.XLOOKUP(Tabla13[[#This Row],[REGION]],dimensiones!C:C,dimensiones!D:D,"")</f>
        <v>Región de Metropolitana de Santiago</v>
      </c>
    </row>
    <row r="1274" spans="1:10" ht="14.25" customHeight="1" x14ac:dyDescent="0.25">
      <c r="A1274">
        <v>776499129</v>
      </c>
      <c r="B1274" t="s">
        <v>5698</v>
      </c>
      <c r="C1274" t="s">
        <v>4561</v>
      </c>
      <c r="D1274">
        <v>13</v>
      </c>
      <c r="E1274" t="s">
        <v>4445</v>
      </c>
      <c r="F1274" t="s">
        <v>5699</v>
      </c>
      <c r="G1274" t="s">
        <v>5568</v>
      </c>
      <c r="H1274" t="s">
        <v>4915</v>
      </c>
      <c r="I1274" s="79" t="str">
        <f>IF(Tabla13[[#This Row],[RUT]]=774097899,"DIST",_xlfn.XLOOKUP(Tabla13[[#This Row],[VENDEDOR]],dimensiones!$C$21:$C$28,dimensiones!$D$21:$D$28,""))</f>
        <v>ATEL</v>
      </c>
      <c r="J1274" s="125" t="str">
        <f>_xlfn.XLOOKUP(Tabla13[[#This Row],[REGION]],dimensiones!C:C,dimensiones!D:D,"")</f>
        <v>Región de Metropolitana de Santiago</v>
      </c>
    </row>
    <row r="1275" spans="1:10" ht="14.25" customHeight="1" x14ac:dyDescent="0.25">
      <c r="A1275">
        <v>776531693</v>
      </c>
      <c r="B1275" t="s">
        <v>563</v>
      </c>
      <c r="C1275" t="s">
        <v>4391</v>
      </c>
      <c r="D1275">
        <v>13</v>
      </c>
      <c r="E1275" t="s">
        <v>4445</v>
      </c>
      <c r="F1275" t="s">
        <v>3083</v>
      </c>
      <c r="G1275" t="s">
        <v>5570</v>
      </c>
      <c r="H1275" t="s">
        <v>4915</v>
      </c>
      <c r="I1275" s="79" t="str">
        <f>IF(Tabla13[[#This Row],[RUT]]=774097899,"DIST",_xlfn.XLOOKUP(Tabla13[[#This Row],[VENDEDOR]],dimensiones!$C$21:$C$28,dimensiones!$D$21:$D$28,""))</f>
        <v>ATEL</v>
      </c>
      <c r="J1275" s="125" t="str">
        <f>_xlfn.XLOOKUP(Tabla13[[#This Row],[REGION]],dimensiones!C:C,dimensiones!D:D,"")</f>
        <v>Región de Metropolitana de Santiago</v>
      </c>
    </row>
    <row r="1276" spans="1:10" ht="14.25" customHeight="1" x14ac:dyDescent="0.25">
      <c r="A1276">
        <v>776670855</v>
      </c>
      <c r="B1276" t="s">
        <v>1099</v>
      </c>
      <c r="C1276" t="s">
        <v>4393</v>
      </c>
      <c r="D1276">
        <v>13</v>
      </c>
      <c r="E1276" t="s">
        <v>4445</v>
      </c>
      <c r="F1276" t="s">
        <v>2162</v>
      </c>
      <c r="G1276" t="s">
        <v>5569</v>
      </c>
      <c r="H1276" t="s">
        <v>4915</v>
      </c>
      <c r="I1276" s="79" t="str">
        <f>IF(Tabla13[[#This Row],[RUT]]=774097899,"DIST",_xlfn.XLOOKUP(Tabla13[[#This Row],[VENDEDOR]],dimensiones!$C$21:$C$28,dimensiones!$D$21:$D$28,""))</f>
        <v>ATEL</v>
      </c>
      <c r="J1276" s="125" t="str">
        <f>_xlfn.XLOOKUP(Tabla13[[#This Row],[REGION]],dimensiones!C:C,dimensiones!D:D,"")</f>
        <v>Región de Metropolitana de Santiago</v>
      </c>
    </row>
    <row r="1277" spans="1:10" ht="14.25" customHeight="1" x14ac:dyDescent="0.25">
      <c r="A1277">
        <v>776717754</v>
      </c>
      <c r="B1277" t="s">
        <v>564</v>
      </c>
      <c r="C1277" t="s">
        <v>4459</v>
      </c>
      <c r="D1277">
        <v>5</v>
      </c>
      <c r="E1277" t="s">
        <v>4445</v>
      </c>
      <c r="F1277" t="s">
        <v>3245</v>
      </c>
      <c r="G1277" t="s">
        <v>5569</v>
      </c>
      <c r="H1277" t="s">
        <v>4915</v>
      </c>
      <c r="I1277" s="79" t="str">
        <f>IF(Tabla13[[#This Row],[RUT]]=774097899,"DIST",_xlfn.XLOOKUP(Tabla13[[#This Row],[VENDEDOR]],dimensiones!$C$21:$C$28,dimensiones!$D$21:$D$28,""))</f>
        <v>ATEL</v>
      </c>
      <c r="J1277" s="125" t="str">
        <f>_xlfn.XLOOKUP(Tabla13[[#This Row],[REGION]],dimensiones!C:C,dimensiones!D:D,"")</f>
        <v>Región de Valparaíso</v>
      </c>
    </row>
    <row r="1278" spans="1:10" ht="14.25" customHeight="1" x14ac:dyDescent="0.25">
      <c r="A1278">
        <v>776722316</v>
      </c>
      <c r="B1278" t="s">
        <v>565</v>
      </c>
      <c r="C1278" t="s">
        <v>4563</v>
      </c>
      <c r="D1278">
        <v>5</v>
      </c>
      <c r="E1278" t="s">
        <v>4445</v>
      </c>
      <c r="F1278" t="s">
        <v>3087</v>
      </c>
      <c r="G1278" t="s">
        <v>5569</v>
      </c>
      <c r="H1278" t="s">
        <v>4915</v>
      </c>
      <c r="I1278" s="79" t="str">
        <f>IF(Tabla13[[#This Row],[RUT]]=774097899,"DIST",_xlfn.XLOOKUP(Tabla13[[#This Row],[VENDEDOR]],dimensiones!$C$21:$C$28,dimensiones!$D$21:$D$28,""))</f>
        <v>ATEL</v>
      </c>
      <c r="J1278" s="125" t="str">
        <f>_xlfn.XLOOKUP(Tabla13[[#This Row],[REGION]],dimensiones!C:C,dimensiones!D:D,"")</f>
        <v>Región de Valparaíso</v>
      </c>
    </row>
    <row r="1279" spans="1:10" ht="14.25" customHeight="1" x14ac:dyDescent="0.25">
      <c r="A1279" t="s">
        <v>4775</v>
      </c>
      <c r="B1279" t="s">
        <v>1564</v>
      </c>
      <c r="C1279" t="s">
        <v>4460</v>
      </c>
      <c r="D1279">
        <v>8</v>
      </c>
      <c r="E1279" t="s">
        <v>4445</v>
      </c>
      <c r="F1279" t="s">
        <v>1563</v>
      </c>
      <c r="G1279" t="s">
        <v>5569</v>
      </c>
      <c r="H1279" t="s">
        <v>4915</v>
      </c>
      <c r="I1279" s="79" t="str">
        <f>IF(Tabla13[[#This Row],[RUT]]=774097899,"DIST",_xlfn.XLOOKUP(Tabla13[[#This Row],[VENDEDOR]],dimensiones!$C$21:$C$28,dimensiones!$D$21:$D$28,""))</f>
        <v>ATEL</v>
      </c>
      <c r="J1279" s="125" t="str">
        <f>_xlfn.XLOOKUP(Tabla13[[#This Row],[REGION]],dimensiones!C:C,dimensiones!D:D,"")</f>
        <v>Región de Biobío</v>
      </c>
    </row>
    <row r="1280" spans="1:10" ht="14.25" customHeight="1" x14ac:dyDescent="0.25">
      <c r="A1280">
        <v>776891320</v>
      </c>
      <c r="B1280" t="s">
        <v>566</v>
      </c>
      <c r="C1280" t="s">
        <v>4465</v>
      </c>
      <c r="D1280">
        <v>13</v>
      </c>
      <c r="E1280" t="s">
        <v>4445</v>
      </c>
      <c r="F1280" t="s">
        <v>3517</v>
      </c>
      <c r="G1280" t="s">
        <v>5568</v>
      </c>
      <c r="H1280" t="s">
        <v>4915</v>
      </c>
      <c r="I1280" s="79" t="str">
        <f>IF(Tabla13[[#This Row],[RUT]]=774097899,"DIST",_xlfn.XLOOKUP(Tabla13[[#This Row],[VENDEDOR]],dimensiones!$C$21:$C$28,dimensiones!$D$21:$D$28,""))</f>
        <v>ATEL</v>
      </c>
      <c r="J1280" s="125" t="str">
        <f>_xlfn.XLOOKUP(Tabla13[[#This Row],[REGION]],dimensiones!C:C,dimensiones!D:D,"")</f>
        <v>Región de Metropolitana de Santiago</v>
      </c>
    </row>
    <row r="1281" spans="1:10" ht="14.25" customHeight="1" x14ac:dyDescent="0.25">
      <c r="A1281">
        <v>776893218</v>
      </c>
      <c r="B1281" t="s">
        <v>4593</v>
      </c>
      <c r="C1281" t="s">
        <v>4257</v>
      </c>
      <c r="D1281">
        <v>7</v>
      </c>
      <c r="E1281" t="s">
        <v>4445</v>
      </c>
      <c r="F1281" t="s">
        <v>4592</v>
      </c>
      <c r="G1281" t="s">
        <v>5568</v>
      </c>
      <c r="H1281" t="s">
        <v>4915</v>
      </c>
      <c r="I1281" s="79" t="str">
        <f>IF(Tabla13[[#This Row],[RUT]]=774097899,"DIST",_xlfn.XLOOKUP(Tabla13[[#This Row],[VENDEDOR]],dimensiones!$C$21:$C$28,dimensiones!$D$21:$D$28,""))</f>
        <v>ATEL</v>
      </c>
      <c r="J1281" s="125" t="str">
        <f>_xlfn.XLOOKUP(Tabla13[[#This Row],[REGION]],dimensiones!C:C,dimensiones!D:D,"")</f>
        <v>Región de Maule</v>
      </c>
    </row>
    <row r="1282" spans="1:10" ht="14.25" customHeight="1" x14ac:dyDescent="0.25">
      <c r="A1282" t="s">
        <v>4441</v>
      </c>
      <c r="B1282" t="s">
        <v>4442</v>
      </c>
      <c r="C1282" t="s">
        <v>4552</v>
      </c>
      <c r="D1282">
        <v>13</v>
      </c>
      <c r="E1282" t="s">
        <v>4445</v>
      </c>
      <c r="F1282" t="s">
        <v>4594</v>
      </c>
      <c r="G1282" t="s">
        <v>5569</v>
      </c>
      <c r="H1282" t="s">
        <v>4915</v>
      </c>
      <c r="I1282" s="79" t="str">
        <f>IF(Tabla13[[#This Row],[RUT]]=774097899,"DIST",_xlfn.XLOOKUP(Tabla13[[#This Row],[VENDEDOR]],dimensiones!$C$21:$C$28,dimensiones!$D$21:$D$28,""))</f>
        <v>ATEL</v>
      </c>
      <c r="J1282" s="125" t="str">
        <f>_xlfn.XLOOKUP(Tabla13[[#This Row],[REGION]],dimensiones!C:C,dimensiones!D:D,"")</f>
        <v>Región de Metropolitana de Santiago</v>
      </c>
    </row>
    <row r="1283" spans="1:10" ht="14.25" customHeight="1" x14ac:dyDescent="0.25">
      <c r="A1283">
        <v>776910341</v>
      </c>
      <c r="B1283" t="s">
        <v>5437</v>
      </c>
      <c r="C1283" t="s">
        <v>4391</v>
      </c>
      <c r="D1283">
        <v>13</v>
      </c>
      <c r="E1283" t="s">
        <v>4445</v>
      </c>
      <c r="F1283" t="s">
        <v>5438</v>
      </c>
      <c r="G1283" t="s">
        <v>5570</v>
      </c>
      <c r="H1283" t="s">
        <v>4915</v>
      </c>
      <c r="I1283" s="79" t="str">
        <f>IF(Tabla13[[#This Row],[RUT]]=774097899,"DIST",_xlfn.XLOOKUP(Tabla13[[#This Row],[VENDEDOR]],dimensiones!$C$21:$C$28,dimensiones!$D$21:$D$28,""))</f>
        <v>ATEL</v>
      </c>
      <c r="J1283" s="125" t="str">
        <f>_xlfn.XLOOKUP(Tabla13[[#This Row],[REGION]],dimensiones!C:C,dimensiones!D:D,"")</f>
        <v>Región de Metropolitana de Santiago</v>
      </c>
    </row>
    <row r="1284" spans="1:10" ht="14.25" customHeight="1" x14ac:dyDescent="0.25">
      <c r="A1284">
        <v>776953997</v>
      </c>
      <c r="B1284" t="s">
        <v>567</v>
      </c>
      <c r="C1284" t="s">
        <v>4292</v>
      </c>
      <c r="D1284">
        <v>10</v>
      </c>
      <c r="E1284" t="s">
        <v>4445</v>
      </c>
      <c r="F1284" t="s">
        <v>3089</v>
      </c>
      <c r="G1284" t="s">
        <v>5569</v>
      </c>
      <c r="H1284" t="s">
        <v>4915</v>
      </c>
      <c r="I1284" s="79" t="str">
        <f>IF(Tabla13[[#This Row],[RUT]]=774097899,"DIST",_xlfn.XLOOKUP(Tabla13[[#This Row],[VENDEDOR]],dimensiones!$C$21:$C$28,dimensiones!$D$21:$D$28,""))</f>
        <v>ATEL</v>
      </c>
      <c r="J1284" s="125" t="str">
        <f>_xlfn.XLOOKUP(Tabla13[[#This Row],[REGION]],dimensiones!C:C,dimensiones!D:D,"")</f>
        <v>Región de Los Lagos</v>
      </c>
    </row>
    <row r="1285" spans="1:10" ht="14.25" customHeight="1" x14ac:dyDescent="0.25">
      <c r="A1285">
        <v>776982598</v>
      </c>
      <c r="B1285" t="s">
        <v>568</v>
      </c>
      <c r="C1285" t="s">
        <v>4391</v>
      </c>
      <c r="D1285">
        <v>6</v>
      </c>
      <c r="E1285" t="s">
        <v>4445</v>
      </c>
      <c r="F1285" t="s">
        <v>3254</v>
      </c>
      <c r="G1285" t="s">
        <v>5568</v>
      </c>
      <c r="H1285" t="s">
        <v>4915</v>
      </c>
      <c r="I1285" s="79" t="str">
        <f>IF(Tabla13[[#This Row],[RUT]]=774097899,"DIST",_xlfn.XLOOKUP(Tabla13[[#This Row],[VENDEDOR]],dimensiones!$C$21:$C$28,dimensiones!$D$21:$D$28,""))</f>
        <v>ATEL</v>
      </c>
      <c r="J1285" s="125" t="str">
        <f>_xlfn.XLOOKUP(Tabla13[[#This Row],[REGION]],dimensiones!C:C,dimensiones!D:D,"")</f>
        <v>Región de Libertador General Bernardo O'Higgins</v>
      </c>
    </row>
    <row r="1286" spans="1:10" ht="14.25" customHeight="1" x14ac:dyDescent="0.25">
      <c r="A1286">
        <v>777129597</v>
      </c>
      <c r="B1286" t="s">
        <v>974</v>
      </c>
      <c r="C1286" t="s">
        <v>4391</v>
      </c>
      <c r="D1286">
        <v>13</v>
      </c>
      <c r="E1286" t="s">
        <v>4445</v>
      </c>
      <c r="F1286" t="s">
        <v>3092</v>
      </c>
      <c r="G1286" t="s">
        <v>5570</v>
      </c>
      <c r="H1286" t="s">
        <v>4915</v>
      </c>
      <c r="I1286" s="79" t="str">
        <f>IF(Tabla13[[#This Row],[RUT]]=774097899,"DIST",_xlfn.XLOOKUP(Tabla13[[#This Row],[VENDEDOR]],dimensiones!$C$21:$C$28,dimensiones!$D$21:$D$28,""))</f>
        <v>ATEL</v>
      </c>
      <c r="J1286" s="125" t="str">
        <f>_xlfn.XLOOKUP(Tabla13[[#This Row],[REGION]],dimensiones!C:C,dimensiones!D:D,"")</f>
        <v>Región de Metropolitana de Santiago</v>
      </c>
    </row>
    <row r="1287" spans="1:10" ht="14.25" customHeight="1" x14ac:dyDescent="0.25">
      <c r="A1287">
        <v>777141570</v>
      </c>
      <c r="B1287" t="s">
        <v>5655</v>
      </c>
      <c r="C1287" t="s">
        <v>4460</v>
      </c>
      <c r="D1287">
        <v>8</v>
      </c>
      <c r="E1287" t="s">
        <v>4445</v>
      </c>
      <c r="F1287" t="s">
        <v>4931</v>
      </c>
      <c r="G1287" t="s">
        <v>5568</v>
      </c>
      <c r="H1287" t="s">
        <v>4915</v>
      </c>
      <c r="I1287" s="79" t="str">
        <f>IF(Tabla13[[#This Row],[RUT]]=774097899,"DIST",_xlfn.XLOOKUP(Tabla13[[#This Row],[VENDEDOR]],dimensiones!$C$21:$C$28,dimensiones!$D$21:$D$28,""))</f>
        <v>ATEL</v>
      </c>
      <c r="J1287" s="125" t="str">
        <f>_xlfn.XLOOKUP(Tabla13[[#This Row],[REGION]],dimensiones!C:C,dimensiones!D:D,"")</f>
        <v>Región de Biobío</v>
      </c>
    </row>
    <row r="1288" spans="1:10" ht="14.25" customHeight="1" x14ac:dyDescent="0.25">
      <c r="A1288">
        <v>777228234</v>
      </c>
      <c r="B1288" t="s">
        <v>863</v>
      </c>
      <c r="C1288" t="s">
        <v>4393</v>
      </c>
      <c r="D1288">
        <v>13</v>
      </c>
      <c r="E1288" t="s">
        <v>4445</v>
      </c>
      <c r="F1288" t="s">
        <v>1598</v>
      </c>
      <c r="G1288" t="s">
        <v>5568</v>
      </c>
      <c r="H1288" t="s">
        <v>4915</v>
      </c>
      <c r="I1288" s="79" t="str">
        <f>IF(Tabla13[[#This Row],[RUT]]=774097899,"DIST",_xlfn.XLOOKUP(Tabla13[[#This Row],[VENDEDOR]],dimensiones!$C$21:$C$28,dimensiones!$D$21:$D$28,""))</f>
        <v>ATEL</v>
      </c>
      <c r="J1288" s="125" t="str">
        <f>_xlfn.XLOOKUP(Tabla13[[#This Row],[REGION]],dimensiones!C:C,dimensiones!D:D,"")</f>
        <v>Región de Metropolitana de Santiago</v>
      </c>
    </row>
    <row r="1289" spans="1:10" ht="14.25" customHeight="1" x14ac:dyDescent="0.25">
      <c r="A1289">
        <v>777352210</v>
      </c>
      <c r="B1289" t="s">
        <v>5519</v>
      </c>
      <c r="C1289" t="s">
        <v>4321</v>
      </c>
      <c r="D1289">
        <v>5</v>
      </c>
      <c r="E1289" t="s">
        <v>4445</v>
      </c>
      <c r="F1289" t="s">
        <v>5520</v>
      </c>
      <c r="G1289" t="s">
        <v>5568</v>
      </c>
      <c r="H1289" t="s">
        <v>4915</v>
      </c>
      <c r="I1289" s="79" t="str">
        <f>IF(Tabla13[[#This Row],[RUT]]=774097899,"DIST",_xlfn.XLOOKUP(Tabla13[[#This Row],[VENDEDOR]],dimensiones!$C$21:$C$28,dimensiones!$D$21:$D$28,""))</f>
        <v>ATEL</v>
      </c>
      <c r="J1289" s="125" t="str">
        <f>_xlfn.XLOOKUP(Tabla13[[#This Row],[REGION]],dimensiones!C:C,dimensiones!D:D,"")</f>
        <v>Región de Valparaíso</v>
      </c>
    </row>
    <row r="1290" spans="1:10" ht="14.25" customHeight="1" x14ac:dyDescent="0.25">
      <c r="A1290">
        <v>777412035</v>
      </c>
      <c r="B1290" t="s">
        <v>3097</v>
      </c>
      <c r="C1290" t="s">
        <v>4495</v>
      </c>
      <c r="D1290">
        <v>13</v>
      </c>
      <c r="E1290" t="s">
        <v>4445</v>
      </c>
      <c r="F1290" t="s">
        <v>3096</v>
      </c>
      <c r="G1290" t="s">
        <v>5570</v>
      </c>
      <c r="H1290" t="s">
        <v>4915</v>
      </c>
      <c r="I1290" s="79" t="str">
        <f>IF(Tabla13[[#This Row],[RUT]]=774097899,"DIST",_xlfn.XLOOKUP(Tabla13[[#This Row],[VENDEDOR]],dimensiones!$C$21:$C$28,dimensiones!$D$21:$D$28,""))</f>
        <v>ATEL</v>
      </c>
      <c r="J1290" s="125" t="str">
        <f>_xlfn.XLOOKUP(Tabla13[[#This Row],[REGION]],dimensiones!C:C,dimensiones!D:D,"")</f>
        <v>Región de Metropolitana de Santiago</v>
      </c>
    </row>
    <row r="1291" spans="1:10" ht="14.25" customHeight="1" x14ac:dyDescent="0.25">
      <c r="A1291">
        <v>777443828</v>
      </c>
      <c r="B1291" t="s">
        <v>3100</v>
      </c>
      <c r="C1291" t="s">
        <v>4391</v>
      </c>
      <c r="D1291">
        <v>13</v>
      </c>
      <c r="E1291" t="s">
        <v>4445</v>
      </c>
      <c r="F1291" t="s">
        <v>3099</v>
      </c>
      <c r="G1291" t="s">
        <v>5568</v>
      </c>
      <c r="H1291" t="s">
        <v>4915</v>
      </c>
      <c r="I1291" s="79" t="str">
        <f>IF(Tabla13[[#This Row],[RUT]]=774097899,"DIST",_xlfn.XLOOKUP(Tabla13[[#This Row],[VENDEDOR]],dimensiones!$C$21:$C$28,dimensiones!$D$21:$D$28,""))</f>
        <v>ATEL</v>
      </c>
      <c r="J1291" s="125" t="str">
        <f>_xlfn.XLOOKUP(Tabla13[[#This Row],[REGION]],dimensiones!C:C,dimensiones!D:D,"")</f>
        <v>Región de Metropolitana de Santiago</v>
      </c>
    </row>
    <row r="1292" spans="1:10" ht="14.25" customHeight="1" x14ac:dyDescent="0.25">
      <c r="A1292">
        <v>777474596</v>
      </c>
      <c r="B1292" t="s">
        <v>3103</v>
      </c>
      <c r="C1292" t="s">
        <v>4465</v>
      </c>
      <c r="D1292">
        <v>13</v>
      </c>
      <c r="E1292" t="s">
        <v>4445</v>
      </c>
      <c r="F1292" t="s">
        <v>3102</v>
      </c>
      <c r="G1292" t="s">
        <v>5568</v>
      </c>
      <c r="H1292" t="s">
        <v>4915</v>
      </c>
      <c r="I1292" s="79" t="str">
        <f>IF(Tabla13[[#This Row],[RUT]]=774097899,"DIST",_xlfn.XLOOKUP(Tabla13[[#This Row],[VENDEDOR]],dimensiones!$C$21:$C$28,dimensiones!$D$21:$D$28,""))</f>
        <v>ATEL</v>
      </c>
      <c r="J1292" s="125" t="str">
        <f>_xlfn.XLOOKUP(Tabla13[[#This Row],[REGION]],dimensiones!C:C,dimensiones!D:D,"")</f>
        <v>Región de Metropolitana de Santiago</v>
      </c>
    </row>
    <row r="1293" spans="1:10" ht="14.25" customHeight="1" x14ac:dyDescent="0.25">
      <c r="A1293">
        <v>777492101</v>
      </c>
      <c r="B1293" t="s">
        <v>570</v>
      </c>
      <c r="C1293" t="s">
        <v>4168</v>
      </c>
      <c r="D1293">
        <v>13</v>
      </c>
      <c r="E1293" t="s">
        <v>4445</v>
      </c>
      <c r="F1293" t="s">
        <v>2374</v>
      </c>
      <c r="G1293" t="s">
        <v>5568</v>
      </c>
      <c r="H1293" t="s">
        <v>4915</v>
      </c>
      <c r="I1293" s="79" t="str">
        <f>IF(Tabla13[[#This Row],[RUT]]=774097899,"DIST",_xlfn.XLOOKUP(Tabla13[[#This Row],[VENDEDOR]],dimensiones!$C$21:$C$28,dimensiones!$D$21:$D$28,""))</f>
        <v>ATEL</v>
      </c>
      <c r="J1293" s="125" t="str">
        <f>_xlfn.XLOOKUP(Tabla13[[#This Row],[REGION]],dimensiones!C:C,dimensiones!D:D,"")</f>
        <v>Región de Metropolitana de Santiago</v>
      </c>
    </row>
    <row r="1294" spans="1:10" ht="14.25" customHeight="1" x14ac:dyDescent="0.25">
      <c r="A1294">
        <v>777514059</v>
      </c>
      <c r="B1294" t="s">
        <v>4596</v>
      </c>
      <c r="C1294" t="s">
        <v>4183</v>
      </c>
      <c r="D1294">
        <v>8</v>
      </c>
      <c r="E1294" t="s">
        <v>4445</v>
      </c>
      <c r="F1294" t="s">
        <v>4595</v>
      </c>
      <c r="G1294" t="s">
        <v>5568</v>
      </c>
      <c r="H1294" t="s">
        <v>4915</v>
      </c>
      <c r="I1294" s="79" t="str">
        <f>IF(Tabla13[[#This Row],[RUT]]=774097899,"DIST",_xlfn.XLOOKUP(Tabla13[[#This Row],[VENDEDOR]],dimensiones!$C$21:$C$28,dimensiones!$D$21:$D$28,""))</f>
        <v>ATEL</v>
      </c>
      <c r="J1294" s="125" t="str">
        <f>_xlfn.XLOOKUP(Tabla13[[#This Row],[REGION]],dimensiones!C:C,dimensiones!D:D,"")</f>
        <v>Región de Biobío</v>
      </c>
    </row>
    <row r="1295" spans="1:10" ht="14.25" customHeight="1" x14ac:dyDescent="0.25">
      <c r="A1295">
        <v>777653768</v>
      </c>
      <c r="B1295" t="s">
        <v>1098</v>
      </c>
      <c r="C1295" t="s">
        <v>4495</v>
      </c>
      <c r="D1295">
        <v>16</v>
      </c>
      <c r="E1295" t="s">
        <v>4445</v>
      </c>
      <c r="F1295" t="s">
        <v>2176</v>
      </c>
      <c r="G1295" t="s">
        <v>5568</v>
      </c>
      <c r="H1295" t="s">
        <v>4915</v>
      </c>
      <c r="I1295" s="79" t="str">
        <f>IF(Tabla13[[#This Row],[RUT]]=774097899,"DIST",_xlfn.XLOOKUP(Tabla13[[#This Row],[VENDEDOR]],dimensiones!$C$21:$C$28,dimensiones!$D$21:$D$28,""))</f>
        <v>ATEL</v>
      </c>
      <c r="J1295" s="125" t="str">
        <f>_xlfn.XLOOKUP(Tabla13[[#This Row],[REGION]],dimensiones!C:C,dimensiones!D:D,"")</f>
        <v>Región de Ñuble</v>
      </c>
    </row>
    <row r="1296" spans="1:10" ht="14.25" customHeight="1" x14ac:dyDescent="0.25">
      <c r="A1296">
        <v>777691309</v>
      </c>
      <c r="B1296" t="s">
        <v>1090</v>
      </c>
      <c r="C1296" t="s">
        <v>4490</v>
      </c>
      <c r="D1296">
        <v>5</v>
      </c>
      <c r="E1296" t="s">
        <v>4445</v>
      </c>
      <c r="F1296" t="s">
        <v>3109</v>
      </c>
      <c r="G1296" t="s">
        <v>5570</v>
      </c>
      <c r="H1296" t="s">
        <v>4915</v>
      </c>
      <c r="I1296" s="79" t="str">
        <f>IF(Tabla13[[#This Row],[RUT]]=774097899,"DIST",_xlfn.XLOOKUP(Tabla13[[#This Row],[VENDEDOR]],dimensiones!$C$21:$C$28,dimensiones!$D$21:$D$28,""))</f>
        <v>ATEL</v>
      </c>
      <c r="J1296" s="125" t="str">
        <f>_xlfn.XLOOKUP(Tabla13[[#This Row],[REGION]],dimensiones!C:C,dimensiones!D:D,"")</f>
        <v>Región de Valparaíso</v>
      </c>
    </row>
    <row r="1297" spans="1:10" ht="14.25" customHeight="1" x14ac:dyDescent="0.25">
      <c r="A1297">
        <v>777723081</v>
      </c>
      <c r="B1297" t="s">
        <v>3112</v>
      </c>
      <c r="C1297" t="s">
        <v>4465</v>
      </c>
      <c r="D1297">
        <v>13</v>
      </c>
      <c r="E1297" t="s">
        <v>4445</v>
      </c>
      <c r="F1297" t="s">
        <v>3111</v>
      </c>
      <c r="G1297" t="s">
        <v>5570</v>
      </c>
      <c r="H1297" t="s">
        <v>4915</v>
      </c>
      <c r="I1297" s="79" t="str">
        <f>IF(Tabla13[[#This Row],[RUT]]=774097899,"DIST",_xlfn.XLOOKUP(Tabla13[[#This Row],[VENDEDOR]],dimensiones!$C$21:$C$28,dimensiones!$D$21:$D$28,""))</f>
        <v>ATEL</v>
      </c>
      <c r="J1297" s="125" t="str">
        <f>_xlfn.XLOOKUP(Tabla13[[#This Row],[REGION]],dimensiones!C:C,dimensiones!D:D,"")</f>
        <v>Región de Metropolitana de Santiago</v>
      </c>
    </row>
    <row r="1298" spans="1:10" ht="14.25" customHeight="1" x14ac:dyDescent="0.25">
      <c r="A1298">
        <v>777746138</v>
      </c>
      <c r="B1298" t="s">
        <v>3115</v>
      </c>
      <c r="C1298" t="s">
        <v>4268</v>
      </c>
      <c r="D1298">
        <v>16</v>
      </c>
      <c r="E1298" t="s">
        <v>4445</v>
      </c>
      <c r="F1298" t="s">
        <v>3114</v>
      </c>
      <c r="G1298" t="s">
        <v>5569</v>
      </c>
      <c r="H1298" t="s">
        <v>4915</v>
      </c>
      <c r="I1298" s="79" t="str">
        <f>IF(Tabla13[[#This Row],[RUT]]=774097899,"DIST",_xlfn.XLOOKUP(Tabla13[[#This Row],[VENDEDOR]],dimensiones!$C$21:$C$28,dimensiones!$D$21:$D$28,""))</f>
        <v>ATEL</v>
      </c>
      <c r="J1298" s="125" t="str">
        <f>_xlfn.XLOOKUP(Tabla13[[#This Row],[REGION]],dimensiones!C:C,dimensiones!D:D,"")</f>
        <v>Región de Ñuble</v>
      </c>
    </row>
    <row r="1299" spans="1:10" ht="14.25" customHeight="1" x14ac:dyDescent="0.25">
      <c r="A1299">
        <v>777767453</v>
      </c>
      <c r="B1299" t="s">
        <v>571</v>
      </c>
      <c r="C1299" t="s">
        <v>4463</v>
      </c>
      <c r="D1299">
        <v>13</v>
      </c>
      <c r="E1299" t="s">
        <v>4445</v>
      </c>
      <c r="F1299" t="s">
        <v>3117</v>
      </c>
      <c r="G1299" t="s">
        <v>5569</v>
      </c>
      <c r="H1299" t="s">
        <v>4915</v>
      </c>
      <c r="I1299" s="79" t="str">
        <f>IF(Tabla13[[#This Row],[RUT]]=774097899,"DIST",_xlfn.XLOOKUP(Tabla13[[#This Row],[VENDEDOR]],dimensiones!$C$21:$C$28,dimensiones!$D$21:$D$28,""))</f>
        <v>ATEL</v>
      </c>
      <c r="J1299" s="125" t="str">
        <f>_xlfn.XLOOKUP(Tabla13[[#This Row],[REGION]],dimensiones!C:C,dimensiones!D:D,"")</f>
        <v>Región de Metropolitana de Santiago</v>
      </c>
    </row>
    <row r="1300" spans="1:10" ht="14.25" customHeight="1" x14ac:dyDescent="0.25">
      <c r="A1300">
        <v>777792954</v>
      </c>
      <c r="B1300" t="s">
        <v>948</v>
      </c>
      <c r="C1300" t="s">
        <v>4471</v>
      </c>
      <c r="D1300">
        <v>13</v>
      </c>
      <c r="E1300" t="s">
        <v>4445</v>
      </c>
      <c r="F1300" t="s">
        <v>3924</v>
      </c>
      <c r="G1300" t="s">
        <v>5570</v>
      </c>
      <c r="H1300" t="s">
        <v>4915</v>
      </c>
      <c r="I1300" s="79" t="str">
        <f>IF(Tabla13[[#This Row],[RUT]]=774097899,"DIST",_xlfn.XLOOKUP(Tabla13[[#This Row],[VENDEDOR]],dimensiones!$C$21:$C$28,dimensiones!$D$21:$D$28,""))</f>
        <v>ATEL</v>
      </c>
      <c r="J1300" s="125" t="str">
        <f>_xlfn.XLOOKUP(Tabla13[[#This Row],[REGION]],dimensiones!C:C,dimensiones!D:D,"")</f>
        <v>Región de Metropolitana de Santiago</v>
      </c>
    </row>
    <row r="1301" spans="1:10" ht="14.25" customHeight="1" x14ac:dyDescent="0.25">
      <c r="A1301">
        <v>777941046</v>
      </c>
      <c r="B1301" t="s">
        <v>572</v>
      </c>
      <c r="C1301" t="s">
        <v>4182</v>
      </c>
      <c r="D1301">
        <v>2</v>
      </c>
      <c r="E1301" t="s">
        <v>4445</v>
      </c>
      <c r="F1301" t="s">
        <v>3121</v>
      </c>
      <c r="G1301" t="s">
        <v>5570</v>
      </c>
      <c r="H1301" t="s">
        <v>4915</v>
      </c>
      <c r="I1301" s="79" t="str">
        <f>IF(Tabla13[[#This Row],[RUT]]=774097899,"DIST",_xlfn.XLOOKUP(Tabla13[[#This Row],[VENDEDOR]],dimensiones!$C$21:$C$28,dimensiones!$D$21:$D$28,""))</f>
        <v>ATEL</v>
      </c>
      <c r="J1301" s="125" t="str">
        <f>_xlfn.XLOOKUP(Tabla13[[#This Row],[REGION]],dimensiones!C:C,dimensiones!D:D,"")</f>
        <v>Región de Antofagasta</v>
      </c>
    </row>
    <row r="1302" spans="1:10" ht="14.25" customHeight="1" x14ac:dyDescent="0.25">
      <c r="A1302">
        <v>778058294</v>
      </c>
      <c r="B1302" t="s">
        <v>1084</v>
      </c>
      <c r="C1302" t="s">
        <v>4182</v>
      </c>
      <c r="D1302">
        <v>2</v>
      </c>
      <c r="E1302" t="s">
        <v>4445</v>
      </c>
      <c r="F1302" t="s">
        <v>3123</v>
      </c>
      <c r="G1302" t="s">
        <v>5568</v>
      </c>
      <c r="H1302" t="s">
        <v>4915</v>
      </c>
      <c r="I1302" s="79" t="str">
        <f>IF(Tabla13[[#This Row],[RUT]]=774097899,"DIST",_xlfn.XLOOKUP(Tabla13[[#This Row],[VENDEDOR]],dimensiones!$C$21:$C$28,dimensiones!$D$21:$D$28,""))</f>
        <v>ATEL</v>
      </c>
      <c r="J1302" s="125" t="str">
        <f>_xlfn.XLOOKUP(Tabla13[[#This Row],[REGION]],dimensiones!C:C,dimensiones!D:D,"")</f>
        <v>Región de Antofagasta</v>
      </c>
    </row>
    <row r="1303" spans="1:10" ht="14.25" customHeight="1" x14ac:dyDescent="0.25">
      <c r="A1303">
        <v>778068524</v>
      </c>
      <c r="B1303" t="s">
        <v>938</v>
      </c>
      <c r="C1303" t="s">
        <v>4449</v>
      </c>
      <c r="D1303">
        <v>13</v>
      </c>
      <c r="E1303" t="s">
        <v>4445</v>
      </c>
      <c r="F1303" t="s">
        <v>3125</v>
      </c>
      <c r="G1303" t="s">
        <v>5570</v>
      </c>
      <c r="H1303" t="s">
        <v>4915</v>
      </c>
      <c r="I1303" s="79" t="str">
        <f>IF(Tabla13[[#This Row],[RUT]]=774097899,"DIST",_xlfn.XLOOKUP(Tabla13[[#This Row],[VENDEDOR]],dimensiones!$C$21:$C$28,dimensiones!$D$21:$D$28,""))</f>
        <v>ATEL</v>
      </c>
      <c r="J1303" s="125" t="str">
        <f>_xlfn.XLOOKUP(Tabla13[[#This Row],[REGION]],dimensiones!C:C,dimensiones!D:D,"")</f>
        <v>Región de Metropolitana de Santiago</v>
      </c>
    </row>
    <row r="1304" spans="1:10" ht="14.25" customHeight="1" x14ac:dyDescent="0.25">
      <c r="A1304">
        <v>778078406</v>
      </c>
      <c r="B1304" t="s">
        <v>864</v>
      </c>
      <c r="C1304" t="s">
        <v>4561</v>
      </c>
      <c r="D1304">
        <v>13</v>
      </c>
      <c r="E1304" t="s">
        <v>4445</v>
      </c>
      <c r="F1304" t="s">
        <v>3814</v>
      </c>
      <c r="G1304" t="s">
        <v>5568</v>
      </c>
      <c r="H1304" t="s">
        <v>4915</v>
      </c>
      <c r="I1304" s="79" t="str">
        <f>IF(Tabla13[[#This Row],[RUT]]=774097899,"DIST",_xlfn.XLOOKUP(Tabla13[[#This Row],[VENDEDOR]],dimensiones!$C$21:$C$28,dimensiones!$D$21:$D$28,""))</f>
        <v>ATEL</v>
      </c>
      <c r="J1304" s="125" t="str">
        <f>_xlfn.XLOOKUP(Tabla13[[#This Row],[REGION]],dimensiones!C:C,dimensiones!D:D,"")</f>
        <v>Región de Metropolitana de Santiago</v>
      </c>
    </row>
    <row r="1305" spans="1:10" ht="14.25" customHeight="1" x14ac:dyDescent="0.25">
      <c r="A1305">
        <v>778086247</v>
      </c>
      <c r="B1305" t="s">
        <v>5656</v>
      </c>
      <c r="C1305" t="s">
        <v>4544</v>
      </c>
      <c r="D1305">
        <v>13</v>
      </c>
      <c r="E1305" t="s">
        <v>4445</v>
      </c>
      <c r="F1305" t="s">
        <v>5657</v>
      </c>
      <c r="G1305" t="s">
        <v>5568</v>
      </c>
      <c r="H1305" t="s">
        <v>4915</v>
      </c>
      <c r="I1305" s="79" t="str">
        <f>IF(Tabla13[[#This Row],[RUT]]=774097899,"DIST",_xlfn.XLOOKUP(Tabla13[[#This Row],[VENDEDOR]],dimensiones!$C$21:$C$28,dimensiones!$D$21:$D$28,""))</f>
        <v>ATEL</v>
      </c>
      <c r="J1305" s="125" t="str">
        <f>_xlfn.XLOOKUP(Tabla13[[#This Row],[REGION]],dimensiones!C:C,dimensiones!D:D,"")</f>
        <v>Región de Metropolitana de Santiago</v>
      </c>
    </row>
    <row r="1306" spans="1:10" ht="14.25" customHeight="1" x14ac:dyDescent="0.25">
      <c r="A1306">
        <v>778127342</v>
      </c>
      <c r="B1306" t="s">
        <v>3131</v>
      </c>
      <c r="C1306" t="s">
        <v>4394</v>
      </c>
      <c r="D1306">
        <v>13</v>
      </c>
      <c r="E1306" t="s">
        <v>4445</v>
      </c>
      <c r="F1306" t="s">
        <v>3130</v>
      </c>
      <c r="G1306" t="s">
        <v>5568</v>
      </c>
      <c r="H1306" t="s">
        <v>4915</v>
      </c>
      <c r="I1306" s="79" t="str">
        <f>IF(Tabla13[[#This Row],[RUT]]=774097899,"DIST",_xlfn.XLOOKUP(Tabla13[[#This Row],[VENDEDOR]],dimensiones!$C$21:$C$28,dimensiones!$D$21:$D$28,""))</f>
        <v>ATEL</v>
      </c>
      <c r="J1306" s="125" t="str">
        <f>_xlfn.XLOOKUP(Tabla13[[#This Row],[REGION]],dimensiones!C:C,dimensiones!D:D,"")</f>
        <v>Región de Metropolitana de Santiago</v>
      </c>
    </row>
    <row r="1307" spans="1:10" ht="14.25" customHeight="1" x14ac:dyDescent="0.25">
      <c r="A1307" t="s">
        <v>5676</v>
      </c>
      <c r="B1307" t="s">
        <v>5677</v>
      </c>
      <c r="C1307" t="s">
        <v>4391</v>
      </c>
      <c r="D1307">
        <v>13</v>
      </c>
      <c r="E1307" t="s">
        <v>4445</v>
      </c>
      <c r="F1307" t="s">
        <v>5678</v>
      </c>
      <c r="G1307" t="s">
        <v>5570</v>
      </c>
      <c r="H1307" t="s">
        <v>4915</v>
      </c>
      <c r="I1307" s="79" t="str">
        <f>IF(Tabla13[[#This Row],[RUT]]=774097899,"DIST",_xlfn.XLOOKUP(Tabla13[[#This Row],[VENDEDOR]],dimensiones!$C$21:$C$28,dimensiones!$D$21:$D$28,""))</f>
        <v>ATEL</v>
      </c>
      <c r="J1307" s="125" t="str">
        <f>_xlfn.XLOOKUP(Tabla13[[#This Row],[REGION]],dimensiones!C:C,dimensiones!D:D,"")</f>
        <v>Región de Metropolitana de Santiago</v>
      </c>
    </row>
    <row r="1308" spans="1:10" ht="14.25" customHeight="1" x14ac:dyDescent="0.25">
      <c r="A1308" t="s">
        <v>978</v>
      </c>
      <c r="B1308" t="s">
        <v>980</v>
      </c>
      <c r="C1308" t="s">
        <v>4465</v>
      </c>
      <c r="D1308">
        <v>13</v>
      </c>
      <c r="E1308" t="s">
        <v>4445</v>
      </c>
      <c r="F1308" t="s">
        <v>3133</v>
      </c>
      <c r="G1308" t="s">
        <v>5570</v>
      </c>
      <c r="H1308" t="s">
        <v>4915</v>
      </c>
      <c r="I1308" s="79" t="str">
        <f>IF(Tabla13[[#This Row],[RUT]]=774097899,"DIST",_xlfn.XLOOKUP(Tabla13[[#This Row],[VENDEDOR]],dimensiones!$C$21:$C$28,dimensiones!$D$21:$D$28,""))</f>
        <v>ATEL</v>
      </c>
      <c r="J1308" s="125" t="str">
        <f>_xlfn.XLOOKUP(Tabla13[[#This Row],[REGION]],dimensiones!C:C,dimensiones!D:D,"")</f>
        <v>Región de Metropolitana de Santiago</v>
      </c>
    </row>
    <row r="1309" spans="1:10" ht="14.25" customHeight="1" x14ac:dyDescent="0.25">
      <c r="A1309">
        <v>778187922</v>
      </c>
      <c r="B1309" t="s">
        <v>573</v>
      </c>
      <c r="C1309" t="s">
        <v>4181</v>
      </c>
      <c r="D1309">
        <v>15</v>
      </c>
      <c r="E1309" t="s">
        <v>4445</v>
      </c>
      <c r="F1309" t="s">
        <v>3135</v>
      </c>
      <c r="G1309" t="s">
        <v>5569</v>
      </c>
      <c r="H1309" t="s">
        <v>4915</v>
      </c>
      <c r="I1309" s="79" t="str">
        <f>IF(Tabla13[[#This Row],[RUT]]=774097899,"DIST",_xlfn.XLOOKUP(Tabla13[[#This Row],[VENDEDOR]],dimensiones!$C$21:$C$28,dimensiones!$D$21:$D$28,""))</f>
        <v>ATEL</v>
      </c>
      <c r="J1309" s="125" t="str">
        <f>_xlfn.XLOOKUP(Tabla13[[#This Row],[REGION]],dimensiones!C:C,dimensiones!D:D,"")</f>
        <v>Región de Arica y Parinacota</v>
      </c>
    </row>
    <row r="1310" spans="1:10" ht="14.25" customHeight="1" x14ac:dyDescent="0.25">
      <c r="A1310">
        <v>778338394</v>
      </c>
      <c r="B1310" t="s">
        <v>5709</v>
      </c>
      <c r="C1310" t="s">
        <v>4171</v>
      </c>
      <c r="D1310">
        <v>4</v>
      </c>
      <c r="E1310" t="s">
        <v>4445</v>
      </c>
      <c r="F1310" t="s">
        <v>5710</v>
      </c>
      <c r="G1310" t="s">
        <v>5568</v>
      </c>
      <c r="H1310" t="s">
        <v>4915</v>
      </c>
      <c r="I1310" s="79" t="str">
        <f>IF(Tabla13[[#This Row],[RUT]]=774097899,"DIST",_xlfn.XLOOKUP(Tabla13[[#This Row],[VENDEDOR]],dimensiones!$C$21:$C$28,dimensiones!$D$21:$D$28,""))</f>
        <v>ATEL</v>
      </c>
      <c r="J1310" s="125" t="str">
        <f>_xlfn.XLOOKUP(Tabla13[[#This Row],[REGION]],dimensiones!C:C,dimensiones!D:D,"")</f>
        <v>Región de Coquimbo</v>
      </c>
    </row>
    <row r="1311" spans="1:10" ht="14.25" customHeight="1" x14ac:dyDescent="0.25">
      <c r="A1311">
        <v>778411377</v>
      </c>
      <c r="B1311" t="s">
        <v>5592</v>
      </c>
      <c r="C1311" t="s">
        <v>4391</v>
      </c>
      <c r="D1311">
        <v>13</v>
      </c>
      <c r="E1311" t="s">
        <v>4445</v>
      </c>
      <c r="F1311" t="s">
        <v>5593</v>
      </c>
      <c r="G1311" t="s">
        <v>5568</v>
      </c>
      <c r="H1311" t="s">
        <v>4915</v>
      </c>
      <c r="I1311" s="79" t="str">
        <f>IF(Tabla13[[#This Row],[RUT]]=774097899,"DIST",_xlfn.XLOOKUP(Tabla13[[#This Row],[VENDEDOR]],dimensiones!$C$21:$C$28,dimensiones!$D$21:$D$28,""))</f>
        <v>ATEL</v>
      </c>
      <c r="J1311" s="125" t="str">
        <f>_xlfn.XLOOKUP(Tabla13[[#This Row],[REGION]],dimensiones!C:C,dimensiones!D:D,"")</f>
        <v>Región de Metropolitana de Santiago</v>
      </c>
    </row>
    <row r="1312" spans="1:10" ht="14.25" customHeight="1" x14ac:dyDescent="0.25">
      <c r="A1312">
        <v>778422891</v>
      </c>
      <c r="B1312" t="s">
        <v>4598</v>
      </c>
      <c r="C1312" t="s">
        <v>4460</v>
      </c>
      <c r="D1312">
        <v>8</v>
      </c>
      <c r="E1312" t="s">
        <v>4445</v>
      </c>
      <c r="F1312" t="s">
        <v>4597</v>
      </c>
      <c r="G1312" t="s">
        <v>5568</v>
      </c>
      <c r="H1312" t="s">
        <v>4915</v>
      </c>
      <c r="I1312" s="79" t="str">
        <f>IF(Tabla13[[#This Row],[RUT]]=774097899,"DIST",_xlfn.XLOOKUP(Tabla13[[#This Row],[VENDEDOR]],dimensiones!$C$21:$C$28,dimensiones!$D$21:$D$28,""))</f>
        <v>ATEL</v>
      </c>
      <c r="J1312" s="125" t="str">
        <f>_xlfn.XLOOKUP(Tabla13[[#This Row],[REGION]],dimensiones!C:C,dimensiones!D:D,"")</f>
        <v>Región de Biobío</v>
      </c>
    </row>
    <row r="1313" spans="1:10" ht="14.25" customHeight="1" x14ac:dyDescent="0.25">
      <c r="A1313">
        <v>778551837</v>
      </c>
      <c r="B1313" t="s">
        <v>5451</v>
      </c>
      <c r="C1313" t="s">
        <v>4391</v>
      </c>
      <c r="D1313">
        <v>13</v>
      </c>
      <c r="E1313" t="s">
        <v>4445</v>
      </c>
      <c r="F1313" t="s">
        <v>5452</v>
      </c>
      <c r="G1313" t="s">
        <v>5568</v>
      </c>
      <c r="H1313" t="s">
        <v>4915</v>
      </c>
      <c r="I1313" s="79" t="str">
        <f>IF(Tabla13[[#This Row],[RUT]]=774097899,"DIST",_xlfn.XLOOKUP(Tabla13[[#This Row],[VENDEDOR]],dimensiones!$C$21:$C$28,dimensiones!$D$21:$D$28,""))</f>
        <v>ATEL</v>
      </c>
      <c r="J1313" s="125" t="str">
        <f>_xlfn.XLOOKUP(Tabla13[[#This Row],[REGION]],dimensiones!C:C,dimensiones!D:D,"")</f>
        <v>Región de Metropolitana de Santiago</v>
      </c>
    </row>
    <row r="1314" spans="1:10" ht="14.25" customHeight="1" x14ac:dyDescent="0.25">
      <c r="A1314">
        <v>778653494</v>
      </c>
      <c r="B1314" t="s">
        <v>3138</v>
      </c>
      <c r="C1314" t="s">
        <v>4175</v>
      </c>
      <c r="D1314">
        <v>5</v>
      </c>
      <c r="E1314" t="s">
        <v>4445</v>
      </c>
      <c r="F1314" t="s">
        <v>3137</v>
      </c>
      <c r="G1314" t="s">
        <v>5568</v>
      </c>
      <c r="H1314" t="s">
        <v>4915</v>
      </c>
      <c r="I1314" s="79" t="str">
        <f>IF(Tabla13[[#This Row],[RUT]]=774097899,"DIST",_xlfn.XLOOKUP(Tabla13[[#This Row],[VENDEDOR]],dimensiones!$C$21:$C$28,dimensiones!$D$21:$D$28,""))</f>
        <v>ATEL</v>
      </c>
      <c r="J1314" s="125" t="str">
        <f>_xlfn.XLOOKUP(Tabla13[[#This Row],[REGION]],dimensiones!C:C,dimensiones!D:D,"")</f>
        <v>Región de Valparaíso</v>
      </c>
    </row>
    <row r="1315" spans="1:10" ht="14.25" customHeight="1" x14ac:dyDescent="0.25">
      <c r="A1315">
        <v>778744848</v>
      </c>
      <c r="B1315" t="s">
        <v>3574</v>
      </c>
      <c r="C1315" t="s">
        <v>4380</v>
      </c>
      <c r="D1315">
        <v>8</v>
      </c>
      <c r="E1315" t="s">
        <v>4445</v>
      </c>
      <c r="F1315" t="s">
        <v>3573</v>
      </c>
      <c r="G1315" t="s">
        <v>5568</v>
      </c>
      <c r="H1315" t="s">
        <v>4915</v>
      </c>
      <c r="I1315" s="79" t="str">
        <f>IF(Tabla13[[#This Row],[RUT]]=774097899,"DIST",_xlfn.XLOOKUP(Tabla13[[#This Row],[VENDEDOR]],dimensiones!$C$21:$C$28,dimensiones!$D$21:$D$28,""))</f>
        <v>ATEL</v>
      </c>
      <c r="J1315" s="125" t="str">
        <f>_xlfn.XLOOKUP(Tabla13[[#This Row],[REGION]],dimensiones!C:C,dimensiones!D:D,"")</f>
        <v>Región de Biobío</v>
      </c>
    </row>
    <row r="1316" spans="1:10" ht="14.25" customHeight="1" x14ac:dyDescent="0.25">
      <c r="A1316">
        <v>778781700</v>
      </c>
      <c r="B1316" t="s">
        <v>574</v>
      </c>
      <c r="C1316" t="s">
        <v>4197</v>
      </c>
      <c r="D1316">
        <v>13</v>
      </c>
      <c r="E1316" t="s">
        <v>4445</v>
      </c>
      <c r="F1316" t="s">
        <v>2109</v>
      </c>
      <c r="G1316" t="s">
        <v>5570</v>
      </c>
      <c r="H1316" t="s">
        <v>4915</v>
      </c>
      <c r="I1316" s="79" t="str">
        <f>IF(Tabla13[[#This Row],[RUT]]=774097899,"DIST",_xlfn.XLOOKUP(Tabla13[[#This Row],[VENDEDOR]],dimensiones!$C$21:$C$28,dimensiones!$D$21:$D$28,""))</f>
        <v>ATEL</v>
      </c>
      <c r="J1316" s="125" t="str">
        <f>_xlfn.XLOOKUP(Tabla13[[#This Row],[REGION]],dimensiones!C:C,dimensiones!D:D,"")</f>
        <v>Región de Metropolitana de Santiago</v>
      </c>
    </row>
    <row r="1317" spans="1:10" ht="14.25" customHeight="1" x14ac:dyDescent="0.25">
      <c r="A1317">
        <v>778830833</v>
      </c>
      <c r="B1317" t="s">
        <v>1101</v>
      </c>
      <c r="C1317" t="s">
        <v>4401</v>
      </c>
      <c r="D1317">
        <v>13</v>
      </c>
      <c r="E1317" t="s">
        <v>4445</v>
      </c>
      <c r="F1317" t="s">
        <v>1923</v>
      </c>
      <c r="G1317" t="s">
        <v>5568</v>
      </c>
      <c r="H1317" t="s">
        <v>4915</v>
      </c>
      <c r="I1317" s="79" t="str">
        <f>IF(Tabla13[[#This Row],[RUT]]=774097899,"DIST",_xlfn.XLOOKUP(Tabla13[[#This Row],[VENDEDOR]],dimensiones!$C$21:$C$28,dimensiones!$D$21:$D$28,""))</f>
        <v>ATEL</v>
      </c>
      <c r="J1317" s="125" t="str">
        <f>_xlfn.XLOOKUP(Tabla13[[#This Row],[REGION]],dimensiones!C:C,dimensiones!D:D,"")</f>
        <v>Región de Metropolitana de Santiago</v>
      </c>
    </row>
    <row r="1318" spans="1:10" ht="14.25" customHeight="1" x14ac:dyDescent="0.25">
      <c r="A1318">
        <v>778962551</v>
      </c>
      <c r="B1318" t="s">
        <v>5488</v>
      </c>
      <c r="C1318" t="s">
        <v>4560</v>
      </c>
      <c r="D1318">
        <v>10</v>
      </c>
      <c r="E1318" t="s">
        <v>4445</v>
      </c>
      <c r="F1318" t="s">
        <v>5489</v>
      </c>
      <c r="G1318" t="s">
        <v>5569</v>
      </c>
      <c r="H1318" t="s">
        <v>4915</v>
      </c>
      <c r="I1318" s="79" t="str">
        <f>IF(Tabla13[[#This Row],[RUT]]=774097899,"DIST",_xlfn.XLOOKUP(Tabla13[[#This Row],[VENDEDOR]],dimensiones!$C$21:$C$28,dimensiones!$D$21:$D$28,""))</f>
        <v>ATEL</v>
      </c>
      <c r="J1318" s="125" t="str">
        <f>_xlfn.XLOOKUP(Tabla13[[#This Row],[REGION]],dimensiones!C:C,dimensiones!D:D,"")</f>
        <v>Región de Los Lagos</v>
      </c>
    </row>
    <row r="1319" spans="1:10" ht="14.25" customHeight="1" x14ac:dyDescent="0.25">
      <c r="A1319" t="s">
        <v>5535</v>
      </c>
      <c r="B1319" t="s">
        <v>5536</v>
      </c>
      <c r="C1319" t="s">
        <v>4458</v>
      </c>
      <c r="D1319">
        <v>13</v>
      </c>
      <c r="E1319" t="s">
        <v>4445</v>
      </c>
      <c r="F1319" t="s">
        <v>5537</v>
      </c>
      <c r="G1319" t="s">
        <v>5568</v>
      </c>
      <c r="H1319" t="s">
        <v>4915</v>
      </c>
      <c r="I1319" s="79" t="str">
        <f>IF(Tabla13[[#This Row],[RUT]]=774097899,"DIST",_xlfn.XLOOKUP(Tabla13[[#This Row],[VENDEDOR]],dimensiones!$C$21:$C$28,dimensiones!$D$21:$D$28,""))</f>
        <v>ATEL</v>
      </c>
      <c r="J1319" s="125" t="str">
        <f>_xlfn.XLOOKUP(Tabla13[[#This Row],[REGION]],dimensiones!C:C,dimensiones!D:D,"")</f>
        <v>Región de Metropolitana de Santiago</v>
      </c>
    </row>
    <row r="1320" spans="1:10" ht="14.25" customHeight="1" x14ac:dyDescent="0.25">
      <c r="A1320">
        <v>778997223</v>
      </c>
      <c r="B1320" t="s">
        <v>1016</v>
      </c>
      <c r="C1320" t="s">
        <v>4552</v>
      </c>
      <c r="D1320">
        <v>13</v>
      </c>
      <c r="E1320" t="s">
        <v>4445</v>
      </c>
      <c r="F1320" t="s">
        <v>3145</v>
      </c>
      <c r="G1320" t="s">
        <v>5568</v>
      </c>
      <c r="H1320" t="s">
        <v>4915</v>
      </c>
      <c r="I1320" s="79" t="str">
        <f>IF(Tabla13[[#This Row],[RUT]]=774097899,"DIST",_xlfn.XLOOKUP(Tabla13[[#This Row],[VENDEDOR]],dimensiones!$C$21:$C$28,dimensiones!$D$21:$D$28,""))</f>
        <v>ATEL</v>
      </c>
      <c r="J1320" s="125" t="str">
        <f>_xlfn.XLOOKUP(Tabla13[[#This Row],[REGION]],dimensiones!C:C,dimensiones!D:D,"")</f>
        <v>Región de Metropolitana de Santiago</v>
      </c>
    </row>
    <row r="1321" spans="1:10" ht="14.25" customHeight="1" x14ac:dyDescent="0.25">
      <c r="A1321">
        <v>779008525</v>
      </c>
      <c r="B1321" t="s">
        <v>4600</v>
      </c>
      <c r="C1321" t="s">
        <v>4401</v>
      </c>
      <c r="D1321">
        <v>13</v>
      </c>
      <c r="E1321" t="s">
        <v>4445</v>
      </c>
      <c r="F1321" t="s">
        <v>4599</v>
      </c>
      <c r="G1321" t="s">
        <v>5568</v>
      </c>
      <c r="H1321" t="s">
        <v>4915</v>
      </c>
      <c r="I1321" s="79" t="str">
        <f>IF(Tabla13[[#This Row],[RUT]]=774097899,"DIST",_xlfn.XLOOKUP(Tabla13[[#This Row],[VENDEDOR]],dimensiones!$C$21:$C$28,dimensiones!$D$21:$D$28,""))</f>
        <v>ATEL</v>
      </c>
      <c r="J1321" s="125" t="str">
        <f>_xlfn.XLOOKUP(Tabla13[[#This Row],[REGION]],dimensiones!C:C,dimensiones!D:D,"")</f>
        <v>Región de Metropolitana de Santiago</v>
      </c>
    </row>
    <row r="1322" spans="1:10" ht="14.25" customHeight="1" x14ac:dyDescent="0.25">
      <c r="A1322">
        <v>779033414</v>
      </c>
      <c r="B1322" t="s">
        <v>952</v>
      </c>
      <c r="C1322" t="s">
        <v>4465</v>
      </c>
      <c r="D1322">
        <v>13</v>
      </c>
      <c r="E1322" t="s">
        <v>4445</v>
      </c>
      <c r="F1322" t="s">
        <v>3147</v>
      </c>
      <c r="G1322" t="s">
        <v>5568</v>
      </c>
      <c r="H1322" t="s">
        <v>4915</v>
      </c>
      <c r="I1322" s="79" t="str">
        <f>IF(Tabla13[[#This Row],[RUT]]=774097899,"DIST",_xlfn.XLOOKUP(Tabla13[[#This Row],[VENDEDOR]],dimensiones!$C$21:$C$28,dimensiones!$D$21:$D$28,""))</f>
        <v>ATEL</v>
      </c>
      <c r="J1322" s="125" t="str">
        <f>_xlfn.XLOOKUP(Tabla13[[#This Row],[REGION]],dimensiones!C:C,dimensiones!D:D,"")</f>
        <v>Región de Metropolitana de Santiago</v>
      </c>
    </row>
    <row r="1323" spans="1:10" ht="14.25" customHeight="1" x14ac:dyDescent="0.25">
      <c r="A1323">
        <v>779039218</v>
      </c>
      <c r="B1323" t="s">
        <v>5558</v>
      </c>
      <c r="C1323" t="s">
        <v>4175</v>
      </c>
      <c r="D1323">
        <v>5</v>
      </c>
      <c r="E1323" t="s">
        <v>4445</v>
      </c>
      <c r="F1323" t="s">
        <v>5559</v>
      </c>
      <c r="G1323" t="s">
        <v>5570</v>
      </c>
      <c r="H1323" t="s">
        <v>4915</v>
      </c>
      <c r="I1323" s="79" t="str">
        <f>IF(Tabla13[[#This Row],[RUT]]=774097899,"DIST",_xlfn.XLOOKUP(Tabla13[[#This Row],[VENDEDOR]],dimensiones!$C$21:$C$28,dimensiones!$D$21:$D$28,""))</f>
        <v>ATEL</v>
      </c>
      <c r="J1323" s="125" t="str">
        <f>_xlfn.XLOOKUP(Tabla13[[#This Row],[REGION]],dimensiones!C:C,dimensiones!D:D,"")</f>
        <v>Región de Valparaíso</v>
      </c>
    </row>
    <row r="1324" spans="1:10" ht="14.25" customHeight="1" x14ac:dyDescent="0.25">
      <c r="A1324">
        <v>779041808</v>
      </c>
      <c r="B1324" t="s">
        <v>1205</v>
      </c>
      <c r="C1324" t="s">
        <v>4203</v>
      </c>
      <c r="D1324">
        <v>6</v>
      </c>
      <c r="E1324" t="s">
        <v>4445</v>
      </c>
      <c r="F1324" t="s">
        <v>1204</v>
      </c>
      <c r="G1324" t="s">
        <v>5568</v>
      </c>
      <c r="H1324" t="s">
        <v>4915</v>
      </c>
      <c r="I1324" s="79" t="str">
        <f>IF(Tabla13[[#This Row],[RUT]]=774097899,"DIST",_xlfn.XLOOKUP(Tabla13[[#This Row],[VENDEDOR]],dimensiones!$C$21:$C$28,dimensiones!$D$21:$D$28,""))</f>
        <v>ATEL</v>
      </c>
      <c r="J1324" s="125" t="str">
        <f>_xlfn.XLOOKUP(Tabla13[[#This Row],[REGION]],dimensiones!C:C,dimensiones!D:D,"")</f>
        <v>Región de Libertador General Bernardo O'Higgins</v>
      </c>
    </row>
    <row r="1325" spans="1:10" ht="14.25" customHeight="1" x14ac:dyDescent="0.25">
      <c r="A1325">
        <v>779049493</v>
      </c>
      <c r="B1325" t="s">
        <v>1102</v>
      </c>
      <c r="C1325" t="s">
        <v>4510</v>
      </c>
      <c r="D1325">
        <v>13</v>
      </c>
      <c r="E1325" t="s">
        <v>4445</v>
      </c>
      <c r="F1325" t="s">
        <v>2226</v>
      </c>
      <c r="G1325" t="s">
        <v>5569</v>
      </c>
      <c r="H1325" t="s">
        <v>4915</v>
      </c>
      <c r="I1325" s="79" t="str">
        <f>IF(Tabla13[[#This Row],[RUT]]=774097899,"DIST",_xlfn.XLOOKUP(Tabla13[[#This Row],[VENDEDOR]],dimensiones!$C$21:$C$28,dimensiones!$D$21:$D$28,""))</f>
        <v>ATEL</v>
      </c>
      <c r="J1325" s="125" t="str">
        <f>_xlfn.XLOOKUP(Tabla13[[#This Row],[REGION]],dimensiones!C:C,dimensiones!D:D,"")</f>
        <v>Región de Metropolitana de Santiago</v>
      </c>
    </row>
    <row r="1326" spans="1:10" ht="14.25" customHeight="1" x14ac:dyDescent="0.25">
      <c r="A1326">
        <v>779140350</v>
      </c>
      <c r="B1326" t="s">
        <v>5515</v>
      </c>
      <c r="C1326" t="s">
        <v>4529</v>
      </c>
      <c r="D1326">
        <v>13</v>
      </c>
      <c r="E1326" t="s">
        <v>4445</v>
      </c>
      <c r="F1326" t="s">
        <v>5516</v>
      </c>
      <c r="G1326" t="s">
        <v>5569</v>
      </c>
      <c r="H1326" t="s">
        <v>4915</v>
      </c>
      <c r="I1326" s="79" t="str">
        <f>IF(Tabla13[[#This Row],[RUT]]=774097899,"DIST",_xlfn.XLOOKUP(Tabla13[[#This Row],[VENDEDOR]],dimensiones!$C$21:$C$28,dimensiones!$D$21:$D$28,""))</f>
        <v>ATEL</v>
      </c>
      <c r="J1326" s="125" t="str">
        <f>_xlfn.XLOOKUP(Tabla13[[#This Row],[REGION]],dimensiones!C:C,dimensiones!D:D,"")</f>
        <v>Región de Metropolitana de Santiago</v>
      </c>
    </row>
    <row r="1327" spans="1:10" ht="14.25" customHeight="1" x14ac:dyDescent="0.25">
      <c r="A1327">
        <v>779278468</v>
      </c>
      <c r="B1327" t="s">
        <v>5611</v>
      </c>
      <c r="C1327" t="s">
        <v>4251</v>
      </c>
      <c r="D1327">
        <v>5</v>
      </c>
      <c r="E1327" t="s">
        <v>4445</v>
      </c>
      <c r="F1327" t="s">
        <v>5612</v>
      </c>
      <c r="G1327" t="s">
        <v>5570</v>
      </c>
      <c r="H1327" t="s">
        <v>4915</v>
      </c>
      <c r="I1327" s="79" t="str">
        <f>IF(Tabla13[[#This Row],[RUT]]=774097899,"DIST",_xlfn.XLOOKUP(Tabla13[[#This Row],[VENDEDOR]],dimensiones!$C$21:$C$28,dimensiones!$D$21:$D$28,""))</f>
        <v>ATEL</v>
      </c>
      <c r="J1327" s="125" t="str">
        <f>_xlfn.XLOOKUP(Tabla13[[#This Row],[REGION]],dimensiones!C:C,dimensiones!D:D,"")</f>
        <v>Región de Valparaíso</v>
      </c>
    </row>
    <row r="1328" spans="1:10" ht="14.25" customHeight="1" x14ac:dyDescent="0.25">
      <c r="A1328">
        <v>779311201</v>
      </c>
      <c r="B1328" t="s">
        <v>3152</v>
      </c>
      <c r="C1328" t="s">
        <v>4410</v>
      </c>
      <c r="D1328">
        <v>13</v>
      </c>
      <c r="E1328" t="s">
        <v>4445</v>
      </c>
      <c r="F1328" t="s">
        <v>3151</v>
      </c>
      <c r="G1328" t="s">
        <v>5568</v>
      </c>
      <c r="H1328" t="s">
        <v>4915</v>
      </c>
      <c r="I1328" s="79" t="str">
        <f>IF(Tabla13[[#This Row],[RUT]]=774097899,"DIST",_xlfn.XLOOKUP(Tabla13[[#This Row],[VENDEDOR]],dimensiones!$C$21:$C$28,dimensiones!$D$21:$D$28,""))</f>
        <v>ATEL</v>
      </c>
      <c r="J1328" s="125" t="str">
        <f>_xlfn.XLOOKUP(Tabla13[[#This Row],[REGION]],dimensiones!C:C,dimensiones!D:D,"")</f>
        <v>Región de Metropolitana de Santiago</v>
      </c>
    </row>
    <row r="1329" spans="1:10" ht="14.25" customHeight="1" x14ac:dyDescent="0.25">
      <c r="A1329">
        <v>779315088</v>
      </c>
      <c r="B1329" t="s">
        <v>4438</v>
      </c>
      <c r="C1329" t="s">
        <v>4510</v>
      </c>
      <c r="D1329">
        <v>13</v>
      </c>
      <c r="E1329" t="s">
        <v>4445</v>
      </c>
      <c r="F1329" t="s">
        <v>4601</v>
      </c>
      <c r="G1329" t="s">
        <v>5569</v>
      </c>
      <c r="H1329" t="s">
        <v>4915</v>
      </c>
      <c r="I1329" s="79" t="str">
        <f>IF(Tabla13[[#This Row],[RUT]]=774097899,"DIST",_xlfn.XLOOKUP(Tabla13[[#This Row],[VENDEDOR]],dimensiones!$C$21:$C$28,dimensiones!$D$21:$D$28,""))</f>
        <v>ATEL</v>
      </c>
      <c r="J1329" s="125" t="str">
        <f>_xlfn.XLOOKUP(Tabla13[[#This Row],[REGION]],dimensiones!C:C,dimensiones!D:D,"")</f>
        <v>Región de Metropolitana de Santiago</v>
      </c>
    </row>
    <row r="1330" spans="1:10" ht="14.25" customHeight="1" x14ac:dyDescent="0.25">
      <c r="A1330">
        <v>779421945</v>
      </c>
      <c r="B1330" t="s">
        <v>5613</v>
      </c>
      <c r="C1330" t="s">
        <v>4552</v>
      </c>
      <c r="D1330">
        <v>13</v>
      </c>
      <c r="E1330" t="s">
        <v>4445</v>
      </c>
      <c r="F1330" t="s">
        <v>5614</v>
      </c>
      <c r="G1330" t="s">
        <v>5568</v>
      </c>
      <c r="H1330" t="s">
        <v>4915</v>
      </c>
      <c r="I1330" s="79" t="str">
        <f>IF(Tabla13[[#This Row],[RUT]]=774097899,"DIST",_xlfn.XLOOKUP(Tabla13[[#This Row],[VENDEDOR]],dimensiones!$C$21:$C$28,dimensiones!$D$21:$D$28,""))</f>
        <v>ATEL</v>
      </c>
      <c r="J1330" s="125" t="str">
        <f>_xlfn.XLOOKUP(Tabla13[[#This Row],[REGION]],dimensiones!C:C,dimensiones!D:D,"")</f>
        <v>Región de Metropolitana de Santiago</v>
      </c>
    </row>
    <row r="1331" spans="1:10" ht="14.25" customHeight="1" x14ac:dyDescent="0.25">
      <c r="A1331">
        <v>779453456</v>
      </c>
      <c r="B1331" t="s">
        <v>3154</v>
      </c>
      <c r="C1331" t="s">
        <v>4409</v>
      </c>
      <c r="D1331">
        <v>13</v>
      </c>
      <c r="E1331" t="s">
        <v>4445</v>
      </c>
      <c r="F1331" t="s">
        <v>3153</v>
      </c>
      <c r="G1331" t="s">
        <v>5568</v>
      </c>
      <c r="H1331" t="s">
        <v>4915</v>
      </c>
      <c r="I1331" s="79" t="str">
        <f>IF(Tabla13[[#This Row],[RUT]]=774097899,"DIST",_xlfn.XLOOKUP(Tabla13[[#This Row],[VENDEDOR]],dimensiones!$C$21:$C$28,dimensiones!$D$21:$D$28,""))</f>
        <v>ATEL</v>
      </c>
      <c r="J1331" s="125" t="str">
        <f>_xlfn.XLOOKUP(Tabla13[[#This Row],[REGION]],dimensiones!C:C,dimensiones!D:D,"")</f>
        <v>Región de Metropolitana de Santiago</v>
      </c>
    </row>
    <row r="1332" spans="1:10" ht="14.25" customHeight="1" x14ac:dyDescent="0.25">
      <c r="A1332">
        <v>779499839</v>
      </c>
      <c r="B1332" t="s">
        <v>4603</v>
      </c>
      <c r="C1332" t="s">
        <v>4465</v>
      </c>
      <c r="D1332">
        <v>13</v>
      </c>
      <c r="E1332" t="s">
        <v>4445</v>
      </c>
      <c r="F1332" t="s">
        <v>4602</v>
      </c>
      <c r="G1332" t="s">
        <v>5568</v>
      </c>
      <c r="H1332" t="s">
        <v>4915</v>
      </c>
      <c r="I1332" s="79" t="str">
        <f>IF(Tabla13[[#This Row],[RUT]]=774097899,"DIST",_xlfn.XLOOKUP(Tabla13[[#This Row],[VENDEDOR]],dimensiones!$C$21:$C$28,dimensiones!$D$21:$D$28,""))</f>
        <v>ATEL</v>
      </c>
      <c r="J1332" s="125" t="str">
        <f>_xlfn.XLOOKUP(Tabla13[[#This Row],[REGION]],dimensiones!C:C,dimensiones!D:D,"")</f>
        <v>Región de Metropolitana de Santiago</v>
      </c>
    </row>
    <row r="1333" spans="1:10" ht="14.25" customHeight="1" x14ac:dyDescent="0.25">
      <c r="A1333">
        <v>779544508</v>
      </c>
      <c r="B1333" t="s">
        <v>576</v>
      </c>
      <c r="C1333" t="s">
        <v>4465</v>
      </c>
      <c r="D1333">
        <v>13</v>
      </c>
      <c r="E1333" t="s">
        <v>4445</v>
      </c>
      <c r="F1333" t="s">
        <v>3156</v>
      </c>
      <c r="G1333" t="s">
        <v>5570</v>
      </c>
      <c r="H1333" t="s">
        <v>4915</v>
      </c>
      <c r="I1333" s="79" t="str">
        <f>IF(Tabla13[[#This Row],[RUT]]=774097899,"DIST",_xlfn.XLOOKUP(Tabla13[[#This Row],[VENDEDOR]],dimensiones!$C$21:$C$28,dimensiones!$D$21:$D$28,""))</f>
        <v>ATEL</v>
      </c>
      <c r="J1333" s="125" t="str">
        <f>_xlfn.XLOOKUP(Tabla13[[#This Row],[REGION]],dimensiones!C:C,dimensiones!D:D,"")</f>
        <v>Región de Metropolitana de Santiago</v>
      </c>
    </row>
    <row r="1334" spans="1:10" ht="14.25" customHeight="1" x14ac:dyDescent="0.25">
      <c r="A1334">
        <v>779583074</v>
      </c>
      <c r="B1334" t="s">
        <v>4984</v>
      </c>
      <c r="C1334" t="s">
        <v>4395</v>
      </c>
      <c r="D1334">
        <v>13</v>
      </c>
      <c r="E1334" t="s">
        <v>4445</v>
      </c>
      <c r="F1334" t="s">
        <v>4985</v>
      </c>
      <c r="G1334" t="s">
        <v>5568</v>
      </c>
      <c r="H1334" t="s">
        <v>4915</v>
      </c>
      <c r="I1334" s="79" t="str">
        <f>IF(Tabla13[[#This Row],[RUT]]=774097899,"DIST",_xlfn.XLOOKUP(Tabla13[[#This Row],[VENDEDOR]],dimensiones!$C$21:$C$28,dimensiones!$D$21:$D$28,""))</f>
        <v>ATEL</v>
      </c>
      <c r="J1334" s="125" t="str">
        <f>_xlfn.XLOOKUP(Tabla13[[#This Row],[REGION]],dimensiones!C:C,dimensiones!D:D,"")</f>
        <v>Región de Metropolitana de Santiago</v>
      </c>
    </row>
    <row r="1335" spans="1:10" ht="14.25" customHeight="1" x14ac:dyDescent="0.25">
      <c r="A1335">
        <v>779619664</v>
      </c>
      <c r="B1335" t="s">
        <v>5594</v>
      </c>
      <c r="C1335" t="s">
        <v>4557</v>
      </c>
      <c r="D1335">
        <v>13</v>
      </c>
      <c r="E1335" t="s">
        <v>4445</v>
      </c>
      <c r="F1335" t="s">
        <v>5595</v>
      </c>
      <c r="G1335" t="s">
        <v>5568</v>
      </c>
      <c r="H1335" t="s">
        <v>4915</v>
      </c>
      <c r="I1335" s="79" t="str">
        <f>IF(Tabla13[[#This Row],[RUT]]=774097899,"DIST",_xlfn.XLOOKUP(Tabla13[[#This Row],[VENDEDOR]],dimensiones!$C$21:$C$28,dimensiones!$D$21:$D$28,""))</f>
        <v>ATEL</v>
      </c>
      <c r="J1335" s="125" t="str">
        <f>_xlfn.XLOOKUP(Tabla13[[#This Row],[REGION]],dimensiones!C:C,dimensiones!D:D,"")</f>
        <v>Región de Metropolitana de Santiago</v>
      </c>
    </row>
    <row r="1336" spans="1:10" ht="14.25" customHeight="1" x14ac:dyDescent="0.25">
      <c r="A1336">
        <v>779682609</v>
      </c>
      <c r="B1336" t="s">
        <v>1010</v>
      </c>
      <c r="C1336" t="s">
        <v>4391</v>
      </c>
      <c r="D1336">
        <v>13</v>
      </c>
      <c r="E1336" t="s">
        <v>4445</v>
      </c>
      <c r="F1336" t="s">
        <v>3158</v>
      </c>
      <c r="G1336" t="s">
        <v>5568</v>
      </c>
      <c r="H1336" t="s">
        <v>4915</v>
      </c>
      <c r="I1336" s="79" t="str">
        <f>IF(Tabla13[[#This Row],[RUT]]=774097899,"DIST",_xlfn.XLOOKUP(Tabla13[[#This Row],[VENDEDOR]],dimensiones!$C$21:$C$28,dimensiones!$D$21:$D$28,""))</f>
        <v>ATEL</v>
      </c>
      <c r="J1336" s="125" t="str">
        <f>_xlfn.XLOOKUP(Tabla13[[#This Row],[REGION]],dimensiones!C:C,dimensiones!D:D,"")</f>
        <v>Región de Metropolitana de Santiago</v>
      </c>
    </row>
    <row r="1337" spans="1:10" ht="14.25" customHeight="1" x14ac:dyDescent="0.25">
      <c r="A1337">
        <v>779685918</v>
      </c>
      <c r="B1337" t="s">
        <v>5725</v>
      </c>
      <c r="C1337" t="s">
        <v>4391</v>
      </c>
      <c r="D1337">
        <v>13</v>
      </c>
      <c r="E1337" t="s">
        <v>4445</v>
      </c>
      <c r="F1337" t="s">
        <v>5726</v>
      </c>
      <c r="G1337" t="s">
        <v>5568</v>
      </c>
      <c r="H1337" t="s">
        <v>4915</v>
      </c>
      <c r="I1337" s="79" t="str">
        <f>IF(Tabla13[[#This Row],[RUT]]=774097899,"DIST",_xlfn.XLOOKUP(Tabla13[[#This Row],[VENDEDOR]],dimensiones!$C$21:$C$28,dimensiones!$D$21:$D$28,""))</f>
        <v>ATEL</v>
      </c>
      <c r="J1337" s="125" t="str">
        <f>_xlfn.XLOOKUP(Tabla13[[#This Row],[REGION]],dimensiones!C:C,dimensiones!D:D,"")</f>
        <v>Región de Metropolitana de Santiago</v>
      </c>
    </row>
    <row r="1338" spans="1:10" ht="14.25" customHeight="1" x14ac:dyDescent="0.25">
      <c r="A1338">
        <v>779771067</v>
      </c>
      <c r="B1338" t="s">
        <v>4605</v>
      </c>
      <c r="C1338" t="s">
        <v>4416</v>
      </c>
      <c r="D1338">
        <v>13</v>
      </c>
      <c r="E1338" t="s">
        <v>4445</v>
      </c>
      <c r="F1338" t="s">
        <v>4604</v>
      </c>
      <c r="G1338" t="s">
        <v>5568</v>
      </c>
      <c r="H1338" t="s">
        <v>4915</v>
      </c>
      <c r="I1338" s="79" t="str">
        <f>IF(Tabla13[[#This Row],[RUT]]=774097899,"DIST",_xlfn.XLOOKUP(Tabla13[[#This Row],[VENDEDOR]],dimensiones!$C$21:$C$28,dimensiones!$D$21:$D$28,""))</f>
        <v>ATEL</v>
      </c>
      <c r="J1338" s="125" t="str">
        <f>_xlfn.XLOOKUP(Tabla13[[#This Row],[REGION]],dimensiones!C:C,dimensiones!D:D,"")</f>
        <v>Región de Metropolitana de Santiago</v>
      </c>
    </row>
    <row r="1339" spans="1:10" ht="14.25" customHeight="1" x14ac:dyDescent="0.25">
      <c r="A1339">
        <v>779945324</v>
      </c>
      <c r="B1339" t="s">
        <v>5635</v>
      </c>
      <c r="C1339" t="s">
        <v>4391</v>
      </c>
      <c r="D1339">
        <v>13</v>
      </c>
      <c r="E1339" t="s">
        <v>4445</v>
      </c>
      <c r="F1339" t="s">
        <v>5636</v>
      </c>
      <c r="G1339" t="s">
        <v>5568</v>
      </c>
      <c r="H1339" t="s">
        <v>4915</v>
      </c>
      <c r="I1339" s="79" t="str">
        <f>IF(Tabla13[[#This Row],[RUT]]=774097899,"DIST",_xlfn.XLOOKUP(Tabla13[[#This Row],[VENDEDOR]],dimensiones!$C$21:$C$28,dimensiones!$D$21:$D$28,""))</f>
        <v>ATEL</v>
      </c>
      <c r="J1339" s="125" t="str">
        <f>_xlfn.XLOOKUP(Tabla13[[#This Row],[REGION]],dimensiones!C:C,dimensiones!D:D,"")</f>
        <v>Región de Metropolitana de Santiago</v>
      </c>
    </row>
    <row r="1340" spans="1:10" ht="14.25" customHeight="1" x14ac:dyDescent="0.25">
      <c r="A1340" t="s">
        <v>5704</v>
      </c>
      <c r="B1340" t="s">
        <v>5705</v>
      </c>
      <c r="C1340" t="s">
        <v>4528</v>
      </c>
      <c r="D1340">
        <v>13</v>
      </c>
      <c r="E1340" t="s">
        <v>4445</v>
      </c>
      <c r="F1340" t="s">
        <v>5706</v>
      </c>
      <c r="G1340" t="s">
        <v>5568</v>
      </c>
      <c r="H1340" t="s">
        <v>4915</v>
      </c>
      <c r="I1340" s="79" t="str">
        <f>IF(Tabla13[[#This Row],[RUT]]=774097899,"DIST",_xlfn.XLOOKUP(Tabla13[[#This Row],[VENDEDOR]],dimensiones!$C$21:$C$28,dimensiones!$D$21:$D$28,""))</f>
        <v>ATEL</v>
      </c>
      <c r="J1340" s="125" t="str">
        <f>_xlfn.XLOOKUP(Tabla13[[#This Row],[REGION]],dimensiones!C:C,dimensiones!D:D,"")</f>
        <v>Región de Metropolitana de Santiago</v>
      </c>
    </row>
    <row r="1341" spans="1:10" ht="14.25" customHeight="1" x14ac:dyDescent="0.25">
      <c r="A1341">
        <v>779994686</v>
      </c>
      <c r="B1341" t="s">
        <v>5479</v>
      </c>
      <c r="C1341" t="s">
        <v>4209</v>
      </c>
      <c r="D1341">
        <v>6</v>
      </c>
      <c r="E1341" t="s">
        <v>4445</v>
      </c>
      <c r="F1341" t="s">
        <v>5480</v>
      </c>
      <c r="G1341" t="s">
        <v>5570</v>
      </c>
      <c r="H1341" t="s">
        <v>4915</v>
      </c>
      <c r="I1341" s="79" t="str">
        <f>IF(Tabla13[[#This Row],[RUT]]=774097899,"DIST",_xlfn.XLOOKUP(Tabla13[[#This Row],[VENDEDOR]],dimensiones!$C$21:$C$28,dimensiones!$D$21:$D$28,""))</f>
        <v>ATEL</v>
      </c>
      <c r="J1341" s="125" t="str">
        <f>_xlfn.XLOOKUP(Tabla13[[#This Row],[REGION]],dimensiones!C:C,dimensiones!D:D,"")</f>
        <v>Región de Libertador General Bernardo O'Higgins</v>
      </c>
    </row>
    <row r="1342" spans="1:10" ht="14.25" customHeight="1" x14ac:dyDescent="0.25">
      <c r="A1342">
        <v>780009640</v>
      </c>
      <c r="B1342" t="s">
        <v>5439</v>
      </c>
      <c r="C1342" t="s">
        <v>4395</v>
      </c>
      <c r="D1342">
        <v>13</v>
      </c>
      <c r="E1342" t="s">
        <v>4445</v>
      </c>
      <c r="F1342" t="s">
        <v>5440</v>
      </c>
      <c r="G1342" t="s">
        <v>5568</v>
      </c>
      <c r="H1342" t="s">
        <v>4915</v>
      </c>
      <c r="I1342" s="79" t="str">
        <f>IF(Tabla13[[#This Row],[RUT]]=774097899,"DIST",_xlfn.XLOOKUP(Tabla13[[#This Row],[VENDEDOR]],dimensiones!$C$21:$C$28,dimensiones!$D$21:$D$28,""))</f>
        <v>ATEL</v>
      </c>
      <c r="J1342" s="125" t="str">
        <f>_xlfn.XLOOKUP(Tabla13[[#This Row],[REGION]],dimensiones!C:C,dimensiones!D:D,"")</f>
        <v>Región de Metropolitana de Santiago</v>
      </c>
    </row>
    <row r="1343" spans="1:10" ht="14.25" customHeight="1" x14ac:dyDescent="0.25">
      <c r="A1343">
        <v>780025484</v>
      </c>
      <c r="B1343" t="s">
        <v>4932</v>
      </c>
      <c r="C1343" t="s">
        <v>4391</v>
      </c>
      <c r="D1343">
        <v>13</v>
      </c>
      <c r="E1343" t="s">
        <v>4445</v>
      </c>
      <c r="F1343" t="s">
        <v>4933</v>
      </c>
      <c r="G1343" t="s">
        <v>5568</v>
      </c>
      <c r="H1343" t="s">
        <v>4915</v>
      </c>
      <c r="I1343" s="79" t="str">
        <f>IF(Tabla13[[#This Row],[RUT]]=774097899,"DIST",_xlfn.XLOOKUP(Tabla13[[#This Row],[VENDEDOR]],dimensiones!$C$21:$C$28,dimensiones!$D$21:$D$28,""))</f>
        <v>ATEL</v>
      </c>
      <c r="J1343" s="125" t="str">
        <f>_xlfn.XLOOKUP(Tabla13[[#This Row],[REGION]],dimensiones!C:C,dimensiones!D:D,"")</f>
        <v>Región de Metropolitana de Santiago</v>
      </c>
    </row>
    <row r="1344" spans="1:10" ht="14.25" customHeight="1" x14ac:dyDescent="0.25">
      <c r="A1344">
        <v>780101679</v>
      </c>
      <c r="B1344" t="s">
        <v>2554</v>
      </c>
      <c r="C1344" t="s">
        <v>4557</v>
      </c>
      <c r="D1344">
        <v>13</v>
      </c>
      <c r="E1344" t="s">
        <v>4445</v>
      </c>
      <c r="F1344" t="s">
        <v>2553</v>
      </c>
      <c r="G1344" t="s">
        <v>5568</v>
      </c>
      <c r="H1344" t="s">
        <v>4915</v>
      </c>
      <c r="I1344" s="79" t="str">
        <f>IF(Tabla13[[#This Row],[RUT]]=774097899,"DIST",_xlfn.XLOOKUP(Tabla13[[#This Row],[VENDEDOR]],dimensiones!$C$21:$C$28,dimensiones!$D$21:$D$28,""))</f>
        <v>ATEL</v>
      </c>
      <c r="J1344" s="125" t="str">
        <f>_xlfn.XLOOKUP(Tabla13[[#This Row],[REGION]],dimensiones!C:C,dimensiones!D:D,"")</f>
        <v>Región de Metropolitana de Santiago</v>
      </c>
    </row>
    <row r="1345" spans="1:20" ht="14.25" customHeight="1" x14ac:dyDescent="0.25">
      <c r="A1345">
        <v>780101806</v>
      </c>
      <c r="B1345" t="s">
        <v>1089</v>
      </c>
      <c r="C1345" t="s">
        <v>4168</v>
      </c>
      <c r="D1345">
        <v>13</v>
      </c>
      <c r="E1345" t="s">
        <v>4445</v>
      </c>
      <c r="F1345" t="s">
        <v>3160</v>
      </c>
      <c r="G1345" t="s">
        <v>5568</v>
      </c>
      <c r="H1345" t="s">
        <v>4915</v>
      </c>
      <c r="I1345" s="79" t="str">
        <f>IF(Tabla13[[#This Row],[RUT]]=774097899,"DIST",_xlfn.XLOOKUP(Tabla13[[#This Row],[VENDEDOR]],dimensiones!$C$21:$C$28,dimensiones!$D$21:$D$28,""))</f>
        <v>ATEL</v>
      </c>
      <c r="J1345" s="125" t="str">
        <f>_xlfn.XLOOKUP(Tabla13[[#This Row],[REGION]],dimensiones!C:C,dimensiones!D:D,"")</f>
        <v>Región de Metropolitana de Santiago</v>
      </c>
    </row>
    <row r="1346" spans="1:20" ht="14.25" customHeight="1" x14ac:dyDescent="0.25">
      <c r="A1346">
        <v>780111984</v>
      </c>
      <c r="B1346" t="s">
        <v>5637</v>
      </c>
      <c r="C1346" t="s">
        <v>4563</v>
      </c>
      <c r="D1346">
        <v>5</v>
      </c>
      <c r="E1346" t="s">
        <v>4445</v>
      </c>
      <c r="F1346" t="s">
        <v>5638</v>
      </c>
      <c r="G1346" t="s">
        <v>5568</v>
      </c>
      <c r="H1346" t="s">
        <v>4915</v>
      </c>
      <c r="I1346" s="79" t="str">
        <f>IF(Tabla13[[#This Row],[RUT]]=774097899,"DIST",_xlfn.XLOOKUP(Tabla13[[#This Row],[VENDEDOR]],dimensiones!$C$21:$C$28,dimensiones!$D$21:$D$28,""))</f>
        <v>ATEL</v>
      </c>
      <c r="J1346" s="125" t="str">
        <f>_xlfn.XLOOKUP(Tabla13[[#This Row],[REGION]],dimensiones!C:C,dimensiones!D:D,"")</f>
        <v>Región de Valparaíso</v>
      </c>
    </row>
    <row r="1347" spans="1:20" x14ac:dyDescent="0.25">
      <c r="A1347">
        <v>780188448</v>
      </c>
      <c r="B1347" t="s">
        <v>5441</v>
      </c>
      <c r="C1347" t="s">
        <v>4287</v>
      </c>
      <c r="D1347">
        <v>13</v>
      </c>
      <c r="E1347" t="s">
        <v>4445</v>
      </c>
      <c r="F1347" t="s">
        <v>5442</v>
      </c>
      <c r="G1347" t="s">
        <v>5570</v>
      </c>
      <c r="H1347" t="s">
        <v>4915</v>
      </c>
      <c r="I1347" s="79" t="str">
        <f>IF(Tabla13[[#This Row],[RUT]]=774097899,"DIST",_xlfn.XLOOKUP(Tabla13[[#This Row],[VENDEDOR]],dimensiones!$C$21:$C$28,dimensiones!$D$21:$D$28,""))</f>
        <v>ATEL</v>
      </c>
      <c r="J1347" s="125" t="str">
        <f>_xlfn.XLOOKUP(Tabla13[[#This Row],[REGION]],dimensiones!C:C,dimensiones!D:D,"")</f>
        <v>Región de Metropolitana de Santiago</v>
      </c>
    </row>
    <row r="1348" spans="1:20" x14ac:dyDescent="0.25">
      <c r="A1348">
        <v>780244798</v>
      </c>
      <c r="B1348" t="s">
        <v>5693</v>
      </c>
      <c r="C1348" t="s">
        <v>5694</v>
      </c>
      <c r="D1348">
        <v>13</v>
      </c>
      <c r="E1348" t="s">
        <v>4445</v>
      </c>
      <c r="F1348" t="s">
        <v>5695</v>
      </c>
      <c r="G1348" t="s">
        <v>5568</v>
      </c>
      <c r="H1348" t="s">
        <v>4915</v>
      </c>
      <c r="I1348" s="79" t="str">
        <f>IF(Tabla13[[#This Row],[RUT]]=774097899,"DIST",_xlfn.XLOOKUP(Tabla13[[#This Row],[VENDEDOR]],dimensiones!$C$21:$C$28,dimensiones!$D$21:$D$28,""))</f>
        <v>ATEL</v>
      </c>
      <c r="J1348" s="125" t="str">
        <f>_xlfn.XLOOKUP(Tabla13[[#This Row],[REGION]],dimensiones!C:C,dimensiones!D:D,"")</f>
        <v>Región de Metropolitana de Santiago</v>
      </c>
    </row>
    <row r="1349" spans="1:20" x14ac:dyDescent="0.25">
      <c r="A1349">
        <v>780271205</v>
      </c>
      <c r="B1349" t="s">
        <v>577</v>
      </c>
      <c r="C1349" t="s">
        <v>4460</v>
      </c>
      <c r="D1349">
        <v>8</v>
      </c>
      <c r="E1349" t="s">
        <v>4445</v>
      </c>
      <c r="F1349" t="s">
        <v>3162</v>
      </c>
      <c r="G1349" t="s">
        <v>5568</v>
      </c>
      <c r="H1349" t="s">
        <v>4915</v>
      </c>
      <c r="I1349" s="79" t="str">
        <f>IF(Tabla13[[#This Row],[RUT]]=774097899,"DIST",_xlfn.XLOOKUP(Tabla13[[#This Row],[VENDEDOR]],dimensiones!$C$21:$C$28,dimensiones!$D$21:$D$28,""))</f>
        <v>ATEL</v>
      </c>
      <c r="J1349" s="125" t="str">
        <f>_xlfn.XLOOKUP(Tabla13[[#This Row],[REGION]],dimensiones!C:C,dimensiones!D:D,"")</f>
        <v>Región de Biobío</v>
      </c>
      <c r="M1349" s="97"/>
      <c r="N1349" s="98"/>
      <c r="O1349" s="99"/>
      <c r="P1349" s="95"/>
      <c r="Q1349" s="98"/>
      <c r="R1349" s="98"/>
      <c r="S1349" s="98"/>
      <c r="T1349" s="96"/>
    </row>
    <row r="1350" spans="1:20" x14ac:dyDescent="0.25">
      <c r="A1350">
        <v>780289279</v>
      </c>
      <c r="B1350" t="s">
        <v>5596</v>
      </c>
      <c r="C1350" t="s">
        <v>4465</v>
      </c>
      <c r="D1350">
        <v>13</v>
      </c>
      <c r="E1350" t="s">
        <v>4445</v>
      </c>
      <c r="F1350" t="s">
        <v>5597</v>
      </c>
      <c r="G1350" t="s">
        <v>5568</v>
      </c>
      <c r="H1350" t="s">
        <v>4915</v>
      </c>
      <c r="I1350" s="79" t="str">
        <f>IF(Tabla13[[#This Row],[RUT]]=774097899,"DIST",_xlfn.XLOOKUP(Tabla13[[#This Row],[VENDEDOR]],dimensiones!$C$21:$C$28,dimensiones!$D$21:$D$28,""))</f>
        <v>ATEL</v>
      </c>
      <c r="J1350" s="125" t="str">
        <f>_xlfn.XLOOKUP(Tabla13[[#This Row],[REGION]],dimensiones!C:C,dimensiones!D:D,"")</f>
        <v>Región de Metropolitana de Santiago</v>
      </c>
      <c r="M1350" s="100"/>
      <c r="N1350" s="101"/>
      <c r="O1350" s="102"/>
      <c r="P1350" s="93"/>
      <c r="Q1350" s="101"/>
      <c r="R1350" s="101"/>
      <c r="S1350" s="101"/>
      <c r="T1350" s="94"/>
    </row>
    <row r="1351" spans="1:20" x14ac:dyDescent="0.25">
      <c r="A1351">
        <v>780325666</v>
      </c>
      <c r="B1351" t="s">
        <v>4607</v>
      </c>
      <c r="C1351" t="s">
        <v>4528</v>
      </c>
      <c r="D1351">
        <v>13</v>
      </c>
      <c r="E1351" t="s">
        <v>4445</v>
      </c>
      <c r="F1351" t="s">
        <v>4606</v>
      </c>
      <c r="G1351" t="s">
        <v>5568</v>
      </c>
      <c r="H1351" t="s">
        <v>4915</v>
      </c>
      <c r="I1351" s="79" t="str">
        <f>IF(Tabla13[[#This Row],[RUT]]=774097899,"DIST",_xlfn.XLOOKUP(Tabla13[[#This Row],[VENDEDOR]],dimensiones!$C$21:$C$28,dimensiones!$D$21:$D$28,""))</f>
        <v>ATEL</v>
      </c>
      <c r="J1351" s="125" t="str">
        <f>_xlfn.XLOOKUP(Tabla13[[#This Row],[REGION]],dimensiones!C:C,dimensiones!D:D,"")</f>
        <v>Región de Metropolitana de Santiago</v>
      </c>
      <c r="M1351" s="97"/>
      <c r="N1351" s="98"/>
      <c r="O1351" s="99"/>
      <c r="P1351" s="95"/>
      <c r="Q1351" s="98"/>
      <c r="R1351" s="98"/>
      <c r="S1351" s="98"/>
      <c r="T1351" s="96"/>
    </row>
    <row r="1352" spans="1:20" x14ac:dyDescent="0.25">
      <c r="A1352">
        <v>780353902</v>
      </c>
      <c r="B1352" t="s">
        <v>117</v>
      </c>
      <c r="C1352" t="s">
        <v>4198</v>
      </c>
      <c r="D1352">
        <v>5</v>
      </c>
      <c r="E1352" t="s">
        <v>2372</v>
      </c>
      <c r="F1352" t="s">
        <v>2224</v>
      </c>
      <c r="G1352" t="s">
        <v>5570</v>
      </c>
      <c r="H1352" t="s">
        <v>4915</v>
      </c>
      <c r="I1352" s="79" t="str">
        <f>IF(Tabla13[[#This Row],[RUT]]=774097899,"DIST",_xlfn.XLOOKUP(Tabla13[[#This Row],[VENDEDOR]],dimensiones!$C$21:$C$28,dimensiones!$D$21:$D$28,""))</f>
        <v>NOR1</v>
      </c>
      <c r="J1352" s="125" t="str">
        <f>_xlfn.XLOOKUP(Tabla13[[#This Row],[REGION]],dimensiones!C:C,dimensiones!D:D,"")</f>
        <v>Región de Valparaíso</v>
      </c>
      <c r="M1352" s="100"/>
      <c r="N1352" s="93"/>
      <c r="O1352" s="102"/>
      <c r="P1352" s="93"/>
      <c r="Q1352" s="101"/>
      <c r="R1352" s="101"/>
      <c r="S1352" s="101"/>
      <c r="T1352" s="94"/>
    </row>
    <row r="1353" spans="1:20" x14ac:dyDescent="0.25">
      <c r="A1353">
        <v>780356405</v>
      </c>
      <c r="B1353" t="s">
        <v>578</v>
      </c>
      <c r="C1353" t="s">
        <v>4391</v>
      </c>
      <c r="D1353">
        <v>13</v>
      </c>
      <c r="E1353" t="s">
        <v>4445</v>
      </c>
      <c r="F1353" t="s">
        <v>3166</v>
      </c>
      <c r="G1353" t="s">
        <v>5568</v>
      </c>
      <c r="H1353" t="s">
        <v>4915</v>
      </c>
      <c r="I1353" s="79" t="str">
        <f>IF(Tabla13[[#This Row],[RUT]]=774097899,"DIST",_xlfn.XLOOKUP(Tabla13[[#This Row],[VENDEDOR]],dimensiones!$C$21:$C$28,dimensiones!$D$21:$D$28,""))</f>
        <v>ATEL</v>
      </c>
      <c r="J1353" s="125" t="str">
        <f>_xlfn.XLOOKUP(Tabla13[[#This Row],[REGION]],dimensiones!C:C,dimensiones!D:D,"")</f>
        <v>Región de Metropolitana de Santiago</v>
      </c>
      <c r="M1353" s="97"/>
      <c r="N1353" s="98"/>
      <c r="O1353" s="103"/>
      <c r="P1353" s="95"/>
      <c r="Q1353" s="98"/>
      <c r="R1353" s="98"/>
      <c r="S1353" s="98"/>
      <c r="T1353" s="104"/>
    </row>
    <row r="1354" spans="1:20" x14ac:dyDescent="0.25">
      <c r="A1354" t="s">
        <v>4423</v>
      </c>
      <c r="B1354" t="s">
        <v>4424</v>
      </c>
      <c r="C1354" t="s">
        <v>4495</v>
      </c>
      <c r="D1354">
        <v>16</v>
      </c>
      <c r="E1354" t="s">
        <v>4445</v>
      </c>
      <c r="F1354" t="s">
        <v>4608</v>
      </c>
      <c r="G1354" t="s">
        <v>5568</v>
      </c>
      <c r="H1354" t="s">
        <v>4915</v>
      </c>
      <c r="I1354" s="79" t="str">
        <f>IF(Tabla13[[#This Row],[RUT]]=774097899,"DIST",_xlfn.XLOOKUP(Tabla13[[#This Row],[VENDEDOR]],dimensiones!$C$21:$C$28,dimensiones!$D$21:$D$28,""))</f>
        <v>ATEL</v>
      </c>
      <c r="J1354" s="125" t="str">
        <f>_xlfn.XLOOKUP(Tabla13[[#This Row],[REGION]],dimensiones!C:C,dimensiones!D:D,"")</f>
        <v>Región de Ñuble</v>
      </c>
      <c r="M1354" s="100"/>
      <c r="N1354" s="101"/>
      <c r="O1354" s="105"/>
      <c r="P1354" s="93"/>
      <c r="Q1354" s="101"/>
      <c r="R1354" s="101"/>
      <c r="S1354" s="101"/>
      <c r="T1354" s="106"/>
    </row>
    <row r="1355" spans="1:20" x14ac:dyDescent="0.25">
      <c r="A1355">
        <v>780405201</v>
      </c>
      <c r="B1355" t="s">
        <v>579</v>
      </c>
      <c r="C1355" t="s">
        <v>4391</v>
      </c>
      <c r="D1355">
        <v>13</v>
      </c>
      <c r="E1355" t="s">
        <v>4445</v>
      </c>
      <c r="F1355" t="s">
        <v>3691</v>
      </c>
      <c r="G1355" t="s">
        <v>5570</v>
      </c>
      <c r="H1355" t="s">
        <v>4915</v>
      </c>
      <c r="I1355" s="79" t="str">
        <f>IF(Tabla13[[#This Row],[RUT]]=774097899,"DIST",_xlfn.XLOOKUP(Tabla13[[#This Row],[VENDEDOR]],dimensiones!$C$21:$C$28,dimensiones!$D$21:$D$28,""))</f>
        <v>ATEL</v>
      </c>
      <c r="J1355" s="125" t="str">
        <f>_xlfn.XLOOKUP(Tabla13[[#This Row],[REGION]],dimensiones!C:C,dimensiones!D:D,"")</f>
        <v>Región de Metropolitana de Santiago</v>
      </c>
      <c r="M1355" s="97"/>
      <c r="N1355" s="98"/>
      <c r="O1355" s="103"/>
      <c r="P1355" s="95"/>
      <c r="Q1355" s="98"/>
      <c r="R1355" s="98"/>
      <c r="S1355" s="98"/>
      <c r="T1355" s="104"/>
    </row>
    <row r="1356" spans="1:20" x14ac:dyDescent="0.25">
      <c r="A1356">
        <v>780410175</v>
      </c>
      <c r="B1356" t="s">
        <v>5560</v>
      </c>
      <c r="C1356" t="s">
        <v>4381</v>
      </c>
      <c r="D1356">
        <v>13</v>
      </c>
      <c r="E1356" t="s">
        <v>4445</v>
      </c>
      <c r="F1356" t="s">
        <v>5561</v>
      </c>
      <c r="G1356" t="s">
        <v>5568</v>
      </c>
      <c r="H1356" t="s">
        <v>4915</v>
      </c>
      <c r="I1356" s="79" t="str">
        <f>IF(Tabla13[[#This Row],[RUT]]=774097899,"DIST",_xlfn.XLOOKUP(Tabla13[[#This Row],[VENDEDOR]],dimensiones!$C$21:$C$28,dimensiones!$D$21:$D$28,""))</f>
        <v>ATEL</v>
      </c>
      <c r="J1356" s="125" t="str">
        <f>_xlfn.XLOOKUP(Tabla13[[#This Row],[REGION]],dimensiones!C:C,dimensiones!D:D,"")</f>
        <v>Región de Metropolitana de Santiago</v>
      </c>
      <c r="M1356" s="100"/>
      <c r="N1356" s="101"/>
      <c r="O1356" s="105"/>
      <c r="P1356" s="93"/>
      <c r="Q1356" s="101"/>
      <c r="R1356" s="101"/>
      <c r="S1356" s="101"/>
      <c r="T1356" s="106"/>
    </row>
    <row r="1357" spans="1:20" x14ac:dyDescent="0.25">
      <c r="A1357">
        <v>780428155</v>
      </c>
      <c r="B1357" t="s">
        <v>4986</v>
      </c>
      <c r="C1357" t="s">
        <v>4178</v>
      </c>
      <c r="D1357">
        <v>6</v>
      </c>
      <c r="E1357" t="s">
        <v>4445</v>
      </c>
      <c r="F1357" t="s">
        <v>4987</v>
      </c>
      <c r="G1357" t="s">
        <v>5568</v>
      </c>
      <c r="H1357" t="s">
        <v>4915</v>
      </c>
      <c r="I1357" s="79" t="str">
        <f>IF(Tabla13[[#This Row],[RUT]]=774097899,"DIST",_xlfn.XLOOKUP(Tabla13[[#This Row],[VENDEDOR]],dimensiones!$C$21:$C$28,dimensiones!$D$21:$D$28,""))</f>
        <v>ATEL</v>
      </c>
      <c r="J1357" s="125" t="str">
        <f>_xlfn.XLOOKUP(Tabla13[[#This Row],[REGION]],dimensiones!C:C,dimensiones!D:D,"")</f>
        <v>Región de Libertador General Bernardo O'Higgins</v>
      </c>
      <c r="M1357" s="100"/>
      <c r="N1357" s="93"/>
      <c r="O1357" s="102"/>
      <c r="P1357" s="93"/>
      <c r="Q1357" s="101"/>
      <c r="R1357" s="101"/>
      <c r="S1357" s="101"/>
      <c r="T1357" s="94"/>
    </row>
    <row r="1358" spans="1:20" x14ac:dyDescent="0.25">
      <c r="A1358">
        <v>780535601</v>
      </c>
      <c r="B1358" t="s">
        <v>754</v>
      </c>
      <c r="C1358" t="s">
        <v>4552</v>
      </c>
      <c r="D1358">
        <v>13</v>
      </c>
      <c r="E1358" t="s">
        <v>4457</v>
      </c>
      <c r="F1358" t="s">
        <v>3834</v>
      </c>
      <c r="G1358" t="s">
        <v>5570</v>
      </c>
      <c r="H1358" t="s">
        <v>4915</v>
      </c>
      <c r="I1358" s="79" t="str">
        <f>IF(Tabla13[[#This Row],[RUT]]=774097899,"DIST",_xlfn.XLOOKUP(Tabla13[[#This Row],[VENDEDOR]],dimensiones!$C$21:$C$28,dimensiones!$D$21:$D$28,""))</f>
        <v>SANT1</v>
      </c>
      <c r="J1358" s="125" t="str">
        <f>_xlfn.XLOOKUP(Tabla13[[#This Row],[REGION]],dimensiones!C:C,dimensiones!D:D,"")</f>
        <v>Región de Metropolitana de Santiago</v>
      </c>
      <c r="M1358" s="97"/>
      <c r="N1358" s="98"/>
      <c r="O1358" s="103"/>
      <c r="P1358" s="95"/>
      <c r="Q1358" s="98"/>
      <c r="R1358" s="98"/>
      <c r="S1358" s="98"/>
      <c r="T1358" s="104"/>
    </row>
    <row r="1359" spans="1:20" x14ac:dyDescent="0.25">
      <c r="A1359">
        <v>780542020</v>
      </c>
      <c r="B1359" t="s">
        <v>4960</v>
      </c>
      <c r="C1359" t="s">
        <v>4226</v>
      </c>
      <c r="D1359">
        <v>10</v>
      </c>
      <c r="E1359" t="s">
        <v>4445</v>
      </c>
      <c r="F1359" t="s">
        <v>4961</v>
      </c>
      <c r="G1359" t="s">
        <v>5568</v>
      </c>
      <c r="H1359" t="s">
        <v>4915</v>
      </c>
      <c r="I1359" s="79" t="str">
        <f>IF(Tabla13[[#This Row],[RUT]]=774097899,"DIST",_xlfn.XLOOKUP(Tabla13[[#This Row],[VENDEDOR]],dimensiones!$C$21:$C$28,dimensiones!$D$21:$D$28,""))</f>
        <v>ATEL</v>
      </c>
      <c r="J1359" s="125" t="str">
        <f>_xlfn.XLOOKUP(Tabla13[[#This Row],[REGION]],dimensiones!C:C,dimensiones!D:D,"")</f>
        <v>Región de Los Lagos</v>
      </c>
    </row>
    <row r="1360" spans="1:20" x14ac:dyDescent="0.25">
      <c r="A1360">
        <v>780542918</v>
      </c>
      <c r="B1360" t="s">
        <v>5538</v>
      </c>
      <c r="C1360" t="s">
        <v>4391</v>
      </c>
      <c r="D1360">
        <v>13</v>
      </c>
      <c r="E1360" t="s">
        <v>4445</v>
      </c>
      <c r="F1360" t="s">
        <v>5539</v>
      </c>
      <c r="G1360" t="s">
        <v>5568</v>
      </c>
      <c r="H1360" t="s">
        <v>4915</v>
      </c>
      <c r="I1360" s="79" t="str">
        <f>IF(Tabla13[[#This Row],[RUT]]=774097899,"DIST",_xlfn.XLOOKUP(Tabla13[[#This Row],[VENDEDOR]],dimensiones!$C$21:$C$28,dimensiones!$D$21:$D$28,""))</f>
        <v>ATEL</v>
      </c>
      <c r="J1360" s="125" t="str">
        <f>_xlfn.XLOOKUP(Tabla13[[#This Row],[REGION]],dimensiones!C:C,dimensiones!D:D,"")</f>
        <v>Región de Metropolitana de Santiago</v>
      </c>
    </row>
    <row r="1361" spans="1:10" x14ac:dyDescent="0.25">
      <c r="A1361" t="s">
        <v>735</v>
      </c>
      <c r="B1361" t="s">
        <v>736</v>
      </c>
      <c r="C1361" t="s">
        <v>4391</v>
      </c>
      <c r="D1361">
        <v>13</v>
      </c>
      <c r="E1361" t="s">
        <v>4445</v>
      </c>
      <c r="F1361" t="s">
        <v>3171</v>
      </c>
      <c r="G1361" t="s">
        <v>5568</v>
      </c>
      <c r="H1361" t="s">
        <v>4915</v>
      </c>
      <c r="I1361" s="79" t="str">
        <f>IF(Tabla13[[#This Row],[RUT]]=774097899,"DIST",_xlfn.XLOOKUP(Tabla13[[#This Row],[VENDEDOR]],dimensiones!$C$21:$C$28,dimensiones!$D$21:$D$28,""))</f>
        <v>ATEL</v>
      </c>
      <c r="J1361" s="125" t="str">
        <f>_xlfn.XLOOKUP(Tabla13[[#This Row],[REGION]],dimensiones!C:C,dimensiones!D:D,"")</f>
        <v>Región de Metropolitana de Santiago</v>
      </c>
    </row>
    <row r="1362" spans="1:10" x14ac:dyDescent="0.25">
      <c r="A1362">
        <v>780722045</v>
      </c>
      <c r="B1362" t="s">
        <v>4753</v>
      </c>
      <c r="C1362" t="s">
        <v>4218</v>
      </c>
      <c r="D1362">
        <v>9</v>
      </c>
      <c r="E1362" t="s">
        <v>4445</v>
      </c>
      <c r="F1362" t="s">
        <v>4910</v>
      </c>
      <c r="G1362" t="s">
        <v>5568</v>
      </c>
      <c r="H1362" t="s">
        <v>4915</v>
      </c>
      <c r="I1362" s="79" t="str">
        <f>IF(Tabla13[[#This Row],[RUT]]=774097899,"DIST",_xlfn.XLOOKUP(Tabla13[[#This Row],[VENDEDOR]],dimensiones!$C$21:$C$28,dimensiones!$D$21:$D$28,""))</f>
        <v>ATEL</v>
      </c>
      <c r="J1362" s="125" t="str">
        <f>_xlfn.XLOOKUP(Tabla13[[#This Row],[REGION]],dimensiones!C:C,dimensiones!D:D,"")</f>
        <v>Región de La Araucanía</v>
      </c>
    </row>
    <row r="1363" spans="1:10" x14ac:dyDescent="0.25">
      <c r="A1363">
        <v>780727039</v>
      </c>
      <c r="B1363" t="s">
        <v>5639</v>
      </c>
      <c r="C1363" t="s">
        <v>4257</v>
      </c>
      <c r="D1363">
        <v>7</v>
      </c>
      <c r="E1363" t="s">
        <v>4445</v>
      </c>
      <c r="F1363" t="s">
        <v>5640</v>
      </c>
      <c r="G1363" t="s">
        <v>5569</v>
      </c>
      <c r="H1363" t="s">
        <v>4915</v>
      </c>
      <c r="I1363" s="79" t="str">
        <f>IF(Tabla13[[#This Row],[RUT]]=774097899,"DIST",_xlfn.XLOOKUP(Tabla13[[#This Row],[VENDEDOR]],dimensiones!$C$21:$C$28,dimensiones!$D$21:$D$28,""))</f>
        <v>ATEL</v>
      </c>
      <c r="J1363" s="125" t="str">
        <f>_xlfn.XLOOKUP(Tabla13[[#This Row],[REGION]],dimensiones!C:C,dimensiones!D:D,"")</f>
        <v>Región de Maule</v>
      </c>
    </row>
    <row r="1364" spans="1:10" x14ac:dyDescent="0.25">
      <c r="A1364">
        <v>780804750</v>
      </c>
      <c r="B1364" t="s">
        <v>5540</v>
      </c>
      <c r="C1364" t="s">
        <v>4563</v>
      </c>
      <c r="D1364">
        <v>5</v>
      </c>
      <c r="E1364" t="s">
        <v>4445</v>
      </c>
      <c r="F1364" t="s">
        <v>5541</v>
      </c>
      <c r="G1364" t="s">
        <v>5568</v>
      </c>
      <c r="H1364" t="s">
        <v>4915</v>
      </c>
      <c r="I1364" s="79" t="str">
        <f>IF(Tabla13[[#This Row],[RUT]]=774097899,"DIST",_xlfn.XLOOKUP(Tabla13[[#This Row],[VENDEDOR]],dimensiones!$C$21:$C$28,dimensiones!$D$21:$D$28,""))</f>
        <v>ATEL</v>
      </c>
      <c r="J1364" s="125" t="str">
        <f>_xlfn.XLOOKUP(Tabla13[[#This Row],[REGION]],dimensiones!C:C,dimensiones!D:D,"")</f>
        <v>Región de Valparaíso</v>
      </c>
    </row>
    <row r="1365" spans="1:10" x14ac:dyDescent="0.25">
      <c r="A1365">
        <v>780839406</v>
      </c>
      <c r="B1365" t="s">
        <v>580</v>
      </c>
      <c r="C1365" t="s">
        <v>4395</v>
      </c>
      <c r="D1365">
        <v>13</v>
      </c>
      <c r="E1365" t="s">
        <v>4445</v>
      </c>
      <c r="F1365" t="s">
        <v>3173</v>
      </c>
      <c r="G1365" t="s">
        <v>5568</v>
      </c>
      <c r="H1365" t="s">
        <v>4915</v>
      </c>
      <c r="I1365" s="79" t="str">
        <f>IF(Tabla13[[#This Row],[RUT]]=774097899,"DIST",_xlfn.XLOOKUP(Tabla13[[#This Row],[VENDEDOR]],dimensiones!$C$21:$C$28,dimensiones!$D$21:$D$28,""))</f>
        <v>ATEL</v>
      </c>
      <c r="J1365" s="125" t="str">
        <f>_xlfn.XLOOKUP(Tabla13[[#This Row],[REGION]],dimensiones!C:C,dimensiones!D:D,"")</f>
        <v>Región de Metropolitana de Santiago</v>
      </c>
    </row>
    <row r="1366" spans="1:10" x14ac:dyDescent="0.25">
      <c r="A1366">
        <v>781117811</v>
      </c>
      <c r="B1366" t="s">
        <v>5679</v>
      </c>
      <c r="C1366" t="s">
        <v>4460</v>
      </c>
      <c r="D1366">
        <v>8</v>
      </c>
      <c r="E1366" t="s">
        <v>4445</v>
      </c>
      <c r="F1366" t="s">
        <v>5680</v>
      </c>
      <c r="G1366" t="s">
        <v>5568</v>
      </c>
      <c r="H1366" t="s">
        <v>4915</v>
      </c>
      <c r="I1366" s="79" t="str">
        <f>IF(Tabla13[[#This Row],[RUT]]=774097899,"DIST",_xlfn.XLOOKUP(Tabla13[[#This Row],[VENDEDOR]],dimensiones!$C$21:$C$28,dimensiones!$D$21:$D$28,""))</f>
        <v>ATEL</v>
      </c>
      <c r="J1366" s="125" t="str">
        <f>_xlfn.XLOOKUP(Tabla13[[#This Row],[REGION]],dimensiones!C:C,dimensiones!D:D,"")</f>
        <v>Región de Biobío</v>
      </c>
    </row>
    <row r="1367" spans="1:10" x14ac:dyDescent="0.25">
      <c r="A1367">
        <v>781247707</v>
      </c>
      <c r="B1367" t="s">
        <v>581</v>
      </c>
      <c r="C1367" t="s">
        <v>4460</v>
      </c>
      <c r="D1367">
        <v>8</v>
      </c>
      <c r="E1367" t="s">
        <v>4445</v>
      </c>
      <c r="F1367" t="s">
        <v>1371</v>
      </c>
      <c r="G1367" t="s">
        <v>5570</v>
      </c>
      <c r="H1367" t="s">
        <v>4915</v>
      </c>
      <c r="I1367" s="79" t="str">
        <f>IF(Tabla13[[#This Row],[RUT]]=774097899,"DIST",_xlfn.XLOOKUP(Tabla13[[#This Row],[VENDEDOR]],dimensiones!$C$21:$C$28,dimensiones!$D$21:$D$28,""))</f>
        <v>ATEL</v>
      </c>
      <c r="J1367" s="125" t="str">
        <f>_xlfn.XLOOKUP(Tabla13[[#This Row],[REGION]],dimensiones!C:C,dimensiones!D:D,"")</f>
        <v>Región de Biobío</v>
      </c>
    </row>
    <row r="1368" spans="1:10" x14ac:dyDescent="0.25">
      <c r="A1368">
        <v>781444634</v>
      </c>
      <c r="B1368" t="s">
        <v>5583</v>
      </c>
      <c r="C1368" t="s">
        <v>4237</v>
      </c>
      <c r="D1368">
        <v>2</v>
      </c>
      <c r="E1368" t="s">
        <v>4445</v>
      </c>
      <c r="F1368" t="s">
        <v>5584</v>
      </c>
      <c r="G1368" t="s">
        <v>5569</v>
      </c>
      <c r="H1368" t="s">
        <v>4915</v>
      </c>
      <c r="I1368" s="79" t="str">
        <f>IF(Tabla13[[#This Row],[RUT]]=774097899,"DIST",_xlfn.XLOOKUP(Tabla13[[#This Row],[VENDEDOR]],dimensiones!$C$21:$C$28,dimensiones!$D$21:$D$28,""))</f>
        <v>ATEL</v>
      </c>
      <c r="J1368" s="125" t="str">
        <f>_xlfn.XLOOKUP(Tabla13[[#This Row],[REGION]],dimensiones!C:C,dimensiones!D:D,"")</f>
        <v>Región de Antofagasta</v>
      </c>
    </row>
    <row r="1369" spans="1:10" x14ac:dyDescent="0.25">
      <c r="A1369">
        <v>781484431</v>
      </c>
      <c r="B1369" t="s">
        <v>5527</v>
      </c>
      <c r="C1369" t="s">
        <v>4391</v>
      </c>
      <c r="D1369">
        <v>13</v>
      </c>
      <c r="E1369" t="s">
        <v>4445</v>
      </c>
      <c r="F1369" t="s">
        <v>5528</v>
      </c>
      <c r="G1369" t="s">
        <v>5570</v>
      </c>
      <c r="H1369" t="s">
        <v>4915</v>
      </c>
      <c r="I1369" s="79" t="str">
        <f>IF(Tabla13[[#This Row],[RUT]]=774097899,"DIST",_xlfn.XLOOKUP(Tabla13[[#This Row],[VENDEDOR]],dimensiones!$C$21:$C$28,dimensiones!$D$21:$D$28,""))</f>
        <v>ATEL</v>
      </c>
      <c r="J1369" s="125" t="str">
        <f>_xlfn.XLOOKUP(Tabla13[[#This Row],[REGION]],dimensiones!C:C,dimensiones!D:D,"")</f>
        <v>Región de Metropolitana de Santiago</v>
      </c>
    </row>
    <row r="1370" spans="1:10" x14ac:dyDescent="0.25">
      <c r="A1370">
        <v>781771864</v>
      </c>
      <c r="B1370" t="s">
        <v>5727</v>
      </c>
      <c r="C1370" t="s">
        <v>4319</v>
      </c>
      <c r="D1370">
        <v>5</v>
      </c>
      <c r="E1370" t="s">
        <v>4445</v>
      </c>
      <c r="F1370" t="s">
        <v>5728</v>
      </c>
      <c r="G1370" t="s">
        <v>5568</v>
      </c>
      <c r="H1370" t="s">
        <v>4915</v>
      </c>
      <c r="I1370" s="79" t="str">
        <f>IF(Tabla13[[#This Row],[RUT]]=774097899,"DIST",_xlfn.XLOOKUP(Tabla13[[#This Row],[VENDEDOR]],dimensiones!$C$21:$C$28,dimensiones!$D$21:$D$28,""))</f>
        <v>ATEL</v>
      </c>
      <c r="J1370" s="125" t="str">
        <f>_xlfn.XLOOKUP(Tabla13[[#This Row],[REGION]],dimensiones!C:C,dimensiones!D:D,"")</f>
        <v>Región de Valparaíso</v>
      </c>
    </row>
    <row r="1371" spans="1:10" x14ac:dyDescent="0.25">
      <c r="A1371">
        <v>781788449</v>
      </c>
      <c r="B1371" t="s">
        <v>5719</v>
      </c>
      <c r="C1371" t="s">
        <v>4287</v>
      </c>
      <c r="D1371">
        <v>13</v>
      </c>
      <c r="E1371" t="s">
        <v>4445</v>
      </c>
      <c r="F1371" t="s">
        <v>5720</v>
      </c>
      <c r="G1371" t="s">
        <v>5568</v>
      </c>
      <c r="H1371" t="s">
        <v>4915</v>
      </c>
      <c r="I1371" s="79" t="str">
        <f>IF(Tabla13[[#This Row],[RUT]]=774097899,"DIST",_xlfn.XLOOKUP(Tabla13[[#This Row],[VENDEDOR]],dimensiones!$C$21:$C$28,dimensiones!$D$21:$D$28,""))</f>
        <v>ATEL</v>
      </c>
      <c r="J1371" s="125" t="str">
        <f>_xlfn.XLOOKUP(Tabla13[[#This Row],[REGION]],dimensiones!C:C,dimensiones!D:D,"")</f>
        <v>Región de Metropolitana de Santiago</v>
      </c>
    </row>
    <row r="1372" spans="1:10" x14ac:dyDescent="0.25">
      <c r="A1372">
        <v>781832359</v>
      </c>
      <c r="B1372" t="s">
        <v>5649</v>
      </c>
      <c r="C1372" t="s">
        <v>4495</v>
      </c>
      <c r="D1372">
        <v>16</v>
      </c>
      <c r="E1372" t="s">
        <v>4445</v>
      </c>
      <c r="F1372" t="s">
        <v>5650</v>
      </c>
      <c r="G1372" t="s">
        <v>5568</v>
      </c>
      <c r="H1372" t="s">
        <v>4915</v>
      </c>
      <c r="I1372" s="79" t="str">
        <f>IF(Tabla13[[#This Row],[RUT]]=774097899,"DIST",_xlfn.XLOOKUP(Tabla13[[#This Row],[VENDEDOR]],dimensiones!$C$21:$C$28,dimensiones!$D$21:$D$28,""))</f>
        <v>ATEL</v>
      </c>
      <c r="J1372" s="125" t="str">
        <f>_xlfn.XLOOKUP(Tabla13[[#This Row],[REGION]],dimensiones!C:C,dimensiones!D:D,"")</f>
        <v>Región de Ñuble</v>
      </c>
    </row>
    <row r="1373" spans="1:10" x14ac:dyDescent="0.25">
      <c r="A1373">
        <v>781851302</v>
      </c>
      <c r="B1373" t="s">
        <v>582</v>
      </c>
      <c r="C1373" t="s">
        <v>4292</v>
      </c>
      <c r="D1373">
        <v>10</v>
      </c>
      <c r="E1373" t="s">
        <v>4445</v>
      </c>
      <c r="F1373" t="s">
        <v>3176</v>
      </c>
      <c r="G1373" t="s">
        <v>5570</v>
      </c>
      <c r="H1373" t="s">
        <v>4915</v>
      </c>
      <c r="I1373" s="79" t="str">
        <f>IF(Tabla13[[#This Row],[RUT]]=774097899,"DIST",_xlfn.XLOOKUP(Tabla13[[#This Row],[VENDEDOR]],dimensiones!$C$21:$C$28,dimensiones!$D$21:$D$28,""))</f>
        <v>ATEL</v>
      </c>
      <c r="J1373" s="125" t="str">
        <f>_xlfn.XLOOKUP(Tabla13[[#This Row],[REGION]],dimensiones!C:C,dimensiones!D:D,"")</f>
        <v>Región de Los Lagos</v>
      </c>
    </row>
    <row r="1374" spans="1:10" x14ac:dyDescent="0.25">
      <c r="A1374">
        <v>782050974</v>
      </c>
      <c r="B1374" t="s">
        <v>5687</v>
      </c>
      <c r="C1374" t="s">
        <v>4178</v>
      </c>
      <c r="D1374">
        <v>6</v>
      </c>
      <c r="E1374" t="s">
        <v>4445</v>
      </c>
      <c r="F1374" t="s">
        <v>5688</v>
      </c>
      <c r="G1374" t="s">
        <v>5576</v>
      </c>
      <c r="H1374" t="s">
        <v>4915</v>
      </c>
      <c r="I1374" s="79" t="str">
        <f>IF(Tabla13[[#This Row],[RUT]]=774097899,"DIST",_xlfn.XLOOKUP(Tabla13[[#This Row],[VENDEDOR]],dimensiones!$C$21:$C$28,dimensiones!$D$21:$D$28,""))</f>
        <v>ATEL</v>
      </c>
      <c r="J1374" s="125" t="str">
        <f>_xlfn.XLOOKUP(Tabla13[[#This Row],[REGION]],dimensiones!C:C,dimensiones!D:D,"")</f>
        <v>Región de Libertador General Bernardo O'Higgins</v>
      </c>
    </row>
    <row r="1375" spans="1:10" x14ac:dyDescent="0.25">
      <c r="A1375">
        <v>782064622</v>
      </c>
      <c r="B1375" t="s">
        <v>5604</v>
      </c>
      <c r="C1375" t="s">
        <v>4391</v>
      </c>
      <c r="D1375">
        <v>13</v>
      </c>
      <c r="E1375" t="s">
        <v>4445</v>
      </c>
      <c r="F1375" t="s">
        <v>5605</v>
      </c>
      <c r="G1375" t="s">
        <v>5568</v>
      </c>
      <c r="H1375" t="s">
        <v>4915</v>
      </c>
      <c r="I1375" s="79" t="str">
        <f>IF(Tabla13[[#This Row],[RUT]]=774097899,"DIST",_xlfn.XLOOKUP(Tabla13[[#This Row],[VENDEDOR]],dimensiones!$C$21:$C$28,dimensiones!$D$21:$D$28,""))</f>
        <v>ATEL</v>
      </c>
      <c r="J1375" s="125" t="str">
        <f>_xlfn.XLOOKUP(Tabla13[[#This Row],[REGION]],dimensiones!C:C,dimensiones!D:D,"")</f>
        <v>Región de Metropolitana de Santiago</v>
      </c>
    </row>
    <row r="1376" spans="1:10" x14ac:dyDescent="0.25">
      <c r="A1376">
        <v>782145266</v>
      </c>
      <c r="B1376" t="s">
        <v>5658</v>
      </c>
      <c r="C1376" t="s">
        <v>4465</v>
      </c>
      <c r="D1376">
        <v>13</v>
      </c>
      <c r="E1376" t="s">
        <v>4445</v>
      </c>
      <c r="F1376" t="s">
        <v>5659</v>
      </c>
      <c r="G1376" t="s">
        <v>5568</v>
      </c>
      <c r="H1376" t="s">
        <v>5660</v>
      </c>
      <c r="I1376" s="79" t="str">
        <f>IF(Tabla13[[#This Row],[RUT]]=774097899,"DIST",_xlfn.XLOOKUP(Tabla13[[#This Row],[VENDEDOR]],dimensiones!$C$21:$C$28,dimensiones!$D$21:$D$28,""))</f>
        <v>ATEL</v>
      </c>
      <c r="J1376" s="125" t="str">
        <f>_xlfn.XLOOKUP(Tabla13[[#This Row],[REGION]],dimensiones!C:C,dimensiones!D:D,"")</f>
        <v>Región de Metropolitana de Santiago</v>
      </c>
    </row>
    <row r="1377" spans="1:10" x14ac:dyDescent="0.25">
      <c r="A1377">
        <v>782302302</v>
      </c>
      <c r="B1377" t="s">
        <v>865</v>
      </c>
      <c r="C1377" t="s">
        <v>4178</v>
      </c>
      <c r="D1377">
        <v>6</v>
      </c>
      <c r="E1377" t="s">
        <v>4445</v>
      </c>
      <c r="F1377" t="s">
        <v>2116</v>
      </c>
      <c r="G1377" t="s">
        <v>5570</v>
      </c>
      <c r="H1377" t="s">
        <v>4915</v>
      </c>
      <c r="I1377" s="79" t="str">
        <f>IF(Tabla13[[#This Row],[RUT]]=774097899,"DIST",_xlfn.XLOOKUP(Tabla13[[#This Row],[VENDEDOR]],dimensiones!$C$21:$C$28,dimensiones!$D$21:$D$28,""))</f>
        <v>ATEL</v>
      </c>
      <c r="J1377" s="125" t="str">
        <f>_xlfn.XLOOKUP(Tabla13[[#This Row],[REGION]],dimensiones!C:C,dimensiones!D:D,"")</f>
        <v>Región de Libertador General Bernardo O'Higgins</v>
      </c>
    </row>
    <row r="1378" spans="1:10" x14ac:dyDescent="0.25">
      <c r="A1378">
        <v>782334204</v>
      </c>
      <c r="B1378" t="s">
        <v>4610</v>
      </c>
      <c r="C1378" t="s">
        <v>4391</v>
      </c>
      <c r="D1378">
        <v>13</v>
      </c>
      <c r="E1378" t="s">
        <v>4445</v>
      </c>
      <c r="F1378" t="s">
        <v>4609</v>
      </c>
      <c r="G1378" t="s">
        <v>5568</v>
      </c>
      <c r="H1378" t="s">
        <v>4915</v>
      </c>
      <c r="I1378" s="79" t="str">
        <f>IF(Tabla13[[#This Row],[RUT]]=774097899,"DIST",_xlfn.XLOOKUP(Tabla13[[#This Row],[VENDEDOR]],dimensiones!$C$21:$C$28,dimensiones!$D$21:$D$28,""))</f>
        <v>ATEL</v>
      </c>
      <c r="J1378" s="125" t="str">
        <f>_xlfn.XLOOKUP(Tabla13[[#This Row],[REGION]],dimensiones!C:C,dimensiones!D:D,"")</f>
        <v>Región de Metropolitana de Santiago</v>
      </c>
    </row>
    <row r="1379" spans="1:10" x14ac:dyDescent="0.25">
      <c r="A1379">
        <v>782384902</v>
      </c>
      <c r="B1379" t="s">
        <v>5598</v>
      </c>
      <c r="C1379" t="s">
        <v>4410</v>
      </c>
      <c r="D1379">
        <v>13</v>
      </c>
      <c r="E1379" t="s">
        <v>4445</v>
      </c>
      <c r="F1379" t="s">
        <v>5599</v>
      </c>
      <c r="G1379" t="s">
        <v>5568</v>
      </c>
      <c r="H1379" t="s">
        <v>4915</v>
      </c>
      <c r="I1379" s="79" t="str">
        <f>IF(Tabla13[[#This Row],[RUT]]=774097899,"DIST",_xlfn.XLOOKUP(Tabla13[[#This Row],[VENDEDOR]],dimensiones!$C$21:$C$28,dimensiones!$D$21:$D$28,""))</f>
        <v>ATEL</v>
      </c>
      <c r="J1379" s="125" t="str">
        <f>_xlfn.XLOOKUP(Tabla13[[#This Row],[REGION]],dimensiones!C:C,dimensiones!D:D,"")</f>
        <v>Región de Metropolitana de Santiago</v>
      </c>
    </row>
    <row r="1380" spans="1:10" x14ac:dyDescent="0.25">
      <c r="A1380">
        <v>783504405</v>
      </c>
      <c r="B1380" t="s">
        <v>4435</v>
      </c>
      <c r="C1380" t="s">
        <v>4391</v>
      </c>
      <c r="D1380">
        <v>13</v>
      </c>
      <c r="E1380" t="s">
        <v>4445</v>
      </c>
      <c r="F1380" t="s">
        <v>4611</v>
      </c>
      <c r="G1380" t="s">
        <v>5568</v>
      </c>
      <c r="H1380" t="s">
        <v>4915</v>
      </c>
      <c r="I1380" s="79" t="str">
        <f>IF(Tabla13[[#This Row],[RUT]]=774097899,"DIST",_xlfn.XLOOKUP(Tabla13[[#This Row],[VENDEDOR]],dimensiones!$C$21:$C$28,dimensiones!$D$21:$D$28,""))</f>
        <v>ATEL</v>
      </c>
      <c r="J1380" s="125" t="str">
        <f>_xlfn.XLOOKUP(Tabla13[[#This Row],[REGION]],dimensiones!C:C,dimensiones!D:D,"")</f>
        <v>Región de Metropolitana de Santiago</v>
      </c>
    </row>
    <row r="1381" spans="1:10" x14ac:dyDescent="0.25">
      <c r="A1381">
        <v>785378709</v>
      </c>
      <c r="B1381" t="s">
        <v>4988</v>
      </c>
      <c r="C1381" t="s">
        <v>4473</v>
      </c>
      <c r="D1381">
        <v>13</v>
      </c>
      <c r="E1381" t="s">
        <v>4445</v>
      </c>
      <c r="F1381" t="s">
        <v>4993</v>
      </c>
      <c r="G1381" t="s">
        <v>5568</v>
      </c>
      <c r="H1381" t="s">
        <v>4915</v>
      </c>
      <c r="I1381" s="79" t="str">
        <f>IF(Tabla13[[#This Row],[RUT]]=774097899,"DIST",_xlfn.XLOOKUP(Tabla13[[#This Row],[VENDEDOR]],dimensiones!$C$21:$C$28,dimensiones!$D$21:$D$28,""))</f>
        <v>ATEL</v>
      </c>
      <c r="J1381" s="125" t="str">
        <f>_xlfn.XLOOKUP(Tabla13[[#This Row],[REGION]],dimensiones!C:C,dimensiones!D:D,"")</f>
        <v>Región de Metropolitana de Santiago</v>
      </c>
    </row>
    <row r="1382" spans="1:10" x14ac:dyDescent="0.25">
      <c r="A1382">
        <v>785563700</v>
      </c>
      <c r="B1382" t="s">
        <v>583</v>
      </c>
      <c r="C1382" t="s">
        <v>4391</v>
      </c>
      <c r="D1382">
        <v>13</v>
      </c>
      <c r="E1382" t="s">
        <v>4445</v>
      </c>
      <c r="F1382" t="s">
        <v>3758</v>
      </c>
      <c r="G1382" t="s">
        <v>5570</v>
      </c>
      <c r="H1382" t="s">
        <v>4915</v>
      </c>
      <c r="I1382" s="79" t="str">
        <f>IF(Tabla13[[#This Row],[RUT]]=774097899,"DIST",_xlfn.XLOOKUP(Tabla13[[#This Row],[VENDEDOR]],dimensiones!$C$21:$C$28,dimensiones!$D$21:$D$28,""))</f>
        <v>ATEL</v>
      </c>
      <c r="J1382" s="125" t="str">
        <f>_xlfn.XLOOKUP(Tabla13[[#This Row],[REGION]],dimensiones!C:C,dimensiones!D:D,"")</f>
        <v>Región de Metropolitana de Santiago</v>
      </c>
    </row>
    <row r="1383" spans="1:10" x14ac:dyDescent="0.25">
      <c r="A1383">
        <v>785662504</v>
      </c>
      <c r="B1383" t="s">
        <v>5585</v>
      </c>
      <c r="C1383" t="s">
        <v>4465</v>
      </c>
      <c r="D1383">
        <v>13</v>
      </c>
      <c r="E1383" t="s">
        <v>4445</v>
      </c>
      <c r="F1383" t="s">
        <v>5586</v>
      </c>
      <c r="G1383" t="s">
        <v>5568</v>
      </c>
      <c r="H1383" t="s">
        <v>4915</v>
      </c>
      <c r="I1383" s="79" t="str">
        <f>IF(Tabla13[[#This Row],[RUT]]=774097899,"DIST",_xlfn.XLOOKUP(Tabla13[[#This Row],[VENDEDOR]],dimensiones!$C$21:$C$28,dimensiones!$D$21:$D$28,""))</f>
        <v>ATEL</v>
      </c>
      <c r="J1383" s="125" t="str">
        <f>_xlfn.XLOOKUP(Tabla13[[#This Row],[REGION]],dimensiones!C:C,dimensiones!D:D,"")</f>
        <v>Región de Metropolitana de Santiago</v>
      </c>
    </row>
    <row r="1384" spans="1:10" x14ac:dyDescent="0.25">
      <c r="A1384">
        <v>785837509</v>
      </c>
      <c r="B1384" t="s">
        <v>584</v>
      </c>
      <c r="C1384" t="s">
        <v>4465</v>
      </c>
      <c r="D1384">
        <v>13</v>
      </c>
      <c r="E1384" t="s">
        <v>4445</v>
      </c>
      <c r="F1384" t="s">
        <v>3182</v>
      </c>
      <c r="G1384" t="s">
        <v>5568</v>
      </c>
      <c r="H1384" t="s">
        <v>4915</v>
      </c>
      <c r="I1384" s="79" t="str">
        <f>IF(Tabla13[[#This Row],[RUT]]=774097899,"DIST",_xlfn.XLOOKUP(Tabla13[[#This Row],[VENDEDOR]],dimensiones!$C$21:$C$28,dimensiones!$D$21:$D$28,""))</f>
        <v>ATEL</v>
      </c>
      <c r="J1384" s="125" t="str">
        <f>_xlfn.XLOOKUP(Tabla13[[#This Row],[REGION]],dimensiones!C:C,dimensiones!D:D,"")</f>
        <v>Región de Metropolitana de Santiago</v>
      </c>
    </row>
    <row r="1385" spans="1:10" x14ac:dyDescent="0.25">
      <c r="A1385">
        <v>785977408</v>
      </c>
      <c r="B1385" t="s">
        <v>3185</v>
      </c>
      <c r="C1385" t="s">
        <v>4391</v>
      </c>
      <c r="D1385">
        <v>13</v>
      </c>
      <c r="E1385" t="s">
        <v>4445</v>
      </c>
      <c r="F1385" t="s">
        <v>3184</v>
      </c>
      <c r="G1385" t="s">
        <v>5570</v>
      </c>
      <c r="H1385" t="s">
        <v>4915</v>
      </c>
      <c r="I1385" s="79" t="str">
        <f>IF(Tabla13[[#This Row],[RUT]]=774097899,"DIST",_xlfn.XLOOKUP(Tabla13[[#This Row],[VENDEDOR]],dimensiones!$C$21:$C$28,dimensiones!$D$21:$D$28,""))</f>
        <v>ATEL</v>
      </c>
      <c r="J1385" s="125" t="str">
        <f>_xlfn.XLOOKUP(Tabla13[[#This Row],[REGION]],dimensiones!C:C,dimensiones!D:D,"")</f>
        <v>Región de Metropolitana de Santiago</v>
      </c>
    </row>
    <row r="1386" spans="1:10" x14ac:dyDescent="0.25">
      <c r="A1386">
        <v>786602009</v>
      </c>
      <c r="B1386" t="s">
        <v>118</v>
      </c>
      <c r="C1386" t="s">
        <v>4175</v>
      </c>
      <c r="D1386">
        <v>5</v>
      </c>
      <c r="E1386" t="s">
        <v>2372</v>
      </c>
      <c r="F1386" t="s">
        <v>3187</v>
      </c>
      <c r="G1386" t="s">
        <v>5570</v>
      </c>
      <c r="H1386" t="s">
        <v>4915</v>
      </c>
      <c r="I1386" s="79" t="str">
        <f>IF(Tabla13[[#This Row],[RUT]]=774097899,"DIST",_xlfn.XLOOKUP(Tabla13[[#This Row],[VENDEDOR]],dimensiones!$C$21:$C$28,dimensiones!$D$21:$D$28,""))</f>
        <v>NOR1</v>
      </c>
      <c r="J1386" s="125" t="str">
        <f>_xlfn.XLOOKUP(Tabla13[[#This Row],[REGION]],dimensiones!C:C,dimensiones!D:D,"")</f>
        <v>Región de Valparaíso</v>
      </c>
    </row>
    <row r="1387" spans="1:10" x14ac:dyDescent="0.25">
      <c r="A1387">
        <v>786632609</v>
      </c>
      <c r="B1387" t="s">
        <v>3190</v>
      </c>
      <c r="C1387" t="s">
        <v>4175</v>
      </c>
      <c r="D1387">
        <v>5</v>
      </c>
      <c r="E1387" t="s">
        <v>4445</v>
      </c>
      <c r="F1387" t="s">
        <v>3189</v>
      </c>
      <c r="G1387" t="s">
        <v>5570</v>
      </c>
      <c r="H1387" t="s">
        <v>4915</v>
      </c>
      <c r="I1387" s="79" t="str">
        <f>IF(Tabla13[[#This Row],[RUT]]=774097899,"DIST",_xlfn.XLOOKUP(Tabla13[[#This Row],[VENDEDOR]],dimensiones!$C$21:$C$28,dimensiones!$D$21:$D$28,""))</f>
        <v>ATEL</v>
      </c>
      <c r="J1387" s="125" t="str">
        <f>_xlfn.XLOOKUP(Tabla13[[#This Row],[REGION]],dimensiones!C:C,dimensiones!D:D,"")</f>
        <v>Región de Valparaíso</v>
      </c>
    </row>
    <row r="1388" spans="1:10" x14ac:dyDescent="0.25">
      <c r="A1388">
        <v>787395805</v>
      </c>
      <c r="B1388" t="s">
        <v>868</v>
      </c>
      <c r="C1388" t="s">
        <v>4465</v>
      </c>
      <c r="D1388">
        <v>13</v>
      </c>
      <c r="E1388" t="s">
        <v>4445</v>
      </c>
      <c r="F1388" t="s">
        <v>4130</v>
      </c>
      <c r="G1388" t="s">
        <v>5570</v>
      </c>
      <c r="H1388" t="s">
        <v>4915</v>
      </c>
      <c r="I1388" s="79" t="str">
        <f>IF(Tabla13[[#This Row],[RUT]]=774097899,"DIST",_xlfn.XLOOKUP(Tabla13[[#This Row],[VENDEDOR]],dimensiones!$C$21:$C$28,dimensiones!$D$21:$D$28,""))</f>
        <v>ATEL</v>
      </c>
      <c r="J1388" s="125" t="str">
        <f>_xlfn.XLOOKUP(Tabla13[[#This Row],[REGION]],dimensiones!C:C,dimensiones!D:D,"")</f>
        <v>Región de Metropolitana de Santiago</v>
      </c>
    </row>
    <row r="1389" spans="1:10" x14ac:dyDescent="0.25">
      <c r="A1389">
        <v>789182906</v>
      </c>
      <c r="B1389" t="s">
        <v>2028</v>
      </c>
      <c r="C1389" t="s">
        <v>4178</v>
      </c>
      <c r="D1389">
        <v>6</v>
      </c>
      <c r="E1389" t="s">
        <v>4445</v>
      </c>
      <c r="F1389" t="s">
        <v>2027</v>
      </c>
      <c r="G1389" t="s">
        <v>5570</v>
      </c>
      <c r="H1389" t="s">
        <v>4915</v>
      </c>
      <c r="I1389" s="79" t="str">
        <f>IF(Tabla13[[#This Row],[RUT]]=774097899,"DIST",_xlfn.XLOOKUP(Tabla13[[#This Row],[VENDEDOR]],dimensiones!$C$21:$C$28,dimensiones!$D$21:$D$28,""))</f>
        <v>ATEL</v>
      </c>
      <c r="J1389" s="125" t="str">
        <f>_xlfn.XLOOKUP(Tabla13[[#This Row],[REGION]],dimensiones!C:C,dimensiones!D:D,"")</f>
        <v>Región de Libertador General Bernardo O'Higgins</v>
      </c>
    </row>
    <row r="1390" spans="1:10" x14ac:dyDescent="0.25">
      <c r="A1390">
        <v>789374503</v>
      </c>
      <c r="B1390" t="s">
        <v>3197</v>
      </c>
      <c r="C1390" t="s">
        <v>4168</v>
      </c>
      <c r="D1390">
        <v>13</v>
      </c>
      <c r="E1390" t="s">
        <v>4445</v>
      </c>
      <c r="F1390" t="s">
        <v>3196</v>
      </c>
      <c r="G1390" t="s">
        <v>5568</v>
      </c>
      <c r="H1390" t="s">
        <v>4915</v>
      </c>
      <c r="I1390" s="79" t="str">
        <f>IF(Tabla13[[#This Row],[RUT]]=774097899,"DIST",_xlfn.XLOOKUP(Tabla13[[#This Row],[VENDEDOR]],dimensiones!$C$21:$C$28,dimensiones!$D$21:$D$28,""))</f>
        <v>ATEL</v>
      </c>
      <c r="J1390" s="125" t="str">
        <f>_xlfn.XLOOKUP(Tabla13[[#This Row],[REGION]],dimensiones!C:C,dimensiones!D:D,"")</f>
        <v>Región de Metropolitana de Santiago</v>
      </c>
    </row>
    <row r="1391" spans="1:10" x14ac:dyDescent="0.25">
      <c r="A1391">
        <v>789476101</v>
      </c>
      <c r="B1391" t="s">
        <v>5670</v>
      </c>
      <c r="C1391" t="s">
        <v>4218</v>
      </c>
      <c r="D1391">
        <v>9</v>
      </c>
      <c r="E1391" t="s">
        <v>4445</v>
      </c>
      <c r="F1391" t="s">
        <v>5671</v>
      </c>
      <c r="G1391" t="s">
        <v>5568</v>
      </c>
      <c r="H1391" t="s">
        <v>4915</v>
      </c>
      <c r="I1391" s="79" t="str">
        <f>IF(Tabla13[[#This Row],[RUT]]=774097899,"DIST",_xlfn.XLOOKUP(Tabla13[[#This Row],[VENDEDOR]],dimensiones!$C$21:$C$28,dimensiones!$D$21:$D$28,""))</f>
        <v>ATEL</v>
      </c>
      <c r="J1391" s="125" t="str">
        <f>_xlfn.XLOOKUP(Tabla13[[#This Row],[REGION]],dimensiones!C:C,dimensiones!D:D,"")</f>
        <v>Región de La Araucanía</v>
      </c>
    </row>
    <row r="1392" spans="1:10" x14ac:dyDescent="0.25">
      <c r="A1392">
        <v>795768106</v>
      </c>
      <c r="B1392" t="s">
        <v>119</v>
      </c>
      <c r="C1392" t="s">
        <v>4175</v>
      </c>
      <c r="D1392">
        <v>5</v>
      </c>
      <c r="E1392" t="s">
        <v>2372</v>
      </c>
      <c r="F1392" t="s">
        <v>3530</v>
      </c>
      <c r="G1392" t="s">
        <v>5570</v>
      </c>
      <c r="H1392" t="s">
        <v>4915</v>
      </c>
      <c r="I1392" s="79" t="str">
        <f>IF(Tabla13[[#This Row],[RUT]]=774097899,"DIST",_xlfn.XLOOKUP(Tabla13[[#This Row],[VENDEDOR]],dimensiones!$C$21:$C$28,dimensiones!$D$21:$D$28,""))</f>
        <v>NOR1</v>
      </c>
      <c r="J1392" s="125" t="str">
        <f>_xlfn.XLOOKUP(Tabla13[[#This Row],[REGION]],dimensiones!C:C,dimensiones!D:D,"")</f>
        <v>Región de Valparaíso</v>
      </c>
    </row>
    <row r="1393" spans="1:10" x14ac:dyDescent="0.25">
      <c r="A1393">
        <v>796079002</v>
      </c>
      <c r="B1393" t="s">
        <v>120</v>
      </c>
      <c r="C1393" t="s">
        <v>4495</v>
      </c>
      <c r="D1393">
        <v>16</v>
      </c>
      <c r="E1393" t="s">
        <v>4464</v>
      </c>
      <c r="F1393" t="s">
        <v>4153</v>
      </c>
      <c r="G1393" t="s">
        <v>5570</v>
      </c>
      <c r="H1393" t="s">
        <v>4915</v>
      </c>
      <c r="I1393" s="79" t="str">
        <f>IF(Tabla13[[#This Row],[RUT]]=774097899,"DIST",_xlfn.XLOOKUP(Tabla13[[#This Row],[VENDEDOR]],dimensiones!$C$21:$C$28,dimensiones!$D$21:$D$28,""))</f>
        <v>SUR1</v>
      </c>
      <c r="J1393" s="125" t="str">
        <f>_xlfn.XLOOKUP(Tabla13[[#This Row],[REGION]],dimensiones!C:C,dimensiones!D:D,"")</f>
        <v>Región de Ñuble</v>
      </c>
    </row>
    <row r="1394" spans="1:10" x14ac:dyDescent="0.25">
      <c r="A1394">
        <v>797228605</v>
      </c>
      <c r="B1394" t="s">
        <v>3205</v>
      </c>
      <c r="C1394" t="s">
        <v>4557</v>
      </c>
      <c r="D1394">
        <v>13</v>
      </c>
      <c r="E1394" t="s">
        <v>4445</v>
      </c>
      <c r="F1394" t="s">
        <v>3204</v>
      </c>
      <c r="G1394" t="s">
        <v>5568</v>
      </c>
      <c r="H1394" t="s">
        <v>4915</v>
      </c>
      <c r="I1394" s="79" t="str">
        <f>IF(Tabla13[[#This Row],[RUT]]=774097899,"DIST",_xlfn.XLOOKUP(Tabla13[[#This Row],[VENDEDOR]],dimensiones!$C$21:$C$28,dimensiones!$D$21:$D$28,""))</f>
        <v>ATEL</v>
      </c>
      <c r="J1394" s="125" t="str">
        <f>_xlfn.XLOOKUP(Tabla13[[#This Row],[REGION]],dimensiones!C:C,dimensiones!D:D,"")</f>
        <v>Región de Metropolitana de Santiago</v>
      </c>
    </row>
    <row r="1395" spans="1:10" x14ac:dyDescent="0.25">
      <c r="A1395">
        <v>798440802</v>
      </c>
      <c r="B1395" t="s">
        <v>587</v>
      </c>
      <c r="C1395" t="s">
        <v>4394</v>
      </c>
      <c r="D1395">
        <v>13</v>
      </c>
      <c r="E1395" t="s">
        <v>4445</v>
      </c>
      <c r="F1395" t="s">
        <v>3206</v>
      </c>
      <c r="G1395" t="s">
        <v>5568</v>
      </c>
      <c r="H1395" t="s">
        <v>4915</v>
      </c>
      <c r="I1395" s="79" t="str">
        <f>IF(Tabla13[[#This Row],[RUT]]=774097899,"DIST",_xlfn.XLOOKUP(Tabla13[[#This Row],[VENDEDOR]],dimensiones!$C$21:$C$28,dimensiones!$D$21:$D$28,""))</f>
        <v>ATEL</v>
      </c>
      <c r="J1395" s="125" t="str">
        <f>_xlfn.XLOOKUP(Tabla13[[#This Row],[REGION]],dimensiones!C:C,dimensiones!D:D,"")</f>
        <v>Región de Metropolitana de Santiago</v>
      </c>
    </row>
    <row r="1396" spans="1:10" x14ac:dyDescent="0.25">
      <c r="A1396">
        <v>798598902</v>
      </c>
      <c r="B1396" t="s">
        <v>588</v>
      </c>
      <c r="C1396" t="s">
        <v>4465</v>
      </c>
      <c r="D1396">
        <v>13</v>
      </c>
      <c r="E1396" t="s">
        <v>4445</v>
      </c>
      <c r="F1396" t="s">
        <v>2802</v>
      </c>
      <c r="G1396" t="s">
        <v>5570</v>
      </c>
      <c r="H1396" t="s">
        <v>4915</v>
      </c>
      <c r="I1396" s="79" t="str">
        <f>IF(Tabla13[[#This Row],[RUT]]=774097899,"DIST",_xlfn.XLOOKUP(Tabla13[[#This Row],[VENDEDOR]],dimensiones!$C$21:$C$28,dimensiones!$D$21:$D$28,""))</f>
        <v>ATEL</v>
      </c>
      <c r="J1396" s="125" t="str">
        <f>_xlfn.XLOOKUP(Tabla13[[#This Row],[REGION]],dimensiones!C:C,dimensiones!D:D,"")</f>
        <v>Región de Metropolitana de Santiago</v>
      </c>
    </row>
    <row r="1397" spans="1:10" x14ac:dyDescent="0.25">
      <c r="A1397">
        <v>798956701</v>
      </c>
      <c r="B1397" t="s">
        <v>589</v>
      </c>
      <c r="C1397" t="s">
        <v>4393</v>
      </c>
      <c r="D1397">
        <v>13</v>
      </c>
      <c r="E1397" t="s">
        <v>4445</v>
      </c>
      <c r="F1397" t="s">
        <v>3210</v>
      </c>
      <c r="G1397" t="s">
        <v>5568</v>
      </c>
      <c r="H1397" t="s">
        <v>4915</v>
      </c>
      <c r="I1397" s="79" t="str">
        <f>IF(Tabla13[[#This Row],[RUT]]=774097899,"DIST",_xlfn.XLOOKUP(Tabla13[[#This Row],[VENDEDOR]],dimensiones!$C$21:$C$28,dimensiones!$D$21:$D$28,""))</f>
        <v>ATEL</v>
      </c>
      <c r="J1397" s="125" t="str">
        <f>_xlfn.XLOOKUP(Tabla13[[#This Row],[REGION]],dimensiones!C:C,dimensiones!D:D,"")</f>
        <v>Región de Metropolitana de Santiago</v>
      </c>
    </row>
    <row r="1398" spans="1:10" x14ac:dyDescent="0.25">
      <c r="A1398">
        <v>79898783</v>
      </c>
      <c r="B1398" t="s">
        <v>939</v>
      </c>
      <c r="C1398" t="s">
        <v>4410</v>
      </c>
      <c r="D1398">
        <v>13</v>
      </c>
      <c r="E1398" t="s">
        <v>4445</v>
      </c>
      <c r="F1398" t="s">
        <v>3212</v>
      </c>
      <c r="G1398" t="s">
        <v>5568</v>
      </c>
      <c r="H1398" t="s">
        <v>4915</v>
      </c>
      <c r="I1398" s="79" t="str">
        <f>IF(Tabla13[[#This Row],[RUT]]=774097899,"DIST",_xlfn.XLOOKUP(Tabla13[[#This Row],[VENDEDOR]],dimensiones!$C$21:$C$28,dimensiones!$D$21:$D$28,""))</f>
        <v>ATEL</v>
      </c>
      <c r="J1398" s="125" t="str">
        <f>_xlfn.XLOOKUP(Tabla13[[#This Row],[REGION]],dimensiones!C:C,dimensiones!D:D,"")</f>
        <v>Región de Metropolitana de Santiago</v>
      </c>
    </row>
    <row r="1399" spans="1:10" x14ac:dyDescent="0.25">
      <c r="A1399">
        <v>799065401</v>
      </c>
      <c r="B1399" t="s">
        <v>5562</v>
      </c>
      <c r="C1399" t="s">
        <v>4557</v>
      </c>
      <c r="D1399">
        <v>13</v>
      </c>
      <c r="E1399" t="s">
        <v>5563</v>
      </c>
      <c r="F1399" t="s">
        <v>5564</v>
      </c>
      <c r="H1399" t="s">
        <v>4915</v>
      </c>
      <c r="I1399" s="79" t="str">
        <f>IF(Tabla13[[#This Row],[RUT]]=774097899,"DIST",_xlfn.XLOOKUP(Tabla13[[#This Row],[VENDEDOR]],dimensiones!$C$21:$C$28,dimensiones!$D$21:$D$28,""))</f>
        <v/>
      </c>
      <c r="J1399" s="125" t="str">
        <f>_xlfn.XLOOKUP(Tabla13[[#This Row],[REGION]],dimensiones!C:C,dimensiones!D:D,"")</f>
        <v>Región de Metropolitana de Santiago</v>
      </c>
    </row>
    <row r="1400" spans="1:10" x14ac:dyDescent="0.25">
      <c r="A1400">
        <v>801239005</v>
      </c>
      <c r="B1400" t="s">
        <v>975</v>
      </c>
      <c r="C1400" t="s">
        <v>4391</v>
      </c>
      <c r="D1400">
        <v>13</v>
      </c>
      <c r="E1400" t="s">
        <v>4445</v>
      </c>
      <c r="F1400" t="s">
        <v>3214</v>
      </c>
      <c r="G1400" t="s">
        <v>5568</v>
      </c>
      <c r="H1400" t="s">
        <v>4915</v>
      </c>
      <c r="I1400" s="79" t="str">
        <f>IF(Tabla13[[#This Row],[RUT]]=774097899,"DIST",_xlfn.XLOOKUP(Tabla13[[#This Row],[VENDEDOR]],dimensiones!$C$21:$C$28,dimensiones!$D$21:$D$28,""))</f>
        <v>ATEL</v>
      </c>
      <c r="J1400" s="125" t="str">
        <f>_xlfn.XLOOKUP(Tabla13[[#This Row],[REGION]],dimensiones!C:C,dimensiones!D:D,"")</f>
        <v>Región de Metropolitana de Santiago</v>
      </c>
    </row>
    <row r="1401" spans="1:10" x14ac:dyDescent="0.25">
      <c r="A1401">
        <v>809329003</v>
      </c>
      <c r="B1401" t="s">
        <v>1065</v>
      </c>
      <c r="C1401" t="s">
        <v>4460</v>
      </c>
      <c r="D1401">
        <v>8</v>
      </c>
      <c r="E1401" t="s">
        <v>4445</v>
      </c>
      <c r="F1401" t="s">
        <v>3216</v>
      </c>
      <c r="G1401" t="s">
        <v>5570</v>
      </c>
      <c r="H1401" t="s">
        <v>4915</v>
      </c>
      <c r="I1401" s="79" t="str">
        <f>IF(Tabla13[[#This Row],[RUT]]=774097899,"DIST",_xlfn.XLOOKUP(Tabla13[[#This Row],[VENDEDOR]],dimensiones!$C$21:$C$28,dimensiones!$D$21:$D$28,""))</f>
        <v>ATEL</v>
      </c>
      <c r="J1401" s="125" t="str">
        <f>_xlfn.XLOOKUP(Tabla13[[#This Row],[REGION]],dimensiones!C:C,dimensiones!D:D,"")</f>
        <v>Región de Biobío</v>
      </c>
    </row>
    <row r="1402" spans="1:10" x14ac:dyDescent="0.25">
      <c r="A1402">
        <v>812104004</v>
      </c>
      <c r="B1402" t="s">
        <v>5587</v>
      </c>
      <c r="C1402" t="s">
        <v>4393</v>
      </c>
      <c r="D1402">
        <v>13</v>
      </c>
      <c r="E1402" t="s">
        <v>4445</v>
      </c>
      <c r="F1402" t="s">
        <v>5319</v>
      </c>
      <c r="G1402" t="s">
        <v>5568</v>
      </c>
      <c r="H1402" t="s">
        <v>4915</v>
      </c>
      <c r="I1402" s="79" t="str">
        <f>IF(Tabla13[[#This Row],[RUT]]=774097899,"DIST",_xlfn.XLOOKUP(Tabla13[[#This Row],[VENDEDOR]],dimensiones!$C$21:$C$28,dimensiones!$D$21:$D$28,""))</f>
        <v>ATEL</v>
      </c>
      <c r="J1402" s="125" t="str">
        <f>_xlfn.XLOOKUP(Tabla13[[#This Row],[REGION]],dimensiones!C:C,dimensiones!D:D,"")</f>
        <v>Región de Metropolitana de Santiago</v>
      </c>
    </row>
    <row r="1403" spans="1:10" x14ac:dyDescent="0.25">
      <c r="A1403">
        <v>813380005</v>
      </c>
      <c r="B1403" t="s">
        <v>590</v>
      </c>
      <c r="C1403" t="s">
        <v>4456</v>
      </c>
      <c r="D1403">
        <v>13</v>
      </c>
      <c r="E1403" t="s">
        <v>4445</v>
      </c>
      <c r="F1403" t="s">
        <v>3218</v>
      </c>
      <c r="G1403" t="s">
        <v>5568</v>
      </c>
      <c r="H1403" t="s">
        <v>4915</v>
      </c>
      <c r="I1403" s="79" t="str">
        <f>IF(Tabla13[[#This Row],[RUT]]=774097899,"DIST",_xlfn.XLOOKUP(Tabla13[[#This Row],[VENDEDOR]],dimensiones!$C$21:$C$28,dimensiones!$D$21:$D$28,""))</f>
        <v>ATEL</v>
      </c>
      <c r="J1403" s="125" t="str">
        <f>_xlfn.XLOOKUP(Tabla13[[#This Row],[REGION]],dimensiones!C:C,dimensiones!D:D,"")</f>
        <v>Región de Metropolitana de Santiago</v>
      </c>
    </row>
    <row r="1404" spans="1:10" x14ac:dyDescent="0.25">
      <c r="A1404" t="s">
        <v>737</v>
      </c>
      <c r="B1404" t="s">
        <v>3221</v>
      </c>
      <c r="C1404" t="s">
        <v>4495</v>
      </c>
      <c r="D1404">
        <v>8</v>
      </c>
      <c r="E1404" t="s">
        <v>4445</v>
      </c>
      <c r="F1404" t="s">
        <v>3220</v>
      </c>
      <c r="G1404" t="s">
        <v>5573</v>
      </c>
      <c r="H1404" t="s">
        <v>4957</v>
      </c>
      <c r="I1404" s="79" t="str">
        <f>IF(Tabla13[[#This Row],[RUT]]=774097899,"DIST",_xlfn.XLOOKUP(Tabla13[[#This Row],[VENDEDOR]],dimensiones!$C$21:$C$28,dimensiones!$D$21:$D$28,""))</f>
        <v>ATEL</v>
      </c>
      <c r="J1404" s="125" t="str">
        <f>_xlfn.XLOOKUP(Tabla13[[#This Row],[REGION]],dimensiones!C:C,dimensiones!D:D,"")</f>
        <v>Región de Biobío</v>
      </c>
    </row>
    <row r="1405" spans="1:10" x14ac:dyDescent="0.25">
      <c r="A1405">
        <v>816989000</v>
      </c>
      <c r="B1405" t="s">
        <v>591</v>
      </c>
      <c r="C1405" t="s">
        <v>4168</v>
      </c>
      <c r="D1405">
        <v>13</v>
      </c>
      <c r="E1405" t="s">
        <v>4445</v>
      </c>
      <c r="F1405" t="s">
        <v>1629</v>
      </c>
      <c r="G1405" t="s">
        <v>5570</v>
      </c>
      <c r="H1405" t="s">
        <v>4915</v>
      </c>
      <c r="I1405" s="79" t="str">
        <f>IF(Tabla13[[#This Row],[RUT]]=774097899,"DIST",_xlfn.XLOOKUP(Tabla13[[#This Row],[VENDEDOR]],dimensiones!$C$21:$C$28,dimensiones!$D$21:$D$28,""))</f>
        <v>ATEL</v>
      </c>
      <c r="J1405" s="125" t="str">
        <f>_xlfn.XLOOKUP(Tabla13[[#This Row],[REGION]],dimensiones!C:C,dimensiones!D:D,"")</f>
        <v>Región de Metropolitana de Santiago</v>
      </c>
    </row>
    <row r="1406" spans="1:10" x14ac:dyDescent="0.25">
      <c r="A1406">
        <v>818975007</v>
      </c>
      <c r="B1406" t="s">
        <v>592</v>
      </c>
      <c r="C1406" t="s">
        <v>4168</v>
      </c>
      <c r="D1406">
        <v>13</v>
      </c>
      <c r="E1406" t="s">
        <v>4445</v>
      </c>
      <c r="F1406" t="s">
        <v>2308</v>
      </c>
      <c r="G1406" t="s">
        <v>5570</v>
      </c>
      <c r="H1406" t="s">
        <v>4915</v>
      </c>
      <c r="I1406" s="79" t="str">
        <f>IF(Tabla13[[#This Row],[RUT]]=774097899,"DIST",_xlfn.XLOOKUP(Tabla13[[#This Row],[VENDEDOR]],dimensiones!$C$21:$C$28,dimensiones!$D$21:$D$28,""))</f>
        <v>ATEL</v>
      </c>
      <c r="J1406" s="125" t="str">
        <f>_xlfn.XLOOKUP(Tabla13[[#This Row],[REGION]],dimensiones!C:C,dimensiones!D:D,"")</f>
        <v>Región de Metropolitana de Santiago</v>
      </c>
    </row>
    <row r="1407" spans="1:10" x14ac:dyDescent="0.25">
      <c r="A1407">
        <v>819491003</v>
      </c>
      <c r="B1407" t="s">
        <v>2317</v>
      </c>
      <c r="C1407" t="s">
        <v>4224</v>
      </c>
      <c r="D1407">
        <v>10</v>
      </c>
      <c r="E1407" t="s">
        <v>4454</v>
      </c>
      <c r="F1407" t="s">
        <v>2316</v>
      </c>
      <c r="G1407" t="s">
        <v>5570</v>
      </c>
      <c r="H1407" t="s">
        <v>4915</v>
      </c>
      <c r="I1407" s="79" t="str">
        <f>IF(Tabla13[[#This Row],[RUT]]=774097899,"DIST",_xlfn.XLOOKUP(Tabla13[[#This Row],[VENDEDOR]],dimensiones!$C$21:$C$28,dimensiones!$D$21:$D$28,""))</f>
        <v>SUR2</v>
      </c>
      <c r="J1407" s="125" t="str">
        <f>_xlfn.XLOOKUP(Tabla13[[#This Row],[REGION]],dimensiones!C:C,dimensiones!D:D,"")</f>
        <v>Región de Los Lagos</v>
      </c>
    </row>
    <row r="1408" spans="1:10" x14ac:dyDescent="0.25">
      <c r="A1408">
        <v>820318005</v>
      </c>
      <c r="B1408" t="s">
        <v>122</v>
      </c>
      <c r="C1408" t="s">
        <v>4287</v>
      </c>
      <c r="D1408">
        <v>13</v>
      </c>
      <c r="E1408" t="s">
        <v>4457</v>
      </c>
      <c r="F1408" t="s">
        <v>1202</v>
      </c>
      <c r="G1408" t="s">
        <v>5570</v>
      </c>
      <c r="H1408" t="s">
        <v>4915</v>
      </c>
      <c r="I1408" s="79" t="str">
        <f>IF(Tabla13[[#This Row],[RUT]]=774097899,"DIST",_xlfn.XLOOKUP(Tabla13[[#This Row],[VENDEDOR]],dimensiones!$C$21:$C$28,dimensiones!$D$21:$D$28,""))</f>
        <v>SANT1</v>
      </c>
      <c r="J1408" s="125" t="str">
        <f>_xlfn.XLOOKUP(Tabla13[[#This Row],[REGION]],dimensiones!C:C,dimensiones!D:D,"")</f>
        <v>Región de Metropolitana de Santiago</v>
      </c>
    </row>
    <row r="1409" spans="1:10" x14ac:dyDescent="0.25">
      <c r="A1409">
        <v>821567009</v>
      </c>
      <c r="B1409" t="s">
        <v>593</v>
      </c>
      <c r="C1409" t="s">
        <v>4187</v>
      </c>
      <c r="D1409">
        <v>13</v>
      </c>
      <c r="E1409" t="s">
        <v>4445</v>
      </c>
      <c r="F1409" t="s">
        <v>3233</v>
      </c>
      <c r="G1409" t="s">
        <v>5570</v>
      </c>
      <c r="H1409" t="s">
        <v>4915</v>
      </c>
      <c r="I1409" s="79" t="str">
        <f>IF(Tabla13[[#This Row],[RUT]]=774097899,"DIST",_xlfn.XLOOKUP(Tabla13[[#This Row],[VENDEDOR]],dimensiones!$C$21:$C$28,dimensiones!$D$21:$D$28,""))</f>
        <v>ATEL</v>
      </c>
      <c r="J1409" s="125" t="str">
        <f>_xlfn.XLOOKUP(Tabla13[[#This Row],[REGION]],dimensiones!C:C,dimensiones!D:D,"")</f>
        <v>Región de Metropolitana de Santiago</v>
      </c>
    </row>
    <row r="1410" spans="1:10" x14ac:dyDescent="0.25">
      <c r="A1410">
        <v>823695004</v>
      </c>
      <c r="B1410" t="s">
        <v>594</v>
      </c>
      <c r="C1410" t="s">
        <v>4175</v>
      </c>
      <c r="D1410">
        <v>5</v>
      </c>
      <c r="E1410" t="s">
        <v>4445</v>
      </c>
      <c r="F1410" t="s">
        <v>3235</v>
      </c>
      <c r="G1410" t="s">
        <v>5570</v>
      </c>
      <c r="H1410" t="s">
        <v>4915</v>
      </c>
      <c r="I1410" s="79" t="str">
        <f>IF(Tabla13[[#This Row],[RUT]]=774097899,"DIST",_xlfn.XLOOKUP(Tabla13[[#This Row],[VENDEDOR]],dimensiones!$C$21:$C$28,dimensiones!$D$21:$D$28,""))</f>
        <v>ATEL</v>
      </c>
      <c r="J1410" s="125" t="str">
        <f>_xlfn.XLOOKUP(Tabla13[[#This Row],[REGION]],dimensiones!C:C,dimensiones!D:D,"")</f>
        <v>Región de Valparaíso</v>
      </c>
    </row>
    <row r="1411" spans="1:10" x14ac:dyDescent="0.25">
      <c r="A1411">
        <v>827453005</v>
      </c>
      <c r="B1411" t="s">
        <v>2119</v>
      </c>
      <c r="C1411" t="s">
        <v>4497</v>
      </c>
      <c r="D1411">
        <v>8</v>
      </c>
      <c r="E1411" t="s">
        <v>4464</v>
      </c>
      <c r="F1411" t="s">
        <v>2118</v>
      </c>
      <c r="G1411" t="s">
        <v>5574</v>
      </c>
      <c r="H1411" t="s">
        <v>4915</v>
      </c>
      <c r="I1411" s="79" t="str">
        <f>IF(Tabla13[[#This Row],[RUT]]=774097899,"DIST",_xlfn.XLOOKUP(Tabla13[[#This Row],[VENDEDOR]],dimensiones!$C$21:$C$28,dimensiones!$D$21:$D$28,""))</f>
        <v>SUR1</v>
      </c>
      <c r="J1411" s="125" t="str">
        <f>_xlfn.XLOOKUP(Tabla13[[#This Row],[REGION]],dimensiones!C:C,dimensiones!D:D,"")</f>
        <v>Región de Biobío</v>
      </c>
    </row>
    <row r="1412" spans="1:10" x14ac:dyDescent="0.25">
      <c r="A1412">
        <v>829831007</v>
      </c>
      <c r="B1412" t="s">
        <v>5322</v>
      </c>
      <c r="C1412" t="s">
        <v>4465</v>
      </c>
      <c r="D1412">
        <v>13</v>
      </c>
      <c r="E1412" t="s">
        <v>4445</v>
      </c>
      <c r="F1412" t="s">
        <v>5323</v>
      </c>
      <c r="G1412" t="s">
        <v>5576</v>
      </c>
      <c r="H1412" t="s">
        <v>4915</v>
      </c>
      <c r="I1412" s="79" t="str">
        <f>IF(Tabla13[[#This Row],[RUT]]=774097899,"DIST",_xlfn.XLOOKUP(Tabla13[[#This Row],[VENDEDOR]],dimensiones!$C$21:$C$28,dimensiones!$D$21:$D$28,""))</f>
        <v>ATEL</v>
      </c>
      <c r="J1412" s="125" t="str">
        <f>_xlfn.XLOOKUP(Tabla13[[#This Row],[REGION]],dimensiones!C:C,dimensiones!D:D,"")</f>
        <v>Región de Metropolitana de Santiago</v>
      </c>
    </row>
    <row r="1413" spans="1:10" x14ac:dyDescent="0.25">
      <c r="A1413" t="s">
        <v>1100</v>
      </c>
      <c r="B1413" t="s">
        <v>1103</v>
      </c>
      <c r="C1413" t="s">
        <v>4174</v>
      </c>
      <c r="D1413">
        <v>5</v>
      </c>
      <c r="E1413" t="s">
        <v>4445</v>
      </c>
      <c r="F1413" t="s">
        <v>3521</v>
      </c>
      <c r="G1413" t="s">
        <v>5569</v>
      </c>
      <c r="H1413" t="s">
        <v>4915</v>
      </c>
      <c r="I1413" s="79" t="str">
        <f>IF(Tabla13[[#This Row],[RUT]]=774097899,"DIST",_xlfn.XLOOKUP(Tabla13[[#This Row],[VENDEDOR]],dimensiones!$C$21:$C$28,dimensiones!$D$21:$D$28,""))</f>
        <v>ATEL</v>
      </c>
      <c r="J1413" s="125" t="str">
        <f>_xlfn.XLOOKUP(Tabla13[[#This Row],[REGION]],dimensiones!C:C,dimensiones!D:D,"")</f>
        <v>Región de Valparaíso</v>
      </c>
    </row>
    <row r="1414" spans="1:10" x14ac:dyDescent="0.25">
      <c r="A1414">
        <v>856109003</v>
      </c>
      <c r="B1414" t="s">
        <v>3239</v>
      </c>
      <c r="C1414" t="s">
        <v>4175</v>
      </c>
      <c r="D1414">
        <v>5</v>
      </c>
      <c r="E1414" t="s">
        <v>4445</v>
      </c>
      <c r="F1414" t="s">
        <v>3238</v>
      </c>
      <c r="G1414" t="s">
        <v>5570</v>
      </c>
      <c r="H1414" t="s">
        <v>4915</v>
      </c>
      <c r="I1414" s="79" t="str">
        <f>IF(Tabla13[[#This Row],[RUT]]=774097899,"DIST",_xlfn.XLOOKUP(Tabla13[[#This Row],[VENDEDOR]],dimensiones!$C$21:$C$28,dimensiones!$D$21:$D$28,""))</f>
        <v>ATEL</v>
      </c>
      <c r="J1414" s="125" t="str">
        <f>_xlfn.XLOOKUP(Tabla13[[#This Row],[REGION]],dimensiones!C:C,dimensiones!D:D,"")</f>
        <v>Región de Valparaíso</v>
      </c>
    </row>
    <row r="1415" spans="1:10" x14ac:dyDescent="0.25">
      <c r="A1415">
        <v>859621007</v>
      </c>
      <c r="B1415" t="s">
        <v>595</v>
      </c>
      <c r="C1415" t="s">
        <v>4197</v>
      </c>
      <c r="D1415">
        <v>13</v>
      </c>
      <c r="E1415" t="s">
        <v>4445</v>
      </c>
      <c r="F1415" t="s">
        <v>1302</v>
      </c>
      <c r="G1415" t="s">
        <v>5570</v>
      </c>
      <c r="H1415" t="s">
        <v>4915</v>
      </c>
      <c r="I1415" s="79" t="str">
        <f>IF(Tabla13[[#This Row],[RUT]]=774097899,"DIST",_xlfn.XLOOKUP(Tabla13[[#This Row],[VENDEDOR]],dimensiones!$C$21:$C$28,dimensiones!$D$21:$D$28,""))</f>
        <v>ATEL</v>
      </c>
      <c r="J1415" s="125" t="str">
        <f>_xlfn.XLOOKUP(Tabla13[[#This Row],[REGION]],dimensiones!C:C,dimensiones!D:D,"")</f>
        <v>Región de Metropolitana de Santiago</v>
      </c>
    </row>
    <row r="1416" spans="1:10" x14ac:dyDescent="0.25">
      <c r="A1416">
        <v>863833000</v>
      </c>
      <c r="B1416" t="s">
        <v>870</v>
      </c>
      <c r="C1416" t="s">
        <v>4391</v>
      </c>
      <c r="D1416">
        <v>13</v>
      </c>
      <c r="E1416" t="s">
        <v>4445</v>
      </c>
      <c r="F1416" t="s">
        <v>3243</v>
      </c>
      <c r="G1416" t="s">
        <v>5568</v>
      </c>
      <c r="H1416" t="s">
        <v>4915</v>
      </c>
      <c r="I1416" s="79" t="str">
        <f>IF(Tabla13[[#This Row],[RUT]]=774097899,"DIST",_xlfn.XLOOKUP(Tabla13[[#This Row],[VENDEDOR]],dimensiones!$C$21:$C$28,dimensiones!$D$21:$D$28,""))</f>
        <v>ATEL</v>
      </c>
      <c r="J1416" s="125" t="str">
        <f>_xlfn.XLOOKUP(Tabla13[[#This Row],[REGION]],dimensiones!C:C,dimensiones!D:D,"")</f>
        <v>Región de Metropolitana de Santiago</v>
      </c>
    </row>
    <row r="1417" spans="1:10" x14ac:dyDescent="0.25">
      <c r="A1417">
        <v>863970008</v>
      </c>
      <c r="B1417" t="s">
        <v>5565</v>
      </c>
      <c r="C1417" t="s">
        <v>4393</v>
      </c>
      <c r="D1417">
        <v>13</v>
      </c>
      <c r="E1417" t="s">
        <v>4445</v>
      </c>
      <c r="F1417" t="s">
        <v>5566</v>
      </c>
      <c r="G1417" t="s">
        <v>5568</v>
      </c>
      <c r="H1417" t="s">
        <v>4915</v>
      </c>
      <c r="I1417" s="79" t="str">
        <f>IF(Tabla13[[#This Row],[RUT]]=774097899,"DIST",_xlfn.XLOOKUP(Tabla13[[#This Row],[VENDEDOR]],dimensiones!$C$21:$C$28,dimensiones!$D$21:$D$28,""))</f>
        <v>ATEL</v>
      </c>
      <c r="J1417" s="125" t="str">
        <f>_xlfn.XLOOKUP(Tabla13[[#This Row],[REGION]],dimensiones!C:C,dimensiones!D:D,"")</f>
        <v>Región de Metropolitana de Santiago</v>
      </c>
    </row>
    <row r="1418" spans="1:10" x14ac:dyDescent="0.25">
      <c r="A1418">
        <v>867975004</v>
      </c>
      <c r="B1418" t="s">
        <v>3674</v>
      </c>
      <c r="C1418" t="s">
        <v>4171</v>
      </c>
      <c r="D1418">
        <v>4</v>
      </c>
      <c r="E1418" t="s">
        <v>4445</v>
      </c>
      <c r="F1418" t="s">
        <v>3673</v>
      </c>
      <c r="G1418" t="s">
        <v>5576</v>
      </c>
      <c r="H1418" t="s">
        <v>4915</v>
      </c>
      <c r="I1418" s="79" t="str">
        <f>IF(Tabla13[[#This Row],[RUT]]=774097899,"DIST",_xlfn.XLOOKUP(Tabla13[[#This Row],[VENDEDOR]],dimensiones!$C$21:$C$28,dimensiones!$D$21:$D$28,""))</f>
        <v>ATEL</v>
      </c>
      <c r="J1418" s="125" t="str">
        <f>_xlfn.XLOOKUP(Tabla13[[#This Row],[REGION]],dimensiones!C:C,dimensiones!D:D,"")</f>
        <v>Región de Coquimbo</v>
      </c>
    </row>
    <row r="1419" spans="1:10" x14ac:dyDescent="0.25">
      <c r="A1419">
        <v>868210001</v>
      </c>
      <c r="B1419" t="s">
        <v>596</v>
      </c>
      <c r="C1419" t="s">
        <v>4393</v>
      </c>
      <c r="D1419">
        <v>13</v>
      </c>
      <c r="E1419" t="s">
        <v>4445</v>
      </c>
      <c r="F1419" t="s">
        <v>3247</v>
      </c>
      <c r="G1419" t="s">
        <v>5568</v>
      </c>
      <c r="H1419" t="s">
        <v>4915</v>
      </c>
      <c r="I1419" s="79" t="str">
        <f>IF(Tabla13[[#This Row],[RUT]]=774097899,"DIST",_xlfn.XLOOKUP(Tabla13[[#This Row],[VENDEDOR]],dimensiones!$C$21:$C$28,dimensiones!$D$21:$D$28,""))</f>
        <v>ATEL</v>
      </c>
      <c r="J1419" s="125" t="str">
        <f>_xlfn.XLOOKUP(Tabla13[[#This Row],[REGION]],dimensiones!C:C,dimensiones!D:D,"")</f>
        <v>Región de Metropolitana de Santiago</v>
      </c>
    </row>
    <row r="1420" spans="1:10" x14ac:dyDescent="0.25">
      <c r="A1420">
        <v>879129001</v>
      </c>
      <c r="B1420" t="s">
        <v>4934</v>
      </c>
      <c r="C1420" t="s">
        <v>4218</v>
      </c>
      <c r="D1420">
        <v>9</v>
      </c>
      <c r="E1420" t="s">
        <v>4445</v>
      </c>
      <c r="F1420" t="s">
        <v>4875</v>
      </c>
      <c r="H1420" t="s">
        <v>4915</v>
      </c>
      <c r="I1420" s="79" t="str">
        <f>IF(Tabla13[[#This Row],[RUT]]=774097899,"DIST",_xlfn.XLOOKUP(Tabla13[[#This Row],[VENDEDOR]],dimensiones!$C$21:$C$28,dimensiones!$D$21:$D$28,""))</f>
        <v>ATEL</v>
      </c>
      <c r="J1420" s="125" t="str">
        <f>_xlfn.XLOOKUP(Tabla13[[#This Row],[REGION]],dimensiones!C:C,dimensiones!D:D,"")</f>
        <v>Región de La Araucanía</v>
      </c>
    </row>
    <row r="1421" spans="1:10" x14ac:dyDescent="0.25">
      <c r="A1421">
        <v>880562002</v>
      </c>
      <c r="B1421" t="s">
        <v>3250</v>
      </c>
      <c r="C1421" t="s">
        <v>4257</v>
      </c>
      <c r="D1421">
        <v>7</v>
      </c>
      <c r="E1421" t="s">
        <v>4445</v>
      </c>
      <c r="F1421" t="s">
        <v>3249</v>
      </c>
      <c r="G1421" t="s">
        <v>5576</v>
      </c>
      <c r="H1421" t="s">
        <v>4915</v>
      </c>
      <c r="I1421" s="79" t="str">
        <f>IF(Tabla13[[#This Row],[RUT]]=774097899,"DIST",_xlfn.XLOOKUP(Tabla13[[#This Row],[VENDEDOR]],dimensiones!$C$21:$C$28,dimensiones!$D$21:$D$28,""))</f>
        <v>ATEL</v>
      </c>
      <c r="J1421" s="125" t="str">
        <f>_xlfn.XLOOKUP(Tabla13[[#This Row],[REGION]],dimensiones!C:C,dimensiones!D:D,"")</f>
        <v>Región de Maule</v>
      </c>
    </row>
    <row r="1422" spans="1:10" x14ac:dyDescent="0.25">
      <c r="A1422">
        <v>880566008</v>
      </c>
      <c r="B1422" t="s">
        <v>1050</v>
      </c>
      <c r="C1422" t="s">
        <v>4218</v>
      </c>
      <c r="D1422">
        <v>9</v>
      </c>
      <c r="E1422" t="s">
        <v>4445</v>
      </c>
      <c r="F1422" t="s">
        <v>4062</v>
      </c>
      <c r="G1422" t="s">
        <v>5570</v>
      </c>
      <c r="H1422" t="s">
        <v>4915</v>
      </c>
      <c r="I1422" s="79" t="str">
        <f>IF(Tabla13[[#This Row],[RUT]]=774097899,"DIST",_xlfn.XLOOKUP(Tabla13[[#This Row],[VENDEDOR]],dimensiones!$C$21:$C$28,dimensiones!$D$21:$D$28,""))</f>
        <v>ATEL</v>
      </c>
      <c r="J1422" s="125" t="str">
        <f>_xlfn.XLOOKUP(Tabla13[[#This Row],[REGION]],dimensiones!C:C,dimensiones!D:D,"")</f>
        <v>Región de La Araucanía</v>
      </c>
    </row>
    <row r="1423" spans="1:10" x14ac:dyDescent="0.25">
      <c r="A1423">
        <v>884971004</v>
      </c>
      <c r="B1423" t="s">
        <v>5681</v>
      </c>
      <c r="C1423" t="s">
        <v>4243</v>
      </c>
      <c r="D1423">
        <v>3</v>
      </c>
      <c r="E1423" t="s">
        <v>4445</v>
      </c>
      <c r="F1423" t="s">
        <v>5682</v>
      </c>
      <c r="G1423" t="s">
        <v>5570</v>
      </c>
      <c r="H1423" t="s">
        <v>4915</v>
      </c>
      <c r="I1423" s="79" t="str">
        <f>IF(Tabla13[[#This Row],[RUT]]=774097899,"DIST",_xlfn.XLOOKUP(Tabla13[[#This Row],[VENDEDOR]],dimensiones!$C$21:$C$28,dimensiones!$D$21:$D$28,""))</f>
        <v>ATEL</v>
      </c>
      <c r="J1423" s="125" t="str">
        <f>_xlfn.XLOOKUP(Tabla13[[#This Row],[REGION]],dimensiones!C:C,dimensiones!D:D,"")</f>
        <v>Región de Atacama</v>
      </c>
    </row>
    <row r="1424" spans="1:10" x14ac:dyDescent="0.25">
      <c r="A1424">
        <v>886116004</v>
      </c>
      <c r="B1424" t="s">
        <v>124</v>
      </c>
      <c r="C1424" t="s">
        <v>4460</v>
      </c>
      <c r="D1424">
        <v>8</v>
      </c>
      <c r="E1424" t="s">
        <v>4464</v>
      </c>
      <c r="F1424" t="s">
        <v>3385</v>
      </c>
      <c r="G1424" t="s">
        <v>5570</v>
      </c>
      <c r="H1424" t="s">
        <v>4915</v>
      </c>
      <c r="I1424" s="79" t="str">
        <f>IF(Tabla13[[#This Row],[RUT]]=774097899,"DIST",_xlfn.XLOOKUP(Tabla13[[#This Row],[VENDEDOR]],dimensiones!$C$21:$C$28,dimensiones!$D$21:$D$28,""))</f>
        <v>SUR1</v>
      </c>
      <c r="J1424" s="125" t="str">
        <f>_xlfn.XLOOKUP(Tabla13[[#This Row],[REGION]],dimensiones!C:C,dimensiones!D:D,"")</f>
        <v>Región de Biobío</v>
      </c>
    </row>
    <row r="1425" spans="1:10" x14ac:dyDescent="0.25">
      <c r="A1425">
        <v>89055407</v>
      </c>
      <c r="B1425" t="s">
        <v>981</v>
      </c>
      <c r="C1425" t="s">
        <v>4475</v>
      </c>
      <c r="D1425">
        <v>8</v>
      </c>
      <c r="E1425" t="s">
        <v>4445</v>
      </c>
      <c r="F1425" t="s">
        <v>3256</v>
      </c>
      <c r="G1425" t="s">
        <v>5568</v>
      </c>
      <c r="H1425" t="s">
        <v>4915</v>
      </c>
      <c r="I1425" s="79" t="str">
        <f>IF(Tabla13[[#This Row],[RUT]]=774097899,"DIST",_xlfn.XLOOKUP(Tabla13[[#This Row],[VENDEDOR]],dimensiones!$C$21:$C$28,dimensiones!$D$21:$D$28,""))</f>
        <v>ATEL</v>
      </c>
      <c r="J1425" s="125" t="str">
        <f>_xlfn.XLOOKUP(Tabla13[[#This Row],[REGION]],dimensiones!C:C,dimensiones!D:D,"")</f>
        <v>Región de Biobío</v>
      </c>
    </row>
    <row r="1426" spans="1:10" x14ac:dyDescent="0.25">
      <c r="A1426">
        <v>895932000</v>
      </c>
      <c r="B1426" t="s">
        <v>125</v>
      </c>
      <c r="C1426" t="s">
        <v>4168</v>
      </c>
      <c r="D1426">
        <v>13</v>
      </c>
      <c r="E1426" t="s">
        <v>4445</v>
      </c>
      <c r="F1426" t="s">
        <v>3258</v>
      </c>
      <c r="G1426" t="s">
        <v>5568</v>
      </c>
      <c r="H1426" t="s">
        <v>4915</v>
      </c>
      <c r="I1426" s="79" t="str">
        <f>IF(Tabla13[[#This Row],[RUT]]=774097899,"DIST",_xlfn.XLOOKUP(Tabla13[[#This Row],[VENDEDOR]],dimensiones!$C$21:$C$28,dimensiones!$D$21:$D$28,""))</f>
        <v>ATEL</v>
      </c>
      <c r="J1426" s="125" t="str">
        <f>_xlfn.XLOOKUP(Tabla13[[#This Row],[REGION]],dimensiones!C:C,dimensiones!D:D,"")</f>
        <v>Región de Metropolitana de Santiago</v>
      </c>
    </row>
    <row r="1427" spans="1:10" x14ac:dyDescent="0.25">
      <c r="A1427">
        <v>896304003</v>
      </c>
      <c r="B1427" t="s">
        <v>3463</v>
      </c>
      <c r="C1427" t="s">
        <v>4391</v>
      </c>
      <c r="D1427">
        <v>13</v>
      </c>
      <c r="E1427" t="s">
        <v>4445</v>
      </c>
      <c r="F1427" t="s">
        <v>3462</v>
      </c>
      <c r="G1427" t="s">
        <v>5568</v>
      </c>
      <c r="H1427" t="s">
        <v>4915</v>
      </c>
      <c r="I1427" s="79" t="str">
        <f>IF(Tabla13[[#This Row],[RUT]]=774097899,"DIST",_xlfn.XLOOKUP(Tabla13[[#This Row],[VENDEDOR]],dimensiones!$C$21:$C$28,dimensiones!$D$21:$D$28,""))</f>
        <v>ATEL</v>
      </c>
      <c r="J1427" s="125" t="str">
        <f>_xlfn.XLOOKUP(Tabla13[[#This Row],[REGION]],dimensiones!C:C,dimensiones!D:D,"")</f>
        <v>Región de Metropolitana de Santiago</v>
      </c>
    </row>
    <row r="1428" spans="1:10" x14ac:dyDescent="0.25">
      <c r="A1428">
        <v>902120009</v>
      </c>
      <c r="B1428" t="s">
        <v>597</v>
      </c>
      <c r="C1428" t="s">
        <v>4168</v>
      </c>
      <c r="D1428">
        <v>13</v>
      </c>
      <c r="E1428" t="s">
        <v>4445</v>
      </c>
      <c r="F1428" t="s">
        <v>2186</v>
      </c>
      <c r="G1428" t="s">
        <v>5568</v>
      </c>
      <c r="H1428" t="s">
        <v>4915</v>
      </c>
      <c r="I1428" s="79" t="str">
        <f>IF(Tabla13[[#This Row],[RUT]]=774097899,"DIST",_xlfn.XLOOKUP(Tabla13[[#This Row],[VENDEDOR]],dimensiones!$C$21:$C$28,dimensiones!$D$21:$D$28,""))</f>
        <v>ATEL</v>
      </c>
      <c r="J1428" s="125" t="str">
        <f>_xlfn.XLOOKUP(Tabla13[[#This Row],[REGION]],dimensiones!C:C,dimensiones!D:D,"")</f>
        <v>Región de Metropolitana de Santiago</v>
      </c>
    </row>
    <row r="1429" spans="1:10" x14ac:dyDescent="0.25">
      <c r="A1429">
        <v>902560009</v>
      </c>
      <c r="B1429" t="s">
        <v>598</v>
      </c>
      <c r="C1429" t="s">
        <v>4458</v>
      </c>
      <c r="D1429">
        <v>13</v>
      </c>
      <c r="E1429" t="s">
        <v>4445</v>
      </c>
      <c r="F1429" t="s">
        <v>3263</v>
      </c>
      <c r="G1429" t="s">
        <v>5568</v>
      </c>
      <c r="H1429" t="s">
        <v>4915</v>
      </c>
      <c r="I1429" s="79" t="str">
        <f>IF(Tabla13[[#This Row],[RUT]]=774097899,"DIST",_xlfn.XLOOKUP(Tabla13[[#This Row],[VENDEDOR]],dimensiones!$C$21:$C$28,dimensiones!$D$21:$D$28,""))</f>
        <v>ATEL</v>
      </c>
      <c r="J1429" s="125" t="str">
        <f>_xlfn.XLOOKUP(Tabla13[[#This Row],[REGION]],dimensiones!C:C,dimensiones!D:D,"")</f>
        <v>Región de Metropolitana de Santiago</v>
      </c>
    </row>
    <row r="1430" spans="1:10" x14ac:dyDescent="0.25">
      <c r="A1430">
        <v>907530000</v>
      </c>
      <c r="B1430" t="s">
        <v>599</v>
      </c>
      <c r="C1430" t="s">
        <v>4391</v>
      </c>
      <c r="D1430">
        <v>13</v>
      </c>
      <c r="E1430" t="s">
        <v>4445</v>
      </c>
      <c r="F1430" t="s">
        <v>1666</v>
      </c>
      <c r="G1430" t="s">
        <v>5570</v>
      </c>
      <c r="H1430" t="s">
        <v>4915</v>
      </c>
      <c r="I1430" s="79" t="str">
        <f>IF(Tabla13[[#This Row],[RUT]]=774097899,"DIST",_xlfn.XLOOKUP(Tabla13[[#This Row],[VENDEDOR]],dimensiones!$C$21:$C$28,dimensiones!$D$21:$D$28,""))</f>
        <v>ATEL</v>
      </c>
      <c r="J1430" s="125" t="str">
        <f>_xlfn.XLOOKUP(Tabla13[[#This Row],[REGION]],dimensiones!C:C,dimensiones!D:D,"")</f>
        <v>Región de Metropolitana de Santiago</v>
      </c>
    </row>
    <row r="1431" spans="1:10" x14ac:dyDescent="0.25">
      <c r="A1431">
        <v>915750001</v>
      </c>
      <c r="B1431" t="s">
        <v>600</v>
      </c>
      <c r="C1431" t="s">
        <v>4393</v>
      </c>
      <c r="D1431">
        <v>13</v>
      </c>
      <c r="E1431" t="s">
        <v>4445</v>
      </c>
      <c r="F1431" t="s">
        <v>3267</v>
      </c>
      <c r="G1431" t="s">
        <v>5568</v>
      </c>
      <c r="H1431" t="s">
        <v>4915</v>
      </c>
      <c r="I1431" s="79" t="str">
        <f>IF(Tabla13[[#This Row],[RUT]]=774097899,"DIST",_xlfn.XLOOKUP(Tabla13[[#This Row],[VENDEDOR]],dimensiones!$C$21:$C$28,dimensiones!$D$21:$D$28,""))</f>
        <v>ATEL</v>
      </c>
      <c r="J1431" s="125" t="str">
        <f>_xlfn.XLOOKUP(Tabla13[[#This Row],[REGION]],dimensiones!C:C,dimensiones!D:D,"")</f>
        <v>Región de Metropolitana de Santiago</v>
      </c>
    </row>
    <row r="1432" spans="1:10" x14ac:dyDescent="0.25">
      <c r="A1432">
        <v>920510000</v>
      </c>
      <c r="B1432" t="s">
        <v>126</v>
      </c>
      <c r="C1432" t="s">
        <v>4391</v>
      </c>
      <c r="D1432">
        <v>13</v>
      </c>
      <c r="E1432" t="s">
        <v>4453</v>
      </c>
      <c r="F1432" t="s">
        <v>3931</v>
      </c>
      <c r="G1432" t="s">
        <v>5570</v>
      </c>
      <c r="H1432" t="s">
        <v>4915</v>
      </c>
      <c r="I1432" s="79" t="str">
        <f>IF(Tabla13[[#This Row],[RUT]]=774097899,"DIST",_xlfn.XLOOKUP(Tabla13[[#This Row],[VENDEDOR]],dimensiones!$C$21:$C$28,dimensiones!$D$21:$D$28,""))</f>
        <v>SANT2</v>
      </c>
      <c r="J1432" s="125" t="str">
        <f>_xlfn.XLOOKUP(Tabla13[[#This Row],[REGION]],dimensiones!C:C,dimensiones!D:D,"")</f>
        <v>Región de Metropolitana de Santiago</v>
      </c>
    </row>
    <row r="1433" spans="1:10" x14ac:dyDescent="0.25">
      <c r="A1433">
        <v>92752313</v>
      </c>
      <c r="B1433" t="s">
        <v>3273</v>
      </c>
      <c r="C1433" t="s">
        <v>4391</v>
      </c>
      <c r="D1433">
        <v>13</v>
      </c>
      <c r="E1433" t="s">
        <v>4445</v>
      </c>
      <c r="F1433" t="s">
        <v>3272</v>
      </c>
      <c r="G1433" t="s">
        <v>5568</v>
      </c>
      <c r="H1433" t="s">
        <v>4915</v>
      </c>
      <c r="I1433" s="79" t="str">
        <f>IF(Tabla13[[#This Row],[RUT]]=774097899,"DIST",_xlfn.XLOOKUP(Tabla13[[#This Row],[VENDEDOR]],dimensiones!$C$21:$C$28,dimensiones!$D$21:$D$28,""))</f>
        <v>ATEL</v>
      </c>
      <c r="J1433" s="125" t="str">
        <f>_xlfn.XLOOKUP(Tabla13[[#This Row],[REGION]],dimensiones!C:C,dimensiones!D:D,"")</f>
        <v>Región de Metropolitana de Santiago</v>
      </c>
    </row>
    <row r="1434" spans="1:10" x14ac:dyDescent="0.25">
      <c r="A1434">
        <v>929990005</v>
      </c>
      <c r="B1434" t="s">
        <v>1091</v>
      </c>
      <c r="C1434" t="s">
        <v>4444</v>
      </c>
      <c r="D1434">
        <v>13</v>
      </c>
      <c r="E1434" t="s">
        <v>4445</v>
      </c>
      <c r="F1434" t="s">
        <v>2358</v>
      </c>
      <c r="G1434" t="s">
        <v>5568</v>
      </c>
      <c r="H1434" t="s">
        <v>4915</v>
      </c>
      <c r="I1434" s="79" t="str">
        <f>IF(Tabla13[[#This Row],[RUT]]=774097899,"DIST",_xlfn.XLOOKUP(Tabla13[[#This Row],[VENDEDOR]],dimensiones!$C$21:$C$28,dimensiones!$D$21:$D$28,""))</f>
        <v>ATEL</v>
      </c>
      <c r="J1434" s="125" t="str">
        <f>_xlfn.XLOOKUP(Tabla13[[#This Row],[REGION]],dimensiones!C:C,dimensiones!D:D,"")</f>
        <v>Región de Metropolitana de Santiago</v>
      </c>
    </row>
    <row r="1435" spans="1:10" x14ac:dyDescent="0.25">
      <c r="A1435">
        <v>939300007</v>
      </c>
      <c r="B1435" t="s">
        <v>2731</v>
      </c>
      <c r="C1435" t="s">
        <v>4465</v>
      </c>
      <c r="D1435">
        <v>13</v>
      </c>
      <c r="E1435" t="s">
        <v>4457</v>
      </c>
      <c r="F1435" t="s">
        <v>2730</v>
      </c>
      <c r="G1435" t="s">
        <v>5570</v>
      </c>
      <c r="H1435" t="s">
        <v>4915</v>
      </c>
      <c r="I1435" s="79" t="str">
        <f>IF(Tabla13[[#This Row],[RUT]]=774097899,"DIST",_xlfn.XLOOKUP(Tabla13[[#This Row],[VENDEDOR]],dimensiones!$C$21:$C$28,dimensiones!$D$21:$D$28,""))</f>
        <v>SANT1</v>
      </c>
      <c r="J1435" s="125" t="str">
        <f>_xlfn.XLOOKUP(Tabla13[[#This Row],[REGION]],dimensiones!C:C,dimensiones!D:D,"")</f>
        <v>Región de Metropolitana de Santiago</v>
      </c>
    </row>
    <row r="1436" spans="1:10" x14ac:dyDescent="0.25">
      <c r="A1436">
        <v>954310000</v>
      </c>
      <c r="B1436" t="s">
        <v>3282</v>
      </c>
      <c r="C1436" t="s">
        <v>4182</v>
      </c>
      <c r="D1436">
        <v>2</v>
      </c>
      <c r="E1436" t="s">
        <v>4445</v>
      </c>
      <c r="F1436" t="s">
        <v>3281</v>
      </c>
      <c r="G1436" t="s">
        <v>5568</v>
      </c>
      <c r="H1436" t="s">
        <v>4915</v>
      </c>
      <c r="I1436" s="79" t="str">
        <f>IF(Tabla13[[#This Row],[RUT]]=774097899,"DIST",_xlfn.XLOOKUP(Tabla13[[#This Row],[VENDEDOR]],dimensiones!$C$21:$C$28,dimensiones!$D$21:$D$28,""))</f>
        <v>ATEL</v>
      </c>
      <c r="J1436" s="125" t="str">
        <f>_xlfn.XLOOKUP(Tabla13[[#This Row],[REGION]],dimensiones!C:C,dimensiones!D:D,"")</f>
        <v>Región de Antofagasta</v>
      </c>
    </row>
    <row r="1437" spans="1:10" x14ac:dyDescent="0.25">
      <c r="A1437">
        <v>965304703</v>
      </c>
      <c r="B1437" t="s">
        <v>2041</v>
      </c>
      <c r="C1437" t="s">
        <v>4410</v>
      </c>
      <c r="D1437">
        <v>13</v>
      </c>
      <c r="E1437" t="s">
        <v>4457</v>
      </c>
      <c r="F1437" t="s">
        <v>2040</v>
      </c>
      <c r="G1437" t="s">
        <v>5570</v>
      </c>
      <c r="H1437" t="s">
        <v>4915</v>
      </c>
      <c r="I1437" s="79" t="str">
        <f>IF(Tabla13[[#This Row],[RUT]]=774097899,"DIST",_xlfn.XLOOKUP(Tabla13[[#This Row],[VENDEDOR]],dimensiones!$C$21:$C$28,dimensiones!$D$21:$D$28,""))</f>
        <v>SANT1</v>
      </c>
      <c r="J1437" s="125" t="str">
        <f>_xlfn.XLOOKUP(Tabla13[[#This Row],[REGION]],dimensiones!C:C,dimensiones!D:D,"")</f>
        <v>Región de Metropolitana de Santiago</v>
      </c>
    </row>
    <row r="1438" spans="1:10" x14ac:dyDescent="0.25">
      <c r="A1438">
        <v>965333304</v>
      </c>
      <c r="B1438" t="s">
        <v>601</v>
      </c>
      <c r="C1438" t="s">
        <v>4391</v>
      </c>
      <c r="D1438">
        <v>13</v>
      </c>
      <c r="E1438" t="s">
        <v>4445</v>
      </c>
      <c r="F1438" t="s">
        <v>3286</v>
      </c>
      <c r="G1438" t="s">
        <v>5570</v>
      </c>
      <c r="H1438" t="s">
        <v>4915</v>
      </c>
      <c r="I1438" s="79" t="str">
        <f>IF(Tabla13[[#This Row],[RUT]]=774097899,"DIST",_xlfn.XLOOKUP(Tabla13[[#This Row],[VENDEDOR]],dimensiones!$C$21:$C$28,dimensiones!$D$21:$D$28,""))</f>
        <v>ATEL</v>
      </c>
      <c r="J1438" s="125" t="str">
        <f>_xlfn.XLOOKUP(Tabla13[[#This Row],[REGION]],dimensiones!C:C,dimensiones!D:D,"")</f>
        <v>Región de Metropolitana de Santiago</v>
      </c>
    </row>
    <row r="1439" spans="1:10" x14ac:dyDescent="0.25">
      <c r="A1439">
        <v>965569405</v>
      </c>
      <c r="B1439" t="s">
        <v>2122</v>
      </c>
      <c r="C1439" t="s">
        <v>4187</v>
      </c>
      <c r="D1439">
        <v>13</v>
      </c>
      <c r="E1439" t="s">
        <v>4445</v>
      </c>
      <c r="F1439" t="s">
        <v>5443</v>
      </c>
      <c r="G1439" t="s">
        <v>5568</v>
      </c>
      <c r="H1439" t="s">
        <v>4915</v>
      </c>
      <c r="I1439" s="79" t="str">
        <f>IF(Tabla13[[#This Row],[RUT]]=774097899,"DIST",_xlfn.XLOOKUP(Tabla13[[#This Row],[VENDEDOR]],dimensiones!$C$21:$C$28,dimensiones!$D$21:$D$28,""))</f>
        <v>ATEL</v>
      </c>
      <c r="J1439" s="125" t="str">
        <f>_xlfn.XLOOKUP(Tabla13[[#This Row],[REGION]],dimensiones!C:C,dimensiones!D:D,"")</f>
        <v>Región de Metropolitana de Santiago</v>
      </c>
    </row>
    <row r="1440" spans="1:10" x14ac:dyDescent="0.25">
      <c r="A1440">
        <v>965596305</v>
      </c>
      <c r="B1440" t="s">
        <v>4046</v>
      </c>
      <c r="C1440" t="s">
        <v>4175</v>
      </c>
      <c r="D1440">
        <v>5</v>
      </c>
      <c r="E1440" t="s">
        <v>4445</v>
      </c>
      <c r="F1440" t="s">
        <v>4045</v>
      </c>
      <c r="G1440" t="s">
        <v>5570</v>
      </c>
      <c r="H1440" t="s">
        <v>4915</v>
      </c>
      <c r="I1440" s="79" t="str">
        <f>IF(Tabla13[[#This Row],[RUT]]=774097899,"DIST",_xlfn.XLOOKUP(Tabla13[[#This Row],[VENDEDOR]],dimensiones!$C$21:$C$28,dimensiones!$D$21:$D$28,""))</f>
        <v>ATEL</v>
      </c>
      <c r="J1440" s="125" t="str">
        <f>_xlfn.XLOOKUP(Tabla13[[#This Row],[REGION]],dimensiones!C:C,dimensiones!D:D,"")</f>
        <v>Región de Valparaíso</v>
      </c>
    </row>
    <row r="1441" spans="1:10" x14ac:dyDescent="0.25">
      <c r="A1441">
        <v>965671706</v>
      </c>
      <c r="B1441" t="s">
        <v>602</v>
      </c>
      <c r="C1441" t="s">
        <v>4175</v>
      </c>
      <c r="D1441">
        <v>5</v>
      </c>
      <c r="E1441" t="s">
        <v>4445</v>
      </c>
      <c r="F1441" t="s">
        <v>1566</v>
      </c>
      <c r="G1441" t="s">
        <v>5570</v>
      </c>
      <c r="H1441" t="s">
        <v>4915</v>
      </c>
      <c r="I1441" s="79" t="str">
        <f>IF(Tabla13[[#This Row],[RUT]]=774097899,"DIST",_xlfn.XLOOKUP(Tabla13[[#This Row],[VENDEDOR]],dimensiones!$C$21:$C$28,dimensiones!$D$21:$D$28,""))</f>
        <v>ATEL</v>
      </c>
      <c r="J1441" s="125" t="str">
        <f>_xlfn.XLOOKUP(Tabla13[[#This Row],[REGION]],dimensiones!C:C,dimensiones!D:D,"")</f>
        <v>Región de Valparaíso</v>
      </c>
    </row>
    <row r="1442" spans="1:10" x14ac:dyDescent="0.25">
      <c r="A1442">
        <v>965679200</v>
      </c>
      <c r="B1442" t="s">
        <v>603</v>
      </c>
      <c r="C1442" t="s">
        <v>4185</v>
      </c>
      <c r="D1442">
        <v>12</v>
      </c>
      <c r="E1442" t="s">
        <v>4445</v>
      </c>
      <c r="F1442" t="s">
        <v>3612</v>
      </c>
      <c r="G1442" t="s">
        <v>5570</v>
      </c>
      <c r="H1442" t="s">
        <v>4915</v>
      </c>
      <c r="I1442" s="79" t="str">
        <f>IF(Tabla13[[#This Row],[RUT]]=774097899,"DIST",_xlfn.XLOOKUP(Tabla13[[#This Row],[VENDEDOR]],dimensiones!$C$21:$C$28,dimensiones!$D$21:$D$28,""))</f>
        <v>ATEL</v>
      </c>
      <c r="J1442" s="125" t="str">
        <f>_xlfn.XLOOKUP(Tabla13[[#This Row],[REGION]],dimensiones!C:C,dimensiones!D:D,"")</f>
        <v>Región de Magallanes y de la Antártica Chilena</v>
      </c>
    </row>
    <row r="1443" spans="1:10" x14ac:dyDescent="0.25">
      <c r="A1443">
        <v>965884009</v>
      </c>
      <c r="B1443" t="s">
        <v>1029</v>
      </c>
      <c r="C1443" t="s">
        <v>4393</v>
      </c>
      <c r="D1443">
        <v>13</v>
      </c>
      <c r="E1443" t="s">
        <v>5563</v>
      </c>
      <c r="F1443" t="s">
        <v>2402</v>
      </c>
      <c r="G1443" t="s">
        <v>5568</v>
      </c>
      <c r="H1443" t="s">
        <v>4915</v>
      </c>
      <c r="I1443" s="79" t="str">
        <f>IF(Tabla13[[#This Row],[RUT]]=774097899,"DIST",_xlfn.XLOOKUP(Tabla13[[#This Row],[VENDEDOR]],dimensiones!$C$21:$C$28,dimensiones!$D$21:$D$28,""))</f>
        <v/>
      </c>
      <c r="J1443" s="125" t="str">
        <f>_xlfn.XLOOKUP(Tabla13[[#This Row],[REGION]],dimensiones!C:C,dimensiones!D:D,"")</f>
        <v>Región de Metropolitana de Santiago</v>
      </c>
    </row>
    <row r="1444" spans="1:10" x14ac:dyDescent="0.25">
      <c r="A1444">
        <v>965988505</v>
      </c>
      <c r="B1444" t="s">
        <v>604</v>
      </c>
      <c r="C1444" t="s">
        <v>4186</v>
      </c>
      <c r="D1444">
        <v>1</v>
      </c>
      <c r="E1444" t="s">
        <v>4453</v>
      </c>
      <c r="F1444" t="s">
        <v>1942</v>
      </c>
      <c r="G1444" t="s">
        <v>5570</v>
      </c>
      <c r="H1444" t="s">
        <v>4915</v>
      </c>
      <c r="I1444" s="79" t="str">
        <f>IF(Tabla13[[#This Row],[RUT]]=774097899,"DIST",_xlfn.XLOOKUP(Tabla13[[#This Row],[VENDEDOR]],dimensiones!$C$21:$C$28,dimensiones!$D$21:$D$28,""))</f>
        <v>SANT2</v>
      </c>
      <c r="J1444" s="125" t="str">
        <f>_xlfn.XLOOKUP(Tabla13[[#This Row],[REGION]],dimensiones!C:C,dimensiones!D:D,"")</f>
        <v>Región de Tarapacá</v>
      </c>
    </row>
    <row r="1445" spans="1:10" x14ac:dyDescent="0.25">
      <c r="A1445">
        <v>966008504</v>
      </c>
      <c r="B1445" t="s">
        <v>128</v>
      </c>
      <c r="C1445" t="s">
        <v>4490</v>
      </c>
      <c r="D1445">
        <v>5</v>
      </c>
      <c r="E1445" t="s">
        <v>2372</v>
      </c>
      <c r="F1445" t="s">
        <v>3822</v>
      </c>
      <c r="G1445" t="s">
        <v>5570</v>
      </c>
      <c r="H1445" t="s">
        <v>4915</v>
      </c>
      <c r="I1445" s="79" t="str">
        <f>IF(Tabla13[[#This Row],[RUT]]=774097899,"DIST",_xlfn.XLOOKUP(Tabla13[[#This Row],[VENDEDOR]],dimensiones!$C$21:$C$28,dimensiones!$D$21:$D$28,""))</f>
        <v>NOR1</v>
      </c>
      <c r="J1445" s="125" t="str">
        <f>_xlfn.XLOOKUP(Tabla13[[#This Row],[REGION]],dimensiones!C:C,dimensiones!D:D,"")</f>
        <v>Región de Valparaíso</v>
      </c>
    </row>
    <row r="1446" spans="1:10" x14ac:dyDescent="0.25">
      <c r="A1446">
        <v>966067500</v>
      </c>
      <c r="B1446" t="s">
        <v>129</v>
      </c>
      <c r="C1446" t="s">
        <v>4218</v>
      </c>
      <c r="D1446">
        <v>9</v>
      </c>
      <c r="E1446" t="s">
        <v>4454</v>
      </c>
      <c r="F1446" t="s">
        <v>2080</v>
      </c>
      <c r="G1446" t="s">
        <v>5570</v>
      </c>
      <c r="H1446" t="s">
        <v>4915</v>
      </c>
      <c r="I1446" s="79" t="str">
        <f>IF(Tabla13[[#This Row],[RUT]]=774097899,"DIST",_xlfn.XLOOKUP(Tabla13[[#This Row],[VENDEDOR]],dimensiones!$C$21:$C$28,dimensiones!$D$21:$D$28,""))</f>
        <v>SUR2</v>
      </c>
      <c r="J1446" s="125" t="str">
        <f>_xlfn.XLOOKUP(Tabla13[[#This Row],[REGION]],dimensiones!C:C,dimensiones!D:D,"")</f>
        <v>Región de La Araucanía</v>
      </c>
    </row>
    <row r="1447" spans="1:10" x14ac:dyDescent="0.25">
      <c r="A1447">
        <v>966126205</v>
      </c>
      <c r="B1447" t="s">
        <v>605</v>
      </c>
      <c r="C1447" t="s">
        <v>4395</v>
      </c>
      <c r="D1447">
        <v>13</v>
      </c>
      <c r="E1447" t="s">
        <v>4445</v>
      </c>
      <c r="F1447" t="s">
        <v>3303</v>
      </c>
      <c r="G1447" t="s">
        <v>5568</v>
      </c>
      <c r="H1447" t="s">
        <v>4915</v>
      </c>
      <c r="I1447" s="79" t="str">
        <f>IF(Tabla13[[#This Row],[RUT]]=774097899,"DIST",_xlfn.XLOOKUP(Tabla13[[#This Row],[VENDEDOR]],dimensiones!$C$21:$C$28,dimensiones!$D$21:$D$28,""))</f>
        <v>ATEL</v>
      </c>
      <c r="J1447" s="125" t="str">
        <f>_xlfn.XLOOKUP(Tabla13[[#This Row],[REGION]],dimensiones!C:C,dimensiones!D:D,"")</f>
        <v>Región de Metropolitana de Santiago</v>
      </c>
    </row>
    <row r="1448" spans="1:10" x14ac:dyDescent="0.25">
      <c r="A1448">
        <v>966132205</v>
      </c>
      <c r="B1448" t="s">
        <v>606</v>
      </c>
      <c r="C1448" t="s">
        <v>4181</v>
      </c>
      <c r="D1448">
        <v>15</v>
      </c>
      <c r="E1448" t="s">
        <v>4445</v>
      </c>
      <c r="F1448" t="s">
        <v>3349</v>
      </c>
      <c r="G1448" t="s">
        <v>5574</v>
      </c>
      <c r="H1448" t="s">
        <v>4915</v>
      </c>
      <c r="I1448" s="79" t="str">
        <f>IF(Tabla13[[#This Row],[RUT]]=774097899,"DIST",_xlfn.XLOOKUP(Tabla13[[#This Row],[VENDEDOR]],dimensiones!$C$21:$C$28,dimensiones!$D$21:$D$28,""))</f>
        <v>ATEL</v>
      </c>
      <c r="J1448" s="125" t="str">
        <f>_xlfn.XLOOKUP(Tabla13[[#This Row],[REGION]],dimensiones!C:C,dimensiones!D:D,"")</f>
        <v>Región de Arica y Parinacota</v>
      </c>
    </row>
    <row r="1449" spans="1:10" x14ac:dyDescent="0.25">
      <c r="A1449">
        <v>966248807</v>
      </c>
      <c r="B1449" t="s">
        <v>872</v>
      </c>
      <c r="C1449" t="s">
        <v>4391</v>
      </c>
      <c r="D1449">
        <v>13</v>
      </c>
      <c r="E1449" t="s">
        <v>4445</v>
      </c>
      <c r="F1449" t="s">
        <v>3308</v>
      </c>
      <c r="G1449" t="s">
        <v>5570</v>
      </c>
      <c r="H1449" t="s">
        <v>4915</v>
      </c>
      <c r="I1449" s="79" t="str">
        <f>IF(Tabla13[[#This Row],[RUT]]=774097899,"DIST",_xlfn.XLOOKUP(Tabla13[[#This Row],[VENDEDOR]],dimensiones!$C$21:$C$28,dimensiones!$D$21:$D$28,""))</f>
        <v>ATEL</v>
      </c>
      <c r="J1449" s="125" t="str">
        <f>_xlfn.XLOOKUP(Tabla13[[#This Row],[REGION]],dimensiones!C:C,dimensiones!D:D,"")</f>
        <v>Región de Metropolitana de Santiago</v>
      </c>
    </row>
    <row r="1450" spans="1:10" x14ac:dyDescent="0.25">
      <c r="A1450">
        <v>966259507</v>
      </c>
      <c r="B1450" t="s">
        <v>873</v>
      </c>
      <c r="C1450" t="s">
        <v>4456</v>
      </c>
      <c r="D1450">
        <v>13</v>
      </c>
      <c r="E1450" t="s">
        <v>4445</v>
      </c>
      <c r="F1450" t="s">
        <v>3310</v>
      </c>
      <c r="G1450" t="s">
        <v>5568</v>
      </c>
      <c r="H1450" t="s">
        <v>4915</v>
      </c>
      <c r="I1450" s="79" t="str">
        <f>IF(Tabla13[[#This Row],[RUT]]=774097899,"DIST",_xlfn.XLOOKUP(Tabla13[[#This Row],[VENDEDOR]],dimensiones!$C$21:$C$28,dimensiones!$D$21:$D$28,""))</f>
        <v>ATEL</v>
      </c>
      <c r="J1450" s="125" t="str">
        <f>_xlfn.XLOOKUP(Tabla13[[#This Row],[REGION]],dimensiones!C:C,dimensiones!D:D,"")</f>
        <v>Región de Metropolitana de Santiago</v>
      </c>
    </row>
    <row r="1451" spans="1:10" x14ac:dyDescent="0.25">
      <c r="A1451" t="s">
        <v>4426</v>
      </c>
      <c r="B1451" t="s">
        <v>4427</v>
      </c>
      <c r="C1451" t="s">
        <v>4395</v>
      </c>
      <c r="D1451">
        <v>13</v>
      </c>
      <c r="E1451" t="s">
        <v>4445</v>
      </c>
      <c r="F1451" t="s">
        <v>4612</v>
      </c>
      <c r="G1451" t="s">
        <v>5568</v>
      </c>
      <c r="H1451" t="s">
        <v>4915</v>
      </c>
      <c r="I1451" s="79" t="str">
        <f>IF(Tabla13[[#This Row],[RUT]]=774097899,"DIST",_xlfn.XLOOKUP(Tabla13[[#This Row],[VENDEDOR]],dimensiones!$C$21:$C$28,dimensiones!$D$21:$D$28,""))</f>
        <v>ATEL</v>
      </c>
      <c r="J1451" s="125" t="str">
        <f>_xlfn.XLOOKUP(Tabla13[[#This Row],[REGION]],dimensiones!C:C,dimensiones!D:D,"")</f>
        <v>Región de Metropolitana de Santiago</v>
      </c>
    </row>
    <row r="1452" spans="1:10" x14ac:dyDescent="0.25">
      <c r="A1452">
        <v>966476001</v>
      </c>
      <c r="B1452" t="s">
        <v>5468</v>
      </c>
      <c r="C1452" t="s">
        <v>4528</v>
      </c>
      <c r="D1452">
        <v>13</v>
      </c>
      <c r="E1452" t="s">
        <v>4445</v>
      </c>
      <c r="F1452" t="s">
        <v>5469</v>
      </c>
      <c r="H1452" t="s">
        <v>4915</v>
      </c>
      <c r="I1452" s="79" t="str">
        <f>IF(Tabla13[[#This Row],[RUT]]=774097899,"DIST",_xlfn.XLOOKUP(Tabla13[[#This Row],[VENDEDOR]],dimensiones!$C$21:$C$28,dimensiones!$D$21:$D$28,""))</f>
        <v>ATEL</v>
      </c>
      <c r="J1452" s="125" t="str">
        <f>_xlfn.XLOOKUP(Tabla13[[#This Row],[REGION]],dimensiones!C:C,dimensiones!D:D,"")</f>
        <v>Región de Metropolitana de Santiago</v>
      </c>
    </row>
    <row r="1453" spans="1:10" x14ac:dyDescent="0.25">
      <c r="A1453">
        <v>966613505</v>
      </c>
      <c r="B1453" t="s">
        <v>3313</v>
      </c>
      <c r="C1453" t="s">
        <v>4460</v>
      </c>
      <c r="D1453">
        <v>8</v>
      </c>
      <c r="E1453" t="s">
        <v>4445</v>
      </c>
      <c r="F1453" t="s">
        <v>3312</v>
      </c>
      <c r="G1453" t="s">
        <v>5576</v>
      </c>
      <c r="H1453" t="s">
        <v>4915</v>
      </c>
      <c r="I1453" s="79" t="str">
        <f>IF(Tabla13[[#This Row],[RUT]]=774097899,"DIST",_xlfn.XLOOKUP(Tabla13[[#This Row],[VENDEDOR]],dimensiones!$C$21:$C$28,dimensiones!$D$21:$D$28,""))</f>
        <v>ATEL</v>
      </c>
      <c r="J1453" s="125" t="str">
        <f>_xlfn.XLOOKUP(Tabla13[[#This Row],[REGION]],dimensiones!C:C,dimensiones!D:D,"")</f>
        <v>Región de Biobío</v>
      </c>
    </row>
    <row r="1454" spans="1:10" x14ac:dyDescent="0.25">
      <c r="A1454" t="s">
        <v>157</v>
      </c>
      <c r="B1454" t="s">
        <v>158</v>
      </c>
      <c r="C1454" t="s">
        <v>4497</v>
      </c>
      <c r="D1454">
        <v>8</v>
      </c>
      <c r="E1454" t="s">
        <v>4464</v>
      </c>
      <c r="F1454" t="s">
        <v>1996</v>
      </c>
      <c r="G1454" t="s">
        <v>5570</v>
      </c>
      <c r="H1454" t="s">
        <v>4915</v>
      </c>
      <c r="I1454" s="79" t="str">
        <f>IF(Tabla13[[#This Row],[RUT]]=774097899,"DIST",_xlfn.XLOOKUP(Tabla13[[#This Row],[VENDEDOR]],dimensiones!$C$21:$C$28,dimensiones!$D$21:$D$28,""))</f>
        <v>SUR1</v>
      </c>
      <c r="J1454" s="125" t="str">
        <f>_xlfn.XLOOKUP(Tabla13[[#This Row],[REGION]],dimensiones!C:C,dimensiones!D:D,"")</f>
        <v>Región de Biobío</v>
      </c>
    </row>
    <row r="1455" spans="1:10" x14ac:dyDescent="0.25">
      <c r="A1455">
        <v>966624507</v>
      </c>
      <c r="B1455" t="s">
        <v>607</v>
      </c>
      <c r="C1455" t="s">
        <v>4178</v>
      </c>
      <c r="D1455">
        <v>6</v>
      </c>
      <c r="E1455" t="s">
        <v>4445</v>
      </c>
      <c r="F1455" t="s">
        <v>3655</v>
      </c>
      <c r="G1455" t="s">
        <v>5570</v>
      </c>
      <c r="H1455" t="s">
        <v>4915</v>
      </c>
      <c r="I1455" s="79" t="str">
        <f>IF(Tabla13[[#This Row],[RUT]]=774097899,"DIST",_xlfn.XLOOKUP(Tabla13[[#This Row],[VENDEDOR]],dimensiones!$C$21:$C$28,dimensiones!$D$21:$D$28,""))</f>
        <v>ATEL</v>
      </c>
      <c r="J1455" s="125" t="str">
        <f>_xlfn.XLOOKUP(Tabla13[[#This Row],[REGION]],dimensiones!C:C,dimensiones!D:D,"")</f>
        <v>Región de Libertador General Bernardo O'Higgins</v>
      </c>
    </row>
    <row r="1456" spans="1:10" x14ac:dyDescent="0.25">
      <c r="A1456">
        <v>966741708</v>
      </c>
      <c r="B1456" t="s">
        <v>130</v>
      </c>
      <c r="C1456" t="s">
        <v>4252</v>
      </c>
      <c r="D1456">
        <v>5</v>
      </c>
      <c r="E1456" t="s">
        <v>2372</v>
      </c>
      <c r="F1456" t="s">
        <v>2800</v>
      </c>
      <c r="G1456" t="s">
        <v>5570</v>
      </c>
      <c r="H1456" t="s">
        <v>4915</v>
      </c>
      <c r="I1456" s="79" t="str">
        <f>IF(Tabla13[[#This Row],[RUT]]=774097899,"DIST",_xlfn.XLOOKUP(Tabla13[[#This Row],[VENDEDOR]],dimensiones!$C$21:$C$28,dimensiones!$D$21:$D$28,""))</f>
        <v>NOR1</v>
      </c>
      <c r="J1456" s="125" t="str">
        <f>_xlfn.XLOOKUP(Tabla13[[#This Row],[REGION]],dimensiones!C:C,dimensiones!D:D,"")</f>
        <v>Región de Valparaíso</v>
      </c>
    </row>
    <row r="1457" spans="1:10" x14ac:dyDescent="0.25">
      <c r="A1457">
        <v>967051500</v>
      </c>
      <c r="B1457" t="s">
        <v>608</v>
      </c>
      <c r="C1457" t="s">
        <v>4395</v>
      </c>
      <c r="D1457">
        <v>13</v>
      </c>
      <c r="E1457" t="s">
        <v>4445</v>
      </c>
      <c r="F1457" t="s">
        <v>3322</v>
      </c>
      <c r="G1457" t="s">
        <v>5568</v>
      </c>
      <c r="H1457" t="s">
        <v>4915</v>
      </c>
      <c r="I1457" s="79" t="str">
        <f>IF(Tabla13[[#This Row],[RUT]]=774097899,"DIST",_xlfn.XLOOKUP(Tabla13[[#This Row],[VENDEDOR]],dimensiones!$C$21:$C$28,dimensiones!$D$21:$D$28,""))</f>
        <v>ATEL</v>
      </c>
      <c r="J1457" s="125" t="str">
        <f>_xlfn.XLOOKUP(Tabla13[[#This Row],[REGION]],dimensiones!C:C,dimensiones!D:D,"")</f>
        <v>Región de Metropolitana de Santiago</v>
      </c>
    </row>
    <row r="1458" spans="1:10" x14ac:dyDescent="0.25">
      <c r="A1458" t="s">
        <v>739</v>
      </c>
      <c r="B1458" t="s">
        <v>884</v>
      </c>
      <c r="C1458" t="s">
        <v>4470</v>
      </c>
      <c r="D1458">
        <v>13</v>
      </c>
      <c r="E1458" t="s">
        <v>4445</v>
      </c>
      <c r="F1458" t="s">
        <v>3324</v>
      </c>
      <c r="G1458" t="s">
        <v>5568</v>
      </c>
      <c r="H1458" t="s">
        <v>4915</v>
      </c>
      <c r="I1458" s="79" t="str">
        <f>IF(Tabla13[[#This Row],[RUT]]=774097899,"DIST",_xlfn.XLOOKUP(Tabla13[[#This Row],[VENDEDOR]],dimensiones!$C$21:$C$28,dimensiones!$D$21:$D$28,""))</f>
        <v>ATEL</v>
      </c>
      <c r="J1458" s="125" t="str">
        <f>_xlfn.XLOOKUP(Tabla13[[#This Row],[REGION]],dimensiones!C:C,dimensiones!D:D,"")</f>
        <v>Región de Metropolitana de Santiago</v>
      </c>
    </row>
    <row r="1459" spans="1:10" x14ac:dyDescent="0.25">
      <c r="A1459">
        <v>967599107</v>
      </c>
      <c r="B1459" t="s">
        <v>1022</v>
      </c>
      <c r="C1459" t="s">
        <v>4465</v>
      </c>
      <c r="D1459">
        <v>13</v>
      </c>
      <c r="E1459" t="s">
        <v>4445</v>
      </c>
      <c r="F1459" t="s">
        <v>3326</v>
      </c>
      <c r="G1459" t="s">
        <v>5570</v>
      </c>
      <c r="H1459" t="s">
        <v>4915</v>
      </c>
      <c r="I1459" s="79" t="str">
        <f>IF(Tabla13[[#This Row],[RUT]]=774097899,"DIST",_xlfn.XLOOKUP(Tabla13[[#This Row],[VENDEDOR]],dimensiones!$C$21:$C$28,dimensiones!$D$21:$D$28,""))</f>
        <v>ATEL</v>
      </c>
      <c r="J1459" s="125" t="str">
        <f>_xlfn.XLOOKUP(Tabla13[[#This Row],[REGION]],dimensiones!C:C,dimensiones!D:D,"")</f>
        <v>Región de Metropolitana de Santiago</v>
      </c>
    </row>
    <row r="1460" spans="1:10" x14ac:dyDescent="0.25">
      <c r="A1460">
        <v>967666408</v>
      </c>
      <c r="B1460" t="s">
        <v>3474</v>
      </c>
      <c r="C1460" t="s">
        <v>4292</v>
      </c>
      <c r="D1460">
        <v>10</v>
      </c>
      <c r="E1460" t="s">
        <v>4454</v>
      </c>
      <c r="F1460" t="s">
        <v>3473</v>
      </c>
      <c r="G1460" t="s">
        <v>5570</v>
      </c>
      <c r="H1460" t="s">
        <v>4915</v>
      </c>
      <c r="I1460" s="79" t="str">
        <f>IF(Tabla13[[#This Row],[RUT]]=774097899,"DIST",_xlfn.XLOOKUP(Tabla13[[#This Row],[VENDEDOR]],dimensiones!$C$21:$C$28,dimensiones!$D$21:$D$28,""))</f>
        <v>SUR2</v>
      </c>
      <c r="J1460" s="125" t="str">
        <f>_xlfn.XLOOKUP(Tabla13[[#This Row],[REGION]],dimensiones!C:C,dimensiones!D:D,"")</f>
        <v>Región de Los Lagos</v>
      </c>
    </row>
    <row r="1461" spans="1:10" x14ac:dyDescent="0.25">
      <c r="A1461">
        <v>967667803</v>
      </c>
      <c r="B1461" t="s">
        <v>609</v>
      </c>
      <c r="C1461" t="s">
        <v>4460</v>
      </c>
      <c r="D1461">
        <v>8</v>
      </c>
      <c r="E1461" t="s">
        <v>4445</v>
      </c>
      <c r="F1461" t="s">
        <v>3331</v>
      </c>
      <c r="G1461" t="s">
        <v>5576</v>
      </c>
      <c r="H1461" t="s">
        <v>4915</v>
      </c>
      <c r="I1461" s="79" t="str">
        <f>IF(Tabla13[[#This Row],[RUT]]=774097899,"DIST",_xlfn.XLOOKUP(Tabla13[[#This Row],[VENDEDOR]],dimensiones!$C$21:$C$28,dimensiones!$D$21:$D$28,""))</f>
        <v>ATEL</v>
      </c>
      <c r="J1461" s="125" t="str">
        <f>_xlfn.XLOOKUP(Tabla13[[#This Row],[REGION]],dimensiones!C:C,dimensiones!D:D,"")</f>
        <v>Región de Biobío</v>
      </c>
    </row>
    <row r="1462" spans="1:10" x14ac:dyDescent="0.25">
      <c r="A1462">
        <v>967701009</v>
      </c>
      <c r="B1462" t="s">
        <v>131</v>
      </c>
      <c r="C1462" t="s">
        <v>4552</v>
      </c>
      <c r="D1462">
        <v>13</v>
      </c>
      <c r="E1462" t="s">
        <v>4457</v>
      </c>
      <c r="F1462" t="s">
        <v>1284</v>
      </c>
      <c r="G1462" t="s">
        <v>5570</v>
      </c>
      <c r="H1462" t="s">
        <v>4915</v>
      </c>
      <c r="I1462" s="79" t="str">
        <f>IF(Tabla13[[#This Row],[RUT]]=774097899,"DIST",_xlfn.XLOOKUP(Tabla13[[#This Row],[VENDEDOR]],dimensiones!$C$21:$C$28,dimensiones!$D$21:$D$28,""))</f>
        <v>SANT1</v>
      </c>
      <c r="J1462" s="125" t="str">
        <f>_xlfn.XLOOKUP(Tabla13[[#This Row],[REGION]],dimensiones!C:C,dimensiones!D:D,"")</f>
        <v>Región de Metropolitana de Santiago</v>
      </c>
    </row>
    <row r="1463" spans="1:10" x14ac:dyDescent="0.25">
      <c r="A1463">
        <v>967745804</v>
      </c>
      <c r="B1463" t="s">
        <v>132</v>
      </c>
      <c r="C1463" t="s">
        <v>4218</v>
      </c>
      <c r="D1463">
        <v>9</v>
      </c>
      <c r="E1463" t="s">
        <v>4454</v>
      </c>
      <c r="F1463" t="s">
        <v>2140</v>
      </c>
      <c r="G1463" t="s">
        <v>5568</v>
      </c>
      <c r="H1463" t="s">
        <v>4915</v>
      </c>
      <c r="I1463" s="79" t="str">
        <f>IF(Tabla13[[#This Row],[RUT]]=774097899,"DIST",_xlfn.XLOOKUP(Tabla13[[#This Row],[VENDEDOR]],dimensiones!$C$21:$C$28,dimensiones!$D$21:$D$28,""))</f>
        <v>SUR2</v>
      </c>
      <c r="J1463" s="125" t="str">
        <f>_xlfn.XLOOKUP(Tabla13[[#This Row],[REGION]],dimensiones!C:C,dimensiones!D:D,"")</f>
        <v>Región de La Araucanía</v>
      </c>
    </row>
    <row r="1464" spans="1:10" x14ac:dyDescent="0.25">
      <c r="A1464">
        <v>967843806</v>
      </c>
      <c r="B1464" t="s">
        <v>4070</v>
      </c>
      <c r="C1464" t="s">
        <v>4186</v>
      </c>
      <c r="D1464">
        <v>1</v>
      </c>
      <c r="E1464" t="s">
        <v>4445</v>
      </c>
      <c r="F1464" t="s">
        <v>4069</v>
      </c>
      <c r="G1464" t="s">
        <v>5570</v>
      </c>
      <c r="H1464" t="s">
        <v>4915</v>
      </c>
      <c r="I1464" s="79" t="str">
        <f>IF(Tabla13[[#This Row],[RUT]]=774097899,"DIST",_xlfn.XLOOKUP(Tabla13[[#This Row],[VENDEDOR]],dimensiones!$C$21:$C$28,dimensiones!$D$21:$D$28,""))</f>
        <v>ATEL</v>
      </c>
      <c r="J1464" s="125" t="str">
        <f>_xlfn.XLOOKUP(Tabla13[[#This Row],[REGION]],dimensiones!C:C,dimensiones!D:D,"")</f>
        <v>Región de Tarapacá</v>
      </c>
    </row>
    <row r="1465" spans="1:10" x14ac:dyDescent="0.25">
      <c r="A1465">
        <v>967900400</v>
      </c>
      <c r="B1465" t="s">
        <v>610</v>
      </c>
      <c r="C1465" t="s">
        <v>4393</v>
      </c>
      <c r="D1465">
        <v>13</v>
      </c>
      <c r="E1465" t="s">
        <v>4445</v>
      </c>
      <c r="F1465" t="s">
        <v>3342</v>
      </c>
      <c r="G1465" t="s">
        <v>5570</v>
      </c>
      <c r="H1465" t="s">
        <v>4915</v>
      </c>
      <c r="I1465" s="79" t="str">
        <f>IF(Tabla13[[#This Row],[RUT]]=774097899,"DIST",_xlfn.XLOOKUP(Tabla13[[#This Row],[VENDEDOR]],dimensiones!$C$21:$C$28,dimensiones!$D$21:$D$28,""))</f>
        <v>ATEL</v>
      </c>
      <c r="J1465" s="125" t="str">
        <f>_xlfn.XLOOKUP(Tabla13[[#This Row],[REGION]],dimensiones!C:C,dimensiones!D:D,"")</f>
        <v>Región de Metropolitana de Santiago</v>
      </c>
    </row>
    <row r="1466" spans="1:10" x14ac:dyDescent="0.25">
      <c r="A1466">
        <v>968028006</v>
      </c>
      <c r="B1466" t="s">
        <v>611</v>
      </c>
      <c r="C1466" t="s">
        <v>4237</v>
      </c>
      <c r="D1466">
        <v>2</v>
      </c>
      <c r="E1466" t="s">
        <v>4445</v>
      </c>
      <c r="F1466" t="s">
        <v>3344</v>
      </c>
      <c r="G1466" t="s">
        <v>5570</v>
      </c>
      <c r="H1466" t="s">
        <v>4915</v>
      </c>
      <c r="I1466" s="79" t="str">
        <f>IF(Tabla13[[#This Row],[RUT]]=774097899,"DIST",_xlfn.XLOOKUP(Tabla13[[#This Row],[VENDEDOR]],dimensiones!$C$21:$C$28,dimensiones!$D$21:$D$28,""))</f>
        <v>ATEL</v>
      </c>
      <c r="J1466" s="125" t="str">
        <f>_xlfn.XLOOKUP(Tabla13[[#This Row],[REGION]],dimensiones!C:C,dimensiones!D:D,"")</f>
        <v>Región de Antofagasta</v>
      </c>
    </row>
    <row r="1467" spans="1:10" x14ac:dyDescent="0.25">
      <c r="A1467">
        <v>968406108</v>
      </c>
      <c r="B1467" t="s">
        <v>612</v>
      </c>
      <c r="C1467" t="s">
        <v>4186</v>
      </c>
      <c r="D1467">
        <v>1</v>
      </c>
      <c r="E1467" t="s">
        <v>4453</v>
      </c>
      <c r="F1467" t="s">
        <v>1457</v>
      </c>
      <c r="G1467" t="s">
        <v>5570</v>
      </c>
      <c r="H1467" t="s">
        <v>4915</v>
      </c>
      <c r="I1467" s="79" t="str">
        <f>IF(Tabla13[[#This Row],[RUT]]=774097899,"DIST",_xlfn.XLOOKUP(Tabla13[[#This Row],[VENDEDOR]],dimensiones!$C$21:$C$28,dimensiones!$D$21:$D$28,""))</f>
        <v>SANT2</v>
      </c>
      <c r="J1467" s="125" t="str">
        <f>_xlfn.XLOOKUP(Tabla13[[#This Row],[REGION]],dimensiones!C:C,dimensiones!D:D,"")</f>
        <v>Región de Tarapacá</v>
      </c>
    </row>
    <row r="1468" spans="1:10" x14ac:dyDescent="0.25">
      <c r="A1468" t="s">
        <v>740</v>
      </c>
      <c r="B1468" t="s">
        <v>741</v>
      </c>
      <c r="C1468" t="s">
        <v>4189</v>
      </c>
      <c r="D1468">
        <v>13</v>
      </c>
      <c r="E1468" t="s">
        <v>4445</v>
      </c>
      <c r="F1468" t="s">
        <v>3315</v>
      </c>
      <c r="G1468" t="s">
        <v>5568</v>
      </c>
      <c r="H1468" t="s">
        <v>4915</v>
      </c>
      <c r="I1468" s="79" t="str">
        <f>IF(Tabla13[[#This Row],[RUT]]=774097899,"DIST",_xlfn.XLOOKUP(Tabla13[[#This Row],[VENDEDOR]],dimensiones!$C$21:$C$28,dimensiones!$D$21:$D$28,""))</f>
        <v>ATEL</v>
      </c>
      <c r="J1468" s="125" t="str">
        <f>_xlfn.XLOOKUP(Tabla13[[#This Row],[REGION]],dimensiones!C:C,dimensiones!D:D,"")</f>
        <v>Región de Metropolitana de Santiago</v>
      </c>
    </row>
    <row r="1469" spans="1:10" x14ac:dyDescent="0.25">
      <c r="A1469">
        <v>968859307</v>
      </c>
      <c r="B1469" t="s">
        <v>2076</v>
      </c>
      <c r="C1469" t="s">
        <v>4452</v>
      </c>
      <c r="D1469">
        <v>13</v>
      </c>
      <c r="E1469" t="s">
        <v>4453</v>
      </c>
      <c r="F1469" t="s">
        <v>2075</v>
      </c>
      <c r="G1469" t="s">
        <v>5570</v>
      </c>
      <c r="H1469" t="s">
        <v>4915</v>
      </c>
      <c r="I1469" s="79" t="str">
        <f>IF(Tabla13[[#This Row],[RUT]]=774097899,"DIST",_xlfn.XLOOKUP(Tabla13[[#This Row],[VENDEDOR]],dimensiones!$C$21:$C$28,dimensiones!$D$21:$D$28,""))</f>
        <v>SANT2</v>
      </c>
      <c r="J1469" s="125" t="str">
        <f>_xlfn.XLOOKUP(Tabla13[[#This Row],[REGION]],dimensiones!C:C,dimensiones!D:D,"")</f>
        <v>Región de Metropolitana de Santiago</v>
      </c>
    </row>
    <row r="1470" spans="1:10" x14ac:dyDescent="0.25">
      <c r="A1470">
        <v>968859404</v>
      </c>
      <c r="B1470" t="s">
        <v>134</v>
      </c>
      <c r="C1470" t="s">
        <v>4183</v>
      </c>
      <c r="D1470">
        <v>8</v>
      </c>
      <c r="E1470" t="s">
        <v>4464</v>
      </c>
      <c r="F1470" t="s">
        <v>4613</v>
      </c>
      <c r="G1470" t="s">
        <v>5570</v>
      </c>
      <c r="H1470" t="s">
        <v>4915</v>
      </c>
      <c r="I1470" s="79" t="str">
        <f>IF(Tabla13[[#This Row],[RUT]]=774097899,"DIST",_xlfn.XLOOKUP(Tabla13[[#This Row],[VENDEDOR]],dimensiones!$C$21:$C$28,dimensiones!$D$21:$D$28,""))</f>
        <v>SUR1</v>
      </c>
      <c r="J1470" s="125" t="str">
        <f>_xlfn.XLOOKUP(Tabla13[[#This Row],[REGION]],dimensiones!C:C,dimensiones!D:D,"")</f>
        <v>Región de Biobío</v>
      </c>
    </row>
    <row r="1471" spans="1:10" x14ac:dyDescent="0.25">
      <c r="A1471">
        <v>968859501</v>
      </c>
      <c r="B1471" t="s">
        <v>135</v>
      </c>
      <c r="C1471" t="s">
        <v>4175</v>
      </c>
      <c r="D1471">
        <v>5</v>
      </c>
      <c r="E1471" t="s">
        <v>2372</v>
      </c>
      <c r="F1471" t="s">
        <v>1693</v>
      </c>
      <c r="G1471" t="s">
        <v>5570</v>
      </c>
      <c r="H1471" t="s">
        <v>4915</v>
      </c>
      <c r="I1471" s="79" t="str">
        <f>IF(Tabla13[[#This Row],[RUT]]=774097899,"DIST",_xlfn.XLOOKUP(Tabla13[[#This Row],[VENDEDOR]],dimensiones!$C$21:$C$28,dimensiones!$D$21:$D$28,""))</f>
        <v>NOR1</v>
      </c>
      <c r="J1471" s="125" t="str">
        <f>_xlfn.XLOOKUP(Tabla13[[#This Row],[REGION]],dimensiones!C:C,dimensiones!D:D,"")</f>
        <v>Región de Valparaíso</v>
      </c>
    </row>
    <row r="1472" spans="1:10" x14ac:dyDescent="0.25">
      <c r="A1472">
        <v>968989804</v>
      </c>
      <c r="B1472" t="s">
        <v>757</v>
      </c>
      <c r="C1472" t="s">
        <v>4394</v>
      </c>
      <c r="D1472">
        <v>13</v>
      </c>
      <c r="E1472" t="s">
        <v>4453</v>
      </c>
      <c r="F1472" t="s">
        <v>3629</v>
      </c>
      <c r="G1472" t="s">
        <v>5570</v>
      </c>
      <c r="H1472" t="s">
        <v>4915</v>
      </c>
      <c r="I1472" s="79" t="str">
        <f>IF(Tabla13[[#This Row],[RUT]]=774097899,"DIST",_xlfn.XLOOKUP(Tabla13[[#This Row],[VENDEDOR]],dimensiones!$C$21:$C$28,dimensiones!$D$21:$D$28,""))</f>
        <v>SANT2</v>
      </c>
      <c r="J1472" s="125" t="str">
        <f>_xlfn.XLOOKUP(Tabla13[[#This Row],[REGION]],dimensiones!C:C,dimensiones!D:D,"")</f>
        <v>Región de Metropolitana de Santiago</v>
      </c>
    </row>
    <row r="1473" spans="1:10" x14ac:dyDescent="0.25">
      <c r="A1473">
        <v>969102803</v>
      </c>
      <c r="B1473" t="s">
        <v>1048</v>
      </c>
      <c r="C1473" t="s">
        <v>4459</v>
      </c>
      <c r="D1473">
        <v>5</v>
      </c>
      <c r="E1473" t="s">
        <v>4445</v>
      </c>
      <c r="F1473" t="s">
        <v>3915</v>
      </c>
      <c r="G1473" t="s">
        <v>5568</v>
      </c>
      <c r="H1473" t="s">
        <v>4915</v>
      </c>
      <c r="I1473" s="79" t="str">
        <f>IF(Tabla13[[#This Row],[RUT]]=774097899,"DIST",_xlfn.XLOOKUP(Tabla13[[#This Row],[VENDEDOR]],dimensiones!$C$21:$C$28,dimensiones!$D$21:$D$28,""))</f>
        <v>ATEL</v>
      </c>
      <c r="J1473" s="125" t="str">
        <f>_xlfn.XLOOKUP(Tabla13[[#This Row],[REGION]],dimensiones!C:C,dimensiones!D:D,"")</f>
        <v>Región de Valparaíso</v>
      </c>
    </row>
    <row r="1474" spans="1:10" x14ac:dyDescent="0.25">
      <c r="A1474">
        <v>969216604</v>
      </c>
      <c r="B1474" t="s">
        <v>613</v>
      </c>
      <c r="C1474" t="s">
        <v>4452</v>
      </c>
      <c r="D1474">
        <v>13</v>
      </c>
      <c r="E1474" t="s">
        <v>4445</v>
      </c>
      <c r="F1474" t="s">
        <v>3094</v>
      </c>
      <c r="G1474" t="s">
        <v>5570</v>
      </c>
      <c r="H1474" t="s">
        <v>4915</v>
      </c>
      <c r="I1474" s="79" t="str">
        <f>IF(Tabla13[[#This Row],[RUT]]=774097899,"DIST",_xlfn.XLOOKUP(Tabla13[[#This Row],[VENDEDOR]],dimensiones!$C$21:$C$28,dimensiones!$D$21:$D$28,""))</f>
        <v>ATEL</v>
      </c>
      <c r="J1474" s="125" t="str">
        <f>_xlfn.XLOOKUP(Tabla13[[#This Row],[REGION]],dimensiones!C:C,dimensiones!D:D,"")</f>
        <v>Región de Metropolitana de Santiago</v>
      </c>
    </row>
    <row r="1475" spans="1:10" x14ac:dyDescent="0.25">
      <c r="A1475">
        <v>969424002</v>
      </c>
      <c r="B1475" t="s">
        <v>614</v>
      </c>
      <c r="C1475" t="s">
        <v>4391</v>
      </c>
      <c r="D1475">
        <v>13</v>
      </c>
      <c r="E1475" t="s">
        <v>4445</v>
      </c>
      <c r="F1475" t="s">
        <v>1865</v>
      </c>
      <c r="G1475" t="s">
        <v>5568</v>
      </c>
      <c r="H1475" t="s">
        <v>4915</v>
      </c>
      <c r="I1475" s="79" t="str">
        <f>IF(Tabla13[[#This Row],[RUT]]=774097899,"DIST",_xlfn.XLOOKUP(Tabla13[[#This Row],[VENDEDOR]],dimensiones!$C$21:$C$28,dimensiones!$D$21:$D$28,""))</f>
        <v>ATEL</v>
      </c>
      <c r="J1475" s="125" t="str">
        <f>_xlfn.XLOOKUP(Tabla13[[#This Row],[REGION]],dimensiones!C:C,dimensiones!D:D,"")</f>
        <v>Región de Metropolitana de Santiago</v>
      </c>
    </row>
    <row r="1476" spans="1:10" x14ac:dyDescent="0.25">
      <c r="A1476">
        <v>969636603</v>
      </c>
      <c r="B1476" t="s">
        <v>136</v>
      </c>
      <c r="C1476" t="s">
        <v>4175</v>
      </c>
      <c r="D1476">
        <v>5</v>
      </c>
      <c r="E1476" t="s">
        <v>2372</v>
      </c>
      <c r="F1476" t="s">
        <v>3260</v>
      </c>
      <c r="G1476" t="s">
        <v>5570</v>
      </c>
      <c r="H1476" t="s">
        <v>4915</v>
      </c>
      <c r="I1476" s="79" t="str">
        <f>IF(Tabla13[[#This Row],[RUT]]=774097899,"DIST",_xlfn.XLOOKUP(Tabla13[[#This Row],[VENDEDOR]],dimensiones!$C$21:$C$28,dimensiones!$D$21:$D$28,""))</f>
        <v>NOR1</v>
      </c>
      <c r="J1476" s="125" t="str">
        <f>_xlfn.XLOOKUP(Tabla13[[#This Row],[REGION]],dimensiones!C:C,dimensiones!D:D,"")</f>
        <v>Región de Valparaíso</v>
      </c>
    </row>
    <row r="1477" spans="1:10" x14ac:dyDescent="0.25">
      <c r="A1477">
        <v>969825201</v>
      </c>
      <c r="B1477" t="s">
        <v>3368</v>
      </c>
      <c r="C1477" t="s">
        <v>4391</v>
      </c>
      <c r="D1477">
        <v>13</v>
      </c>
      <c r="E1477" t="s">
        <v>4445</v>
      </c>
      <c r="F1477" t="s">
        <v>3367</v>
      </c>
      <c r="G1477" t="s">
        <v>5570</v>
      </c>
      <c r="H1477" t="s">
        <v>4915</v>
      </c>
      <c r="I1477" s="79" t="str">
        <f>IF(Tabla13[[#This Row],[RUT]]=774097899,"DIST",_xlfn.XLOOKUP(Tabla13[[#This Row],[VENDEDOR]],dimensiones!$C$21:$C$28,dimensiones!$D$21:$D$28,""))</f>
        <v>ATEL</v>
      </c>
      <c r="J1477" s="125" t="str">
        <f>_xlfn.XLOOKUP(Tabla13[[#This Row],[REGION]],dimensiones!C:C,dimensiones!D:D,"")</f>
        <v>Región de Metropolitana de Santiago</v>
      </c>
    </row>
    <row r="1478" spans="1:10" x14ac:dyDescent="0.25">
      <c r="A1478">
        <v>969860503</v>
      </c>
      <c r="B1478" t="s">
        <v>1028</v>
      </c>
      <c r="C1478" t="s">
        <v>4394</v>
      </c>
      <c r="D1478">
        <v>13</v>
      </c>
      <c r="E1478" t="s">
        <v>4453</v>
      </c>
      <c r="F1478" t="s">
        <v>1964</v>
      </c>
      <c r="G1478" t="s">
        <v>5576</v>
      </c>
      <c r="H1478" t="s">
        <v>4915</v>
      </c>
      <c r="I1478" s="79" t="str">
        <f>IF(Tabla13[[#This Row],[RUT]]=774097899,"DIST",_xlfn.XLOOKUP(Tabla13[[#This Row],[VENDEDOR]],dimensiones!$C$21:$C$28,dimensiones!$D$21:$D$28,""))</f>
        <v>SANT2</v>
      </c>
      <c r="J1478" s="125" t="str">
        <f>_xlfn.XLOOKUP(Tabla13[[#This Row],[REGION]],dimensiones!C:C,dimensiones!D:D,"")</f>
        <v>Región de Metropolitana de Santiago</v>
      </c>
    </row>
    <row r="1479" spans="1:10" x14ac:dyDescent="0.25">
      <c r="A1479">
        <v>969860708</v>
      </c>
      <c r="B1479" t="s">
        <v>5445</v>
      </c>
      <c r="C1479" t="s">
        <v>4458</v>
      </c>
      <c r="D1479">
        <v>13</v>
      </c>
      <c r="E1479" t="s">
        <v>4445</v>
      </c>
      <c r="F1479" t="s">
        <v>5446</v>
      </c>
      <c r="G1479" t="s">
        <v>5568</v>
      </c>
      <c r="H1479" t="s">
        <v>4915</v>
      </c>
      <c r="I1479" s="79" t="str">
        <f>IF(Tabla13[[#This Row],[RUT]]=774097899,"DIST",_xlfn.XLOOKUP(Tabla13[[#This Row],[VENDEDOR]],dimensiones!$C$21:$C$28,dimensiones!$D$21:$D$28,""))</f>
        <v>ATEL</v>
      </c>
      <c r="J1479" s="125" t="str">
        <f>_xlfn.XLOOKUP(Tabla13[[#This Row],[REGION]],dimensiones!C:C,dimensiones!D:D,"")</f>
        <v>Región de Metropolitana de Santiago</v>
      </c>
    </row>
    <row r="1480" spans="1:10" x14ac:dyDescent="0.25">
      <c r="A1480">
        <v>969865505</v>
      </c>
      <c r="B1480" t="s">
        <v>874</v>
      </c>
      <c r="C1480" t="s">
        <v>4168</v>
      </c>
      <c r="D1480">
        <v>13</v>
      </c>
      <c r="E1480" t="s">
        <v>4445</v>
      </c>
      <c r="F1480" t="s">
        <v>3969</v>
      </c>
      <c r="G1480" t="s">
        <v>5569</v>
      </c>
      <c r="H1480" t="s">
        <v>4915</v>
      </c>
      <c r="I1480" s="79" t="str">
        <f>IF(Tabla13[[#This Row],[RUT]]=774097899,"DIST",_xlfn.XLOOKUP(Tabla13[[#This Row],[VENDEDOR]],dimensiones!$C$21:$C$28,dimensiones!$D$21:$D$28,""))</f>
        <v>ATEL</v>
      </c>
      <c r="J1480" s="125" t="str">
        <f>_xlfn.XLOOKUP(Tabla13[[#This Row],[REGION]],dimensiones!C:C,dimensiones!D:D,"")</f>
        <v>Región de Metropolitana de Santiago</v>
      </c>
    </row>
    <row r="1481" spans="1:10" x14ac:dyDescent="0.25">
      <c r="A1481">
        <v>995071304</v>
      </c>
      <c r="B1481" t="s">
        <v>615</v>
      </c>
      <c r="C1481" t="s">
        <v>4391</v>
      </c>
      <c r="D1481">
        <v>8</v>
      </c>
      <c r="E1481" t="s">
        <v>4445</v>
      </c>
      <c r="F1481" t="s">
        <v>4072</v>
      </c>
      <c r="G1481" t="s">
        <v>5568</v>
      </c>
      <c r="H1481" t="s">
        <v>4915</v>
      </c>
      <c r="I1481" s="79" t="str">
        <f>IF(Tabla13[[#This Row],[RUT]]=774097899,"DIST",_xlfn.XLOOKUP(Tabla13[[#This Row],[VENDEDOR]],dimensiones!$C$21:$C$28,dimensiones!$D$21:$D$28,""))</f>
        <v>ATEL</v>
      </c>
      <c r="J1481" s="125" t="str">
        <f>_xlfn.XLOOKUP(Tabla13[[#This Row],[REGION]],dimensiones!C:C,dimensiones!D:D,"")</f>
        <v>Región de Biobío</v>
      </c>
    </row>
    <row r="1482" spans="1:10" x14ac:dyDescent="0.25">
      <c r="A1482">
        <v>995129507</v>
      </c>
      <c r="B1482" t="s">
        <v>4935</v>
      </c>
      <c r="C1482" t="s">
        <v>4528</v>
      </c>
      <c r="D1482">
        <v>13</v>
      </c>
      <c r="E1482" t="s">
        <v>4445</v>
      </c>
      <c r="F1482" t="s">
        <v>4936</v>
      </c>
      <c r="G1482" t="s">
        <v>5568</v>
      </c>
      <c r="H1482" t="s">
        <v>4915</v>
      </c>
      <c r="I1482" s="79" t="str">
        <f>IF(Tabla13[[#This Row],[RUT]]=774097899,"DIST",_xlfn.XLOOKUP(Tabla13[[#This Row],[VENDEDOR]],dimensiones!$C$21:$C$28,dimensiones!$D$21:$D$28,""))</f>
        <v>ATEL</v>
      </c>
      <c r="J1482" s="125" t="str">
        <f>_xlfn.XLOOKUP(Tabla13[[#This Row],[REGION]],dimensiones!C:C,dimensiones!D:D,"")</f>
        <v>Región de Metropolitana de Santiago</v>
      </c>
    </row>
    <row r="1483" spans="1:10" x14ac:dyDescent="0.25">
      <c r="A1483">
        <v>995337908</v>
      </c>
      <c r="B1483" t="s">
        <v>137</v>
      </c>
      <c r="C1483" t="s">
        <v>4171</v>
      </c>
      <c r="D1483">
        <v>4</v>
      </c>
      <c r="E1483" t="s">
        <v>2372</v>
      </c>
      <c r="F1483" t="s">
        <v>3563</v>
      </c>
      <c r="G1483" t="s">
        <v>5570</v>
      </c>
      <c r="H1483" t="s">
        <v>4915</v>
      </c>
      <c r="I1483" s="79" t="str">
        <f>IF(Tabla13[[#This Row],[RUT]]=774097899,"DIST",_xlfn.XLOOKUP(Tabla13[[#This Row],[VENDEDOR]],dimensiones!$C$21:$C$28,dimensiones!$D$21:$D$28,""))</f>
        <v>NOR1</v>
      </c>
      <c r="J1483" s="125" t="str">
        <f>_xlfn.XLOOKUP(Tabla13[[#This Row],[REGION]],dimensiones!C:C,dimensiones!D:D,"")</f>
        <v>Región de Coquimbo</v>
      </c>
    </row>
    <row r="1484" spans="1:10" x14ac:dyDescent="0.25">
      <c r="A1484">
        <v>995356201</v>
      </c>
      <c r="B1484" t="s">
        <v>616</v>
      </c>
      <c r="C1484" t="s">
        <v>4460</v>
      </c>
      <c r="D1484">
        <v>8</v>
      </c>
      <c r="E1484" t="s">
        <v>4445</v>
      </c>
      <c r="F1484" t="s">
        <v>3974</v>
      </c>
      <c r="G1484" t="s">
        <v>5570</v>
      </c>
      <c r="H1484" t="s">
        <v>4915</v>
      </c>
      <c r="I1484" s="79" t="str">
        <f>IF(Tabla13[[#This Row],[RUT]]=774097899,"DIST",_xlfn.XLOOKUP(Tabla13[[#This Row],[VENDEDOR]],dimensiones!$C$21:$C$28,dimensiones!$D$21:$D$28,""))</f>
        <v>ATEL</v>
      </c>
      <c r="J1484" s="125" t="str">
        <f>_xlfn.XLOOKUP(Tabla13[[#This Row],[REGION]],dimensiones!C:C,dimensiones!D:D,"")</f>
        <v>Región de Biobío</v>
      </c>
    </row>
    <row r="1485" spans="1:10" x14ac:dyDescent="0.25">
      <c r="A1485">
        <v>995378000</v>
      </c>
      <c r="B1485" t="s">
        <v>617</v>
      </c>
      <c r="C1485" t="s">
        <v>4182</v>
      </c>
      <c r="D1485">
        <v>2</v>
      </c>
      <c r="E1485" t="s">
        <v>4445</v>
      </c>
      <c r="F1485" t="s">
        <v>2068</v>
      </c>
      <c r="G1485" t="s">
        <v>5570</v>
      </c>
      <c r="H1485" t="s">
        <v>4915</v>
      </c>
      <c r="I1485" s="79" t="str">
        <f>IF(Tabla13[[#This Row],[RUT]]=774097899,"DIST",_xlfn.XLOOKUP(Tabla13[[#This Row],[VENDEDOR]],dimensiones!$C$21:$C$28,dimensiones!$D$21:$D$28,""))</f>
        <v>ATEL</v>
      </c>
      <c r="J1485" s="125" t="str">
        <f>_xlfn.XLOOKUP(Tabla13[[#This Row],[REGION]],dimensiones!C:C,dimensiones!D:D,"")</f>
        <v>Región de Antofagasta</v>
      </c>
    </row>
    <row r="1486" spans="1:10" x14ac:dyDescent="0.25">
      <c r="A1486">
        <v>995417502</v>
      </c>
      <c r="B1486" t="s">
        <v>138</v>
      </c>
      <c r="C1486" t="s">
        <v>4198</v>
      </c>
      <c r="D1486">
        <v>5</v>
      </c>
      <c r="E1486" t="s">
        <v>2372</v>
      </c>
      <c r="F1486" t="s">
        <v>4108</v>
      </c>
      <c r="G1486" t="s">
        <v>5570</v>
      </c>
      <c r="H1486" t="s">
        <v>4915</v>
      </c>
      <c r="I1486" s="79" t="str">
        <f>IF(Tabla13[[#This Row],[RUT]]=774097899,"DIST",_xlfn.XLOOKUP(Tabla13[[#This Row],[VENDEDOR]],dimensiones!$C$21:$C$28,dimensiones!$D$21:$D$28,""))</f>
        <v>NOR1</v>
      </c>
      <c r="J1486" s="125" t="str">
        <f>_xlfn.XLOOKUP(Tabla13[[#This Row],[REGION]],dimensiones!C:C,dimensiones!D:D,"")</f>
        <v>Región de Valparaíso</v>
      </c>
    </row>
    <row r="1487" spans="1:10" x14ac:dyDescent="0.25">
      <c r="A1487">
        <v>995458705</v>
      </c>
      <c r="B1487" t="s">
        <v>3972</v>
      </c>
      <c r="C1487" t="s">
        <v>4186</v>
      </c>
      <c r="D1487">
        <v>1</v>
      </c>
      <c r="E1487" t="s">
        <v>4445</v>
      </c>
      <c r="F1487" t="s">
        <v>3971</v>
      </c>
      <c r="G1487" t="s">
        <v>5570</v>
      </c>
      <c r="H1487" t="s">
        <v>4915</v>
      </c>
      <c r="I1487" s="79" t="str">
        <f>IF(Tabla13[[#This Row],[RUT]]=774097899,"DIST",_xlfn.XLOOKUP(Tabla13[[#This Row],[VENDEDOR]],dimensiones!$C$21:$C$28,dimensiones!$D$21:$D$28,""))</f>
        <v>ATEL</v>
      </c>
      <c r="J1487" s="125" t="str">
        <f>_xlfn.XLOOKUP(Tabla13[[#This Row],[REGION]],dimensiones!C:C,dimensiones!D:D,"")</f>
        <v>Región de Tarapacá</v>
      </c>
    </row>
    <row r="1488" spans="1:10" x14ac:dyDescent="0.25">
      <c r="A1488">
        <v>995491303</v>
      </c>
      <c r="B1488" t="s">
        <v>618</v>
      </c>
      <c r="C1488" t="s">
        <v>4182</v>
      </c>
      <c r="D1488">
        <v>2</v>
      </c>
      <c r="E1488" t="s">
        <v>4445</v>
      </c>
      <c r="F1488" t="s">
        <v>2128</v>
      </c>
      <c r="G1488" t="s">
        <v>5570</v>
      </c>
      <c r="H1488" t="s">
        <v>4915</v>
      </c>
      <c r="I1488" s="79" t="str">
        <f>IF(Tabla13[[#This Row],[RUT]]=774097899,"DIST",_xlfn.XLOOKUP(Tabla13[[#This Row],[VENDEDOR]],dimensiones!$C$21:$C$28,dimensiones!$D$21:$D$28,""))</f>
        <v>ATEL</v>
      </c>
      <c r="J1488" s="125" t="str">
        <f>_xlfn.XLOOKUP(Tabla13[[#This Row],[REGION]],dimensiones!C:C,dimensiones!D:D,"")</f>
        <v>Región de Antofagasta</v>
      </c>
    </row>
    <row r="1489" spans="1:10" x14ac:dyDescent="0.25">
      <c r="A1489" t="s">
        <v>1019</v>
      </c>
      <c r="B1489" t="s">
        <v>1020</v>
      </c>
      <c r="C1489" t="s">
        <v>4391</v>
      </c>
      <c r="D1489">
        <v>13</v>
      </c>
      <c r="E1489" t="s">
        <v>4445</v>
      </c>
      <c r="F1489" t="s">
        <v>3982</v>
      </c>
      <c r="G1489" t="s">
        <v>5570</v>
      </c>
      <c r="H1489" t="s">
        <v>4915</v>
      </c>
      <c r="I1489" s="79" t="str">
        <f>IF(Tabla13[[#This Row],[RUT]]=774097899,"DIST",_xlfn.XLOOKUP(Tabla13[[#This Row],[VENDEDOR]],dimensiones!$C$21:$C$28,dimensiones!$D$21:$D$28,""))</f>
        <v>ATEL</v>
      </c>
      <c r="J1489" s="125" t="str">
        <f>_xlfn.XLOOKUP(Tabla13[[#This Row],[REGION]],dimensiones!C:C,dimensiones!D:D,"")</f>
        <v>Región de Metropolitana de Santiago</v>
      </c>
    </row>
    <row r="1490" spans="1:10" x14ac:dyDescent="0.25">
      <c r="A1490">
        <v>995687208</v>
      </c>
      <c r="B1490" t="s">
        <v>139</v>
      </c>
      <c r="C1490" t="s">
        <v>4459</v>
      </c>
      <c r="D1490">
        <v>5</v>
      </c>
      <c r="E1490" t="s">
        <v>2372</v>
      </c>
      <c r="F1490" t="s">
        <v>2045</v>
      </c>
      <c r="G1490" t="s">
        <v>5570</v>
      </c>
      <c r="H1490" t="s">
        <v>4915</v>
      </c>
      <c r="I1490" s="79" t="str">
        <f>IF(Tabla13[[#This Row],[RUT]]=774097899,"DIST",_xlfn.XLOOKUP(Tabla13[[#This Row],[VENDEDOR]],dimensiones!$C$21:$C$28,dimensiones!$D$21:$D$28,""))</f>
        <v>NOR1</v>
      </c>
      <c r="J1490" s="125" t="str">
        <f>_xlfn.XLOOKUP(Tabla13[[#This Row],[REGION]],dimensiones!C:C,dimensiones!D:D,"")</f>
        <v>Región de Valparaíso</v>
      </c>
    </row>
    <row r="1491" spans="1:10" x14ac:dyDescent="0.25">
      <c r="A1491">
        <v>995696703</v>
      </c>
      <c r="B1491" t="s">
        <v>3635</v>
      </c>
      <c r="C1491" t="s">
        <v>4383</v>
      </c>
      <c r="D1491">
        <v>13</v>
      </c>
      <c r="E1491" t="s">
        <v>4445</v>
      </c>
      <c r="F1491" t="s">
        <v>3634</v>
      </c>
      <c r="G1491" t="s">
        <v>5568</v>
      </c>
      <c r="H1491" t="s">
        <v>4915</v>
      </c>
      <c r="I1491" s="79" t="str">
        <f>IF(Tabla13[[#This Row],[RUT]]=774097899,"DIST",_xlfn.XLOOKUP(Tabla13[[#This Row],[VENDEDOR]],dimensiones!$C$21:$C$28,dimensiones!$D$21:$D$28,""))</f>
        <v>ATEL</v>
      </c>
      <c r="J1491" s="125" t="str">
        <f>_xlfn.XLOOKUP(Tabla13[[#This Row],[REGION]],dimensiones!C:C,dimensiones!D:D,"")</f>
        <v>Región de Metropolitana de Santiago</v>
      </c>
    </row>
    <row r="1492" spans="1:10" x14ac:dyDescent="0.25">
      <c r="A1492">
        <v>995734907</v>
      </c>
      <c r="B1492" t="s">
        <v>3985</v>
      </c>
      <c r="C1492" t="s">
        <v>4465</v>
      </c>
      <c r="D1492">
        <v>13</v>
      </c>
      <c r="E1492" t="s">
        <v>4457</v>
      </c>
      <c r="F1492" t="s">
        <v>3984</v>
      </c>
      <c r="G1492" t="s">
        <v>5570</v>
      </c>
      <c r="H1492" t="s">
        <v>4915</v>
      </c>
      <c r="I1492" s="79" t="str">
        <f>IF(Tabla13[[#This Row],[RUT]]=774097899,"DIST",_xlfn.XLOOKUP(Tabla13[[#This Row],[VENDEDOR]],dimensiones!$C$21:$C$28,dimensiones!$D$21:$D$28,""))</f>
        <v>SANT1</v>
      </c>
      <c r="J1492" s="125" t="str">
        <f>_xlfn.XLOOKUP(Tabla13[[#This Row],[REGION]],dimensiones!C:C,dimensiones!D:D,"")</f>
        <v>Región de Metropolitana de Santiago</v>
      </c>
    </row>
    <row r="1493" spans="1:10" x14ac:dyDescent="0.25">
      <c r="A1493">
        <v>995736004</v>
      </c>
      <c r="B1493" t="s">
        <v>140</v>
      </c>
      <c r="C1493" t="s">
        <v>4192</v>
      </c>
      <c r="D1493">
        <v>5</v>
      </c>
      <c r="E1493" t="s">
        <v>2372</v>
      </c>
      <c r="F1493" t="s">
        <v>3616</v>
      </c>
      <c r="G1493" t="s">
        <v>5570</v>
      </c>
      <c r="H1493" t="s">
        <v>4915</v>
      </c>
      <c r="I1493" s="79" t="str">
        <f>IF(Tabla13[[#This Row],[RUT]]=774097899,"DIST",_xlfn.XLOOKUP(Tabla13[[#This Row],[VENDEDOR]],dimensiones!$C$21:$C$28,dimensiones!$D$21:$D$28,""))</f>
        <v>NOR1</v>
      </c>
      <c r="J1493" s="125" t="str">
        <f>_xlfn.XLOOKUP(Tabla13[[#This Row],[REGION]],dimensiones!C:C,dimensiones!D:D,"")</f>
        <v>Región de Valparaíso</v>
      </c>
    </row>
    <row r="1494" spans="1:10" x14ac:dyDescent="0.25">
      <c r="A1494">
        <v>995792605</v>
      </c>
      <c r="B1494" t="s">
        <v>759</v>
      </c>
      <c r="C1494" t="s">
        <v>4561</v>
      </c>
      <c r="D1494">
        <v>13</v>
      </c>
      <c r="E1494" t="s">
        <v>4445</v>
      </c>
      <c r="F1494" t="s">
        <v>2153</v>
      </c>
      <c r="G1494" t="s">
        <v>5570</v>
      </c>
      <c r="H1494" t="s">
        <v>4915</v>
      </c>
      <c r="I1494" s="79" t="str">
        <f>IF(Tabla13[[#This Row],[RUT]]=774097899,"DIST",_xlfn.XLOOKUP(Tabla13[[#This Row],[VENDEDOR]],dimensiones!$C$21:$C$28,dimensiones!$D$21:$D$28,""))</f>
        <v>ATEL</v>
      </c>
      <c r="J1494" s="125" t="str">
        <f>_xlfn.XLOOKUP(Tabla13[[#This Row],[REGION]],dimensiones!C:C,dimensiones!D:D,"")</f>
        <v>Región de Metropolitana de Santiago</v>
      </c>
    </row>
    <row r="1495" spans="1:10" x14ac:dyDescent="0.25">
      <c r="A1495">
        <v>995808307</v>
      </c>
      <c r="B1495" t="s">
        <v>4437</v>
      </c>
      <c r="C1495" t="s">
        <v>4391</v>
      </c>
      <c r="D1495">
        <v>13</v>
      </c>
      <c r="E1495" t="s">
        <v>4445</v>
      </c>
      <c r="F1495" t="s">
        <v>4614</v>
      </c>
      <c r="G1495" t="s">
        <v>5568</v>
      </c>
      <c r="H1495" t="s">
        <v>4915</v>
      </c>
      <c r="I1495" s="79" t="str">
        <f>IF(Tabla13[[#This Row],[RUT]]=774097899,"DIST",_xlfn.XLOOKUP(Tabla13[[#This Row],[VENDEDOR]],dimensiones!$C$21:$C$28,dimensiones!$D$21:$D$28,""))</f>
        <v>ATEL</v>
      </c>
      <c r="J1495" s="125" t="str">
        <f>_xlfn.XLOOKUP(Tabla13[[#This Row],[REGION]],dimensiones!C:C,dimensiones!D:D,"")</f>
        <v>Región de Metropolitana de Santiago</v>
      </c>
    </row>
    <row r="1496" spans="1:10" x14ac:dyDescent="0.25">
      <c r="A1496">
        <v>995931702</v>
      </c>
      <c r="B1496" t="s">
        <v>619</v>
      </c>
      <c r="C1496" t="s">
        <v>4410</v>
      </c>
      <c r="D1496">
        <v>13</v>
      </c>
      <c r="E1496" t="s">
        <v>4445</v>
      </c>
      <c r="F1496" t="s">
        <v>3989</v>
      </c>
      <c r="G1496" t="s">
        <v>5568</v>
      </c>
      <c r="H1496" t="s">
        <v>4915</v>
      </c>
      <c r="I1496" s="79" t="str">
        <f>IF(Tabla13[[#This Row],[RUT]]=774097899,"DIST",_xlfn.XLOOKUP(Tabla13[[#This Row],[VENDEDOR]],dimensiones!$C$21:$C$28,dimensiones!$D$21:$D$28,""))</f>
        <v>ATEL</v>
      </c>
      <c r="J1496" s="125" t="str">
        <f>_xlfn.XLOOKUP(Tabla13[[#This Row],[REGION]],dimensiones!C:C,dimensiones!D:D,"")</f>
        <v>Región de Metropolitana de Santiago</v>
      </c>
    </row>
    <row r="1497" spans="1:10" x14ac:dyDescent="0.25">
      <c r="A1497">
        <v>615130001</v>
      </c>
      <c r="B1497" t="s">
        <v>4997</v>
      </c>
      <c r="C1497" t="s">
        <v>4168</v>
      </c>
      <c r="D1497">
        <v>13</v>
      </c>
      <c r="E1497" t="s">
        <v>4445</v>
      </c>
      <c r="F1497" t="s">
        <v>4998</v>
      </c>
      <c r="G1497" t="s">
        <v>5571</v>
      </c>
      <c r="H1497" t="s">
        <v>4957</v>
      </c>
      <c r="I1497" s="79" t="str">
        <f>IF(Tabla13[[#This Row],[RUT]]=774097899,"DIST",_xlfn.XLOOKUP(Tabla13[[#This Row],[VENDEDOR]],dimensiones!$C$21:$C$28,dimensiones!$D$21:$D$28,""))</f>
        <v>ATEL</v>
      </c>
      <c r="J1497" s="125" t="str">
        <f>_xlfn.XLOOKUP(Tabla13[[#This Row],[REGION]],dimensiones!C:C,dimensiones!D:D,"")</f>
        <v>Región de Metropolitana de Santiago</v>
      </c>
    </row>
    <row r="1498" spans="1:10" x14ac:dyDescent="0.25">
      <c r="A1498">
        <v>619799607</v>
      </c>
      <c r="B1498" t="s">
        <v>5525</v>
      </c>
      <c r="C1498" t="s">
        <v>4187</v>
      </c>
      <c r="D1498">
        <v>13</v>
      </c>
      <c r="E1498" t="s">
        <v>4445</v>
      </c>
      <c r="F1498" t="s">
        <v>5526</v>
      </c>
      <c r="G1498" t="s">
        <v>5571</v>
      </c>
      <c r="H1498" t="s">
        <v>4957</v>
      </c>
      <c r="I1498" s="79" t="str">
        <f>IF(Tabla13[[#This Row],[RUT]]=774097899,"DIST",_xlfn.XLOOKUP(Tabla13[[#This Row],[VENDEDOR]],dimensiones!$C$21:$C$28,dimensiones!$D$21:$D$28,""))</f>
        <v>ATEL</v>
      </c>
      <c r="J1498" s="125" t="str">
        <f>_xlfn.XLOOKUP(Tabla13[[#This Row],[REGION]],dimensiones!C:C,dimensiones!D:D,"")</f>
        <v>Región de Metropolitana de Santiago</v>
      </c>
    </row>
    <row r="1499" spans="1:10" x14ac:dyDescent="0.25">
      <c r="A1499">
        <v>769264604</v>
      </c>
      <c r="B1499" t="s">
        <v>4999</v>
      </c>
      <c r="C1499" t="s">
        <v>4257</v>
      </c>
      <c r="D1499">
        <v>7</v>
      </c>
      <c r="E1499" t="s">
        <v>4445</v>
      </c>
      <c r="F1499" t="s">
        <v>5000</v>
      </c>
      <c r="G1499" t="s">
        <v>5568</v>
      </c>
      <c r="H1499" t="s">
        <v>4915</v>
      </c>
      <c r="I1499" s="79" t="str">
        <f>IF(Tabla13[[#This Row],[RUT]]=774097899,"DIST",_xlfn.XLOOKUP(Tabla13[[#This Row],[VENDEDOR]],dimensiones!$C$21:$C$28,dimensiones!$D$21:$D$28,""))</f>
        <v>ATEL</v>
      </c>
      <c r="J1499" s="125" t="str">
        <f>_xlfn.XLOOKUP(Tabla13[[#This Row],[REGION]],dimensiones!C:C,dimensiones!D:D,"")</f>
        <v>Región de Maule</v>
      </c>
    </row>
    <row r="1500" spans="1:10" x14ac:dyDescent="0.25">
      <c r="A1500">
        <v>774097899</v>
      </c>
      <c r="B1500" t="s">
        <v>4977</v>
      </c>
      <c r="C1500" t="s">
        <v>4168</v>
      </c>
      <c r="D1500">
        <v>13</v>
      </c>
      <c r="E1500" t="s">
        <v>4445</v>
      </c>
      <c r="F1500" t="s">
        <v>4994</v>
      </c>
      <c r="G1500" t="s">
        <v>5568</v>
      </c>
      <c r="H1500" t="s">
        <v>4915</v>
      </c>
      <c r="I1500" s="79" t="str">
        <f>IF(Tabla13[[#This Row],[RUT]]=774097899,"DIST",_xlfn.XLOOKUP(Tabla13[[#This Row],[VENDEDOR]],dimensiones!$C$21:$C$28,dimensiones!$D$21:$D$28,""))</f>
        <v>DIST</v>
      </c>
      <c r="J1500" s="125" t="str">
        <f>_xlfn.XLOOKUP(Tabla13[[#This Row],[REGION]],dimensiones!C:C,dimensiones!D:D,"")</f>
        <v>Región de Metropolitana de Santiago</v>
      </c>
    </row>
    <row r="1501" spans="1:10" x14ac:dyDescent="0.25">
      <c r="A1501">
        <v>846096000</v>
      </c>
      <c r="B1501" t="s">
        <v>5001</v>
      </c>
      <c r="C1501" t="s">
        <v>4528</v>
      </c>
      <c r="D1501">
        <v>13</v>
      </c>
      <c r="E1501" t="s">
        <v>4445</v>
      </c>
      <c r="F1501" t="s">
        <v>5002</v>
      </c>
      <c r="G1501" t="s">
        <v>5568</v>
      </c>
      <c r="H1501" t="s">
        <v>4915</v>
      </c>
      <c r="I1501" s="79" t="str">
        <f>IF(Tabla13[[#This Row],[RUT]]=774097899,"DIST",_xlfn.XLOOKUP(Tabla13[[#This Row],[VENDEDOR]],dimensiones!$C$21:$C$28,dimensiones!$D$21:$D$28,""))</f>
        <v>ATEL</v>
      </c>
      <c r="J1501" s="125" t="str">
        <f>_xlfn.XLOOKUP(Tabla13[[#This Row],[REGION]],dimensiones!C:C,dimensiones!D:D,"")</f>
        <v>Región de Metropolitana de Santiago</v>
      </c>
    </row>
  </sheetData>
  <phoneticPr fontId="13" type="noConversion"/>
  <conditionalFormatting sqref="A1">
    <cfRule type="duplicateValues" dxfId="125" priority="305"/>
    <cfRule type="duplicateValues" dxfId="124" priority="304"/>
    <cfRule type="duplicateValues" dxfId="123" priority="252"/>
    <cfRule type="duplicateValues" dxfId="122" priority="251"/>
    <cfRule type="duplicateValues" dxfId="121" priority="250"/>
    <cfRule type="duplicateValues" dxfId="120" priority="303"/>
  </conditionalFormatting>
  <conditionalFormatting sqref="A1:A230">
    <cfRule type="duplicateValues" dxfId="119" priority="695"/>
  </conditionalFormatting>
  <conditionalFormatting sqref="A2:A230">
    <cfRule type="duplicateValues" dxfId="118" priority="702"/>
    <cfRule type="duplicateValues" dxfId="117" priority="701"/>
    <cfRule type="duplicateValues" dxfId="116" priority="734"/>
    <cfRule type="duplicateValues" dxfId="115" priority="700"/>
    <cfRule type="duplicateValues" dxfId="114" priority="699"/>
    <cfRule type="duplicateValues" dxfId="113" priority="698"/>
    <cfRule type="duplicateValues" dxfId="112" priority="697"/>
  </conditionalFormatting>
  <conditionalFormatting sqref="A95">
    <cfRule type="duplicateValues" dxfId="111" priority="101"/>
  </conditionalFormatting>
  <conditionalFormatting sqref="A96">
    <cfRule type="duplicateValues" dxfId="110" priority="99"/>
  </conditionalFormatting>
  <conditionalFormatting sqref="A97:A102">
    <cfRule type="duplicateValues" dxfId="109" priority="98"/>
  </conditionalFormatting>
  <conditionalFormatting sqref="A116:A226">
    <cfRule type="duplicateValues" dxfId="108" priority="710"/>
    <cfRule type="duplicateValues" dxfId="107" priority="709"/>
    <cfRule type="duplicateValues" dxfId="106" priority="711"/>
  </conditionalFormatting>
  <conditionalFormatting sqref="A116:A227">
    <cfRule type="duplicateValues" dxfId="105" priority="715"/>
  </conditionalFormatting>
  <conditionalFormatting sqref="A215">
    <cfRule type="duplicateValues" dxfId="104" priority="93"/>
  </conditionalFormatting>
  <conditionalFormatting sqref="A216">
    <cfRule type="duplicateValues" dxfId="103" priority="92"/>
    <cfRule type="duplicateValues" dxfId="102" priority="91"/>
  </conditionalFormatting>
  <conditionalFormatting sqref="A217">
    <cfRule type="duplicateValues" dxfId="101" priority="90"/>
  </conditionalFormatting>
  <conditionalFormatting sqref="A218:A223">
    <cfRule type="duplicateValues" dxfId="100" priority="89"/>
  </conditionalFormatting>
  <conditionalFormatting sqref="A224">
    <cfRule type="duplicateValues" dxfId="99" priority="87"/>
  </conditionalFormatting>
  <conditionalFormatting sqref="A226">
    <cfRule type="duplicateValues" dxfId="98" priority="88"/>
  </conditionalFormatting>
  <conditionalFormatting sqref="A227">
    <cfRule type="duplicateValues" dxfId="97" priority="86"/>
  </conditionalFormatting>
  <conditionalFormatting sqref="A228">
    <cfRule type="duplicateValues" dxfId="96" priority="84"/>
  </conditionalFormatting>
  <conditionalFormatting sqref="A231:A1428">
    <cfRule type="duplicateValues" dxfId="95" priority="2"/>
  </conditionalFormatting>
  <conditionalFormatting sqref="A231:A1501">
    <cfRule type="duplicateValues" dxfId="94" priority="1"/>
  </conditionalFormatting>
  <conditionalFormatting sqref="A1502:A1048576 A1:A230">
    <cfRule type="duplicateValues" dxfId="93" priority="72"/>
    <cfRule type="duplicateValues" dxfId="92" priority="77"/>
    <cfRule type="duplicateValues" dxfId="91" priority="76"/>
    <cfRule type="duplicateValues" dxfId="90" priority="63"/>
    <cfRule type="duplicateValues" dxfId="89" priority="33"/>
    <cfRule type="duplicateValues" dxfId="88" priority="24"/>
  </conditionalFormatting>
  <conditionalFormatting sqref="A1502:A1048576">
    <cfRule type="duplicateValues" dxfId="87" priority="113"/>
  </conditionalFormatting>
  <conditionalFormatting sqref="F2:F230">
    <cfRule type="duplicateValues" dxfId="86" priority="727"/>
    <cfRule type="duplicateValues" dxfId="85" priority="728"/>
    <cfRule type="duplicateValues" dxfId="84" priority="729"/>
  </conditionalFormatting>
  <conditionalFormatting sqref="F95">
    <cfRule type="duplicateValues" dxfId="83" priority="80"/>
  </conditionalFormatting>
  <conditionalFormatting sqref="F96:F102">
    <cfRule type="duplicateValues" dxfId="82" priority="78"/>
  </conditionalFormatting>
  <conditionalFormatting sqref="F1502:G1048576 F1:G1">
    <cfRule type="duplicateValues" dxfId="81" priority="112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0C023-5E44-43F1-8663-615D2ABECB40}">
  <sheetPr>
    <tabColor rgb="FFFF0000"/>
  </sheetPr>
  <dimension ref="A1:AF1149"/>
  <sheetViews>
    <sheetView workbookViewId="0">
      <selection activeCell="E1153" sqref="E1153"/>
    </sheetView>
  </sheetViews>
  <sheetFormatPr baseColWidth="10" defaultColWidth="9.140625" defaultRowHeight="15" x14ac:dyDescent="0.25"/>
  <cols>
    <col min="1" max="1" width="14.140625" style="3" customWidth="1"/>
    <col min="2" max="2" width="46.42578125" style="1" customWidth="1"/>
    <col min="3" max="5" width="23.85546875" style="1" customWidth="1"/>
    <col min="6" max="6" width="55.140625" style="1" bestFit="1" customWidth="1"/>
    <col min="7" max="8" width="23.85546875" style="1" customWidth="1"/>
    <col min="9" max="9" width="12.5703125" bestFit="1" customWidth="1"/>
    <col min="10" max="11" width="10.5703125" bestFit="1" customWidth="1"/>
    <col min="12" max="12" width="42.5703125" customWidth="1"/>
    <col min="14" max="14" width="10" bestFit="1" customWidth="1"/>
    <col min="15" max="15" width="16.140625" bestFit="1" customWidth="1"/>
    <col min="16" max="16" width="16.140625" customWidth="1"/>
  </cols>
  <sheetData>
    <row r="1" spans="1:12" ht="43.5" customHeight="1" x14ac:dyDescent="0.25">
      <c r="A1" s="80" t="s">
        <v>0</v>
      </c>
      <c r="B1" s="81" t="s">
        <v>1</v>
      </c>
      <c r="C1" s="81" t="s">
        <v>2</v>
      </c>
      <c r="D1" s="81" t="s">
        <v>4759</v>
      </c>
      <c r="E1" s="82" t="s">
        <v>4776</v>
      </c>
      <c r="F1" s="82" t="s">
        <v>4777</v>
      </c>
      <c r="G1" s="82" t="s">
        <v>4781</v>
      </c>
      <c r="H1" s="82" t="s">
        <v>4780</v>
      </c>
      <c r="I1" s="82" t="s">
        <v>4913</v>
      </c>
      <c r="J1" s="92" t="s">
        <v>4956</v>
      </c>
      <c r="L1" s="75" t="s">
        <v>4750</v>
      </c>
    </row>
    <row r="2" spans="1:12" ht="14.25" hidden="1" customHeight="1" x14ac:dyDescent="0.25">
      <c r="A2" s="78">
        <v>616080024</v>
      </c>
      <c r="B2" s="54" t="s">
        <v>51</v>
      </c>
      <c r="C2" s="53" t="s">
        <v>4</v>
      </c>
      <c r="D2" s="79" t="s">
        <v>4782</v>
      </c>
      <c r="E2" s="79" t="s">
        <v>4458</v>
      </c>
      <c r="F2" s="79" t="s">
        <v>4778</v>
      </c>
      <c r="G2" s="79" t="s">
        <v>2263</v>
      </c>
      <c r="H2" s="79">
        <v>61608002</v>
      </c>
      <c r="I2" s="79" t="s">
        <v>4914</v>
      </c>
      <c r="J2" s="79" t="s">
        <v>4453</v>
      </c>
    </row>
    <row r="3" spans="1:12" ht="14.25" hidden="1" customHeight="1" x14ac:dyDescent="0.25">
      <c r="A3" s="78">
        <v>703601006</v>
      </c>
      <c r="B3" s="54" t="s">
        <v>102</v>
      </c>
      <c r="C3" s="53" t="s">
        <v>159</v>
      </c>
      <c r="D3" s="79" t="s">
        <v>159</v>
      </c>
      <c r="E3" s="79" t="s">
        <v>4391</v>
      </c>
      <c r="F3" s="79" t="s">
        <v>4778</v>
      </c>
      <c r="G3" s="79" t="s">
        <v>2321</v>
      </c>
      <c r="H3" s="79">
        <v>70360100</v>
      </c>
      <c r="I3" s="79" t="s">
        <v>4915</v>
      </c>
      <c r="J3" s="79" t="s">
        <v>4445</v>
      </c>
    </row>
    <row r="4" spans="1:12" ht="14.25" hidden="1" customHeight="1" x14ac:dyDescent="0.25">
      <c r="A4" s="78">
        <v>616086022</v>
      </c>
      <c r="B4" s="54" t="s">
        <v>63</v>
      </c>
      <c r="C4" s="53" t="s">
        <v>6</v>
      </c>
      <c r="D4" s="79" t="s">
        <v>4783</v>
      </c>
      <c r="E4" s="79" t="s">
        <v>4168</v>
      </c>
      <c r="F4" s="79" t="s">
        <v>4778</v>
      </c>
      <c r="G4" s="79" t="s">
        <v>2064</v>
      </c>
      <c r="H4" s="79">
        <v>61608602</v>
      </c>
      <c r="I4" s="79" t="s">
        <v>4914</v>
      </c>
      <c r="J4" s="79" t="s">
        <v>4457</v>
      </c>
    </row>
    <row r="5" spans="1:12" ht="14.25" hidden="1" customHeight="1" x14ac:dyDescent="0.25">
      <c r="A5" s="78">
        <v>619751000</v>
      </c>
      <c r="B5" s="54" t="s">
        <v>68</v>
      </c>
      <c r="C5" s="53" t="s">
        <v>4758</v>
      </c>
      <c r="D5" s="79" t="s">
        <v>25</v>
      </c>
      <c r="E5" s="79" t="s">
        <v>4292</v>
      </c>
      <c r="F5" s="79" t="s">
        <v>4784</v>
      </c>
      <c r="G5" s="79" t="s">
        <v>2149</v>
      </c>
      <c r="H5" s="79">
        <v>61975100</v>
      </c>
      <c r="I5" s="79" t="s">
        <v>4914</v>
      </c>
      <c r="J5" s="79" t="s">
        <v>4454</v>
      </c>
    </row>
    <row r="6" spans="1:12" ht="14.25" hidden="1" customHeight="1" x14ac:dyDescent="0.25">
      <c r="A6" s="78">
        <v>616021893</v>
      </c>
      <c r="B6" s="54" t="s">
        <v>19</v>
      </c>
      <c r="C6" s="53" t="s">
        <v>12</v>
      </c>
      <c r="D6" s="79" t="s">
        <v>4785</v>
      </c>
      <c r="E6" s="79" t="s">
        <v>4475</v>
      </c>
      <c r="F6" s="79" t="s">
        <v>4786</v>
      </c>
      <c r="G6" s="79" t="s">
        <v>2243</v>
      </c>
      <c r="H6" s="79">
        <v>61602189</v>
      </c>
      <c r="I6" s="79" t="s">
        <v>4914</v>
      </c>
      <c r="J6" s="79" t="s">
        <v>4464</v>
      </c>
    </row>
    <row r="7" spans="1:12" ht="14.25" hidden="1" customHeight="1" x14ac:dyDescent="0.25">
      <c r="A7" s="78">
        <v>616020544</v>
      </c>
      <c r="B7" s="54" t="s">
        <v>14</v>
      </c>
      <c r="C7" s="53" t="s">
        <v>4757</v>
      </c>
      <c r="D7" s="79" t="s">
        <v>4787</v>
      </c>
      <c r="E7" s="79" t="s">
        <v>4459</v>
      </c>
      <c r="F7" s="79" t="s">
        <v>4788</v>
      </c>
      <c r="G7" s="79" t="s">
        <v>1785</v>
      </c>
      <c r="H7" s="79">
        <v>61602054</v>
      </c>
      <c r="I7" s="79" t="s">
        <v>4914</v>
      </c>
      <c r="J7" s="79" t="s">
        <v>2372</v>
      </c>
    </row>
    <row r="8" spans="1:12" ht="14.25" hidden="1" customHeight="1" x14ac:dyDescent="0.25">
      <c r="A8" s="78">
        <v>616082043</v>
      </c>
      <c r="B8" s="54" t="s">
        <v>58</v>
      </c>
      <c r="C8" s="53" t="s">
        <v>6</v>
      </c>
      <c r="D8" s="79" t="s">
        <v>4783</v>
      </c>
      <c r="E8" s="79" t="s">
        <v>4168</v>
      </c>
      <c r="F8" s="79" t="s">
        <v>4778</v>
      </c>
      <c r="G8" s="79" t="s">
        <v>2138</v>
      </c>
      <c r="H8" s="79">
        <v>61608204</v>
      </c>
      <c r="I8" s="79" t="s">
        <v>4914</v>
      </c>
      <c r="J8" s="79" t="s">
        <v>4457</v>
      </c>
    </row>
    <row r="9" spans="1:12" ht="14.25" hidden="1" customHeight="1" x14ac:dyDescent="0.25">
      <c r="A9" s="78">
        <v>619803205</v>
      </c>
      <c r="B9" s="54" t="s">
        <v>69</v>
      </c>
      <c r="C9" s="53" t="s">
        <v>6</v>
      </c>
      <c r="D9" s="79" t="s">
        <v>4783</v>
      </c>
      <c r="E9" s="79" t="s">
        <v>4510</v>
      </c>
      <c r="F9" s="79" t="s">
        <v>4778</v>
      </c>
      <c r="G9" s="79" t="s">
        <v>2288</v>
      </c>
      <c r="H9" s="79">
        <v>61980320</v>
      </c>
      <c r="I9" s="79" t="s">
        <v>4914</v>
      </c>
      <c r="J9" s="79" t="s">
        <v>4457</v>
      </c>
    </row>
    <row r="10" spans="1:12" ht="14.25" hidden="1" customHeight="1" x14ac:dyDescent="0.25">
      <c r="A10" s="78">
        <v>616086049</v>
      </c>
      <c r="B10" s="54" t="s">
        <v>64</v>
      </c>
      <c r="C10" s="53" t="s">
        <v>4</v>
      </c>
      <c r="D10" s="79" t="s">
        <v>4782</v>
      </c>
      <c r="E10" s="79" t="s">
        <v>4168</v>
      </c>
      <c r="F10" s="79" t="s">
        <v>4778</v>
      </c>
      <c r="G10" s="79" t="s">
        <v>2136</v>
      </c>
      <c r="H10" s="79">
        <v>61608604</v>
      </c>
      <c r="I10" s="79" t="s">
        <v>4914</v>
      </c>
      <c r="J10" s="79" t="s">
        <v>4453</v>
      </c>
    </row>
    <row r="11" spans="1:12" ht="14.25" hidden="1" customHeight="1" x14ac:dyDescent="0.25">
      <c r="A11" s="78">
        <v>616085026</v>
      </c>
      <c r="B11" s="54" t="s">
        <v>62</v>
      </c>
      <c r="C11" s="53" t="s">
        <v>6</v>
      </c>
      <c r="D11" s="79" t="s">
        <v>4783</v>
      </c>
      <c r="E11" s="79" t="s">
        <v>4381</v>
      </c>
      <c r="F11" s="79" t="s">
        <v>4778</v>
      </c>
      <c r="G11" s="79" t="s">
        <v>2628</v>
      </c>
      <c r="H11" s="79">
        <v>61608502</v>
      </c>
      <c r="I11" s="79" t="s">
        <v>4914</v>
      </c>
      <c r="J11" s="79" t="s">
        <v>4457</v>
      </c>
    </row>
    <row r="12" spans="1:12" ht="14.25" hidden="1" customHeight="1" x14ac:dyDescent="0.25">
      <c r="A12" s="78">
        <v>616082051</v>
      </c>
      <c r="B12" s="54" t="s">
        <v>59</v>
      </c>
      <c r="C12" s="53" t="s">
        <v>6</v>
      </c>
      <c r="D12" s="79" t="s">
        <v>4783</v>
      </c>
      <c r="E12" s="79" t="s">
        <v>4400</v>
      </c>
      <c r="F12" s="79" t="s">
        <v>4778</v>
      </c>
      <c r="G12" s="79" t="s">
        <v>3237</v>
      </c>
      <c r="H12" s="79">
        <v>61608205</v>
      </c>
      <c r="I12" s="79" t="s">
        <v>4914</v>
      </c>
      <c r="J12" s="79" t="s">
        <v>4457</v>
      </c>
    </row>
    <row r="13" spans="1:12" ht="14.25" hidden="1" customHeight="1" x14ac:dyDescent="0.25">
      <c r="A13" s="78">
        <v>616066080</v>
      </c>
      <c r="B13" s="54" t="s">
        <v>40</v>
      </c>
      <c r="C13" s="53" t="s">
        <v>4757</v>
      </c>
      <c r="D13" s="79" t="s">
        <v>4787</v>
      </c>
      <c r="E13" s="79" t="s">
        <v>4251</v>
      </c>
      <c r="F13" s="79" t="s">
        <v>4788</v>
      </c>
      <c r="G13" s="79" t="s">
        <v>2126</v>
      </c>
      <c r="H13" s="79">
        <v>61606608</v>
      </c>
      <c r="I13" s="79" t="s">
        <v>4914</v>
      </c>
      <c r="J13" s="79" t="s">
        <v>2372</v>
      </c>
    </row>
    <row r="14" spans="1:12" ht="14.25" hidden="1" customHeight="1" x14ac:dyDescent="0.25">
      <c r="A14" s="78">
        <v>616022601</v>
      </c>
      <c r="B14" s="54" t="s">
        <v>29</v>
      </c>
      <c r="C14" s="53" t="s">
        <v>4758</v>
      </c>
      <c r="D14" s="79" t="s">
        <v>25</v>
      </c>
      <c r="E14" s="79" t="s">
        <v>4224</v>
      </c>
      <c r="F14" s="79" t="s">
        <v>4784</v>
      </c>
      <c r="G14" s="79" t="s">
        <v>3295</v>
      </c>
      <c r="H14" s="79">
        <v>61602260</v>
      </c>
      <c r="I14" s="79" t="s">
        <v>4914</v>
      </c>
      <c r="J14" s="79" t="s">
        <v>4454</v>
      </c>
    </row>
    <row r="15" spans="1:12" ht="14.25" hidden="1" customHeight="1" x14ac:dyDescent="0.25">
      <c r="A15" s="78">
        <v>616084062</v>
      </c>
      <c r="B15" s="54" t="s">
        <v>61</v>
      </c>
      <c r="C15" s="53" t="s">
        <v>4</v>
      </c>
      <c r="D15" s="79" t="s">
        <v>4782</v>
      </c>
      <c r="E15" s="79" t="s">
        <v>4391</v>
      </c>
      <c r="F15" s="79" t="s">
        <v>4778</v>
      </c>
      <c r="G15" s="79" t="s">
        <v>3707</v>
      </c>
      <c r="H15" s="79">
        <v>61608406</v>
      </c>
      <c r="I15" s="79" t="s">
        <v>4914</v>
      </c>
      <c r="J15" s="79" t="s">
        <v>4453</v>
      </c>
    </row>
    <row r="16" spans="1:12" ht="14.25" hidden="1" customHeight="1" x14ac:dyDescent="0.25">
      <c r="A16" s="78">
        <v>616081012</v>
      </c>
      <c r="B16" s="54" t="s">
        <v>53</v>
      </c>
      <c r="C16" s="53" t="s">
        <v>4</v>
      </c>
      <c r="D16" s="79" t="s">
        <v>4782</v>
      </c>
      <c r="E16" s="79" t="s">
        <v>4416</v>
      </c>
      <c r="F16" s="79" t="s">
        <v>4778</v>
      </c>
      <c r="G16" s="79" t="s">
        <v>1264</v>
      </c>
      <c r="H16" s="79">
        <v>61608101</v>
      </c>
      <c r="I16" s="79" t="s">
        <v>4914</v>
      </c>
      <c r="J16" s="79" t="s">
        <v>4453</v>
      </c>
    </row>
    <row r="17" spans="1:10" ht="14.25" hidden="1" customHeight="1" x14ac:dyDescent="0.25">
      <c r="A17" s="78">
        <v>967701009</v>
      </c>
      <c r="B17" s="54" t="s">
        <v>131</v>
      </c>
      <c r="C17" s="53" t="s">
        <v>6</v>
      </c>
      <c r="D17" s="79" t="s">
        <v>4783</v>
      </c>
      <c r="E17" s="79" t="s">
        <v>4552</v>
      </c>
      <c r="F17" s="79" t="s">
        <v>4778</v>
      </c>
      <c r="G17" s="79" t="s">
        <v>1284</v>
      </c>
      <c r="H17" s="79">
        <v>96770100</v>
      </c>
      <c r="I17" s="79" t="s">
        <v>4915</v>
      </c>
      <c r="J17" s="79" t="s">
        <v>4457</v>
      </c>
    </row>
    <row r="18" spans="1:10" ht="14.25" hidden="1" customHeight="1" x14ac:dyDescent="0.25">
      <c r="A18" s="78" t="s">
        <v>148</v>
      </c>
      <c r="B18" s="54" t="s">
        <v>149</v>
      </c>
      <c r="C18" s="53" t="s">
        <v>12</v>
      </c>
      <c r="D18" s="79" t="s">
        <v>4785</v>
      </c>
      <c r="E18" s="79" t="s">
        <v>4272</v>
      </c>
      <c r="F18" s="79" t="s">
        <v>4786</v>
      </c>
      <c r="G18" s="79" t="s">
        <v>3880</v>
      </c>
      <c r="H18" s="79">
        <v>61607301</v>
      </c>
      <c r="I18" s="79" t="s">
        <v>4914</v>
      </c>
      <c r="J18" s="79" t="s">
        <v>4464</v>
      </c>
    </row>
    <row r="19" spans="1:10" ht="14.25" hidden="1" customHeight="1" x14ac:dyDescent="0.25">
      <c r="A19" s="78">
        <v>616072021</v>
      </c>
      <c r="B19" s="54" t="s">
        <v>47</v>
      </c>
      <c r="C19" s="53" t="s">
        <v>12</v>
      </c>
      <c r="D19" s="79" t="s">
        <v>4785</v>
      </c>
      <c r="E19" s="79" t="s">
        <v>4183</v>
      </c>
      <c r="F19" s="79" t="s">
        <v>4786</v>
      </c>
      <c r="G19" s="79" t="s">
        <v>3902</v>
      </c>
      <c r="H19" s="79">
        <v>61607202</v>
      </c>
      <c r="I19" s="79" t="s">
        <v>4914</v>
      </c>
      <c r="J19" s="79" t="s">
        <v>4464</v>
      </c>
    </row>
    <row r="20" spans="1:10" ht="14.25" hidden="1" customHeight="1" x14ac:dyDescent="0.25">
      <c r="A20" s="78">
        <v>965304703</v>
      </c>
      <c r="B20" s="54" t="s">
        <v>2041</v>
      </c>
      <c r="C20" s="53" t="s">
        <v>6</v>
      </c>
      <c r="D20" s="79" t="s">
        <v>4783</v>
      </c>
      <c r="E20" s="79" t="s">
        <v>4410</v>
      </c>
      <c r="F20" s="79" t="s">
        <v>4778</v>
      </c>
      <c r="G20" s="79" t="s">
        <v>2040</v>
      </c>
      <c r="H20" s="79">
        <v>96530470</v>
      </c>
      <c r="I20" s="79" t="s">
        <v>4915</v>
      </c>
      <c r="J20" s="79" t="s">
        <v>4457</v>
      </c>
    </row>
    <row r="21" spans="1:10" ht="14.25" hidden="1" customHeight="1" x14ac:dyDescent="0.25">
      <c r="A21" s="78" t="s">
        <v>143</v>
      </c>
      <c r="B21" s="54" t="s">
        <v>144</v>
      </c>
      <c r="C21" s="53" t="s">
        <v>6</v>
      </c>
      <c r="D21" s="79" t="s">
        <v>4783</v>
      </c>
      <c r="E21" s="79" t="s">
        <v>4465</v>
      </c>
      <c r="F21" s="79" t="s">
        <v>4778</v>
      </c>
      <c r="G21" s="79" t="s">
        <v>3804</v>
      </c>
      <c r="H21" s="79">
        <v>61103007</v>
      </c>
      <c r="I21" s="79" t="s">
        <v>4914</v>
      </c>
      <c r="J21" s="79" t="s">
        <v>4457</v>
      </c>
    </row>
    <row r="22" spans="1:10" ht="14.25" hidden="1" customHeight="1" x14ac:dyDescent="0.25">
      <c r="A22" s="78">
        <v>619598008</v>
      </c>
      <c r="B22" s="54" t="s">
        <v>67</v>
      </c>
      <c r="C22" s="53" t="s">
        <v>6</v>
      </c>
      <c r="D22" s="79" t="s">
        <v>4783</v>
      </c>
      <c r="E22" s="79" t="s">
        <v>4470</v>
      </c>
      <c r="F22" s="79" t="s">
        <v>4778</v>
      </c>
      <c r="G22" s="79" t="s">
        <v>3702</v>
      </c>
      <c r="H22" s="79">
        <v>61959800</v>
      </c>
      <c r="I22" s="79" t="s">
        <v>4914</v>
      </c>
      <c r="J22" s="79" t="s">
        <v>4457</v>
      </c>
    </row>
    <row r="23" spans="1:10" ht="14.25" hidden="1" customHeight="1" x14ac:dyDescent="0.25">
      <c r="A23" s="78">
        <v>616021230</v>
      </c>
      <c r="B23" s="54" t="s">
        <v>17</v>
      </c>
      <c r="C23" s="53" t="s">
        <v>6</v>
      </c>
      <c r="D23" s="79" t="s">
        <v>4783</v>
      </c>
      <c r="E23" s="79" t="s">
        <v>4197</v>
      </c>
      <c r="F23" s="79" t="s">
        <v>4778</v>
      </c>
      <c r="G23" s="79" t="s">
        <v>4156</v>
      </c>
      <c r="H23" s="79">
        <v>61602123</v>
      </c>
      <c r="I23" s="79" t="s">
        <v>4914</v>
      </c>
      <c r="J23" s="79" t="s">
        <v>4457</v>
      </c>
    </row>
    <row r="24" spans="1:10" ht="14.25" hidden="1" customHeight="1" x14ac:dyDescent="0.25">
      <c r="A24" s="78">
        <v>616022113</v>
      </c>
      <c r="B24" s="54" t="s">
        <v>744</v>
      </c>
      <c r="C24" s="53" t="s">
        <v>12</v>
      </c>
      <c r="D24" s="79" t="s">
        <v>4785</v>
      </c>
      <c r="E24" s="79" t="s">
        <v>4215</v>
      </c>
      <c r="F24" s="79" t="s">
        <v>4786</v>
      </c>
      <c r="G24" s="79" t="s">
        <v>1288</v>
      </c>
      <c r="H24" s="79">
        <v>61602211</v>
      </c>
      <c r="I24" s="79" t="s">
        <v>4914</v>
      </c>
      <c r="J24" s="79" t="s">
        <v>4464</v>
      </c>
    </row>
    <row r="25" spans="1:10" ht="14.25" hidden="1" customHeight="1" x14ac:dyDescent="0.25">
      <c r="A25" s="78">
        <v>616066021</v>
      </c>
      <c r="B25" s="54" t="s">
        <v>36</v>
      </c>
      <c r="C25" s="53" t="s">
        <v>4757</v>
      </c>
      <c r="D25" s="79" t="s">
        <v>4787</v>
      </c>
      <c r="E25" s="79" t="s">
        <v>4175</v>
      </c>
      <c r="F25" s="79" t="s">
        <v>4788</v>
      </c>
      <c r="G25" s="79" t="s">
        <v>2736</v>
      </c>
      <c r="H25" s="79">
        <v>61606602</v>
      </c>
      <c r="I25" s="79" t="s">
        <v>4914</v>
      </c>
      <c r="J25" s="79" t="s">
        <v>2372</v>
      </c>
    </row>
    <row r="26" spans="1:10" ht="14.25" hidden="1" customHeight="1" x14ac:dyDescent="0.25">
      <c r="A26" s="78">
        <v>616064029</v>
      </c>
      <c r="B26" s="54" t="s">
        <v>32</v>
      </c>
      <c r="C26" s="53" t="s">
        <v>4757</v>
      </c>
      <c r="D26" s="79" t="s">
        <v>4787</v>
      </c>
      <c r="E26" s="79" t="s">
        <v>4171</v>
      </c>
      <c r="F26" s="79" t="s">
        <v>4789</v>
      </c>
      <c r="G26" s="79" t="s">
        <v>1339</v>
      </c>
      <c r="H26" s="79">
        <v>61606402</v>
      </c>
      <c r="I26" s="79" t="s">
        <v>4914</v>
      </c>
      <c r="J26" s="79" t="s">
        <v>2372</v>
      </c>
    </row>
    <row r="27" spans="1:10" ht="14.25" hidden="1" customHeight="1" x14ac:dyDescent="0.25">
      <c r="A27" s="78">
        <v>616022326</v>
      </c>
      <c r="B27" s="54" t="s">
        <v>26</v>
      </c>
      <c r="C27" s="53" t="s">
        <v>4758</v>
      </c>
      <c r="D27" s="79" t="s">
        <v>25</v>
      </c>
      <c r="E27" s="79" t="s">
        <v>4218</v>
      </c>
      <c r="F27" s="79" t="s">
        <v>4779</v>
      </c>
      <c r="G27" s="79" t="s">
        <v>2654</v>
      </c>
      <c r="H27" s="79">
        <v>61602232</v>
      </c>
      <c r="I27" s="79" t="s">
        <v>4914</v>
      </c>
      <c r="J27" s="79" t="s">
        <v>4454</v>
      </c>
    </row>
    <row r="28" spans="1:10" ht="14.25" hidden="1" customHeight="1" x14ac:dyDescent="0.25">
      <c r="A28" s="78">
        <v>609100001</v>
      </c>
      <c r="B28" s="54" t="s">
        <v>8</v>
      </c>
      <c r="C28" s="53" t="s">
        <v>4</v>
      </c>
      <c r="D28" s="79" t="s">
        <v>4782</v>
      </c>
      <c r="E28" s="79" t="s">
        <v>4458</v>
      </c>
      <c r="F28" s="79" t="s">
        <v>4778</v>
      </c>
      <c r="G28" s="79" t="s">
        <v>2469</v>
      </c>
      <c r="H28" s="79">
        <v>60910000</v>
      </c>
      <c r="I28" s="79" t="s">
        <v>4914</v>
      </c>
      <c r="J28" s="79" t="s">
        <v>4453</v>
      </c>
    </row>
    <row r="29" spans="1:10" ht="14.25" hidden="1" customHeight="1" x14ac:dyDescent="0.25">
      <c r="A29" s="78">
        <v>650754859</v>
      </c>
      <c r="B29" s="54" t="s">
        <v>72</v>
      </c>
      <c r="C29" s="53" t="s">
        <v>4</v>
      </c>
      <c r="D29" s="79" t="s">
        <v>4782</v>
      </c>
      <c r="E29" s="79" t="s">
        <v>4394</v>
      </c>
      <c r="F29" s="79" t="s">
        <v>4778</v>
      </c>
      <c r="G29" s="79" t="s">
        <v>3651</v>
      </c>
      <c r="H29" s="79">
        <v>65075485</v>
      </c>
      <c r="I29" s="79" t="s">
        <v>4914</v>
      </c>
      <c r="J29" s="79" t="s">
        <v>4453</v>
      </c>
    </row>
    <row r="30" spans="1:10" ht="14.25" hidden="1" customHeight="1" x14ac:dyDescent="0.25">
      <c r="A30" s="78">
        <v>616069179</v>
      </c>
      <c r="B30" s="54" t="s">
        <v>233</v>
      </c>
      <c r="C30" s="53" t="s">
        <v>4790</v>
      </c>
      <c r="D30" s="79" t="s">
        <v>4790</v>
      </c>
      <c r="E30" s="79" t="s">
        <v>4264</v>
      </c>
      <c r="F30" s="79" t="s">
        <v>4791</v>
      </c>
      <c r="G30" s="79" t="s">
        <v>1946</v>
      </c>
      <c r="H30" s="79">
        <v>61606917</v>
      </c>
      <c r="I30" s="79" t="s">
        <v>4914</v>
      </c>
      <c r="J30" s="79" t="s">
        <v>4445</v>
      </c>
    </row>
    <row r="31" spans="1:10" ht="14.25" hidden="1" customHeight="1" x14ac:dyDescent="0.25">
      <c r="A31" s="78">
        <v>616070010</v>
      </c>
      <c r="B31" s="54" t="s">
        <v>43</v>
      </c>
      <c r="C31" s="53" t="s">
        <v>12</v>
      </c>
      <c r="D31" s="79" t="s">
        <v>4785</v>
      </c>
      <c r="E31" s="79" t="s">
        <v>4495</v>
      </c>
      <c r="F31" s="79" t="s">
        <v>4792</v>
      </c>
      <c r="G31" s="79" t="s">
        <v>3856</v>
      </c>
      <c r="H31" s="79">
        <v>61607001</v>
      </c>
      <c r="I31" s="79" t="s">
        <v>4914</v>
      </c>
      <c r="J31" s="79" t="s">
        <v>4464</v>
      </c>
    </row>
    <row r="32" spans="1:10" ht="14.25" hidden="1" customHeight="1" x14ac:dyDescent="0.25">
      <c r="A32" s="78">
        <v>907530000</v>
      </c>
      <c r="B32" s="54" t="s">
        <v>599</v>
      </c>
      <c r="C32" s="53" t="s">
        <v>4793</v>
      </c>
      <c r="D32" s="79" t="s">
        <v>4794</v>
      </c>
      <c r="E32" s="79" t="s">
        <v>4391</v>
      </c>
      <c r="F32" s="79" t="s">
        <v>4778</v>
      </c>
      <c r="G32" s="79" t="s">
        <v>1666</v>
      </c>
      <c r="H32" s="79">
        <v>90753000</v>
      </c>
      <c r="I32" s="79" t="s">
        <v>4915</v>
      </c>
      <c r="J32" s="79" t="s">
        <v>4445</v>
      </c>
    </row>
    <row r="33" spans="1:10" ht="14.25" hidden="1" customHeight="1" x14ac:dyDescent="0.25">
      <c r="A33" s="78" t="s">
        <v>657</v>
      </c>
      <c r="B33" s="54" t="s">
        <v>658</v>
      </c>
      <c r="C33" s="53" t="s">
        <v>4793</v>
      </c>
      <c r="D33" s="79" t="s">
        <v>4794</v>
      </c>
      <c r="E33" s="79" t="s">
        <v>4391</v>
      </c>
      <c r="F33" s="79" t="s">
        <v>4778</v>
      </c>
      <c r="G33" s="79" t="s">
        <v>3929</v>
      </c>
      <c r="H33" s="79">
        <v>61608402</v>
      </c>
      <c r="I33" s="79" t="s">
        <v>4914</v>
      </c>
      <c r="J33" s="79" t="s">
        <v>4445</v>
      </c>
    </row>
    <row r="34" spans="1:10" ht="14.25" hidden="1" customHeight="1" x14ac:dyDescent="0.25">
      <c r="A34" s="78">
        <v>710142009</v>
      </c>
      <c r="B34" s="54" t="s">
        <v>434</v>
      </c>
      <c r="C34" s="53" t="s">
        <v>4790</v>
      </c>
      <c r="D34" s="79" t="s">
        <v>4790</v>
      </c>
      <c r="E34" s="79" t="s">
        <v>4178</v>
      </c>
      <c r="F34" s="79" t="s">
        <v>4795</v>
      </c>
      <c r="G34" s="79" t="s">
        <v>2201</v>
      </c>
      <c r="H34" s="79">
        <v>71014200</v>
      </c>
      <c r="I34" s="79" t="s">
        <v>4914</v>
      </c>
      <c r="J34" s="79" t="s">
        <v>4445</v>
      </c>
    </row>
    <row r="35" spans="1:10" ht="14.25" hidden="1" customHeight="1" x14ac:dyDescent="0.25">
      <c r="A35" s="78">
        <v>616086057</v>
      </c>
      <c r="B35" s="54" t="s">
        <v>258</v>
      </c>
      <c r="C35" s="53" t="s">
        <v>4793</v>
      </c>
      <c r="D35" s="79" t="s">
        <v>4794</v>
      </c>
      <c r="E35" s="79" t="s">
        <v>4168</v>
      </c>
      <c r="F35" s="79" t="s">
        <v>4778</v>
      </c>
      <c r="G35" s="79" t="s">
        <v>4101</v>
      </c>
      <c r="H35" s="79">
        <v>61608605</v>
      </c>
      <c r="I35" s="79" t="s">
        <v>4914</v>
      </c>
      <c r="J35" s="79" t="s">
        <v>4445</v>
      </c>
    </row>
    <row r="36" spans="1:10" ht="14.25" hidden="1" customHeight="1" x14ac:dyDescent="0.25">
      <c r="A36" s="78">
        <v>611020171</v>
      </c>
      <c r="B36" s="54" t="s">
        <v>10</v>
      </c>
      <c r="C36" s="53" t="s">
        <v>4757</v>
      </c>
      <c r="D36" s="79" t="s">
        <v>4787</v>
      </c>
      <c r="E36" s="79" t="s">
        <v>4175</v>
      </c>
      <c r="F36" s="79" t="s">
        <v>4788</v>
      </c>
      <c r="G36" s="79" t="s">
        <v>1329</v>
      </c>
      <c r="H36" s="79">
        <v>61102017</v>
      </c>
      <c r="I36" s="79" t="s">
        <v>4914</v>
      </c>
      <c r="J36" s="79" t="s">
        <v>2372</v>
      </c>
    </row>
    <row r="37" spans="1:10" ht="14.25" hidden="1" customHeight="1" x14ac:dyDescent="0.25">
      <c r="A37" s="78">
        <v>616021389</v>
      </c>
      <c r="B37" s="54" t="s">
        <v>175</v>
      </c>
      <c r="C37" s="53" t="s">
        <v>4790</v>
      </c>
      <c r="D37" s="79" t="s">
        <v>4790</v>
      </c>
      <c r="E37" s="79" t="s">
        <v>4178</v>
      </c>
      <c r="F37" s="79" t="s">
        <v>4795</v>
      </c>
      <c r="G37" s="79" t="s">
        <v>3938</v>
      </c>
      <c r="H37" s="79">
        <v>61602138</v>
      </c>
      <c r="I37" s="79" t="s">
        <v>4914</v>
      </c>
      <c r="J37" s="79" t="s">
        <v>4445</v>
      </c>
    </row>
    <row r="38" spans="1:10" ht="14.25" hidden="1" customHeight="1" x14ac:dyDescent="0.25">
      <c r="A38" s="78">
        <v>620008303</v>
      </c>
      <c r="B38" s="54" t="s">
        <v>71</v>
      </c>
      <c r="C38" s="53" t="s">
        <v>4758</v>
      </c>
      <c r="D38" s="79" t="s">
        <v>25</v>
      </c>
      <c r="E38" s="79" t="s">
        <v>4290</v>
      </c>
      <c r="F38" s="79" t="s">
        <v>4779</v>
      </c>
      <c r="G38" s="79" t="s">
        <v>3546</v>
      </c>
      <c r="H38" s="79">
        <v>62000830</v>
      </c>
      <c r="I38" s="79" t="s">
        <v>4914</v>
      </c>
      <c r="J38" s="79" t="s">
        <v>4454</v>
      </c>
    </row>
    <row r="39" spans="1:10" ht="14.25" hidden="1" customHeight="1" x14ac:dyDescent="0.25">
      <c r="A39" s="78">
        <v>616062018</v>
      </c>
      <c r="B39" s="54" t="s">
        <v>207</v>
      </c>
      <c r="C39" s="53" t="s">
        <v>4793</v>
      </c>
      <c r="D39" s="79" t="s">
        <v>4794</v>
      </c>
      <c r="E39" s="79" t="s">
        <v>4182</v>
      </c>
      <c r="F39" s="79" t="s">
        <v>4796</v>
      </c>
      <c r="G39" s="79" t="s">
        <v>3875</v>
      </c>
      <c r="H39" s="79">
        <v>61606201</v>
      </c>
      <c r="I39" s="79" t="s">
        <v>4914</v>
      </c>
      <c r="J39" s="79" t="s">
        <v>4445</v>
      </c>
    </row>
    <row r="40" spans="1:10" ht="14.25" hidden="1" customHeight="1" x14ac:dyDescent="0.25">
      <c r="A40" s="78">
        <v>691508005</v>
      </c>
      <c r="B40" s="54" t="s">
        <v>84</v>
      </c>
      <c r="C40" s="53" t="s">
        <v>12</v>
      </c>
      <c r="D40" s="79" t="s">
        <v>4785</v>
      </c>
      <c r="E40" s="79" t="s">
        <v>4183</v>
      </c>
      <c r="F40" s="79" t="s">
        <v>4786</v>
      </c>
      <c r="G40" s="79" t="s">
        <v>1308</v>
      </c>
      <c r="H40" s="79">
        <v>69150800</v>
      </c>
      <c r="I40" s="79" t="s">
        <v>4914</v>
      </c>
      <c r="J40" s="79" t="s">
        <v>4464</v>
      </c>
    </row>
    <row r="41" spans="1:10" ht="14.25" hidden="1" customHeight="1" x14ac:dyDescent="0.25">
      <c r="A41" s="78">
        <v>765150701</v>
      </c>
      <c r="B41" s="54" t="s">
        <v>115</v>
      </c>
      <c r="C41" s="53" t="s">
        <v>12</v>
      </c>
      <c r="D41" s="79" t="s">
        <v>4785</v>
      </c>
      <c r="E41" s="79" t="s">
        <v>4495</v>
      </c>
      <c r="F41" s="79" t="s">
        <v>4792</v>
      </c>
      <c r="G41" s="79" t="s">
        <v>3601</v>
      </c>
      <c r="H41" s="79">
        <v>76515070</v>
      </c>
      <c r="I41" s="79" t="s">
        <v>4915</v>
      </c>
      <c r="J41" s="79" t="s">
        <v>4464</v>
      </c>
    </row>
    <row r="42" spans="1:10" ht="14.25" hidden="1" customHeight="1" x14ac:dyDescent="0.25">
      <c r="A42" s="78">
        <v>619585003</v>
      </c>
      <c r="B42" s="54" t="s">
        <v>66</v>
      </c>
      <c r="C42" s="53" t="s">
        <v>6</v>
      </c>
      <c r="D42" s="79" t="s">
        <v>4783</v>
      </c>
      <c r="E42" s="79" t="s">
        <v>4506</v>
      </c>
      <c r="F42" s="79" t="s">
        <v>4778</v>
      </c>
      <c r="G42" s="79" t="s">
        <v>2413</v>
      </c>
      <c r="H42" s="79">
        <v>61958500</v>
      </c>
      <c r="I42" s="79" t="s">
        <v>4914</v>
      </c>
      <c r="J42" s="79" t="s">
        <v>4457</v>
      </c>
    </row>
    <row r="43" spans="1:10" ht="14.25" hidden="1" customHeight="1" x14ac:dyDescent="0.25">
      <c r="A43" s="78">
        <v>691809005</v>
      </c>
      <c r="B43" s="54" t="s">
        <v>89</v>
      </c>
      <c r="C43" s="53" t="s">
        <v>4758</v>
      </c>
      <c r="D43" s="79" t="s">
        <v>25</v>
      </c>
      <c r="E43" s="79" t="s">
        <v>4361</v>
      </c>
      <c r="F43" s="79" t="s">
        <v>4779</v>
      </c>
      <c r="G43" s="79" t="s">
        <v>1919</v>
      </c>
      <c r="H43" s="79">
        <v>69180900</v>
      </c>
      <c r="I43" s="79" t="s">
        <v>4914</v>
      </c>
      <c r="J43" s="79" t="s">
        <v>4454</v>
      </c>
    </row>
    <row r="44" spans="1:10" ht="14.25" hidden="1" customHeight="1" x14ac:dyDescent="0.25">
      <c r="A44" s="78">
        <v>703774008</v>
      </c>
      <c r="B44" s="54" t="s">
        <v>411</v>
      </c>
      <c r="C44" s="53" t="s">
        <v>4793</v>
      </c>
      <c r="D44" s="79" t="s">
        <v>4794</v>
      </c>
      <c r="E44" s="79" t="s">
        <v>4391</v>
      </c>
      <c r="F44" s="79" t="s">
        <v>4778</v>
      </c>
      <c r="G44" s="79" t="s">
        <v>3739</v>
      </c>
      <c r="H44" s="79">
        <v>70377400</v>
      </c>
      <c r="I44" s="79" t="s">
        <v>4915</v>
      </c>
      <c r="J44" s="79" t="s">
        <v>4445</v>
      </c>
    </row>
    <row r="45" spans="1:10" ht="14.25" hidden="1" customHeight="1" x14ac:dyDescent="0.25">
      <c r="A45" s="78">
        <v>616022954</v>
      </c>
      <c r="B45" s="54" t="s">
        <v>2083</v>
      </c>
      <c r="C45" s="53" t="s">
        <v>12</v>
      </c>
      <c r="D45" s="79" t="s">
        <v>4785</v>
      </c>
      <c r="E45" s="79" t="s">
        <v>4460</v>
      </c>
      <c r="F45" s="79" t="s">
        <v>4786</v>
      </c>
      <c r="G45" s="79" t="s">
        <v>2082</v>
      </c>
      <c r="H45" s="79">
        <v>61602295</v>
      </c>
      <c r="I45" s="79" t="s">
        <v>4914</v>
      </c>
      <c r="J45" s="79" t="s">
        <v>4464</v>
      </c>
    </row>
    <row r="46" spans="1:10" ht="14.25" hidden="1" customHeight="1" x14ac:dyDescent="0.25">
      <c r="A46" s="78">
        <v>780405201</v>
      </c>
      <c r="B46" s="54" t="s">
        <v>579</v>
      </c>
      <c r="C46" s="53" t="s">
        <v>4793</v>
      </c>
      <c r="D46" s="79" t="s">
        <v>4794</v>
      </c>
      <c r="E46" s="79" t="s">
        <v>4391</v>
      </c>
      <c r="F46" s="79" t="s">
        <v>4778</v>
      </c>
      <c r="G46" s="79" t="s">
        <v>3691</v>
      </c>
      <c r="H46" s="79">
        <v>78040520</v>
      </c>
      <c r="I46" s="79" t="s">
        <v>4915</v>
      </c>
      <c r="J46" s="79" t="s">
        <v>4445</v>
      </c>
    </row>
    <row r="47" spans="1:10" ht="14.25" hidden="1" customHeight="1" x14ac:dyDescent="0.25">
      <c r="A47" s="78">
        <v>616069039</v>
      </c>
      <c r="B47" s="54" t="s">
        <v>4797</v>
      </c>
      <c r="C47" s="53" t="s">
        <v>4790</v>
      </c>
      <c r="D47" s="79" t="s">
        <v>4790</v>
      </c>
      <c r="E47" s="79" t="s">
        <v>4491</v>
      </c>
      <c r="F47" s="79" t="s">
        <v>4791</v>
      </c>
      <c r="G47" s="79" t="s">
        <v>2206</v>
      </c>
      <c r="H47" s="79">
        <v>61606903</v>
      </c>
      <c r="I47" s="79" t="s">
        <v>4914</v>
      </c>
      <c r="J47" s="79" t="s">
        <v>4445</v>
      </c>
    </row>
    <row r="48" spans="1:10" ht="14.25" hidden="1" customHeight="1" x14ac:dyDescent="0.25">
      <c r="A48" s="78">
        <v>691907007</v>
      </c>
      <c r="B48" s="54" t="s">
        <v>92</v>
      </c>
      <c r="C48" s="53" t="s">
        <v>4758</v>
      </c>
      <c r="D48" s="79" t="s">
        <v>25</v>
      </c>
      <c r="E48" s="79" t="s">
        <v>4218</v>
      </c>
      <c r="F48" s="79" t="s">
        <v>4779</v>
      </c>
      <c r="G48" s="79" t="s">
        <v>1879</v>
      </c>
      <c r="H48" s="79">
        <v>69190700</v>
      </c>
      <c r="I48" s="79" t="s">
        <v>4914</v>
      </c>
      <c r="J48" s="79" t="s">
        <v>4454</v>
      </c>
    </row>
    <row r="49" spans="1:10" ht="14.25" hidden="1" customHeight="1" x14ac:dyDescent="0.25">
      <c r="A49" s="78">
        <v>760189928</v>
      </c>
      <c r="B49" s="54" t="s">
        <v>1926</v>
      </c>
      <c r="C49" s="53" t="s">
        <v>12</v>
      </c>
      <c r="D49" s="79" t="s">
        <v>4785</v>
      </c>
      <c r="E49" s="79" t="s">
        <v>4475</v>
      </c>
      <c r="F49" s="79" t="s">
        <v>4786</v>
      </c>
      <c r="G49" s="79" t="s">
        <v>1925</v>
      </c>
      <c r="H49" s="79">
        <v>76018992</v>
      </c>
      <c r="I49" s="79" t="s">
        <v>4915</v>
      </c>
      <c r="J49" s="79" t="s">
        <v>4464</v>
      </c>
    </row>
    <row r="50" spans="1:10" ht="14.25" hidden="1" customHeight="1" x14ac:dyDescent="0.25">
      <c r="A50" s="78">
        <v>691701026</v>
      </c>
      <c r="B50" s="54" t="s">
        <v>87</v>
      </c>
      <c r="C50" s="53" t="s">
        <v>12</v>
      </c>
      <c r="D50" s="79" t="s">
        <v>4785</v>
      </c>
      <c r="E50" s="79" t="s">
        <v>4272</v>
      </c>
      <c r="F50" s="79" t="s">
        <v>4786</v>
      </c>
      <c r="G50" s="79" t="s">
        <v>3832</v>
      </c>
      <c r="H50" s="79">
        <v>69170102</v>
      </c>
      <c r="I50" s="79" t="s">
        <v>4914</v>
      </c>
      <c r="J50" s="79" t="s">
        <v>4464</v>
      </c>
    </row>
    <row r="51" spans="1:10" ht="14.25" hidden="1" customHeight="1" x14ac:dyDescent="0.25">
      <c r="A51" s="78">
        <v>742696006</v>
      </c>
      <c r="B51" s="54" t="s">
        <v>752</v>
      </c>
      <c r="C51" s="53" t="s">
        <v>12</v>
      </c>
      <c r="D51" s="79" t="s">
        <v>4785</v>
      </c>
      <c r="E51" s="79" t="s">
        <v>4380</v>
      </c>
      <c r="F51" s="79" t="s">
        <v>4786</v>
      </c>
      <c r="G51" s="79" t="s">
        <v>1646</v>
      </c>
      <c r="H51" s="79">
        <v>74269600</v>
      </c>
      <c r="I51" s="79" t="s">
        <v>4914</v>
      </c>
      <c r="J51" s="79" t="s">
        <v>4464</v>
      </c>
    </row>
    <row r="52" spans="1:10" ht="14.25" hidden="1" customHeight="1" x14ac:dyDescent="0.25">
      <c r="A52" s="78" t="s">
        <v>154</v>
      </c>
      <c r="B52" s="54" t="s">
        <v>155</v>
      </c>
      <c r="C52" s="53" t="s">
        <v>12</v>
      </c>
      <c r="D52" s="79" t="s">
        <v>4785</v>
      </c>
      <c r="E52" s="79" t="s">
        <v>4495</v>
      </c>
      <c r="F52" s="79" t="s">
        <v>4792</v>
      </c>
      <c r="G52" s="79" t="s">
        <v>1602</v>
      </c>
      <c r="H52" s="79">
        <v>69270200</v>
      </c>
      <c r="I52" s="79" t="s">
        <v>4914</v>
      </c>
      <c r="J52" s="79" t="s">
        <v>4464</v>
      </c>
    </row>
    <row r="53" spans="1:10" ht="14.25" hidden="1" customHeight="1" x14ac:dyDescent="0.25">
      <c r="A53" s="78">
        <v>616084089</v>
      </c>
      <c r="B53" s="54" t="s">
        <v>256</v>
      </c>
      <c r="C53" s="53" t="s">
        <v>4793</v>
      </c>
      <c r="D53" s="79" t="s">
        <v>4794</v>
      </c>
      <c r="E53" s="79" t="s">
        <v>4391</v>
      </c>
      <c r="F53" s="79" t="s">
        <v>4778</v>
      </c>
      <c r="G53" s="79" t="s">
        <v>2482</v>
      </c>
      <c r="H53" s="79">
        <v>61608408</v>
      </c>
      <c r="I53" s="79" t="s">
        <v>4914</v>
      </c>
      <c r="J53" s="79" t="s">
        <v>4445</v>
      </c>
    </row>
    <row r="54" spans="1:10" ht="14.25" hidden="1" customHeight="1" x14ac:dyDescent="0.25">
      <c r="A54" s="78">
        <v>763360393</v>
      </c>
      <c r="B54" s="54" t="s">
        <v>112</v>
      </c>
      <c r="C54" s="53" t="s">
        <v>6</v>
      </c>
      <c r="D54" s="79" t="s">
        <v>4783</v>
      </c>
      <c r="E54" s="79" t="s">
        <v>4528</v>
      </c>
      <c r="F54" s="79" t="s">
        <v>4778</v>
      </c>
      <c r="G54" s="79" t="s">
        <v>3913</v>
      </c>
      <c r="H54" s="79">
        <v>76336039</v>
      </c>
      <c r="I54" s="79" t="s">
        <v>4915</v>
      </c>
      <c r="J54" s="79" t="s">
        <v>4457</v>
      </c>
    </row>
    <row r="55" spans="1:10" ht="14.25" hidden="1" customHeight="1" x14ac:dyDescent="0.25">
      <c r="A55" s="78">
        <v>690407000</v>
      </c>
      <c r="B55" s="54" t="s">
        <v>76</v>
      </c>
      <c r="C55" s="53" t="s">
        <v>4757</v>
      </c>
      <c r="D55" s="79" t="s">
        <v>4787</v>
      </c>
      <c r="E55" s="79" t="s">
        <v>4397</v>
      </c>
      <c r="F55" s="79" t="s">
        <v>4789</v>
      </c>
      <c r="G55" s="79" t="s">
        <v>3077</v>
      </c>
      <c r="H55" s="79">
        <v>69040700</v>
      </c>
      <c r="I55" s="79" t="s">
        <v>4914</v>
      </c>
      <c r="J55" s="79" t="s">
        <v>2372</v>
      </c>
    </row>
    <row r="56" spans="1:10" ht="14.25" hidden="1" customHeight="1" x14ac:dyDescent="0.25">
      <c r="A56" s="78">
        <v>616022032</v>
      </c>
      <c r="B56" s="54" t="s">
        <v>21</v>
      </c>
      <c r="C56" s="53" t="s">
        <v>12</v>
      </c>
      <c r="D56" s="79" t="s">
        <v>4785</v>
      </c>
      <c r="E56" s="79" t="s">
        <v>4377</v>
      </c>
      <c r="F56" s="79" t="s">
        <v>4786</v>
      </c>
      <c r="G56" s="79" t="s">
        <v>1572</v>
      </c>
      <c r="H56" s="79">
        <v>61602203</v>
      </c>
      <c r="I56" s="79" t="s">
        <v>4914</v>
      </c>
      <c r="J56" s="79" t="s">
        <v>4464</v>
      </c>
    </row>
    <row r="57" spans="1:10" ht="14.25" hidden="1" customHeight="1" x14ac:dyDescent="0.25">
      <c r="A57" s="78">
        <v>968859307</v>
      </c>
      <c r="B57" s="54" t="s">
        <v>2076</v>
      </c>
      <c r="C57" s="53" t="s">
        <v>4</v>
      </c>
      <c r="D57" s="79" t="s">
        <v>4782</v>
      </c>
      <c r="E57" s="79" t="s">
        <v>4452</v>
      </c>
      <c r="F57" s="79" t="s">
        <v>4778</v>
      </c>
      <c r="G57" s="79" t="s">
        <v>2075</v>
      </c>
      <c r="H57" s="79">
        <v>96885930</v>
      </c>
      <c r="I57" s="79" t="s">
        <v>4915</v>
      </c>
      <c r="J57" s="79" t="s">
        <v>4453</v>
      </c>
    </row>
    <row r="58" spans="1:10" ht="14.25" hidden="1" customHeight="1" x14ac:dyDescent="0.25">
      <c r="A58" s="78">
        <v>616064045</v>
      </c>
      <c r="B58" s="54" t="s">
        <v>34</v>
      </c>
      <c r="C58" s="53" t="s">
        <v>4757</v>
      </c>
      <c r="D58" s="79" t="s">
        <v>4787</v>
      </c>
      <c r="E58" s="79" t="s">
        <v>4397</v>
      </c>
      <c r="F58" s="79" t="s">
        <v>4789</v>
      </c>
      <c r="G58" s="79" t="s">
        <v>1391</v>
      </c>
      <c r="H58" s="79">
        <v>61606404</v>
      </c>
      <c r="I58" s="79" t="s">
        <v>4914</v>
      </c>
      <c r="J58" s="79" t="s">
        <v>2372</v>
      </c>
    </row>
    <row r="59" spans="1:10" ht="14.25" hidden="1" customHeight="1" x14ac:dyDescent="0.25">
      <c r="A59" s="78">
        <v>691512029</v>
      </c>
      <c r="B59" s="54" t="s">
        <v>86</v>
      </c>
      <c r="C59" s="53" t="s">
        <v>12</v>
      </c>
      <c r="D59" s="79" t="s">
        <v>4785</v>
      </c>
      <c r="E59" s="79" t="s">
        <v>4352</v>
      </c>
      <c r="F59" s="79" t="s">
        <v>4786</v>
      </c>
      <c r="G59" s="79" t="s">
        <v>1884</v>
      </c>
      <c r="H59" s="79">
        <v>69151202</v>
      </c>
      <c r="I59" s="79" t="s">
        <v>4914</v>
      </c>
      <c r="J59" s="79" t="s">
        <v>4464</v>
      </c>
    </row>
    <row r="60" spans="1:10" ht="14.25" hidden="1" customHeight="1" x14ac:dyDescent="0.25">
      <c r="A60" s="78">
        <v>713286001</v>
      </c>
      <c r="B60" s="54" t="s">
        <v>447</v>
      </c>
      <c r="C60" s="53" t="s">
        <v>4790</v>
      </c>
      <c r="D60" s="79" t="s">
        <v>4790</v>
      </c>
      <c r="E60" s="79" t="s">
        <v>4203</v>
      </c>
      <c r="F60" s="79" t="s">
        <v>4795</v>
      </c>
      <c r="G60" s="79" t="s">
        <v>1258</v>
      </c>
      <c r="H60" s="79">
        <v>71328600</v>
      </c>
      <c r="I60" s="79" t="s">
        <v>4914</v>
      </c>
      <c r="J60" s="79" t="s">
        <v>4445</v>
      </c>
    </row>
    <row r="61" spans="1:10" ht="14.25" hidden="1" customHeight="1" x14ac:dyDescent="0.25">
      <c r="A61" s="78">
        <v>765558700</v>
      </c>
      <c r="B61" s="54" t="s">
        <v>116</v>
      </c>
      <c r="C61" s="53" t="s">
        <v>4758</v>
      </c>
      <c r="D61" s="79" t="s">
        <v>25</v>
      </c>
      <c r="E61" s="79" t="s">
        <v>4170</v>
      </c>
      <c r="F61" s="79" t="s">
        <v>4798</v>
      </c>
      <c r="G61" s="79" t="s">
        <v>1742</v>
      </c>
      <c r="H61" s="79">
        <v>76555870</v>
      </c>
      <c r="I61" s="79" t="s">
        <v>4915</v>
      </c>
      <c r="J61" s="79" t="s">
        <v>4454</v>
      </c>
    </row>
    <row r="62" spans="1:10" ht="14.25" hidden="1" customHeight="1" x14ac:dyDescent="0.25">
      <c r="A62" s="78">
        <v>616022806</v>
      </c>
      <c r="B62" s="54" t="s">
        <v>205</v>
      </c>
      <c r="C62" s="53" t="s">
        <v>159</v>
      </c>
      <c r="D62" s="79" t="s">
        <v>159</v>
      </c>
      <c r="E62" s="79" t="s">
        <v>4799</v>
      </c>
      <c r="F62" s="79" t="s">
        <v>4800</v>
      </c>
      <c r="G62" s="79" t="s">
        <v>1512</v>
      </c>
      <c r="H62" s="79">
        <v>61602280</v>
      </c>
      <c r="I62" s="79" t="s">
        <v>4914</v>
      </c>
      <c r="J62" s="79" t="s">
        <v>4445</v>
      </c>
    </row>
    <row r="63" spans="1:10" ht="14.25" hidden="1" customHeight="1" x14ac:dyDescent="0.25">
      <c r="A63" s="78">
        <v>813380005</v>
      </c>
      <c r="B63" s="54" t="s">
        <v>590</v>
      </c>
      <c r="C63" s="53" t="s">
        <v>159</v>
      </c>
      <c r="D63" s="79" t="s">
        <v>159</v>
      </c>
      <c r="E63" s="79" t="s">
        <v>4456</v>
      </c>
      <c r="F63" s="79" t="s">
        <v>4778</v>
      </c>
      <c r="G63" s="79" t="s">
        <v>3218</v>
      </c>
      <c r="H63" s="79">
        <v>81338000</v>
      </c>
      <c r="I63" s="79" t="s">
        <v>4915</v>
      </c>
      <c r="J63" s="79" t="s">
        <v>4445</v>
      </c>
    </row>
    <row r="64" spans="1:10" ht="14.25" hidden="1" customHeight="1" x14ac:dyDescent="0.25">
      <c r="A64" s="78">
        <v>708352004</v>
      </c>
      <c r="B64" s="54" t="s">
        <v>926</v>
      </c>
      <c r="C64" s="53" t="s">
        <v>4793</v>
      </c>
      <c r="D64" s="79" t="s">
        <v>4794</v>
      </c>
      <c r="E64" s="79" t="s">
        <v>4456</v>
      </c>
      <c r="F64" s="79" t="s">
        <v>4778</v>
      </c>
      <c r="G64" s="79" t="s">
        <v>2211</v>
      </c>
      <c r="H64" s="79">
        <v>70835200</v>
      </c>
      <c r="I64" s="79" t="s">
        <v>4914</v>
      </c>
      <c r="J64" s="79" t="s">
        <v>4445</v>
      </c>
    </row>
    <row r="65" spans="1:10" ht="14.25" hidden="1" customHeight="1" x14ac:dyDescent="0.25">
      <c r="A65" s="78">
        <v>619758005</v>
      </c>
      <c r="B65" s="54" t="s">
        <v>782</v>
      </c>
      <c r="C65" s="53" t="s">
        <v>4758</v>
      </c>
      <c r="D65" s="79" t="s">
        <v>25</v>
      </c>
      <c r="E65" s="79" t="s">
        <v>4293</v>
      </c>
      <c r="F65" s="79" t="s">
        <v>4784</v>
      </c>
      <c r="G65" s="79" t="s">
        <v>3568</v>
      </c>
      <c r="H65" s="79">
        <v>61975800</v>
      </c>
      <c r="I65" s="79" t="s">
        <v>4914</v>
      </c>
      <c r="J65" s="79" t="s">
        <v>4454</v>
      </c>
    </row>
    <row r="66" spans="1:10" ht="14.25" customHeight="1" x14ac:dyDescent="0.25">
      <c r="A66" s="78">
        <v>616060015</v>
      </c>
      <c r="B66" s="54" t="s">
        <v>770</v>
      </c>
      <c r="C66" s="53" t="s">
        <v>159</v>
      </c>
      <c r="D66" s="79" t="s">
        <v>159</v>
      </c>
      <c r="E66" s="79" t="s">
        <v>4181</v>
      </c>
      <c r="F66" s="79" t="s">
        <v>4801</v>
      </c>
      <c r="G66" s="79" t="s">
        <v>2466</v>
      </c>
      <c r="H66" s="79">
        <v>61606001</v>
      </c>
      <c r="I66" s="79" t="s">
        <v>4914</v>
      </c>
      <c r="J66" s="79" t="s">
        <v>4445</v>
      </c>
    </row>
    <row r="67" spans="1:10" ht="14.25" hidden="1" customHeight="1" x14ac:dyDescent="0.25">
      <c r="A67" s="78">
        <v>769770453</v>
      </c>
      <c r="B67" s="54" t="s">
        <v>515</v>
      </c>
      <c r="C67" s="53" t="s">
        <v>159</v>
      </c>
      <c r="D67" s="79" t="s">
        <v>159</v>
      </c>
      <c r="E67" s="79" t="s">
        <v>4394</v>
      </c>
      <c r="F67" s="79" t="s">
        <v>4778</v>
      </c>
      <c r="G67" s="79" t="s">
        <v>3370</v>
      </c>
      <c r="H67" s="79">
        <v>76977045</v>
      </c>
      <c r="I67" s="79" t="s">
        <v>4915</v>
      </c>
      <c r="J67" s="79" t="s">
        <v>4445</v>
      </c>
    </row>
    <row r="68" spans="1:10" ht="14.25" hidden="1" customHeight="1" x14ac:dyDescent="0.25">
      <c r="A68" s="78">
        <v>691104001</v>
      </c>
      <c r="B68" s="54" t="s">
        <v>337</v>
      </c>
      <c r="C68" s="53" t="s">
        <v>4790</v>
      </c>
      <c r="D68" s="79" t="s">
        <v>4790</v>
      </c>
      <c r="E68" s="79" t="s">
        <v>4257</v>
      </c>
      <c r="F68" s="79" t="s">
        <v>4791</v>
      </c>
      <c r="G68" s="79" t="s">
        <v>1177</v>
      </c>
      <c r="H68" s="79">
        <v>69110400</v>
      </c>
      <c r="I68" s="79" t="s">
        <v>4914</v>
      </c>
      <c r="J68" s="79" t="s">
        <v>4445</v>
      </c>
    </row>
    <row r="69" spans="1:10" ht="14.25" hidden="1" customHeight="1" x14ac:dyDescent="0.25">
      <c r="A69" s="78">
        <v>967666408</v>
      </c>
      <c r="B69" s="54" t="s">
        <v>3474</v>
      </c>
      <c r="C69" s="53" t="s">
        <v>4758</v>
      </c>
      <c r="D69" s="79" t="s">
        <v>25</v>
      </c>
      <c r="E69" s="79" t="s">
        <v>4292</v>
      </c>
      <c r="F69" s="79" t="s">
        <v>4784</v>
      </c>
      <c r="G69" s="79" t="s">
        <v>3473</v>
      </c>
      <c r="H69" s="79">
        <v>96766640</v>
      </c>
      <c r="I69" s="79" t="s">
        <v>4915</v>
      </c>
      <c r="J69" s="79" t="s">
        <v>4454</v>
      </c>
    </row>
    <row r="70" spans="1:10" ht="14.25" hidden="1" customHeight="1" x14ac:dyDescent="0.25">
      <c r="A70" s="78">
        <v>620005304</v>
      </c>
      <c r="B70" s="54" t="s">
        <v>277</v>
      </c>
      <c r="C70" s="53" t="s">
        <v>4</v>
      </c>
      <c r="D70" s="79" t="s">
        <v>4782</v>
      </c>
      <c r="E70" s="79" t="s">
        <v>4186</v>
      </c>
      <c r="F70" s="79" t="s">
        <v>4802</v>
      </c>
      <c r="G70" s="79" t="s">
        <v>1738</v>
      </c>
      <c r="H70" s="79">
        <v>62000530</v>
      </c>
      <c r="I70" s="79" t="s">
        <v>4914</v>
      </c>
      <c r="J70" s="79" t="s">
        <v>4453</v>
      </c>
    </row>
    <row r="71" spans="1:10" ht="14.25" hidden="1" customHeight="1" x14ac:dyDescent="0.25">
      <c r="A71" s="78">
        <v>616074016</v>
      </c>
      <c r="B71" s="54" t="s">
        <v>48</v>
      </c>
      <c r="C71" s="53" t="s">
        <v>4758</v>
      </c>
      <c r="D71" s="79" t="s">
        <v>25</v>
      </c>
      <c r="E71" s="79" t="s">
        <v>4364</v>
      </c>
      <c r="F71" s="79" t="s">
        <v>4779</v>
      </c>
      <c r="G71" s="79" t="s">
        <v>3754</v>
      </c>
      <c r="H71" s="79">
        <v>61607401</v>
      </c>
      <c r="I71" s="79" t="s">
        <v>4914</v>
      </c>
      <c r="J71" s="79" t="s">
        <v>4454</v>
      </c>
    </row>
    <row r="72" spans="1:10" ht="14.25" hidden="1" customHeight="1" x14ac:dyDescent="0.25">
      <c r="A72" s="78">
        <v>780535601</v>
      </c>
      <c r="B72" s="54" t="s">
        <v>754</v>
      </c>
      <c r="C72" s="53" t="s">
        <v>6</v>
      </c>
      <c r="D72" s="79" t="s">
        <v>4783</v>
      </c>
      <c r="E72" s="79" t="s">
        <v>4552</v>
      </c>
      <c r="F72" s="79" t="s">
        <v>4778</v>
      </c>
      <c r="G72" s="79" t="s">
        <v>3834</v>
      </c>
      <c r="H72" s="79">
        <v>78053560</v>
      </c>
      <c r="I72" s="79" t="s">
        <v>4915</v>
      </c>
      <c r="J72" s="79" t="s">
        <v>4457</v>
      </c>
    </row>
    <row r="73" spans="1:10" ht="14.25" hidden="1" customHeight="1" x14ac:dyDescent="0.25">
      <c r="A73" s="78">
        <v>616070029</v>
      </c>
      <c r="B73" s="54" t="s">
        <v>44</v>
      </c>
      <c r="C73" s="53" t="s">
        <v>12</v>
      </c>
      <c r="D73" s="79" t="s">
        <v>4785</v>
      </c>
      <c r="E73" s="79" t="s">
        <v>4345</v>
      </c>
      <c r="F73" s="79" t="s">
        <v>4792</v>
      </c>
      <c r="G73" s="79" t="s">
        <v>3753</v>
      </c>
      <c r="H73" s="79">
        <v>61607002</v>
      </c>
      <c r="I73" s="79" t="s">
        <v>4914</v>
      </c>
      <c r="J73" s="79" t="s">
        <v>4464</v>
      </c>
    </row>
    <row r="74" spans="1:10" ht="14.25" hidden="1" customHeight="1" x14ac:dyDescent="0.25">
      <c r="A74" s="78">
        <v>692101006</v>
      </c>
      <c r="B74" s="54" t="s">
        <v>96</v>
      </c>
      <c r="C74" s="53" t="s">
        <v>4758</v>
      </c>
      <c r="D74" s="79" t="s">
        <v>25</v>
      </c>
      <c r="E74" s="79" t="s">
        <v>4224</v>
      </c>
      <c r="F74" s="79" t="s">
        <v>4784</v>
      </c>
      <c r="G74" s="79" t="s">
        <v>1290</v>
      </c>
      <c r="H74" s="79">
        <v>69210100</v>
      </c>
      <c r="I74" s="79" t="s">
        <v>4914</v>
      </c>
      <c r="J74" s="79" t="s">
        <v>4454</v>
      </c>
    </row>
    <row r="75" spans="1:10" ht="14.25" hidden="1" customHeight="1" x14ac:dyDescent="0.25">
      <c r="A75" s="78">
        <v>616020579</v>
      </c>
      <c r="B75" s="54" t="s">
        <v>15</v>
      </c>
      <c r="C75" s="53" t="s">
        <v>4757</v>
      </c>
      <c r="D75" s="79" t="s">
        <v>4787</v>
      </c>
      <c r="E75" s="79" t="s">
        <v>4459</v>
      </c>
      <c r="F75" s="79" t="s">
        <v>4788</v>
      </c>
      <c r="G75" s="79" t="s">
        <v>3727</v>
      </c>
      <c r="H75" s="79">
        <v>61602057</v>
      </c>
      <c r="I75" s="79" t="s">
        <v>4914</v>
      </c>
      <c r="J75" s="79" t="s">
        <v>2372</v>
      </c>
    </row>
    <row r="76" spans="1:10" ht="14.25" hidden="1" customHeight="1" x14ac:dyDescent="0.25">
      <c r="A76" s="78">
        <v>616021486</v>
      </c>
      <c r="B76" s="54" t="s">
        <v>181</v>
      </c>
      <c r="C76" s="53" t="s">
        <v>4790</v>
      </c>
      <c r="D76" s="79" t="s">
        <v>4790</v>
      </c>
      <c r="E76" s="79" t="s">
        <v>4206</v>
      </c>
      <c r="F76" s="79" t="s">
        <v>4795</v>
      </c>
      <c r="G76" s="79" t="s">
        <v>2362</v>
      </c>
      <c r="H76" s="79">
        <v>61602148</v>
      </c>
      <c r="I76" s="79" t="s">
        <v>4914</v>
      </c>
      <c r="J76" s="79" t="s">
        <v>4445</v>
      </c>
    </row>
    <row r="77" spans="1:10" ht="14.25" hidden="1" customHeight="1" x14ac:dyDescent="0.25">
      <c r="A77" s="78">
        <v>760579041</v>
      </c>
      <c r="B77" s="54" t="s">
        <v>108</v>
      </c>
      <c r="C77" s="53" t="s">
        <v>12</v>
      </c>
      <c r="D77" s="79" t="s">
        <v>4785</v>
      </c>
      <c r="E77" s="79" t="s">
        <v>4460</v>
      </c>
      <c r="F77" s="79" t="s">
        <v>4786</v>
      </c>
      <c r="G77" s="79" t="s">
        <v>3359</v>
      </c>
      <c r="H77" s="79">
        <v>76057904</v>
      </c>
      <c r="I77" s="79" t="s">
        <v>4915</v>
      </c>
      <c r="J77" s="79" t="s">
        <v>4464</v>
      </c>
    </row>
    <row r="78" spans="1:10" ht="14.25" hidden="1" customHeight="1" x14ac:dyDescent="0.25">
      <c r="A78" s="78" t="s">
        <v>636</v>
      </c>
      <c r="B78" s="54" t="s">
        <v>637</v>
      </c>
      <c r="C78" s="53" t="s">
        <v>4758</v>
      </c>
      <c r="D78" s="79" t="s">
        <v>25</v>
      </c>
      <c r="E78" s="79" t="s">
        <v>4230</v>
      </c>
      <c r="F78" s="79" t="s">
        <v>4784</v>
      </c>
      <c r="G78" s="79" t="s">
        <v>1402</v>
      </c>
      <c r="H78" s="79">
        <v>61602275</v>
      </c>
      <c r="I78" s="79" t="s">
        <v>4914</v>
      </c>
      <c r="J78" s="79" t="s">
        <v>4454</v>
      </c>
    </row>
    <row r="79" spans="1:10" ht="14.25" hidden="1" customHeight="1" x14ac:dyDescent="0.25">
      <c r="A79" s="78">
        <v>616062026</v>
      </c>
      <c r="B79" s="54" t="s">
        <v>208</v>
      </c>
      <c r="C79" s="53" t="s">
        <v>4793</v>
      </c>
      <c r="D79" s="79" t="s">
        <v>4794</v>
      </c>
      <c r="E79" s="79" t="s">
        <v>4237</v>
      </c>
      <c r="F79" s="79" t="s">
        <v>4796</v>
      </c>
      <c r="G79" s="79" t="s">
        <v>3731</v>
      </c>
      <c r="H79" s="79">
        <v>61606202</v>
      </c>
      <c r="I79" s="79" t="s">
        <v>4914</v>
      </c>
      <c r="J79" s="79" t="s">
        <v>4445</v>
      </c>
    </row>
    <row r="80" spans="1:10" ht="14.25" hidden="1" customHeight="1" x14ac:dyDescent="0.25">
      <c r="A80" s="78">
        <v>616021265</v>
      </c>
      <c r="B80" s="54" t="s">
        <v>18</v>
      </c>
      <c r="C80" s="53" t="s">
        <v>4757</v>
      </c>
      <c r="D80" s="79" t="s">
        <v>4787</v>
      </c>
      <c r="E80" s="79" t="s">
        <v>4198</v>
      </c>
      <c r="F80" s="79" t="s">
        <v>4788</v>
      </c>
      <c r="G80" s="79" t="s">
        <v>1940</v>
      </c>
      <c r="H80" s="79">
        <v>61602126</v>
      </c>
      <c r="I80" s="79" t="s">
        <v>4914</v>
      </c>
      <c r="J80" s="79" t="s">
        <v>2372</v>
      </c>
    </row>
    <row r="81" spans="1:10" ht="14.25" hidden="1" customHeight="1" x14ac:dyDescent="0.25">
      <c r="A81" s="78">
        <v>616082035</v>
      </c>
      <c r="B81" s="54" t="s">
        <v>57</v>
      </c>
      <c r="C81" s="53" t="s">
        <v>4</v>
      </c>
      <c r="D81" s="79" t="s">
        <v>4782</v>
      </c>
      <c r="E81" s="79" t="s">
        <v>4168</v>
      </c>
      <c r="F81" s="79" t="s">
        <v>4778</v>
      </c>
      <c r="G81" s="79" t="s">
        <v>2222</v>
      </c>
      <c r="H81" s="79">
        <v>61608203</v>
      </c>
      <c r="I81" s="79" t="s">
        <v>4914</v>
      </c>
      <c r="J81" s="79" t="s">
        <v>4453</v>
      </c>
    </row>
    <row r="82" spans="1:10" ht="14.25" hidden="1" customHeight="1" x14ac:dyDescent="0.25">
      <c r="A82" s="78">
        <v>691501027</v>
      </c>
      <c r="B82" s="54" t="s">
        <v>83</v>
      </c>
      <c r="C82" s="53" t="s">
        <v>12</v>
      </c>
      <c r="D82" s="79" t="s">
        <v>4785</v>
      </c>
      <c r="E82" s="79" t="s">
        <v>4496</v>
      </c>
      <c r="F82" s="79" t="s">
        <v>4786</v>
      </c>
      <c r="G82" s="79" t="s">
        <v>1472</v>
      </c>
      <c r="H82" s="79">
        <v>69150102</v>
      </c>
      <c r="I82" s="79" t="s">
        <v>4914</v>
      </c>
      <c r="J82" s="79" t="s">
        <v>4464</v>
      </c>
    </row>
    <row r="83" spans="1:10" ht="14.25" hidden="1" customHeight="1" x14ac:dyDescent="0.25">
      <c r="A83" s="78">
        <v>619806204</v>
      </c>
      <c r="B83" s="54" t="s">
        <v>70</v>
      </c>
      <c r="C83" s="53" t="s">
        <v>6</v>
      </c>
      <c r="D83" s="79" t="s">
        <v>4783</v>
      </c>
      <c r="E83" s="79" t="s">
        <v>4381</v>
      </c>
      <c r="F83" s="79" t="s">
        <v>4778</v>
      </c>
      <c r="G83" s="79" t="s">
        <v>4160</v>
      </c>
      <c r="H83" s="79">
        <v>61980620</v>
      </c>
      <c r="I83" s="79" t="s">
        <v>4914</v>
      </c>
      <c r="J83" s="79" t="s">
        <v>4457</v>
      </c>
    </row>
    <row r="84" spans="1:10" ht="14.25" hidden="1" customHeight="1" x14ac:dyDescent="0.25">
      <c r="A84" s="78">
        <v>616021982</v>
      </c>
      <c r="B84" s="54" t="s">
        <v>20</v>
      </c>
      <c r="C84" s="53" t="s">
        <v>12</v>
      </c>
      <c r="D84" s="79" t="s">
        <v>4785</v>
      </c>
      <c r="E84" s="79" t="s">
        <v>4211</v>
      </c>
      <c r="F84" s="79" t="s">
        <v>4786</v>
      </c>
      <c r="G84" s="79" t="s">
        <v>1888</v>
      </c>
      <c r="H84" s="79">
        <v>61602198</v>
      </c>
      <c r="I84" s="79" t="s">
        <v>4914</v>
      </c>
      <c r="J84" s="79" t="s">
        <v>4464</v>
      </c>
    </row>
    <row r="85" spans="1:10" ht="14.25" hidden="1" customHeight="1" x14ac:dyDescent="0.25">
      <c r="A85" s="78">
        <v>615130036</v>
      </c>
      <c r="B85" s="54" t="s">
        <v>7</v>
      </c>
      <c r="C85" s="53" t="s">
        <v>6</v>
      </c>
      <c r="D85" s="79" t="s">
        <v>4783</v>
      </c>
      <c r="E85" s="79" t="s">
        <v>4465</v>
      </c>
      <c r="F85" s="79" t="s">
        <v>4778</v>
      </c>
      <c r="G85" s="79" t="s">
        <v>2590</v>
      </c>
      <c r="H85" s="79">
        <v>61513003</v>
      </c>
      <c r="I85" s="79" t="s">
        <v>4914</v>
      </c>
      <c r="J85" s="79" t="s">
        <v>4457</v>
      </c>
    </row>
    <row r="86" spans="1:10" ht="14.25" hidden="1" customHeight="1" x14ac:dyDescent="0.25">
      <c r="A86" s="78">
        <v>616075020</v>
      </c>
      <c r="B86" s="54" t="s">
        <v>49</v>
      </c>
      <c r="C86" s="53" t="s">
        <v>4758</v>
      </c>
      <c r="D86" s="79" t="s">
        <v>25</v>
      </c>
      <c r="E86" s="79" t="s">
        <v>4170</v>
      </c>
      <c r="F86" s="79" t="s">
        <v>4798</v>
      </c>
      <c r="G86" s="79" t="s">
        <v>2643</v>
      </c>
      <c r="H86" s="79">
        <v>61607502</v>
      </c>
      <c r="I86" s="79" t="s">
        <v>4914</v>
      </c>
      <c r="J86" s="79" t="s">
        <v>4454</v>
      </c>
    </row>
    <row r="87" spans="1:10" ht="14.25" hidden="1" customHeight="1" x14ac:dyDescent="0.25">
      <c r="A87" s="78">
        <v>690726009</v>
      </c>
      <c r="B87" s="54" t="s">
        <v>309</v>
      </c>
      <c r="C87" s="53" t="s">
        <v>159</v>
      </c>
      <c r="D87" s="79" t="s">
        <v>159</v>
      </c>
      <c r="E87" s="79" t="s">
        <v>4316</v>
      </c>
      <c r="F87" s="79" t="s">
        <v>4778</v>
      </c>
      <c r="G87" s="79" t="s">
        <v>3425</v>
      </c>
      <c r="H87" s="79">
        <v>69072600</v>
      </c>
      <c r="I87" s="79" t="s">
        <v>4914</v>
      </c>
      <c r="J87" s="79" t="s">
        <v>4445</v>
      </c>
    </row>
    <row r="88" spans="1:10" ht="14.25" hidden="1" customHeight="1" x14ac:dyDescent="0.25">
      <c r="A88" s="78">
        <v>939300007</v>
      </c>
      <c r="B88" s="54" t="s">
        <v>2731</v>
      </c>
      <c r="C88" s="53" t="s">
        <v>6</v>
      </c>
      <c r="D88" s="79" t="s">
        <v>4783</v>
      </c>
      <c r="E88" s="79" t="s">
        <v>4465</v>
      </c>
      <c r="F88" s="79" t="s">
        <v>4778</v>
      </c>
      <c r="G88" s="79" t="s">
        <v>2730</v>
      </c>
      <c r="H88" s="79">
        <v>93930000</v>
      </c>
      <c r="I88" s="79" t="s">
        <v>4915</v>
      </c>
      <c r="J88" s="79" t="s">
        <v>4457</v>
      </c>
    </row>
    <row r="89" spans="1:10" ht="14.25" hidden="1" customHeight="1" x14ac:dyDescent="0.25">
      <c r="A89" s="78">
        <v>616022369</v>
      </c>
      <c r="B89" s="54" t="s">
        <v>27</v>
      </c>
      <c r="C89" s="53" t="s">
        <v>4758</v>
      </c>
      <c r="D89" s="79" t="s">
        <v>25</v>
      </c>
      <c r="E89" s="79" t="s">
        <v>4362</v>
      </c>
      <c r="F89" s="79" t="s">
        <v>4779</v>
      </c>
      <c r="G89" s="79" t="s">
        <v>1793</v>
      </c>
      <c r="H89" s="79">
        <v>61602236</v>
      </c>
      <c r="I89" s="79" t="s">
        <v>4914</v>
      </c>
      <c r="J89" s="79" t="s">
        <v>4454</v>
      </c>
    </row>
    <row r="90" spans="1:10" ht="14.25" hidden="1" customHeight="1" x14ac:dyDescent="0.25">
      <c r="A90" s="78">
        <v>616081071</v>
      </c>
      <c r="B90" s="54" t="s">
        <v>56</v>
      </c>
      <c r="C90" s="53" t="s">
        <v>6</v>
      </c>
      <c r="D90" s="79" t="s">
        <v>4783</v>
      </c>
      <c r="E90" s="79" t="s">
        <v>4287</v>
      </c>
      <c r="F90" s="79" t="s">
        <v>4778</v>
      </c>
      <c r="G90" s="79" t="s">
        <v>3377</v>
      </c>
      <c r="H90" s="79">
        <v>61608107</v>
      </c>
      <c r="I90" s="79" t="s">
        <v>4914</v>
      </c>
      <c r="J90" s="79" t="s">
        <v>4457</v>
      </c>
    </row>
    <row r="91" spans="1:10" ht="14.25" hidden="1" customHeight="1" x14ac:dyDescent="0.25">
      <c r="A91" s="78">
        <v>708564001</v>
      </c>
      <c r="B91" s="54" t="s">
        <v>415</v>
      </c>
      <c r="C91" s="53" t="s">
        <v>159</v>
      </c>
      <c r="D91" s="79" t="s">
        <v>159</v>
      </c>
      <c r="E91" s="79" t="s">
        <v>4381</v>
      </c>
      <c r="F91" s="79" t="s">
        <v>4778</v>
      </c>
      <c r="G91" s="79" t="s">
        <v>2073</v>
      </c>
      <c r="H91" s="79">
        <v>70856400</v>
      </c>
      <c r="I91" s="79" t="s">
        <v>4914</v>
      </c>
      <c r="J91" s="79" t="s">
        <v>4445</v>
      </c>
    </row>
    <row r="92" spans="1:10" ht="14.25" hidden="1" customHeight="1" x14ac:dyDescent="0.25">
      <c r="A92" s="78" t="s">
        <v>150</v>
      </c>
      <c r="B92" s="54" t="s">
        <v>151</v>
      </c>
      <c r="C92" s="53" t="s">
        <v>4758</v>
      </c>
      <c r="D92" s="79" t="s">
        <v>25</v>
      </c>
      <c r="E92" s="79" t="s">
        <v>4223</v>
      </c>
      <c r="F92" s="79" t="s">
        <v>4779</v>
      </c>
      <c r="G92" s="79" t="s">
        <v>2030</v>
      </c>
      <c r="H92" s="79">
        <v>69191500</v>
      </c>
      <c r="I92" s="79" t="s">
        <v>4914</v>
      </c>
      <c r="J92" s="79" t="s">
        <v>4454</v>
      </c>
    </row>
    <row r="93" spans="1:10" ht="14.25" hidden="1" customHeight="1" x14ac:dyDescent="0.25">
      <c r="A93" s="78">
        <v>616063073</v>
      </c>
      <c r="B93" s="54" t="s">
        <v>215</v>
      </c>
      <c r="C93" s="53" t="s">
        <v>159</v>
      </c>
      <c r="D93" s="79" t="s">
        <v>159</v>
      </c>
      <c r="E93" s="79" t="s">
        <v>4466</v>
      </c>
      <c r="F93" s="79" t="s">
        <v>4803</v>
      </c>
      <c r="G93" s="79" t="s">
        <v>4158</v>
      </c>
      <c r="H93" s="79">
        <v>61606307</v>
      </c>
      <c r="I93" s="79" t="s">
        <v>4914</v>
      </c>
      <c r="J93" s="79" t="s">
        <v>4445</v>
      </c>
    </row>
    <row r="94" spans="1:10" ht="14.25" hidden="1" customHeight="1" x14ac:dyDescent="0.25">
      <c r="A94" s="78">
        <v>616080040</v>
      </c>
      <c r="B94" s="54" t="s">
        <v>52</v>
      </c>
      <c r="C94" s="53" t="s">
        <v>4</v>
      </c>
      <c r="D94" s="79" t="s">
        <v>4782</v>
      </c>
      <c r="E94" s="79" t="s">
        <v>4458</v>
      </c>
      <c r="F94" s="79" t="s">
        <v>4778</v>
      </c>
      <c r="G94" s="79" t="s">
        <v>3143</v>
      </c>
      <c r="H94" s="79">
        <v>61608004</v>
      </c>
      <c r="I94" s="79" t="s">
        <v>4914</v>
      </c>
      <c r="J94" s="79" t="s">
        <v>4453</v>
      </c>
    </row>
    <row r="95" spans="1:10" ht="14.25" hidden="1" customHeight="1" x14ac:dyDescent="0.25">
      <c r="A95" s="78" t="s">
        <v>694</v>
      </c>
      <c r="B95" s="54" t="s">
        <v>695</v>
      </c>
      <c r="C95" s="53" t="s">
        <v>159</v>
      </c>
      <c r="D95" s="79" t="s">
        <v>159</v>
      </c>
      <c r="E95" s="79" t="s">
        <v>4401</v>
      </c>
      <c r="F95" s="79" t="s">
        <v>4778</v>
      </c>
      <c r="G95" s="79" t="s">
        <v>1383</v>
      </c>
      <c r="H95" s="79">
        <v>70931100</v>
      </c>
      <c r="I95" s="79" t="s">
        <v>4914</v>
      </c>
      <c r="J95" s="79" t="s">
        <v>4445</v>
      </c>
    </row>
    <row r="96" spans="1:10" ht="14.25" hidden="1" customHeight="1" x14ac:dyDescent="0.25">
      <c r="A96" s="78">
        <v>616069012</v>
      </c>
      <c r="B96" s="54" t="s">
        <v>226</v>
      </c>
      <c r="C96" s="53" t="s">
        <v>4790</v>
      </c>
      <c r="D96" s="79" t="s">
        <v>4790</v>
      </c>
      <c r="E96" s="79" t="s">
        <v>4257</v>
      </c>
      <c r="F96" s="79" t="s">
        <v>4791</v>
      </c>
      <c r="G96" s="79" t="s">
        <v>2255</v>
      </c>
      <c r="H96" s="79">
        <v>61606901</v>
      </c>
      <c r="I96" s="79" t="s">
        <v>4914</v>
      </c>
      <c r="J96" s="79" t="s">
        <v>4445</v>
      </c>
    </row>
    <row r="97" spans="1:10" ht="14.25" hidden="1" customHeight="1" x14ac:dyDescent="0.25">
      <c r="A97" s="78" t="s">
        <v>679</v>
      </c>
      <c r="B97" s="54" t="s">
        <v>4804</v>
      </c>
      <c r="C97" s="53" t="s">
        <v>4790</v>
      </c>
      <c r="D97" s="79" t="s">
        <v>4790</v>
      </c>
      <c r="E97" s="79" t="s">
        <v>4473</v>
      </c>
      <c r="F97" s="79" t="s">
        <v>4795</v>
      </c>
      <c r="G97" s="79" t="s">
        <v>2360</v>
      </c>
      <c r="H97" s="79">
        <v>69081000</v>
      </c>
      <c r="I97" s="79" t="s">
        <v>4914</v>
      </c>
      <c r="J97" s="79" t="s">
        <v>4445</v>
      </c>
    </row>
    <row r="98" spans="1:10" ht="14.25" hidden="1" customHeight="1" x14ac:dyDescent="0.25">
      <c r="A98" s="78">
        <v>709255002</v>
      </c>
      <c r="B98" s="54" t="s">
        <v>425</v>
      </c>
      <c r="C98" s="53" t="s">
        <v>159</v>
      </c>
      <c r="D98" s="79" t="s">
        <v>159</v>
      </c>
      <c r="E98" s="79" t="s">
        <v>4287</v>
      </c>
      <c r="F98" s="79" t="s">
        <v>4778</v>
      </c>
      <c r="G98" s="79" t="s">
        <v>1912</v>
      </c>
      <c r="H98" s="79">
        <v>70925500</v>
      </c>
      <c r="I98" s="79" t="s">
        <v>4914</v>
      </c>
      <c r="J98" s="79" t="s">
        <v>4445</v>
      </c>
    </row>
    <row r="99" spans="1:10" ht="14.25" hidden="1" customHeight="1" x14ac:dyDescent="0.25">
      <c r="A99" s="78">
        <v>886116004</v>
      </c>
      <c r="B99" s="54" t="s">
        <v>124</v>
      </c>
      <c r="C99" s="53" t="s">
        <v>12</v>
      </c>
      <c r="D99" s="79" t="s">
        <v>4785</v>
      </c>
      <c r="E99" s="79" t="s">
        <v>4460</v>
      </c>
      <c r="F99" s="79" t="s">
        <v>4786</v>
      </c>
      <c r="G99" s="79" t="s">
        <v>3385</v>
      </c>
      <c r="H99" s="79">
        <v>88611600</v>
      </c>
      <c r="I99" s="79" t="s">
        <v>4915</v>
      </c>
      <c r="J99" s="79" t="s">
        <v>4464</v>
      </c>
    </row>
    <row r="100" spans="1:10" ht="14.25" hidden="1" customHeight="1" x14ac:dyDescent="0.25">
      <c r="A100" s="78">
        <v>774328483</v>
      </c>
      <c r="B100" s="54" t="s">
        <v>858</v>
      </c>
      <c r="C100" s="53" t="s">
        <v>159</v>
      </c>
      <c r="D100" s="79" t="s">
        <v>159</v>
      </c>
      <c r="E100" s="79" t="s">
        <v>4313</v>
      </c>
      <c r="F100" s="79" t="s">
        <v>4788</v>
      </c>
      <c r="G100" s="79" t="s">
        <v>2390</v>
      </c>
      <c r="H100" s="79">
        <v>77432848</v>
      </c>
      <c r="I100" s="79" t="s">
        <v>4915</v>
      </c>
      <c r="J100" s="79" t="s">
        <v>4445</v>
      </c>
    </row>
    <row r="101" spans="1:10" ht="14.25" hidden="1" customHeight="1" x14ac:dyDescent="0.25">
      <c r="A101" s="78">
        <v>692538005</v>
      </c>
      <c r="B101" s="54" t="s">
        <v>924</v>
      </c>
      <c r="C101" s="53" t="s">
        <v>159</v>
      </c>
      <c r="D101" s="79" t="s">
        <v>159</v>
      </c>
      <c r="E101" s="79" t="s">
        <v>4409</v>
      </c>
      <c r="F101" s="79" t="s">
        <v>4778</v>
      </c>
      <c r="G101" s="79" t="s">
        <v>1409</v>
      </c>
      <c r="H101" s="79">
        <v>69253800</v>
      </c>
      <c r="I101" s="79" t="s">
        <v>4914</v>
      </c>
      <c r="J101" s="79" t="s">
        <v>4445</v>
      </c>
    </row>
    <row r="102" spans="1:10" ht="14.25" hidden="1" customHeight="1" x14ac:dyDescent="0.25">
      <c r="A102" s="78">
        <v>690805006</v>
      </c>
      <c r="B102" s="54" t="s">
        <v>316</v>
      </c>
      <c r="C102" s="53" t="s">
        <v>4790</v>
      </c>
      <c r="D102" s="79" t="s">
        <v>4790</v>
      </c>
      <c r="E102" s="79" t="s">
        <v>4324</v>
      </c>
      <c r="F102" s="79" t="s">
        <v>4795</v>
      </c>
      <c r="G102" s="79" t="s">
        <v>1769</v>
      </c>
      <c r="H102" s="79">
        <v>69080500</v>
      </c>
      <c r="I102" s="79" t="s">
        <v>4914</v>
      </c>
      <c r="J102" s="79" t="s">
        <v>4445</v>
      </c>
    </row>
    <row r="103" spans="1:10" ht="14.25" hidden="1" customHeight="1" x14ac:dyDescent="0.25">
      <c r="A103" s="78">
        <v>616022229</v>
      </c>
      <c r="B103" s="54" t="s">
        <v>23</v>
      </c>
      <c r="C103" s="53" t="s">
        <v>12</v>
      </c>
      <c r="D103" s="79" t="s">
        <v>4785</v>
      </c>
      <c r="E103" s="79" t="s">
        <v>4389</v>
      </c>
      <c r="F103" s="79" t="s">
        <v>4779</v>
      </c>
      <c r="G103" s="79" t="s">
        <v>3844</v>
      </c>
      <c r="H103" s="79">
        <v>61602222</v>
      </c>
      <c r="I103" s="79" t="s">
        <v>4914</v>
      </c>
      <c r="J103" s="79" t="s">
        <v>4464</v>
      </c>
    </row>
    <row r="104" spans="1:10" ht="14.25" hidden="1" customHeight="1" x14ac:dyDescent="0.25">
      <c r="A104" s="78">
        <v>692553004</v>
      </c>
      <c r="B104" s="54" t="s">
        <v>396</v>
      </c>
      <c r="C104" s="53" t="s">
        <v>159</v>
      </c>
      <c r="D104" s="79" t="s">
        <v>159</v>
      </c>
      <c r="E104" s="79" t="s">
        <v>4411</v>
      </c>
      <c r="F104" s="79" t="s">
        <v>4778</v>
      </c>
      <c r="G104" s="79" t="s">
        <v>2609</v>
      </c>
      <c r="H104" s="79">
        <v>69255300</v>
      </c>
      <c r="I104" s="79" t="s">
        <v>4914</v>
      </c>
      <c r="J104" s="79" t="s">
        <v>4445</v>
      </c>
    </row>
    <row r="105" spans="1:10" ht="14.25" hidden="1" customHeight="1" x14ac:dyDescent="0.25">
      <c r="A105" s="78">
        <v>820318005</v>
      </c>
      <c r="B105" s="54" t="s">
        <v>122</v>
      </c>
      <c r="C105" s="53" t="s">
        <v>6</v>
      </c>
      <c r="D105" s="79" t="s">
        <v>4783</v>
      </c>
      <c r="E105" s="79" t="s">
        <v>4287</v>
      </c>
      <c r="F105" s="79" t="s">
        <v>4778</v>
      </c>
      <c r="G105" s="79" t="s">
        <v>1202</v>
      </c>
      <c r="H105" s="79">
        <v>82031800</v>
      </c>
      <c r="I105" s="79" t="s">
        <v>4915</v>
      </c>
      <c r="J105" s="79" t="s">
        <v>4457</v>
      </c>
    </row>
    <row r="106" spans="1:10" ht="14.25" hidden="1" customHeight="1" x14ac:dyDescent="0.25">
      <c r="A106" s="78">
        <v>616022016</v>
      </c>
      <c r="B106" s="54" t="s">
        <v>1669</v>
      </c>
      <c r="C106" s="53" t="s">
        <v>12</v>
      </c>
      <c r="D106" s="79" t="s">
        <v>4785</v>
      </c>
      <c r="E106" s="79" t="s">
        <v>4352</v>
      </c>
      <c r="F106" s="79" t="s">
        <v>4786</v>
      </c>
      <c r="G106" s="79" t="s">
        <v>1668</v>
      </c>
      <c r="H106" s="79">
        <v>61602201</v>
      </c>
      <c r="I106" s="79" t="s">
        <v>4914</v>
      </c>
      <c r="J106" s="79" t="s">
        <v>4464</v>
      </c>
    </row>
    <row r="107" spans="1:10" ht="14.25" hidden="1" customHeight="1" x14ac:dyDescent="0.25">
      <c r="A107" s="78">
        <v>616081055</v>
      </c>
      <c r="B107" s="54" t="s">
        <v>781</v>
      </c>
      <c r="C107" s="53" t="s">
        <v>159</v>
      </c>
      <c r="D107" s="79" t="s">
        <v>159</v>
      </c>
      <c r="E107" s="79" t="s">
        <v>4285</v>
      </c>
      <c r="F107" s="79" t="s">
        <v>4778</v>
      </c>
      <c r="G107" s="79" t="s">
        <v>2323</v>
      </c>
      <c r="H107" s="79">
        <v>61608105</v>
      </c>
      <c r="I107" s="79" t="s">
        <v>4914</v>
      </c>
      <c r="J107" s="79" t="s">
        <v>4445</v>
      </c>
    </row>
    <row r="108" spans="1:10" ht="14.25" hidden="1" customHeight="1" x14ac:dyDescent="0.25">
      <c r="A108" s="78">
        <v>995337908</v>
      </c>
      <c r="B108" s="54" t="s">
        <v>137</v>
      </c>
      <c r="C108" s="53" t="s">
        <v>4757</v>
      </c>
      <c r="D108" s="79" t="s">
        <v>4787</v>
      </c>
      <c r="E108" s="79" t="s">
        <v>4171</v>
      </c>
      <c r="F108" s="79" t="s">
        <v>4789</v>
      </c>
      <c r="G108" s="79" t="s">
        <v>3563</v>
      </c>
      <c r="H108" s="79">
        <v>99533790</v>
      </c>
      <c r="I108" s="79" t="s">
        <v>4915</v>
      </c>
      <c r="J108" s="79" t="s">
        <v>2372</v>
      </c>
    </row>
    <row r="109" spans="1:10" ht="14.25" hidden="1" customHeight="1" x14ac:dyDescent="0.25">
      <c r="A109" s="78">
        <v>760871168</v>
      </c>
      <c r="B109" s="54" t="s">
        <v>109</v>
      </c>
      <c r="C109" s="53" t="s">
        <v>4758</v>
      </c>
      <c r="D109" s="79" t="s">
        <v>25</v>
      </c>
      <c r="E109" s="79" t="s">
        <v>4170</v>
      </c>
      <c r="F109" s="79" t="s">
        <v>4798</v>
      </c>
      <c r="G109" s="79" t="s">
        <v>3827</v>
      </c>
      <c r="H109" s="79">
        <v>76087116</v>
      </c>
      <c r="I109" s="79" t="s">
        <v>4915</v>
      </c>
      <c r="J109" s="79" t="s">
        <v>4454</v>
      </c>
    </row>
    <row r="110" spans="1:10" ht="14.25" hidden="1" customHeight="1" x14ac:dyDescent="0.25">
      <c r="A110" s="78">
        <v>969424002</v>
      </c>
      <c r="B110" s="54" t="s">
        <v>614</v>
      </c>
      <c r="C110" s="53" t="s">
        <v>159</v>
      </c>
      <c r="D110" s="79" t="s">
        <v>159</v>
      </c>
      <c r="E110" s="79" t="s">
        <v>4391</v>
      </c>
      <c r="F110" s="79" t="s">
        <v>4778</v>
      </c>
      <c r="G110" s="79" t="s">
        <v>1865</v>
      </c>
      <c r="H110" s="79">
        <v>96942400</v>
      </c>
      <c r="I110" s="79" t="s">
        <v>4915</v>
      </c>
      <c r="J110" s="79" t="s">
        <v>4445</v>
      </c>
    </row>
    <row r="111" spans="1:10" ht="14.25" hidden="1" customHeight="1" x14ac:dyDescent="0.25">
      <c r="A111" s="78">
        <v>920510000</v>
      </c>
      <c r="B111" s="54" t="s">
        <v>126</v>
      </c>
      <c r="C111" s="53" t="s">
        <v>4</v>
      </c>
      <c r="D111" s="79" t="s">
        <v>4782</v>
      </c>
      <c r="E111" s="79" t="s">
        <v>4391</v>
      </c>
      <c r="F111" s="79" t="s">
        <v>4778</v>
      </c>
      <c r="G111" s="79" t="s">
        <v>3931</v>
      </c>
      <c r="H111" s="79">
        <v>92051000</v>
      </c>
      <c r="I111" s="79" t="s">
        <v>4915</v>
      </c>
      <c r="J111" s="79" t="s">
        <v>4453</v>
      </c>
    </row>
    <row r="112" spans="1:10" ht="14.25" hidden="1" customHeight="1" x14ac:dyDescent="0.25">
      <c r="A112" s="78">
        <v>616075039</v>
      </c>
      <c r="B112" s="54" t="s">
        <v>50</v>
      </c>
      <c r="C112" s="53" t="s">
        <v>4758</v>
      </c>
      <c r="D112" s="79" t="s">
        <v>25</v>
      </c>
      <c r="E112" s="79" t="s">
        <v>4467</v>
      </c>
      <c r="F112" s="79" t="s">
        <v>4798</v>
      </c>
      <c r="G112" s="79" t="s">
        <v>2526</v>
      </c>
      <c r="H112" s="79">
        <v>61607503</v>
      </c>
      <c r="I112" s="79" t="s">
        <v>4914</v>
      </c>
      <c r="J112" s="79" t="s">
        <v>4454</v>
      </c>
    </row>
    <row r="113" spans="1:10" ht="14.25" hidden="1" customHeight="1" x14ac:dyDescent="0.25">
      <c r="A113" s="78">
        <v>692569008</v>
      </c>
      <c r="B113" s="54" t="s">
        <v>98</v>
      </c>
      <c r="C113" s="53" t="s">
        <v>12</v>
      </c>
      <c r="D113" s="79" t="s">
        <v>4785</v>
      </c>
      <c r="E113" s="79" t="s">
        <v>4460</v>
      </c>
      <c r="F113" s="79" t="s">
        <v>4786</v>
      </c>
      <c r="G113" s="79" t="s">
        <v>3895</v>
      </c>
      <c r="H113" s="79">
        <v>69256900</v>
      </c>
      <c r="I113" s="79" t="s">
        <v>4914</v>
      </c>
      <c r="J113" s="79" t="s">
        <v>4464</v>
      </c>
    </row>
    <row r="114" spans="1:10" ht="14.25" hidden="1" customHeight="1" x14ac:dyDescent="0.25">
      <c r="A114" s="78">
        <v>780353902</v>
      </c>
      <c r="B114" s="54" t="s">
        <v>117</v>
      </c>
      <c r="C114" s="53" t="s">
        <v>4757</v>
      </c>
      <c r="D114" s="79" t="s">
        <v>4787</v>
      </c>
      <c r="E114" s="79" t="s">
        <v>4198</v>
      </c>
      <c r="F114" s="79" t="s">
        <v>4788</v>
      </c>
      <c r="G114" s="79" t="s">
        <v>2224</v>
      </c>
      <c r="H114" s="79">
        <v>78035390</v>
      </c>
      <c r="I114" s="79" t="s">
        <v>4915</v>
      </c>
      <c r="J114" s="79" t="s">
        <v>2372</v>
      </c>
    </row>
    <row r="115" spans="1:10" ht="14.25" hidden="1" customHeight="1" x14ac:dyDescent="0.25">
      <c r="A115" s="78">
        <v>616022385</v>
      </c>
      <c r="B115" s="54" t="s">
        <v>3028</v>
      </c>
      <c r="C115" s="53" t="s">
        <v>4758</v>
      </c>
      <c r="D115" s="79" t="s">
        <v>25</v>
      </c>
      <c r="E115" s="79" t="s">
        <v>4478</v>
      </c>
      <c r="F115" s="79" t="s">
        <v>4779</v>
      </c>
      <c r="G115" s="79" t="s">
        <v>3027</v>
      </c>
      <c r="H115" s="79">
        <v>61602238</v>
      </c>
      <c r="I115" s="79" t="s">
        <v>4914</v>
      </c>
      <c r="J115" s="79" t="s">
        <v>4454</v>
      </c>
    </row>
    <row r="116" spans="1:10" ht="14.25" hidden="1" customHeight="1" x14ac:dyDescent="0.25">
      <c r="A116" s="78">
        <v>611010303</v>
      </c>
      <c r="B116" s="54" t="s">
        <v>9</v>
      </c>
      <c r="C116" s="53" t="s">
        <v>6</v>
      </c>
      <c r="D116" s="79" t="s">
        <v>4783</v>
      </c>
      <c r="E116" s="79" t="s">
        <v>4463</v>
      </c>
      <c r="F116" s="79" t="s">
        <v>4778</v>
      </c>
      <c r="G116" s="79" t="s">
        <v>2172</v>
      </c>
      <c r="H116" s="79">
        <v>61101030</v>
      </c>
      <c r="I116" s="79" t="s">
        <v>4914</v>
      </c>
      <c r="J116" s="79" t="s">
        <v>4457</v>
      </c>
    </row>
    <row r="117" spans="1:10" ht="14.25" hidden="1" customHeight="1" x14ac:dyDescent="0.25">
      <c r="A117" s="78">
        <v>768426007</v>
      </c>
      <c r="B117" s="54" t="s">
        <v>506</v>
      </c>
      <c r="C117" s="53" t="s">
        <v>4790</v>
      </c>
      <c r="D117" s="79" t="s">
        <v>4790</v>
      </c>
      <c r="E117" s="79" t="s">
        <v>4257</v>
      </c>
      <c r="F117" s="79" t="s">
        <v>4791</v>
      </c>
      <c r="G117" s="79" t="s">
        <v>3671</v>
      </c>
      <c r="H117" s="79">
        <v>76842600</v>
      </c>
      <c r="I117" s="79" t="s">
        <v>4915</v>
      </c>
      <c r="J117" s="79" t="s">
        <v>4445</v>
      </c>
    </row>
    <row r="118" spans="1:10" ht="14.25" hidden="1" customHeight="1" x14ac:dyDescent="0.25">
      <c r="A118" s="78" t="s">
        <v>663</v>
      </c>
      <c r="B118" s="54" t="s">
        <v>876</v>
      </c>
      <c r="C118" s="53" t="s">
        <v>159</v>
      </c>
      <c r="D118" s="79" t="s">
        <v>159</v>
      </c>
      <c r="E118" s="79" t="s">
        <v>4402</v>
      </c>
      <c r="F118" s="79" t="s">
        <v>4788</v>
      </c>
      <c r="G118" s="79" t="s">
        <v>2184</v>
      </c>
      <c r="H118" s="79">
        <v>61979270</v>
      </c>
      <c r="I118" s="79" t="s">
        <v>4914</v>
      </c>
      <c r="J118" s="79" t="s">
        <v>4445</v>
      </c>
    </row>
    <row r="119" spans="1:10" ht="14.25" hidden="1" customHeight="1" x14ac:dyDescent="0.25">
      <c r="A119" s="78">
        <v>770253160</v>
      </c>
      <c r="B119" s="54" t="s">
        <v>521</v>
      </c>
      <c r="C119" s="53" t="s">
        <v>159</v>
      </c>
      <c r="D119" s="79" t="s">
        <v>159</v>
      </c>
      <c r="E119" s="79" t="s">
        <v>4465</v>
      </c>
      <c r="F119" s="79" t="s">
        <v>4778</v>
      </c>
      <c r="G119" s="79" t="s">
        <v>3580</v>
      </c>
      <c r="H119" s="79">
        <v>77025316</v>
      </c>
      <c r="I119" s="79" t="s">
        <v>4915</v>
      </c>
      <c r="J119" s="79" t="s">
        <v>4445</v>
      </c>
    </row>
    <row r="120" spans="1:10" ht="14.25" hidden="1" customHeight="1" x14ac:dyDescent="0.25">
      <c r="A120" s="78">
        <v>772087233</v>
      </c>
      <c r="B120" s="54" t="s">
        <v>541</v>
      </c>
      <c r="C120" s="53" t="s">
        <v>159</v>
      </c>
      <c r="D120" s="79" t="s">
        <v>159</v>
      </c>
      <c r="E120" s="79" t="s">
        <v>4168</v>
      </c>
      <c r="F120" s="79" t="s">
        <v>4778</v>
      </c>
      <c r="G120" s="79" t="s">
        <v>1905</v>
      </c>
      <c r="H120" s="79">
        <v>77208723</v>
      </c>
      <c r="I120" s="79" t="s">
        <v>4915</v>
      </c>
      <c r="J120" s="79" t="s">
        <v>4445</v>
      </c>
    </row>
    <row r="121" spans="1:10" ht="14.25" hidden="1" customHeight="1" x14ac:dyDescent="0.25">
      <c r="A121" s="78">
        <v>611020252</v>
      </c>
      <c r="B121" s="54" t="s">
        <v>11</v>
      </c>
      <c r="C121" s="53" t="s">
        <v>12</v>
      </c>
      <c r="D121" s="79" t="s">
        <v>4785</v>
      </c>
      <c r="E121" s="79" t="s">
        <v>4183</v>
      </c>
      <c r="F121" s="79" t="s">
        <v>4786</v>
      </c>
      <c r="G121" s="79" t="s">
        <v>3614</v>
      </c>
      <c r="H121" s="79">
        <v>61102025</v>
      </c>
      <c r="I121" s="79" t="s">
        <v>4914</v>
      </c>
      <c r="J121" s="79" t="s">
        <v>4464</v>
      </c>
    </row>
    <row r="122" spans="1:10" ht="14.25" hidden="1" customHeight="1" x14ac:dyDescent="0.25">
      <c r="A122" s="78">
        <v>616063030</v>
      </c>
      <c r="B122" s="54" t="s">
        <v>212</v>
      </c>
      <c r="C122" s="53" t="s">
        <v>159</v>
      </c>
      <c r="D122" s="79" t="s">
        <v>159</v>
      </c>
      <c r="E122" s="79" t="s">
        <v>4241</v>
      </c>
      <c r="F122" s="79" t="s">
        <v>4803</v>
      </c>
      <c r="G122" s="79" t="s">
        <v>2158</v>
      </c>
      <c r="H122" s="79">
        <v>61606303</v>
      </c>
      <c r="I122" s="79" t="s">
        <v>4914</v>
      </c>
      <c r="J122" s="79" t="s">
        <v>4445</v>
      </c>
    </row>
    <row r="123" spans="1:10" ht="14.25" hidden="1" customHeight="1" x14ac:dyDescent="0.25">
      <c r="A123" s="78">
        <v>716140008</v>
      </c>
      <c r="B123" s="54" t="s">
        <v>107</v>
      </c>
      <c r="C123" s="53" t="s">
        <v>6</v>
      </c>
      <c r="D123" s="79" t="s">
        <v>4783</v>
      </c>
      <c r="E123" s="79" t="s">
        <v>4465</v>
      </c>
      <c r="F123" s="79" t="s">
        <v>4778</v>
      </c>
      <c r="G123" s="79" t="s">
        <v>2160</v>
      </c>
      <c r="H123" s="79">
        <v>71614000</v>
      </c>
      <c r="I123" s="79" t="s">
        <v>4915</v>
      </c>
      <c r="J123" s="79" t="s">
        <v>4457</v>
      </c>
    </row>
    <row r="124" spans="1:10" ht="14.25" hidden="1" customHeight="1" x14ac:dyDescent="0.25">
      <c r="A124" s="78">
        <v>691303012</v>
      </c>
      <c r="B124" s="54" t="s">
        <v>343</v>
      </c>
      <c r="C124" s="53" t="s">
        <v>4790</v>
      </c>
      <c r="D124" s="79" t="s">
        <v>4790</v>
      </c>
      <c r="E124" s="79" t="s">
        <v>4264</v>
      </c>
      <c r="F124" s="79" t="s">
        <v>4791</v>
      </c>
      <c r="G124" s="79" t="s">
        <v>3987</v>
      </c>
      <c r="H124" s="79">
        <v>69130301</v>
      </c>
      <c r="I124" s="79" t="s">
        <v>4914</v>
      </c>
      <c r="J124" s="79" t="s">
        <v>4445</v>
      </c>
    </row>
    <row r="125" spans="1:10" ht="14.25" hidden="1" customHeight="1" x14ac:dyDescent="0.25">
      <c r="A125" s="78">
        <v>966067500</v>
      </c>
      <c r="B125" s="54" t="s">
        <v>129</v>
      </c>
      <c r="C125" s="53" t="s">
        <v>4758</v>
      </c>
      <c r="D125" s="79" t="s">
        <v>25</v>
      </c>
      <c r="E125" s="79" t="s">
        <v>4218</v>
      </c>
      <c r="F125" s="79" t="s">
        <v>4779</v>
      </c>
      <c r="G125" s="79" t="s">
        <v>2080</v>
      </c>
      <c r="H125" s="79">
        <v>96606750</v>
      </c>
      <c r="I125" s="79" t="s">
        <v>4915</v>
      </c>
      <c r="J125" s="79" t="s">
        <v>4454</v>
      </c>
    </row>
    <row r="126" spans="1:10" ht="14.25" hidden="1" customHeight="1" x14ac:dyDescent="0.25">
      <c r="A126" s="78">
        <v>692651006</v>
      </c>
      <c r="B126" s="54" t="s">
        <v>405</v>
      </c>
      <c r="C126" s="53" t="s">
        <v>4</v>
      </c>
      <c r="D126" s="79" t="s">
        <v>4782</v>
      </c>
      <c r="E126" s="79" t="s">
        <v>4414</v>
      </c>
      <c r="F126" s="79" t="s">
        <v>4802</v>
      </c>
      <c r="G126" s="79" t="s">
        <v>1641</v>
      </c>
      <c r="H126" s="79">
        <v>69265100</v>
      </c>
      <c r="I126" s="79" t="s">
        <v>4914</v>
      </c>
      <c r="J126" s="79" t="s">
        <v>4453</v>
      </c>
    </row>
    <row r="127" spans="1:10" ht="14.25" hidden="1" customHeight="1" x14ac:dyDescent="0.25">
      <c r="A127" s="78">
        <v>692549007</v>
      </c>
      <c r="B127" s="54" t="s">
        <v>394</v>
      </c>
      <c r="C127" s="53" t="s">
        <v>159</v>
      </c>
      <c r="D127" s="79" t="s">
        <v>159</v>
      </c>
      <c r="E127" s="79" t="s">
        <v>4449</v>
      </c>
      <c r="F127" s="79" t="s">
        <v>4778</v>
      </c>
      <c r="G127" s="79" t="s">
        <v>1181</v>
      </c>
      <c r="H127" s="79">
        <v>69254900</v>
      </c>
      <c r="I127" s="79" t="s">
        <v>4914</v>
      </c>
      <c r="J127" s="79" t="s">
        <v>4445</v>
      </c>
    </row>
    <row r="128" spans="1:10" ht="14.25" hidden="1" customHeight="1" x14ac:dyDescent="0.25">
      <c r="A128" s="78">
        <v>616022482</v>
      </c>
      <c r="B128" s="54" t="s">
        <v>745</v>
      </c>
      <c r="C128" s="53" t="s">
        <v>4758</v>
      </c>
      <c r="D128" s="79" t="s">
        <v>25</v>
      </c>
      <c r="E128" s="79" t="s">
        <v>4223</v>
      </c>
      <c r="F128" s="79" t="s">
        <v>4779</v>
      </c>
      <c r="G128" s="79" t="s">
        <v>1346</v>
      </c>
      <c r="H128" s="79">
        <v>61602248</v>
      </c>
      <c r="I128" s="79" t="s">
        <v>4914</v>
      </c>
      <c r="J128" s="79" t="s">
        <v>4454</v>
      </c>
    </row>
    <row r="129" spans="1:10" ht="14.25" hidden="1" customHeight="1" x14ac:dyDescent="0.25">
      <c r="A129" s="78" t="s">
        <v>152</v>
      </c>
      <c r="B129" s="54" t="s">
        <v>153</v>
      </c>
      <c r="C129" s="53" t="s">
        <v>12</v>
      </c>
      <c r="D129" s="79" t="s">
        <v>4785</v>
      </c>
      <c r="E129" s="79" t="s">
        <v>4475</v>
      </c>
      <c r="F129" s="79" t="s">
        <v>4786</v>
      </c>
      <c r="G129" s="79" t="s">
        <v>2057</v>
      </c>
      <c r="H129" s="79">
        <v>69264400</v>
      </c>
      <c r="I129" s="79" t="s">
        <v>4914</v>
      </c>
      <c r="J129" s="79" t="s">
        <v>4464</v>
      </c>
    </row>
    <row r="130" spans="1:10" ht="14.25" hidden="1" customHeight="1" x14ac:dyDescent="0.25">
      <c r="A130" s="78">
        <v>616081020</v>
      </c>
      <c r="B130" s="54" t="s">
        <v>54</v>
      </c>
      <c r="C130" s="53" t="s">
        <v>4</v>
      </c>
      <c r="D130" s="79" t="s">
        <v>4782</v>
      </c>
      <c r="E130" s="79" t="s">
        <v>4416</v>
      </c>
      <c r="F130" s="79" t="s">
        <v>4778</v>
      </c>
      <c r="G130" s="79" t="s">
        <v>1310</v>
      </c>
      <c r="H130" s="79">
        <v>61608102</v>
      </c>
      <c r="I130" s="79" t="s">
        <v>4914</v>
      </c>
      <c r="J130" s="79" t="s">
        <v>4453</v>
      </c>
    </row>
    <row r="131" spans="1:10" ht="14.25" hidden="1" customHeight="1" x14ac:dyDescent="0.25">
      <c r="A131" s="78">
        <v>605057233</v>
      </c>
      <c r="B131" s="54" t="s">
        <v>5</v>
      </c>
      <c r="C131" s="53" t="s">
        <v>6</v>
      </c>
      <c r="D131" s="79" t="s">
        <v>4783</v>
      </c>
      <c r="E131" s="79" t="s">
        <v>4395</v>
      </c>
      <c r="F131" s="79" t="s">
        <v>4778</v>
      </c>
      <c r="G131" s="79" t="s">
        <v>1822</v>
      </c>
      <c r="H131" s="79">
        <v>60505723</v>
      </c>
      <c r="I131" s="79" t="s">
        <v>4914</v>
      </c>
      <c r="J131" s="79" t="s">
        <v>4457</v>
      </c>
    </row>
    <row r="132" spans="1:10" ht="14.25" hidden="1" customHeight="1" x14ac:dyDescent="0.25">
      <c r="A132" s="78">
        <v>709057006</v>
      </c>
      <c r="B132" s="54" t="s">
        <v>4805</v>
      </c>
      <c r="C132" s="53" t="s">
        <v>4790</v>
      </c>
      <c r="D132" s="79" t="s">
        <v>4790</v>
      </c>
      <c r="E132" s="79" t="s">
        <v>4178</v>
      </c>
      <c r="F132" s="79" t="s">
        <v>4795</v>
      </c>
      <c r="G132" s="79" t="s">
        <v>2241</v>
      </c>
      <c r="H132" s="79">
        <v>70905700</v>
      </c>
      <c r="I132" s="79" t="s">
        <v>4915</v>
      </c>
      <c r="J132" s="79" t="s">
        <v>4445</v>
      </c>
    </row>
    <row r="133" spans="1:10" ht="14.25" hidden="1" customHeight="1" x14ac:dyDescent="0.25">
      <c r="A133" s="78">
        <v>611020295</v>
      </c>
      <c r="B133" s="54" t="s">
        <v>167</v>
      </c>
      <c r="C133" s="53" t="s">
        <v>159</v>
      </c>
      <c r="D133" s="79" t="s">
        <v>159</v>
      </c>
      <c r="E133" s="79" t="s">
        <v>4185</v>
      </c>
      <c r="F133" s="79" t="s">
        <v>4806</v>
      </c>
      <c r="G133" s="79" t="s">
        <v>2213</v>
      </c>
      <c r="H133" s="79">
        <v>61102029</v>
      </c>
      <c r="I133" s="79" t="s">
        <v>4914</v>
      </c>
      <c r="J133" s="79" t="s">
        <v>4445</v>
      </c>
    </row>
    <row r="134" spans="1:10" ht="14.25" hidden="1" customHeight="1" x14ac:dyDescent="0.25">
      <c r="A134" s="78">
        <v>619794508</v>
      </c>
      <c r="B134" s="54" t="s">
        <v>267</v>
      </c>
      <c r="C134" s="53" t="s">
        <v>4793</v>
      </c>
      <c r="D134" s="79" t="s">
        <v>4794</v>
      </c>
      <c r="E134" s="79" t="s">
        <v>4391</v>
      </c>
      <c r="F134" s="79" t="s">
        <v>4778</v>
      </c>
      <c r="G134" s="79" t="s">
        <v>2164</v>
      </c>
      <c r="H134" s="79">
        <v>61979450</v>
      </c>
      <c r="I134" s="79" t="s">
        <v>4914</v>
      </c>
      <c r="J134" s="79" t="s">
        <v>4445</v>
      </c>
    </row>
    <row r="135" spans="1:10" ht="14.25" hidden="1" customHeight="1" x14ac:dyDescent="0.25">
      <c r="A135" s="78" t="s">
        <v>141</v>
      </c>
      <c r="B135" s="54" t="s">
        <v>142</v>
      </c>
      <c r="C135" s="53" t="s">
        <v>4758</v>
      </c>
      <c r="D135" s="79" t="s">
        <v>25</v>
      </c>
      <c r="E135" s="79" t="s">
        <v>4170</v>
      </c>
      <c r="F135" s="79" t="s">
        <v>4798</v>
      </c>
      <c r="G135" s="79" t="s">
        <v>1200</v>
      </c>
      <c r="H135" s="79">
        <v>53335808</v>
      </c>
      <c r="I135" s="79" t="s">
        <v>4914</v>
      </c>
      <c r="J135" s="79" t="s">
        <v>4454</v>
      </c>
    </row>
    <row r="136" spans="1:10" ht="14.25" hidden="1" customHeight="1" x14ac:dyDescent="0.25">
      <c r="A136" s="78" t="s">
        <v>699</v>
      </c>
      <c r="B136" s="54" t="s">
        <v>700</v>
      </c>
      <c r="C136" s="53" t="s">
        <v>4790</v>
      </c>
      <c r="D136" s="79" t="s">
        <v>4790</v>
      </c>
      <c r="E136" s="79" t="s">
        <v>4257</v>
      </c>
      <c r="F136" s="79" t="s">
        <v>4791</v>
      </c>
      <c r="G136" s="79" t="s">
        <v>2427</v>
      </c>
      <c r="H136" s="79">
        <v>71918300</v>
      </c>
      <c r="I136" s="79" t="s">
        <v>4915</v>
      </c>
      <c r="J136" s="79" t="s">
        <v>4445</v>
      </c>
    </row>
    <row r="137" spans="1:10" ht="14.25" hidden="1" customHeight="1" x14ac:dyDescent="0.25">
      <c r="A137" s="78">
        <v>690718006</v>
      </c>
      <c r="B137" s="54" t="s">
        <v>306</v>
      </c>
      <c r="C137" s="53" t="s">
        <v>4793</v>
      </c>
      <c r="D137" s="79" t="s">
        <v>4794</v>
      </c>
      <c r="E137" s="79" t="s">
        <v>4196</v>
      </c>
      <c r="F137" s="79" t="s">
        <v>4778</v>
      </c>
      <c r="G137" s="79" t="s">
        <v>2306</v>
      </c>
      <c r="H137" s="79">
        <v>69071800</v>
      </c>
      <c r="I137" s="79" t="s">
        <v>4914</v>
      </c>
      <c r="J137" s="79" t="s">
        <v>4445</v>
      </c>
    </row>
    <row r="138" spans="1:10" ht="14.25" hidden="1" customHeight="1" x14ac:dyDescent="0.25">
      <c r="A138" s="78">
        <v>692647009</v>
      </c>
      <c r="B138" s="54" t="s">
        <v>403</v>
      </c>
      <c r="C138" s="53" t="s">
        <v>12</v>
      </c>
      <c r="D138" s="79" t="s">
        <v>4785</v>
      </c>
      <c r="E138" s="79" t="s">
        <v>4392</v>
      </c>
      <c r="F138" s="79" t="s">
        <v>4786</v>
      </c>
      <c r="G138" s="79" t="s">
        <v>2191</v>
      </c>
      <c r="H138" s="79">
        <v>69264700</v>
      </c>
      <c r="I138" s="79" t="s">
        <v>4914</v>
      </c>
      <c r="J138" s="79" t="s">
        <v>4464</v>
      </c>
    </row>
    <row r="139" spans="1:10" ht="14.25" hidden="1" customHeight="1" x14ac:dyDescent="0.25">
      <c r="A139" s="78">
        <v>616021222</v>
      </c>
      <c r="B139" s="54" t="s">
        <v>173</v>
      </c>
      <c r="C139" s="53" t="s">
        <v>4793</v>
      </c>
      <c r="D139" s="79" t="s">
        <v>4794</v>
      </c>
      <c r="E139" s="79" t="s">
        <v>4196</v>
      </c>
      <c r="F139" s="79" t="s">
        <v>4778</v>
      </c>
      <c r="G139" s="79" t="s">
        <v>2170</v>
      </c>
      <c r="H139" s="79">
        <v>61602122</v>
      </c>
      <c r="I139" s="79" t="s">
        <v>4914</v>
      </c>
      <c r="J139" s="79" t="s">
        <v>4445</v>
      </c>
    </row>
    <row r="140" spans="1:10" ht="14.25" hidden="1" customHeight="1" x14ac:dyDescent="0.25">
      <c r="A140" s="78">
        <v>691916006</v>
      </c>
      <c r="B140" s="54" t="s">
        <v>94</v>
      </c>
      <c r="C140" s="53" t="s">
        <v>4758</v>
      </c>
      <c r="D140" s="79" t="s">
        <v>25</v>
      </c>
      <c r="E140" s="79" t="s">
        <v>4544</v>
      </c>
      <c r="F140" s="79" t="s">
        <v>4779</v>
      </c>
      <c r="G140" s="79" t="s">
        <v>1637</v>
      </c>
      <c r="H140" s="79">
        <v>69191600</v>
      </c>
      <c r="I140" s="79" t="s">
        <v>4914</v>
      </c>
      <c r="J140" s="79" t="s">
        <v>4454</v>
      </c>
    </row>
    <row r="141" spans="1:10" ht="14.25" hidden="1" customHeight="1" x14ac:dyDescent="0.25">
      <c r="A141" s="78">
        <v>995687208</v>
      </c>
      <c r="B141" s="54" t="s">
        <v>139</v>
      </c>
      <c r="C141" s="53" t="s">
        <v>4757</v>
      </c>
      <c r="D141" s="79" t="s">
        <v>4787</v>
      </c>
      <c r="E141" s="79" t="s">
        <v>4459</v>
      </c>
      <c r="F141" s="79" t="s">
        <v>4788</v>
      </c>
      <c r="G141" s="79" t="s">
        <v>2045</v>
      </c>
      <c r="H141" s="79">
        <v>99568720</v>
      </c>
      <c r="I141" s="79" t="s">
        <v>4915</v>
      </c>
      <c r="J141" s="79" t="s">
        <v>2372</v>
      </c>
    </row>
    <row r="142" spans="1:10" ht="14.25" hidden="1" customHeight="1" x14ac:dyDescent="0.25">
      <c r="A142" s="78">
        <v>708594008</v>
      </c>
      <c r="B142" s="54" t="s">
        <v>103</v>
      </c>
      <c r="C142" s="53" t="s">
        <v>4757</v>
      </c>
      <c r="D142" s="79" t="s">
        <v>4787</v>
      </c>
      <c r="E142" s="79" t="s">
        <v>4459</v>
      </c>
      <c r="F142" s="79" t="s">
        <v>4788</v>
      </c>
      <c r="G142" s="79" t="s">
        <v>1955</v>
      </c>
      <c r="H142" s="79">
        <v>70859400</v>
      </c>
      <c r="I142" s="79" t="s">
        <v>4914</v>
      </c>
      <c r="J142" s="79" t="s">
        <v>2372</v>
      </c>
    </row>
    <row r="143" spans="1:10" ht="14.25" hidden="1" customHeight="1" x14ac:dyDescent="0.25">
      <c r="A143" s="78">
        <v>616066048</v>
      </c>
      <c r="B143" s="54" t="s">
        <v>37</v>
      </c>
      <c r="C143" s="53" t="s">
        <v>4757</v>
      </c>
      <c r="D143" s="79" t="s">
        <v>4787</v>
      </c>
      <c r="E143" s="79" t="s">
        <v>4490</v>
      </c>
      <c r="F143" s="79" t="s">
        <v>4788</v>
      </c>
      <c r="G143" s="79" t="s">
        <v>1994</v>
      </c>
      <c r="H143" s="79">
        <v>61606604</v>
      </c>
      <c r="I143" s="79" t="s">
        <v>4914</v>
      </c>
      <c r="J143" s="79" t="s">
        <v>2372</v>
      </c>
    </row>
    <row r="144" spans="1:10" ht="14.25" hidden="1" customHeight="1" x14ac:dyDescent="0.25">
      <c r="A144" s="78">
        <v>611010869</v>
      </c>
      <c r="B144" s="54" t="s">
        <v>166</v>
      </c>
      <c r="C144" s="53" t="s">
        <v>4793</v>
      </c>
      <c r="D144" s="79" t="s">
        <v>4794</v>
      </c>
      <c r="E144" s="79" t="s">
        <v>4182</v>
      </c>
      <c r="F144" s="79" t="s">
        <v>4796</v>
      </c>
      <c r="G144" s="79" t="s">
        <v>1434</v>
      </c>
      <c r="H144" s="79">
        <v>61101086</v>
      </c>
      <c r="I144" s="79" t="s">
        <v>4914</v>
      </c>
      <c r="J144" s="79" t="s">
        <v>4445</v>
      </c>
    </row>
    <row r="145" spans="1:10" ht="14.25" hidden="1" customHeight="1" x14ac:dyDescent="0.25">
      <c r="A145" s="78">
        <v>690709007</v>
      </c>
      <c r="B145" s="54" t="s">
        <v>304</v>
      </c>
      <c r="C145" s="53" t="s">
        <v>4793</v>
      </c>
      <c r="D145" s="79" t="s">
        <v>4794</v>
      </c>
      <c r="E145" s="79" t="s">
        <v>4510</v>
      </c>
      <c r="F145" s="79" t="s">
        <v>4778</v>
      </c>
      <c r="G145" s="79" t="s">
        <v>2169</v>
      </c>
      <c r="H145" s="79">
        <v>69070900</v>
      </c>
      <c r="I145" s="79" t="s">
        <v>4914</v>
      </c>
      <c r="J145" s="79" t="s">
        <v>4445</v>
      </c>
    </row>
    <row r="146" spans="1:10" ht="14.25" hidden="1" customHeight="1" x14ac:dyDescent="0.25">
      <c r="A146" s="78" t="s">
        <v>157</v>
      </c>
      <c r="B146" s="54" t="s">
        <v>158</v>
      </c>
      <c r="C146" s="53" t="s">
        <v>12</v>
      </c>
      <c r="D146" s="79" t="s">
        <v>4785</v>
      </c>
      <c r="E146" s="79" t="s">
        <v>4272</v>
      </c>
      <c r="F146" s="79" t="s">
        <v>4786</v>
      </c>
      <c r="G146" s="79" t="s">
        <v>1996</v>
      </c>
      <c r="H146" s="79">
        <v>96662020</v>
      </c>
      <c r="I146" s="79" t="s">
        <v>4915</v>
      </c>
      <c r="J146" s="79" t="s">
        <v>4464</v>
      </c>
    </row>
    <row r="147" spans="1:10" ht="14.25" hidden="1" customHeight="1" x14ac:dyDescent="0.25">
      <c r="A147" s="78">
        <v>995378000</v>
      </c>
      <c r="B147" s="54" t="s">
        <v>617</v>
      </c>
      <c r="C147" s="53" t="s">
        <v>4793</v>
      </c>
      <c r="D147" s="79" t="s">
        <v>4794</v>
      </c>
      <c r="E147" s="79" t="s">
        <v>4182</v>
      </c>
      <c r="F147" s="79" t="s">
        <v>4796</v>
      </c>
      <c r="G147" s="79" t="s">
        <v>2068</v>
      </c>
      <c r="H147" s="79">
        <v>99537800</v>
      </c>
      <c r="I147" s="79" t="s">
        <v>4915</v>
      </c>
      <c r="J147" s="79" t="s">
        <v>4445</v>
      </c>
    </row>
    <row r="148" spans="1:10" ht="14.25" hidden="1" customHeight="1" x14ac:dyDescent="0.25">
      <c r="A148" s="78">
        <v>712939001</v>
      </c>
      <c r="B148" s="54" t="s">
        <v>445</v>
      </c>
      <c r="C148" s="53" t="s">
        <v>159</v>
      </c>
      <c r="D148" s="79" t="s">
        <v>159</v>
      </c>
      <c r="E148" s="79" t="s">
        <v>4197</v>
      </c>
      <c r="F148" s="79" t="s">
        <v>4778</v>
      </c>
      <c r="G148" s="79" t="s">
        <v>2994</v>
      </c>
      <c r="H148" s="79">
        <v>71293900</v>
      </c>
      <c r="I148" s="79" t="s">
        <v>4914</v>
      </c>
      <c r="J148" s="79" t="s">
        <v>4445</v>
      </c>
    </row>
    <row r="149" spans="1:10" ht="14.25" hidden="1" customHeight="1" x14ac:dyDescent="0.25">
      <c r="A149" s="78">
        <v>713699004</v>
      </c>
      <c r="B149" s="54" t="s">
        <v>448</v>
      </c>
      <c r="C149" s="53" t="s">
        <v>159</v>
      </c>
      <c r="D149" s="79" t="s">
        <v>159</v>
      </c>
      <c r="E149" s="79" t="s">
        <v>4448</v>
      </c>
      <c r="F149" s="79" t="s">
        <v>4778</v>
      </c>
      <c r="G149" s="79" t="s">
        <v>1412</v>
      </c>
      <c r="H149" s="79">
        <v>71369900</v>
      </c>
      <c r="I149" s="79" t="s">
        <v>4914</v>
      </c>
      <c r="J149" s="79" t="s">
        <v>4445</v>
      </c>
    </row>
    <row r="150" spans="1:10" ht="14.25" hidden="1" customHeight="1" x14ac:dyDescent="0.25">
      <c r="A150" s="78" t="s">
        <v>722</v>
      </c>
      <c r="B150" s="54" t="s">
        <v>723</v>
      </c>
      <c r="C150" s="53" t="s">
        <v>159</v>
      </c>
      <c r="D150" s="79" t="s">
        <v>159</v>
      </c>
      <c r="E150" s="79" t="s">
        <v>4466</v>
      </c>
      <c r="F150" s="79" t="s">
        <v>4803</v>
      </c>
      <c r="G150" s="79" t="s">
        <v>2248</v>
      </c>
      <c r="H150" s="79">
        <v>76938510</v>
      </c>
      <c r="I150" s="79" t="s">
        <v>4915</v>
      </c>
      <c r="J150" s="79" t="s">
        <v>4445</v>
      </c>
    </row>
    <row r="151" spans="1:10" ht="14.25" hidden="1" customHeight="1" x14ac:dyDescent="0.25">
      <c r="A151" s="78">
        <v>967745804</v>
      </c>
      <c r="B151" s="54" t="s">
        <v>132</v>
      </c>
      <c r="C151" s="53" t="s">
        <v>4758</v>
      </c>
      <c r="D151" s="79" t="s">
        <v>25</v>
      </c>
      <c r="E151" s="79" t="s">
        <v>4218</v>
      </c>
      <c r="F151" s="79" t="s">
        <v>4779</v>
      </c>
      <c r="G151" s="79" t="s">
        <v>2140</v>
      </c>
      <c r="H151" s="79">
        <v>96774580</v>
      </c>
      <c r="I151" s="79" t="s">
        <v>4915</v>
      </c>
      <c r="J151" s="79" t="s">
        <v>4454</v>
      </c>
    </row>
    <row r="152" spans="1:10" ht="14.25" hidden="1" customHeight="1" x14ac:dyDescent="0.25">
      <c r="A152" s="78">
        <v>775874295</v>
      </c>
      <c r="B152" s="54" t="s">
        <v>558</v>
      </c>
      <c r="C152" s="53" t="s">
        <v>159</v>
      </c>
      <c r="D152" s="79" t="s">
        <v>159</v>
      </c>
      <c r="E152" s="79" t="s">
        <v>4175</v>
      </c>
      <c r="F152" s="79" t="s">
        <v>4788</v>
      </c>
      <c r="G152" s="79" t="s">
        <v>2003</v>
      </c>
      <c r="H152" s="79">
        <v>77587429</v>
      </c>
      <c r="I152" s="79" t="s">
        <v>4915</v>
      </c>
      <c r="J152" s="79" t="s">
        <v>4445</v>
      </c>
    </row>
    <row r="153" spans="1:10" ht="14.25" hidden="1" customHeight="1" x14ac:dyDescent="0.25">
      <c r="A153" s="78">
        <v>796079002</v>
      </c>
      <c r="B153" s="54" t="s">
        <v>120</v>
      </c>
      <c r="C153" s="53" t="s">
        <v>12</v>
      </c>
      <c r="D153" s="79" t="s">
        <v>4785</v>
      </c>
      <c r="E153" s="79" t="s">
        <v>4495</v>
      </c>
      <c r="F153" s="79" t="s">
        <v>4792</v>
      </c>
      <c r="G153" s="79" t="s">
        <v>4153</v>
      </c>
      <c r="H153" s="79">
        <v>79607900</v>
      </c>
      <c r="I153" s="79" t="s">
        <v>4915</v>
      </c>
      <c r="J153" s="79" t="s">
        <v>4464</v>
      </c>
    </row>
    <row r="154" spans="1:10" ht="14.25" hidden="1" customHeight="1" x14ac:dyDescent="0.25">
      <c r="A154" s="78">
        <v>616020382</v>
      </c>
      <c r="B154" s="54" t="s">
        <v>742</v>
      </c>
      <c r="C154" s="53" t="s">
        <v>4757</v>
      </c>
      <c r="D154" s="79" t="s">
        <v>4787</v>
      </c>
      <c r="E154" s="79" t="s">
        <v>4174</v>
      </c>
      <c r="F154" s="79" t="s">
        <v>4788</v>
      </c>
      <c r="G154" s="79" t="s">
        <v>3290</v>
      </c>
      <c r="H154" s="79">
        <v>61602038</v>
      </c>
      <c r="I154" s="79" t="s">
        <v>4914</v>
      </c>
      <c r="J154" s="79" t="s">
        <v>2372</v>
      </c>
    </row>
    <row r="155" spans="1:10" ht="14.25" hidden="1" customHeight="1" x14ac:dyDescent="0.25">
      <c r="A155" s="78">
        <v>691901009</v>
      </c>
      <c r="B155" s="54" t="s">
        <v>90</v>
      </c>
      <c r="C155" s="53" t="s">
        <v>4758</v>
      </c>
      <c r="D155" s="79" t="s">
        <v>25</v>
      </c>
      <c r="E155" s="79" t="s">
        <v>4362</v>
      </c>
      <c r="F155" s="79" t="s">
        <v>4779</v>
      </c>
      <c r="G155" s="79" t="s">
        <v>3372</v>
      </c>
      <c r="H155" s="79">
        <v>69190100</v>
      </c>
      <c r="I155" s="79" t="s">
        <v>4914</v>
      </c>
      <c r="J155" s="79" t="s">
        <v>4454</v>
      </c>
    </row>
    <row r="156" spans="1:10" ht="14.25" hidden="1" customHeight="1" x14ac:dyDescent="0.25">
      <c r="A156" s="78">
        <v>611010311</v>
      </c>
      <c r="B156" s="54" t="s">
        <v>2641</v>
      </c>
      <c r="C156" s="53" t="s">
        <v>159</v>
      </c>
      <c r="D156" s="79" t="s">
        <v>159</v>
      </c>
      <c r="E156" s="79" t="s">
        <v>4168</v>
      </c>
      <c r="F156" s="79" t="s">
        <v>4778</v>
      </c>
      <c r="G156" s="79" t="s">
        <v>2640</v>
      </c>
      <c r="H156" s="79">
        <v>61101031</v>
      </c>
      <c r="I156" s="79" t="s">
        <v>4914</v>
      </c>
      <c r="J156" s="79" t="s">
        <v>4445</v>
      </c>
    </row>
    <row r="157" spans="1:10" ht="14.25" hidden="1" customHeight="1" x14ac:dyDescent="0.25">
      <c r="A157" s="78">
        <v>616072013</v>
      </c>
      <c r="B157" s="54" t="s">
        <v>46</v>
      </c>
      <c r="C157" s="53" t="s">
        <v>12</v>
      </c>
      <c r="D157" s="79" t="s">
        <v>4785</v>
      </c>
      <c r="E157" s="79" t="s">
        <v>4496</v>
      </c>
      <c r="F157" s="79" t="s">
        <v>4786</v>
      </c>
      <c r="G157" s="79" t="s">
        <v>1672</v>
      </c>
      <c r="H157" s="79">
        <v>61607201</v>
      </c>
      <c r="I157" s="79" t="s">
        <v>4914</v>
      </c>
      <c r="J157" s="79" t="s">
        <v>4464</v>
      </c>
    </row>
    <row r="158" spans="1:10" ht="14.25" hidden="1" customHeight="1" x14ac:dyDescent="0.25">
      <c r="A158" s="78">
        <v>760477001</v>
      </c>
      <c r="B158" s="54" t="s">
        <v>460</v>
      </c>
      <c r="C158" s="53" t="s">
        <v>159</v>
      </c>
      <c r="D158" s="79" t="s">
        <v>159</v>
      </c>
      <c r="E158" s="79" t="s">
        <v>4561</v>
      </c>
      <c r="F158" s="79" t="s">
        <v>4778</v>
      </c>
      <c r="G158" s="79" t="s">
        <v>1928</v>
      </c>
      <c r="H158" s="79">
        <v>76047700</v>
      </c>
      <c r="I158" s="79" t="s">
        <v>4915</v>
      </c>
      <c r="J158" s="79" t="s">
        <v>4445</v>
      </c>
    </row>
    <row r="159" spans="1:10" ht="14.25" hidden="1" customHeight="1" x14ac:dyDescent="0.25">
      <c r="A159" s="78">
        <v>616061003</v>
      </c>
      <c r="B159" s="54" t="s">
        <v>771</v>
      </c>
      <c r="C159" s="53" t="s">
        <v>4</v>
      </c>
      <c r="D159" s="79" t="s">
        <v>4782</v>
      </c>
      <c r="E159" s="79" t="s">
        <v>4186</v>
      </c>
      <c r="F159" s="79" t="s">
        <v>4802</v>
      </c>
      <c r="G159" s="79" t="s">
        <v>2303</v>
      </c>
      <c r="H159" s="79">
        <v>61606100</v>
      </c>
      <c r="I159" s="79" t="s">
        <v>4914</v>
      </c>
      <c r="J159" s="79" t="s">
        <v>4453</v>
      </c>
    </row>
    <row r="160" spans="1:10" ht="14.25" hidden="1" customHeight="1" x14ac:dyDescent="0.25">
      <c r="A160" s="78" t="s">
        <v>668</v>
      </c>
      <c r="B160" s="54" t="s">
        <v>669</v>
      </c>
      <c r="C160" s="53" t="s">
        <v>4793</v>
      </c>
      <c r="D160" s="79" t="s">
        <v>4794</v>
      </c>
      <c r="E160" s="79" t="s">
        <v>4510</v>
      </c>
      <c r="F160" s="79" t="s">
        <v>4778</v>
      </c>
      <c r="G160" s="79" t="s">
        <v>1579</v>
      </c>
      <c r="H160" s="79">
        <v>65061030</v>
      </c>
      <c r="I160" s="79" t="s">
        <v>4914</v>
      </c>
      <c r="J160" s="79" t="s">
        <v>4445</v>
      </c>
    </row>
    <row r="161" spans="1:10" ht="14.25" hidden="1" customHeight="1" x14ac:dyDescent="0.25">
      <c r="A161" s="78">
        <v>764447409</v>
      </c>
      <c r="B161" s="54" t="s">
        <v>114</v>
      </c>
      <c r="C161" s="53" t="s">
        <v>4758</v>
      </c>
      <c r="D161" s="79" t="s">
        <v>25</v>
      </c>
      <c r="E161" s="79" t="s">
        <v>4292</v>
      </c>
      <c r="F161" s="79" t="s">
        <v>4784</v>
      </c>
      <c r="G161" s="79" t="s">
        <v>2833</v>
      </c>
      <c r="H161" s="79">
        <v>76444740</v>
      </c>
      <c r="I161" s="79" t="s">
        <v>4915</v>
      </c>
      <c r="J161" s="79" t="s">
        <v>4454</v>
      </c>
    </row>
    <row r="162" spans="1:10" ht="14.25" hidden="1" customHeight="1" x14ac:dyDescent="0.25">
      <c r="A162" s="78">
        <v>616021419</v>
      </c>
      <c r="B162" s="54" t="s">
        <v>177</v>
      </c>
      <c r="C162" s="53" t="s">
        <v>4790</v>
      </c>
      <c r="D162" s="79" t="s">
        <v>4790</v>
      </c>
      <c r="E162" s="79" t="s">
        <v>4473</v>
      </c>
      <c r="F162" s="79" t="s">
        <v>4795</v>
      </c>
      <c r="G162" s="79" t="s">
        <v>1818</v>
      </c>
      <c r="H162" s="79">
        <v>61602141</v>
      </c>
      <c r="I162" s="79" t="s">
        <v>4914</v>
      </c>
      <c r="J162" s="79" t="s">
        <v>4445</v>
      </c>
    </row>
    <row r="163" spans="1:10" ht="14.25" hidden="1" customHeight="1" x14ac:dyDescent="0.25">
      <c r="A163" s="78">
        <v>966624507</v>
      </c>
      <c r="B163" s="54" t="s">
        <v>607</v>
      </c>
      <c r="C163" s="53" t="s">
        <v>4790</v>
      </c>
      <c r="D163" s="79" t="s">
        <v>4790</v>
      </c>
      <c r="E163" s="79" t="s">
        <v>4178</v>
      </c>
      <c r="F163" s="79" t="s">
        <v>4795</v>
      </c>
      <c r="G163" s="79" t="s">
        <v>3655</v>
      </c>
      <c r="H163" s="79">
        <v>96662450</v>
      </c>
      <c r="I163" s="79" t="s">
        <v>4915</v>
      </c>
      <c r="J163" s="79" t="s">
        <v>4445</v>
      </c>
    </row>
    <row r="164" spans="1:10" ht="14.25" hidden="1" customHeight="1" x14ac:dyDescent="0.25">
      <c r="A164" s="78">
        <v>616084046</v>
      </c>
      <c r="B164" s="54" t="s">
        <v>60</v>
      </c>
      <c r="C164" s="53" t="s">
        <v>4</v>
      </c>
      <c r="D164" s="79" t="s">
        <v>4782</v>
      </c>
      <c r="E164" s="79" t="s">
        <v>4458</v>
      </c>
      <c r="F164" s="79" t="s">
        <v>4778</v>
      </c>
      <c r="G164" s="79" t="s">
        <v>2092</v>
      </c>
      <c r="H164" s="79">
        <v>61608404</v>
      </c>
      <c r="I164" s="79" t="s">
        <v>4914</v>
      </c>
      <c r="J164" s="79" t="s">
        <v>4453</v>
      </c>
    </row>
    <row r="165" spans="1:10" ht="14.25" hidden="1" customHeight="1" x14ac:dyDescent="0.25">
      <c r="A165" s="78" t="s">
        <v>4760</v>
      </c>
      <c r="B165" s="54" t="s">
        <v>1008</v>
      </c>
      <c r="C165" s="53" t="s">
        <v>159</v>
      </c>
      <c r="D165" s="79" t="s">
        <v>159</v>
      </c>
      <c r="E165" s="79" t="s">
        <v>4287</v>
      </c>
      <c r="F165" s="79" t="s">
        <v>4778</v>
      </c>
      <c r="G165" s="79" t="s">
        <v>4034</v>
      </c>
      <c r="H165" s="79">
        <v>59106780</v>
      </c>
      <c r="I165" s="79" t="s">
        <v>4915</v>
      </c>
      <c r="J165" s="79" t="s">
        <v>4445</v>
      </c>
    </row>
    <row r="166" spans="1:10" ht="14.25" hidden="1" customHeight="1" x14ac:dyDescent="0.25">
      <c r="A166" s="78">
        <v>616079018</v>
      </c>
      <c r="B166" s="54" t="s">
        <v>250</v>
      </c>
      <c r="C166" s="53" t="s">
        <v>159</v>
      </c>
      <c r="D166" s="79" t="s">
        <v>159</v>
      </c>
      <c r="E166" s="79" t="s">
        <v>4185</v>
      </c>
      <c r="F166" s="79" t="s">
        <v>4806</v>
      </c>
      <c r="G166" s="79" t="s">
        <v>3867</v>
      </c>
      <c r="H166" s="79">
        <v>61607901</v>
      </c>
      <c r="I166" s="79" t="s">
        <v>4914</v>
      </c>
      <c r="J166" s="79" t="s">
        <v>4445</v>
      </c>
    </row>
    <row r="167" spans="1:10" ht="14.25" hidden="1" customHeight="1" x14ac:dyDescent="0.25">
      <c r="A167" s="78">
        <v>778078406</v>
      </c>
      <c r="B167" s="54" t="s">
        <v>864</v>
      </c>
      <c r="C167" s="53" t="s">
        <v>159</v>
      </c>
      <c r="D167" s="79" t="s">
        <v>159</v>
      </c>
      <c r="E167" s="79" t="s">
        <v>4561</v>
      </c>
      <c r="F167" s="79" t="s">
        <v>4778</v>
      </c>
      <c r="G167" s="79" t="s">
        <v>3814</v>
      </c>
      <c r="H167" s="79">
        <v>77807840</v>
      </c>
      <c r="I167" s="79" t="s">
        <v>4915</v>
      </c>
      <c r="J167" s="79" t="s">
        <v>4445</v>
      </c>
    </row>
    <row r="168" spans="1:10" ht="14.25" hidden="1" customHeight="1" x14ac:dyDescent="0.25">
      <c r="A168" s="78">
        <v>692599004</v>
      </c>
      <c r="B168" s="54" t="s">
        <v>99</v>
      </c>
      <c r="C168" s="53" t="s">
        <v>12</v>
      </c>
      <c r="D168" s="79" t="s">
        <v>4785</v>
      </c>
      <c r="E168" s="79" t="s">
        <v>4377</v>
      </c>
      <c r="F168" s="79" t="s">
        <v>4786</v>
      </c>
      <c r="G168" s="79" t="s">
        <v>1369</v>
      </c>
      <c r="H168" s="79">
        <v>69259900</v>
      </c>
      <c r="I168" s="79" t="s">
        <v>4914</v>
      </c>
      <c r="J168" s="79" t="s">
        <v>4464</v>
      </c>
    </row>
    <row r="169" spans="1:10" ht="14.25" hidden="1" customHeight="1" x14ac:dyDescent="0.25">
      <c r="A169" s="78">
        <v>691913007</v>
      </c>
      <c r="B169" s="54" t="s">
        <v>93</v>
      </c>
      <c r="C169" s="53" t="s">
        <v>4758</v>
      </c>
      <c r="D169" s="79" t="s">
        <v>25</v>
      </c>
      <c r="E169" s="79" t="s">
        <v>4478</v>
      </c>
      <c r="F169" s="79" t="s">
        <v>4779</v>
      </c>
      <c r="G169" s="79" t="s">
        <v>1948</v>
      </c>
      <c r="H169" s="79">
        <v>69191300</v>
      </c>
      <c r="I169" s="79" t="s">
        <v>4914</v>
      </c>
      <c r="J169" s="79" t="s">
        <v>4454</v>
      </c>
    </row>
    <row r="170" spans="1:10" ht="14.25" hidden="1" customHeight="1" x14ac:dyDescent="0.25">
      <c r="A170" s="78">
        <v>690302004</v>
      </c>
      <c r="B170" s="54" t="s">
        <v>283</v>
      </c>
      <c r="C170" s="53" t="s">
        <v>159</v>
      </c>
      <c r="D170" s="79" t="s">
        <v>159</v>
      </c>
      <c r="E170" s="79" t="s">
        <v>4466</v>
      </c>
      <c r="F170" s="79" t="s">
        <v>4803</v>
      </c>
      <c r="G170" s="79" t="s">
        <v>1470</v>
      </c>
      <c r="H170" s="79">
        <v>69030200</v>
      </c>
      <c r="I170" s="79" t="s">
        <v>4914</v>
      </c>
      <c r="J170" s="79" t="s">
        <v>4445</v>
      </c>
    </row>
    <row r="171" spans="1:10" ht="14.25" hidden="1" customHeight="1" x14ac:dyDescent="0.25">
      <c r="A171" s="78">
        <v>774104089</v>
      </c>
      <c r="B171" s="54" t="s">
        <v>548</v>
      </c>
      <c r="C171" s="53" t="s">
        <v>159</v>
      </c>
      <c r="D171" s="79" t="s">
        <v>159</v>
      </c>
      <c r="E171" s="79" t="s">
        <v>4551</v>
      </c>
      <c r="F171" s="79" t="s">
        <v>4778</v>
      </c>
      <c r="G171" s="79" t="s">
        <v>3750</v>
      </c>
      <c r="H171" s="79">
        <v>77410408</v>
      </c>
      <c r="I171" s="79" t="s">
        <v>4915</v>
      </c>
      <c r="J171" s="79" t="s">
        <v>4445</v>
      </c>
    </row>
    <row r="172" spans="1:10" ht="14.25" hidden="1" customHeight="1" x14ac:dyDescent="0.25">
      <c r="A172" s="78">
        <v>619318005</v>
      </c>
      <c r="B172" s="54" t="s">
        <v>747</v>
      </c>
      <c r="C172" s="53" t="s">
        <v>12</v>
      </c>
      <c r="D172" s="79" t="s">
        <v>4785</v>
      </c>
      <c r="E172" s="79" t="s">
        <v>4495</v>
      </c>
      <c r="F172" s="79" t="s">
        <v>4792</v>
      </c>
      <c r="G172" s="79" t="s">
        <v>4002</v>
      </c>
      <c r="H172" s="79">
        <v>61931800</v>
      </c>
      <c r="I172" s="79" t="s">
        <v>4914</v>
      </c>
      <c r="J172" s="79" t="s">
        <v>4464</v>
      </c>
    </row>
    <row r="173" spans="1:10" ht="14.25" hidden="1" customHeight="1" x14ac:dyDescent="0.25">
      <c r="A173" s="78">
        <v>995792605</v>
      </c>
      <c r="B173" s="54" t="s">
        <v>759</v>
      </c>
      <c r="C173" s="53" t="s">
        <v>159</v>
      </c>
      <c r="D173" s="79" t="s">
        <v>159</v>
      </c>
      <c r="E173" s="79" t="s">
        <v>4561</v>
      </c>
      <c r="F173" s="79" t="s">
        <v>4778</v>
      </c>
      <c r="G173" s="79" t="s">
        <v>2153</v>
      </c>
      <c r="H173" s="79">
        <v>99579260</v>
      </c>
      <c r="I173" s="79" t="s">
        <v>4915</v>
      </c>
      <c r="J173" s="79" t="s">
        <v>4445</v>
      </c>
    </row>
    <row r="174" spans="1:10" ht="14.25" hidden="1" customHeight="1" x14ac:dyDescent="0.25">
      <c r="A174" s="78">
        <v>690735008</v>
      </c>
      <c r="B174" s="54" t="s">
        <v>787</v>
      </c>
      <c r="C174" s="53" t="s">
        <v>159</v>
      </c>
      <c r="D174" s="79" t="s">
        <v>159</v>
      </c>
      <c r="E174" s="79" t="s">
        <v>4319</v>
      </c>
      <c r="F174" s="79" t="s">
        <v>4788</v>
      </c>
      <c r="G174" s="79" t="s">
        <v>1704</v>
      </c>
      <c r="H174" s="79">
        <v>69073500</v>
      </c>
      <c r="I174" s="79" t="s">
        <v>4914</v>
      </c>
      <c r="J174" s="79" t="s">
        <v>4445</v>
      </c>
    </row>
    <row r="175" spans="1:10" ht="14.25" hidden="1" customHeight="1" x14ac:dyDescent="0.25">
      <c r="A175" s="78">
        <v>616084070</v>
      </c>
      <c r="B175" s="54" t="s">
        <v>255</v>
      </c>
      <c r="C175" s="53" t="s">
        <v>4793</v>
      </c>
      <c r="D175" s="79" t="s">
        <v>4794</v>
      </c>
      <c r="E175" s="79" t="s">
        <v>4391</v>
      </c>
      <c r="F175" s="79" t="s">
        <v>4778</v>
      </c>
      <c r="G175" s="79" t="s">
        <v>2815</v>
      </c>
      <c r="H175" s="79">
        <v>61608407</v>
      </c>
      <c r="I175" s="79" t="s">
        <v>4914</v>
      </c>
      <c r="J175" s="79" t="s">
        <v>4445</v>
      </c>
    </row>
    <row r="176" spans="1:10" ht="14.25" hidden="1" customHeight="1" x14ac:dyDescent="0.25">
      <c r="A176" s="78">
        <v>605140009</v>
      </c>
      <c r="B176" s="54" t="s">
        <v>7</v>
      </c>
      <c r="C176" s="53" t="s">
        <v>6</v>
      </c>
      <c r="D176" s="79" t="s">
        <v>4783</v>
      </c>
      <c r="E176" s="79" t="s">
        <v>4395</v>
      </c>
      <c r="F176" s="79" t="s">
        <v>4778</v>
      </c>
      <c r="G176" s="79" t="s">
        <v>2239</v>
      </c>
      <c r="H176" s="79">
        <v>60514000</v>
      </c>
      <c r="I176" s="79" t="s">
        <v>4914</v>
      </c>
      <c r="J176" s="79" t="s">
        <v>4457</v>
      </c>
    </row>
    <row r="177" spans="1:10" ht="14.25" hidden="1" customHeight="1" x14ac:dyDescent="0.25">
      <c r="A177" s="78">
        <v>691801004</v>
      </c>
      <c r="B177" s="54" t="s">
        <v>88</v>
      </c>
      <c r="C177" s="53" t="s">
        <v>12</v>
      </c>
      <c r="D177" s="79" t="s">
        <v>4785</v>
      </c>
      <c r="E177" s="79" t="s">
        <v>4389</v>
      </c>
      <c r="F177" s="79" t="s">
        <v>4779</v>
      </c>
      <c r="G177" s="79" t="s">
        <v>2185</v>
      </c>
      <c r="H177" s="79">
        <v>69180100</v>
      </c>
      <c r="I177" s="79" t="s">
        <v>4914</v>
      </c>
      <c r="J177" s="79" t="s">
        <v>4464</v>
      </c>
    </row>
    <row r="178" spans="1:10" ht="14.25" hidden="1" customHeight="1" x14ac:dyDescent="0.25">
      <c r="A178" s="78">
        <v>789182906</v>
      </c>
      <c r="B178" s="54" t="s">
        <v>585</v>
      </c>
      <c r="C178" s="53" t="s">
        <v>4790</v>
      </c>
      <c r="D178" s="79" t="s">
        <v>4790</v>
      </c>
      <c r="E178" s="79" t="s">
        <v>4178</v>
      </c>
      <c r="F178" s="79" t="s">
        <v>4795</v>
      </c>
      <c r="G178" s="79" t="s">
        <v>2027</v>
      </c>
      <c r="H178" s="79">
        <v>78918290</v>
      </c>
      <c r="I178" s="79" t="s">
        <v>4915</v>
      </c>
      <c r="J178" s="79" t="s">
        <v>4445</v>
      </c>
    </row>
    <row r="179" spans="1:10" ht="14.25" hidden="1" customHeight="1" x14ac:dyDescent="0.25">
      <c r="A179" s="78">
        <v>616022431</v>
      </c>
      <c r="B179" s="54" t="s">
        <v>768</v>
      </c>
      <c r="C179" s="53" t="s">
        <v>159</v>
      </c>
      <c r="D179" s="79" t="s">
        <v>159</v>
      </c>
      <c r="E179" s="79" t="s">
        <v>4481</v>
      </c>
      <c r="F179" s="79" t="s">
        <v>4779</v>
      </c>
      <c r="G179" s="79" t="s">
        <v>1733</v>
      </c>
      <c r="H179" s="79">
        <v>61602243</v>
      </c>
      <c r="I179" s="79" t="s">
        <v>4914</v>
      </c>
      <c r="J179" s="79" t="s">
        <v>4445</v>
      </c>
    </row>
    <row r="180" spans="1:10" ht="14.25" hidden="1" customHeight="1" x14ac:dyDescent="0.25">
      <c r="A180" s="78">
        <v>616069136</v>
      </c>
      <c r="B180" s="54" t="s">
        <v>4807</v>
      </c>
      <c r="C180" s="53" t="s">
        <v>4790</v>
      </c>
      <c r="D180" s="79" t="s">
        <v>4790</v>
      </c>
      <c r="E180" s="79" t="s">
        <v>4341</v>
      </c>
      <c r="F180" s="79" t="s">
        <v>4791</v>
      </c>
      <c r="G180" s="79" t="s">
        <v>3800</v>
      </c>
      <c r="H180" s="79">
        <v>61606913</v>
      </c>
      <c r="I180" s="79" t="s">
        <v>4914</v>
      </c>
      <c r="J180" s="79" t="s">
        <v>4445</v>
      </c>
    </row>
    <row r="181" spans="1:10" ht="14.25" hidden="1" customHeight="1" x14ac:dyDescent="0.25">
      <c r="A181" s="78">
        <v>690703017</v>
      </c>
      <c r="B181" s="54" t="s">
        <v>303</v>
      </c>
      <c r="C181" s="53" t="s">
        <v>159</v>
      </c>
      <c r="D181" s="79" t="s">
        <v>159</v>
      </c>
      <c r="E181" s="79" t="s">
        <v>4391</v>
      </c>
      <c r="F181" s="79" t="s">
        <v>4778</v>
      </c>
      <c r="G181" s="79" t="s">
        <v>3576</v>
      </c>
      <c r="H181" s="79">
        <v>69070301</v>
      </c>
      <c r="I181" s="79" t="s">
        <v>4914</v>
      </c>
      <c r="J181" s="79" t="s">
        <v>4445</v>
      </c>
    </row>
    <row r="182" spans="1:10" ht="14.25" hidden="1" customHeight="1" x14ac:dyDescent="0.25">
      <c r="A182" s="78">
        <v>690812002</v>
      </c>
      <c r="B182" s="54" t="s">
        <v>319</v>
      </c>
      <c r="C182" s="53" t="s">
        <v>4790</v>
      </c>
      <c r="D182" s="79" t="s">
        <v>4790</v>
      </c>
      <c r="E182" s="79" t="s">
        <v>4200</v>
      </c>
      <c r="F182" s="79" t="s">
        <v>4795</v>
      </c>
      <c r="G182" s="79" t="s">
        <v>1396</v>
      </c>
      <c r="H182" s="79">
        <v>69081200</v>
      </c>
      <c r="I182" s="79" t="s">
        <v>4914</v>
      </c>
      <c r="J182" s="79" t="s">
        <v>4445</v>
      </c>
    </row>
    <row r="183" spans="1:10" ht="14.25" hidden="1" customHeight="1" x14ac:dyDescent="0.25">
      <c r="A183" s="78" t="s">
        <v>676</v>
      </c>
      <c r="B183" s="54" t="s">
        <v>677</v>
      </c>
      <c r="C183" s="53" t="s">
        <v>159</v>
      </c>
      <c r="D183" s="79" t="s">
        <v>159</v>
      </c>
      <c r="E183" s="79" t="s">
        <v>4194</v>
      </c>
      <c r="F183" s="79" t="s">
        <v>4778</v>
      </c>
      <c r="G183" s="79" t="s">
        <v>2070</v>
      </c>
      <c r="H183" s="79">
        <v>69071700</v>
      </c>
      <c r="I183" s="79" t="s">
        <v>4914</v>
      </c>
      <c r="J183" s="79" t="s">
        <v>4445</v>
      </c>
    </row>
    <row r="184" spans="1:10" ht="14.25" hidden="1" customHeight="1" x14ac:dyDescent="0.25">
      <c r="A184" s="78">
        <v>616021400</v>
      </c>
      <c r="B184" s="54" t="s">
        <v>176</v>
      </c>
      <c r="C184" s="53" t="s">
        <v>4790</v>
      </c>
      <c r="D184" s="79" t="s">
        <v>4790</v>
      </c>
      <c r="E184" s="79" t="s">
        <v>4200</v>
      </c>
      <c r="F184" s="79" t="s">
        <v>4795</v>
      </c>
      <c r="G184" s="79" t="s">
        <v>3763</v>
      </c>
      <c r="H184" s="79">
        <v>61602140</v>
      </c>
      <c r="I184" s="79" t="s">
        <v>4914</v>
      </c>
      <c r="J184" s="79" t="s">
        <v>4445</v>
      </c>
    </row>
    <row r="185" spans="1:10" ht="14.25" hidden="1" customHeight="1" x14ac:dyDescent="0.25">
      <c r="A185" s="78">
        <v>690305003</v>
      </c>
      <c r="B185" s="54" t="s">
        <v>286</v>
      </c>
      <c r="C185" s="53" t="s">
        <v>159</v>
      </c>
      <c r="D185" s="79" t="s">
        <v>159</v>
      </c>
      <c r="E185" s="79" t="s">
        <v>4241</v>
      </c>
      <c r="F185" s="79" t="s">
        <v>4803</v>
      </c>
      <c r="G185" s="79" t="s">
        <v>1803</v>
      </c>
      <c r="H185" s="79">
        <v>69030500</v>
      </c>
      <c r="I185" s="79" t="s">
        <v>4914</v>
      </c>
      <c r="J185" s="79" t="s">
        <v>4445</v>
      </c>
    </row>
    <row r="186" spans="1:10" ht="14.25" hidden="1" customHeight="1" x14ac:dyDescent="0.25">
      <c r="A186" s="78">
        <v>771497691</v>
      </c>
      <c r="B186" s="54" t="s">
        <v>849</v>
      </c>
      <c r="C186" s="53" t="s">
        <v>159</v>
      </c>
      <c r="D186" s="79" t="s">
        <v>159</v>
      </c>
      <c r="E186" s="79" t="s">
        <v>4465</v>
      </c>
      <c r="F186" s="79" t="s">
        <v>4778</v>
      </c>
      <c r="G186" s="79" t="s">
        <v>1271</v>
      </c>
      <c r="H186" s="79">
        <v>77149769</v>
      </c>
      <c r="I186" s="79" t="s">
        <v>4915</v>
      </c>
      <c r="J186" s="79" t="s">
        <v>4445</v>
      </c>
    </row>
    <row r="187" spans="1:10" ht="14.25" hidden="1" customHeight="1" x14ac:dyDescent="0.25">
      <c r="A187" s="78">
        <v>691405001</v>
      </c>
      <c r="B187" s="54" t="s">
        <v>346</v>
      </c>
      <c r="C187" s="53" t="s">
        <v>159</v>
      </c>
      <c r="D187" s="79" t="s">
        <v>159</v>
      </c>
      <c r="E187" s="79" t="s">
        <v>4345</v>
      </c>
      <c r="F187" s="79" t="s">
        <v>4792</v>
      </c>
      <c r="G187" s="79" t="s">
        <v>1551</v>
      </c>
      <c r="H187" s="79">
        <v>69140500</v>
      </c>
      <c r="I187" s="79" t="s">
        <v>4914</v>
      </c>
      <c r="J187" s="79" t="s">
        <v>4445</v>
      </c>
    </row>
    <row r="188" spans="1:10" ht="14.25" hidden="1" customHeight="1" x14ac:dyDescent="0.25">
      <c r="A188" s="78">
        <v>709349007</v>
      </c>
      <c r="B188" s="54" t="s">
        <v>428</v>
      </c>
      <c r="C188" s="53" t="s">
        <v>159</v>
      </c>
      <c r="D188" s="79" t="s">
        <v>159</v>
      </c>
      <c r="E188" s="79" t="s">
        <v>4285</v>
      </c>
      <c r="F188" s="79" t="s">
        <v>4778</v>
      </c>
      <c r="G188" s="79" t="s">
        <v>4006</v>
      </c>
      <c r="H188" s="79">
        <v>70934900</v>
      </c>
      <c r="I188" s="79" t="s">
        <v>4914</v>
      </c>
      <c r="J188" s="79" t="s">
        <v>4445</v>
      </c>
    </row>
    <row r="189" spans="1:10" ht="14.25" hidden="1" customHeight="1" x14ac:dyDescent="0.25">
      <c r="A189" s="78">
        <v>616064037</v>
      </c>
      <c r="B189" s="54" t="s">
        <v>33</v>
      </c>
      <c r="C189" s="53" t="s">
        <v>4757</v>
      </c>
      <c r="D189" s="79" t="s">
        <v>4787</v>
      </c>
      <c r="E189" s="79" t="s">
        <v>4245</v>
      </c>
      <c r="F189" s="79" t="s">
        <v>4789</v>
      </c>
      <c r="G189" s="79" t="s">
        <v>4151</v>
      </c>
      <c r="H189" s="79">
        <v>61606403</v>
      </c>
      <c r="I189" s="79" t="s">
        <v>4914</v>
      </c>
      <c r="J189" s="79" t="s">
        <v>2372</v>
      </c>
    </row>
    <row r="190" spans="1:10" ht="14.25" hidden="1" customHeight="1" x14ac:dyDescent="0.25">
      <c r="A190" s="78" t="s">
        <v>145</v>
      </c>
      <c r="B190" s="54" t="s">
        <v>146</v>
      </c>
      <c r="C190" s="53" t="s">
        <v>12</v>
      </c>
      <c r="D190" s="79" t="s">
        <v>4785</v>
      </c>
      <c r="E190" s="79" t="s">
        <v>4353</v>
      </c>
      <c r="F190" s="79" t="s">
        <v>4786</v>
      </c>
      <c r="G190" s="79" t="s">
        <v>3667</v>
      </c>
      <c r="H190" s="79">
        <v>61602213</v>
      </c>
      <c r="I190" s="79" t="s">
        <v>4914</v>
      </c>
      <c r="J190" s="79" t="s">
        <v>4464</v>
      </c>
    </row>
    <row r="191" spans="1:10" ht="14.25" hidden="1" customHeight="1" x14ac:dyDescent="0.25">
      <c r="A191" s="78">
        <v>616020366</v>
      </c>
      <c r="B191" s="54" t="s">
        <v>13</v>
      </c>
      <c r="C191" s="53" t="s">
        <v>4757</v>
      </c>
      <c r="D191" s="79" t="s">
        <v>4787</v>
      </c>
      <c r="E191" s="79" t="s">
        <v>4192</v>
      </c>
      <c r="F191" s="79" t="s">
        <v>4788</v>
      </c>
      <c r="G191" s="79" t="s">
        <v>4095</v>
      </c>
      <c r="H191" s="79">
        <v>61602036</v>
      </c>
      <c r="I191" s="79" t="s">
        <v>4914</v>
      </c>
      <c r="J191" s="79" t="s">
        <v>2372</v>
      </c>
    </row>
    <row r="192" spans="1:10" ht="14.25" hidden="1" customHeight="1" x14ac:dyDescent="0.25">
      <c r="A192" s="78">
        <v>690813009</v>
      </c>
      <c r="B192" s="54" t="s">
        <v>320</v>
      </c>
      <c r="C192" s="53" t="s">
        <v>4790</v>
      </c>
      <c r="D192" s="79" t="s">
        <v>4790</v>
      </c>
      <c r="E192" s="79" t="s">
        <v>4532</v>
      </c>
      <c r="F192" s="79" t="s">
        <v>4795</v>
      </c>
      <c r="G192" s="79" t="s">
        <v>1387</v>
      </c>
      <c r="H192" s="79">
        <v>69081300</v>
      </c>
      <c r="I192" s="79" t="s">
        <v>4914</v>
      </c>
      <c r="J192" s="79" t="s">
        <v>4445</v>
      </c>
    </row>
    <row r="193" spans="1:10" ht="14.25" hidden="1" customHeight="1" x14ac:dyDescent="0.25">
      <c r="A193" s="78">
        <v>616021257</v>
      </c>
      <c r="B193" s="54" t="s">
        <v>174</v>
      </c>
      <c r="C193" s="53" t="s">
        <v>159</v>
      </c>
      <c r="D193" s="79" t="s">
        <v>159</v>
      </c>
      <c r="E193" s="79" t="s">
        <v>4471</v>
      </c>
      <c r="F193" s="79" t="s">
        <v>4778</v>
      </c>
      <c r="G193" s="79" t="s">
        <v>2541</v>
      </c>
      <c r="H193" s="79">
        <v>61602125</v>
      </c>
      <c r="I193" s="79" t="s">
        <v>4914</v>
      </c>
      <c r="J193" s="79" t="s">
        <v>4445</v>
      </c>
    </row>
    <row r="194" spans="1:10" ht="14.25" hidden="1" customHeight="1" x14ac:dyDescent="0.25">
      <c r="A194" s="78">
        <v>965988505</v>
      </c>
      <c r="B194" s="54" t="s">
        <v>604</v>
      </c>
      <c r="C194" s="53" t="s">
        <v>4</v>
      </c>
      <c r="D194" s="79" t="s">
        <v>4782</v>
      </c>
      <c r="E194" s="79" t="s">
        <v>4186</v>
      </c>
      <c r="F194" s="79" t="s">
        <v>4802</v>
      </c>
      <c r="G194" s="79" t="s">
        <v>1942</v>
      </c>
      <c r="H194" s="79">
        <v>96598850</v>
      </c>
      <c r="I194" s="79" t="s">
        <v>4915</v>
      </c>
      <c r="J194" s="79" t="s">
        <v>4453</v>
      </c>
    </row>
    <row r="195" spans="1:10" ht="14.25" hidden="1" customHeight="1" x14ac:dyDescent="0.25">
      <c r="A195" s="78">
        <v>691510026</v>
      </c>
      <c r="B195" s="54" t="s">
        <v>85</v>
      </c>
      <c r="C195" s="53" t="s">
        <v>12</v>
      </c>
      <c r="D195" s="79" t="s">
        <v>4785</v>
      </c>
      <c r="E195" s="79" t="s">
        <v>4350</v>
      </c>
      <c r="F195" s="79" t="s">
        <v>4786</v>
      </c>
      <c r="G195" s="79" t="s">
        <v>2182</v>
      </c>
      <c r="H195" s="79">
        <v>69151002</v>
      </c>
      <c r="I195" s="79" t="s">
        <v>4914</v>
      </c>
      <c r="J195" s="79" t="s">
        <v>4464</v>
      </c>
    </row>
    <row r="196" spans="1:10" ht="14.25" hidden="1" customHeight="1" x14ac:dyDescent="0.25">
      <c r="A196" s="78">
        <v>691908003</v>
      </c>
      <c r="B196" s="54" t="s">
        <v>372</v>
      </c>
      <c r="C196" s="53" t="s">
        <v>159</v>
      </c>
      <c r="D196" s="79" t="s">
        <v>159</v>
      </c>
      <c r="E196" s="79" t="s">
        <v>4480</v>
      </c>
      <c r="F196" s="79" t="s">
        <v>4779</v>
      </c>
      <c r="G196" s="79" t="s">
        <v>3471</v>
      </c>
      <c r="H196" s="79">
        <v>69190800</v>
      </c>
      <c r="I196" s="79" t="s">
        <v>4914</v>
      </c>
      <c r="J196" s="79" t="s">
        <v>4445</v>
      </c>
    </row>
    <row r="197" spans="1:10" ht="14.25" hidden="1" customHeight="1" x14ac:dyDescent="0.25">
      <c r="A197" s="78">
        <v>762255294</v>
      </c>
      <c r="B197" s="54" t="s">
        <v>475</v>
      </c>
      <c r="C197" s="53" t="s">
        <v>159</v>
      </c>
      <c r="D197" s="79" t="s">
        <v>159</v>
      </c>
      <c r="E197" s="79" t="s">
        <v>4187</v>
      </c>
      <c r="F197" s="79" t="s">
        <v>4778</v>
      </c>
      <c r="G197" s="79" t="s">
        <v>3653</v>
      </c>
      <c r="H197" s="79">
        <v>76225529</v>
      </c>
      <c r="I197" s="79" t="s">
        <v>4915</v>
      </c>
      <c r="J197" s="79" t="s">
        <v>4445</v>
      </c>
    </row>
    <row r="198" spans="1:10" ht="14.25" hidden="1" customHeight="1" x14ac:dyDescent="0.25">
      <c r="A198" s="78">
        <v>653218907</v>
      </c>
      <c r="B198" s="54" t="s">
        <v>73</v>
      </c>
      <c r="C198" s="53" t="s">
        <v>4758</v>
      </c>
      <c r="D198" s="79" t="s">
        <v>25</v>
      </c>
      <c r="E198" s="79" t="s">
        <v>4229</v>
      </c>
      <c r="F198" s="79" t="s">
        <v>4784</v>
      </c>
      <c r="G198" s="79" t="s">
        <v>1675</v>
      </c>
      <c r="H198" s="79">
        <v>65321890</v>
      </c>
      <c r="I198" s="79" t="s">
        <v>4914</v>
      </c>
      <c r="J198" s="79" t="s">
        <v>4454</v>
      </c>
    </row>
    <row r="199" spans="1:10" ht="14.25" hidden="1" customHeight="1" x14ac:dyDescent="0.25">
      <c r="A199" s="78">
        <v>709542001</v>
      </c>
      <c r="B199" s="54" t="s">
        <v>431</v>
      </c>
      <c r="C199" s="53" t="s">
        <v>159</v>
      </c>
      <c r="D199" s="79" t="s">
        <v>159</v>
      </c>
      <c r="E199" s="79" t="s">
        <v>4557</v>
      </c>
      <c r="F199" s="79" t="s">
        <v>4778</v>
      </c>
      <c r="G199" s="79" t="s">
        <v>2388</v>
      </c>
      <c r="H199" s="79">
        <v>70954200</v>
      </c>
      <c r="I199" s="79" t="s">
        <v>4914</v>
      </c>
      <c r="J199" s="79" t="s">
        <v>4445</v>
      </c>
    </row>
    <row r="200" spans="1:10" ht="14.25" hidden="1" customHeight="1" x14ac:dyDescent="0.25">
      <c r="A200" s="78">
        <v>768905975</v>
      </c>
      <c r="B200" s="54" t="s">
        <v>513</v>
      </c>
      <c r="C200" s="53" t="s">
        <v>159</v>
      </c>
      <c r="D200" s="79" t="s">
        <v>159</v>
      </c>
      <c r="E200" s="79" t="s">
        <v>4394</v>
      </c>
      <c r="F200" s="79" t="s">
        <v>4778</v>
      </c>
      <c r="G200" s="79" t="s">
        <v>1451</v>
      </c>
      <c r="H200" s="79">
        <v>76890597</v>
      </c>
      <c r="I200" s="79" t="s">
        <v>4915</v>
      </c>
      <c r="J200" s="79" t="s">
        <v>4445</v>
      </c>
    </row>
    <row r="201" spans="1:10" ht="14.25" hidden="1" customHeight="1" x14ac:dyDescent="0.25">
      <c r="A201" s="78">
        <v>782302302</v>
      </c>
      <c r="B201" s="54" t="s">
        <v>4808</v>
      </c>
      <c r="C201" s="53" t="s">
        <v>4790</v>
      </c>
      <c r="D201" s="79" t="s">
        <v>4790</v>
      </c>
      <c r="E201" s="79" t="s">
        <v>4178</v>
      </c>
      <c r="F201" s="79" t="s">
        <v>4795</v>
      </c>
      <c r="G201" s="79" t="s">
        <v>2116</v>
      </c>
      <c r="H201" s="79">
        <v>78230230</v>
      </c>
      <c r="I201" s="79" t="s">
        <v>4915</v>
      </c>
      <c r="J201" s="79" t="s">
        <v>4445</v>
      </c>
    </row>
    <row r="202" spans="1:10" ht="14.25" hidden="1" customHeight="1" x14ac:dyDescent="0.25">
      <c r="A202" s="78" t="s">
        <v>678</v>
      </c>
      <c r="B202" s="54" t="s">
        <v>877</v>
      </c>
      <c r="C202" s="53" t="s">
        <v>4790</v>
      </c>
      <c r="D202" s="79" t="s">
        <v>4790</v>
      </c>
      <c r="E202" s="79" t="s">
        <v>4323</v>
      </c>
      <c r="F202" s="79" t="s">
        <v>4795</v>
      </c>
      <c r="G202" s="79" t="s">
        <v>1893</v>
      </c>
      <c r="H202" s="79">
        <v>69080400</v>
      </c>
      <c r="I202" s="79" t="s">
        <v>4914</v>
      </c>
      <c r="J202" s="79" t="s">
        <v>4445</v>
      </c>
    </row>
    <row r="203" spans="1:10" ht="14.25" hidden="1" customHeight="1" x14ac:dyDescent="0.25">
      <c r="A203" s="78">
        <v>616084038</v>
      </c>
      <c r="B203" s="54" t="s">
        <v>254</v>
      </c>
      <c r="C203" s="53" t="s">
        <v>4793</v>
      </c>
      <c r="D203" s="79" t="s">
        <v>4794</v>
      </c>
      <c r="E203" s="79" t="s">
        <v>4391</v>
      </c>
      <c r="F203" s="79" t="s">
        <v>4778</v>
      </c>
      <c r="G203" s="79" t="s">
        <v>2353</v>
      </c>
      <c r="H203" s="79">
        <v>61608403</v>
      </c>
      <c r="I203" s="79" t="s">
        <v>4914</v>
      </c>
      <c r="J203" s="79" t="s">
        <v>4445</v>
      </c>
    </row>
    <row r="204" spans="1:10" ht="14.25" hidden="1" customHeight="1" x14ac:dyDescent="0.25">
      <c r="A204" s="78">
        <v>690701006</v>
      </c>
      <c r="B204" s="54" t="s">
        <v>302</v>
      </c>
      <c r="C204" s="53" t="s">
        <v>4793</v>
      </c>
      <c r="D204" s="79" t="s">
        <v>4794</v>
      </c>
      <c r="E204" s="79" t="s">
        <v>4168</v>
      </c>
      <c r="F204" s="79" t="s">
        <v>4778</v>
      </c>
      <c r="G204" s="79" t="s">
        <v>1562</v>
      </c>
      <c r="H204" s="79">
        <v>69070100</v>
      </c>
      <c r="I204" s="79" t="s">
        <v>4914</v>
      </c>
      <c r="J204" s="79" t="s">
        <v>4445</v>
      </c>
    </row>
    <row r="205" spans="1:10" ht="14.25" hidden="1" customHeight="1" x14ac:dyDescent="0.25">
      <c r="A205" s="78">
        <v>620003808</v>
      </c>
      <c r="B205" s="54" t="s">
        <v>276</v>
      </c>
      <c r="C205" s="53" t="s">
        <v>4793</v>
      </c>
      <c r="D205" s="79" t="s">
        <v>4794</v>
      </c>
      <c r="E205" s="79" t="s">
        <v>4182</v>
      </c>
      <c r="F205" s="79" t="s">
        <v>4796</v>
      </c>
      <c r="G205" s="79" t="s">
        <v>1424</v>
      </c>
      <c r="H205" s="79">
        <v>62000380</v>
      </c>
      <c r="I205" s="79" t="s">
        <v>4914</v>
      </c>
      <c r="J205" s="79" t="s">
        <v>4445</v>
      </c>
    </row>
    <row r="206" spans="1:10" ht="14.25" hidden="1" customHeight="1" x14ac:dyDescent="0.25">
      <c r="A206" s="78">
        <v>968406108</v>
      </c>
      <c r="B206" s="54" t="s">
        <v>612</v>
      </c>
      <c r="C206" s="53" t="s">
        <v>4</v>
      </c>
      <c r="D206" s="79" t="s">
        <v>4782</v>
      </c>
      <c r="E206" s="79" t="s">
        <v>4186</v>
      </c>
      <c r="F206" s="79" t="s">
        <v>4802</v>
      </c>
      <c r="G206" s="79" t="s">
        <v>1457</v>
      </c>
      <c r="H206" s="79">
        <v>96840610</v>
      </c>
      <c r="I206" s="79" t="s">
        <v>4915</v>
      </c>
      <c r="J206" s="79" t="s">
        <v>4453</v>
      </c>
    </row>
    <row r="207" spans="1:10" ht="14.25" hidden="1" customHeight="1" x14ac:dyDescent="0.25">
      <c r="A207" s="78">
        <v>777492101</v>
      </c>
      <c r="B207" s="54" t="s">
        <v>570</v>
      </c>
      <c r="C207" s="53" t="s">
        <v>159</v>
      </c>
      <c r="D207" s="79" t="s">
        <v>159</v>
      </c>
      <c r="E207" s="79" t="s">
        <v>4168</v>
      </c>
      <c r="F207" s="79" t="s">
        <v>4778</v>
      </c>
      <c r="G207" s="79" t="s">
        <v>2374</v>
      </c>
      <c r="H207" s="79">
        <v>77749210</v>
      </c>
      <c r="I207" s="79" t="s">
        <v>4915</v>
      </c>
      <c r="J207" s="79" t="s">
        <v>4445</v>
      </c>
    </row>
    <row r="208" spans="1:10" ht="14.25" hidden="1" customHeight="1" x14ac:dyDescent="0.25">
      <c r="A208" s="78">
        <v>690617005</v>
      </c>
      <c r="B208" s="54" t="s">
        <v>749</v>
      </c>
      <c r="C208" s="53" t="s">
        <v>4757</v>
      </c>
      <c r="D208" s="79" t="s">
        <v>4787</v>
      </c>
      <c r="E208" s="79" t="s">
        <v>4527</v>
      </c>
      <c r="F208" s="79" t="s">
        <v>4788</v>
      </c>
      <c r="G208" s="79" t="s">
        <v>1691</v>
      </c>
      <c r="H208" s="79">
        <v>69061700</v>
      </c>
      <c r="I208" s="79" t="s">
        <v>4914</v>
      </c>
      <c r="J208" s="79" t="s">
        <v>2372</v>
      </c>
    </row>
    <row r="209" spans="1:10" ht="14.25" hidden="1" customHeight="1" x14ac:dyDescent="0.25">
      <c r="A209" s="78">
        <v>619746007</v>
      </c>
      <c r="B209" s="54" t="s">
        <v>265</v>
      </c>
      <c r="C209" s="53" t="s">
        <v>159</v>
      </c>
      <c r="D209" s="79" t="s">
        <v>159</v>
      </c>
      <c r="E209" s="79" t="s">
        <v>4799</v>
      </c>
      <c r="F209" s="79" t="s">
        <v>4800</v>
      </c>
      <c r="G209" s="79" t="s">
        <v>1292</v>
      </c>
      <c r="H209" s="79">
        <v>61974600</v>
      </c>
      <c r="I209" s="79" t="s">
        <v>4914</v>
      </c>
      <c r="J209" s="79" t="s">
        <v>4445</v>
      </c>
    </row>
    <row r="210" spans="1:10" ht="14.25" hidden="1" customHeight="1" x14ac:dyDescent="0.25">
      <c r="A210" s="78" t="s">
        <v>647</v>
      </c>
      <c r="B210" s="54" t="s">
        <v>648</v>
      </c>
      <c r="C210" s="53" t="s">
        <v>4790</v>
      </c>
      <c r="D210" s="79" t="s">
        <v>4790</v>
      </c>
      <c r="E210" s="79" t="s">
        <v>4259</v>
      </c>
      <c r="F210" s="79" t="s">
        <v>4791</v>
      </c>
      <c r="G210" s="79" t="s">
        <v>2376</v>
      </c>
      <c r="H210" s="79">
        <v>61606908</v>
      </c>
      <c r="I210" s="79" t="s">
        <v>4914</v>
      </c>
      <c r="J210" s="79" t="s">
        <v>4445</v>
      </c>
    </row>
    <row r="211" spans="1:10" ht="14.25" hidden="1" customHeight="1" x14ac:dyDescent="0.25">
      <c r="A211" s="78" t="s">
        <v>632</v>
      </c>
      <c r="B211" s="54" t="s">
        <v>633</v>
      </c>
      <c r="C211" s="53" t="s">
        <v>159</v>
      </c>
      <c r="D211" s="79" t="s">
        <v>159</v>
      </c>
      <c r="E211" s="79" t="s">
        <v>4220</v>
      </c>
      <c r="F211" s="79" t="s">
        <v>4779</v>
      </c>
      <c r="G211" s="79" t="s">
        <v>2062</v>
      </c>
      <c r="H211" s="79">
        <v>61602244</v>
      </c>
      <c r="I211" s="79" t="s">
        <v>4914</v>
      </c>
      <c r="J211" s="79" t="s">
        <v>4445</v>
      </c>
    </row>
    <row r="212" spans="1:10" ht="14.25" hidden="1" customHeight="1" x14ac:dyDescent="0.25">
      <c r="A212" s="78">
        <v>692010000</v>
      </c>
      <c r="B212" s="54" t="s">
        <v>379</v>
      </c>
      <c r="C212" s="53" t="s">
        <v>4758</v>
      </c>
      <c r="D212" s="79" t="s">
        <v>25</v>
      </c>
      <c r="E212" s="79" t="s">
        <v>4500</v>
      </c>
      <c r="F212" s="79" t="s">
        <v>4798</v>
      </c>
      <c r="G212" s="79" t="s">
        <v>3962</v>
      </c>
      <c r="H212" s="79">
        <v>69201000</v>
      </c>
      <c r="I212" s="79" t="s">
        <v>4914</v>
      </c>
      <c r="J212" s="79" t="s">
        <v>4454</v>
      </c>
    </row>
    <row r="213" spans="1:10" ht="14.25" hidden="1" customHeight="1" x14ac:dyDescent="0.25">
      <c r="A213" s="78">
        <v>692539001</v>
      </c>
      <c r="B213" s="54" t="s">
        <v>391</v>
      </c>
      <c r="C213" s="53" t="s">
        <v>159</v>
      </c>
      <c r="D213" s="79" t="s">
        <v>159</v>
      </c>
      <c r="E213" s="79" t="s">
        <v>4506</v>
      </c>
      <c r="F213" s="79" t="s">
        <v>4778</v>
      </c>
      <c r="G213" s="79" t="s">
        <v>1252</v>
      </c>
      <c r="H213" s="79">
        <v>69253900</v>
      </c>
      <c r="I213" s="79" t="s">
        <v>4914</v>
      </c>
      <c r="J213" s="79" t="s">
        <v>4445</v>
      </c>
    </row>
    <row r="214" spans="1:10" ht="14.25" hidden="1" customHeight="1" x14ac:dyDescent="0.25">
      <c r="A214" s="78">
        <v>776381233</v>
      </c>
      <c r="B214" s="54" t="s">
        <v>561</v>
      </c>
      <c r="C214" s="53" t="s">
        <v>159</v>
      </c>
      <c r="D214" s="79" t="s">
        <v>159</v>
      </c>
      <c r="E214" s="79" t="s">
        <v>4465</v>
      </c>
      <c r="F214" s="79" t="s">
        <v>4778</v>
      </c>
      <c r="G214" s="79" t="s">
        <v>1241</v>
      </c>
      <c r="H214" s="79">
        <v>77638123</v>
      </c>
      <c r="I214" s="79" t="s">
        <v>4915</v>
      </c>
      <c r="J214" s="79" t="s">
        <v>4445</v>
      </c>
    </row>
    <row r="215" spans="1:10" ht="14.25" hidden="1" customHeight="1" x14ac:dyDescent="0.25">
      <c r="A215" s="78">
        <v>652286941</v>
      </c>
      <c r="B215" s="54" t="s">
        <v>4432</v>
      </c>
      <c r="C215" s="53" t="s">
        <v>4</v>
      </c>
      <c r="D215" s="79" t="s">
        <v>4782</v>
      </c>
      <c r="E215" s="79" t="s">
        <v>4414</v>
      </c>
      <c r="F215" s="79" t="s">
        <v>4802</v>
      </c>
      <c r="G215" s="79" t="s">
        <v>4513</v>
      </c>
      <c r="H215" s="79">
        <v>65228694</v>
      </c>
      <c r="I215" s="79" t="s">
        <v>4914</v>
      </c>
      <c r="J215" s="79" t="s">
        <v>4453</v>
      </c>
    </row>
    <row r="216" spans="1:10" ht="14.25" hidden="1" customHeight="1" x14ac:dyDescent="0.25">
      <c r="A216" s="78">
        <v>616073028</v>
      </c>
      <c r="B216" s="54" t="s">
        <v>241</v>
      </c>
      <c r="C216" s="53" t="s">
        <v>159</v>
      </c>
      <c r="D216" s="79" t="s">
        <v>159</v>
      </c>
      <c r="E216" s="79" t="s">
        <v>4498</v>
      </c>
      <c r="F216" s="79" t="s">
        <v>4786</v>
      </c>
      <c r="G216" s="79" t="s">
        <v>2102</v>
      </c>
      <c r="H216" s="79">
        <v>61607302</v>
      </c>
      <c r="I216" s="79" t="s">
        <v>4914</v>
      </c>
      <c r="J216" s="79" t="s">
        <v>4445</v>
      </c>
    </row>
    <row r="217" spans="1:10" ht="14.25" hidden="1" customHeight="1" x14ac:dyDescent="0.25">
      <c r="A217" s="78">
        <v>765946247</v>
      </c>
      <c r="B217" s="54" t="s">
        <v>4809</v>
      </c>
      <c r="C217" s="53" t="s">
        <v>159</v>
      </c>
      <c r="D217" s="79" t="s">
        <v>159</v>
      </c>
      <c r="E217" s="79" t="s">
        <v>4391</v>
      </c>
      <c r="F217" s="79" t="s">
        <v>4778</v>
      </c>
      <c r="G217" s="79" t="s">
        <v>2635</v>
      </c>
      <c r="H217" s="79">
        <v>76594624</v>
      </c>
      <c r="I217" s="79" t="s">
        <v>4915</v>
      </c>
      <c r="J217" s="79" t="s">
        <v>4445</v>
      </c>
    </row>
    <row r="218" spans="1:10" ht="14.25" hidden="1" customHeight="1" x14ac:dyDescent="0.25">
      <c r="A218" s="78">
        <v>692665007</v>
      </c>
      <c r="B218" s="54" t="s">
        <v>751</v>
      </c>
      <c r="C218" s="53" t="s">
        <v>12</v>
      </c>
      <c r="D218" s="79" t="s">
        <v>4785</v>
      </c>
      <c r="E218" s="79" t="s">
        <v>4554</v>
      </c>
      <c r="F218" s="79" t="s">
        <v>4792</v>
      </c>
      <c r="G218" s="79" t="s">
        <v>4008</v>
      </c>
      <c r="H218" s="79">
        <v>69266500</v>
      </c>
      <c r="I218" s="79" t="s">
        <v>4914</v>
      </c>
      <c r="J218" s="79" t="s">
        <v>4464</v>
      </c>
    </row>
    <row r="219" spans="1:10" ht="14.25" hidden="1" customHeight="1" x14ac:dyDescent="0.25">
      <c r="A219" s="78">
        <v>778781700</v>
      </c>
      <c r="B219" s="54" t="s">
        <v>574</v>
      </c>
      <c r="C219" s="53" t="s">
        <v>159</v>
      </c>
      <c r="D219" s="79" t="s">
        <v>159</v>
      </c>
      <c r="E219" s="79" t="s">
        <v>4197</v>
      </c>
      <c r="F219" s="79" t="s">
        <v>4778</v>
      </c>
      <c r="G219" s="79" t="s">
        <v>2109</v>
      </c>
      <c r="H219" s="79">
        <v>77878170</v>
      </c>
      <c r="I219" s="79" t="s">
        <v>4915</v>
      </c>
      <c r="J219" s="79" t="s">
        <v>4445</v>
      </c>
    </row>
    <row r="220" spans="1:10" ht="14.25" hidden="1" customHeight="1" x14ac:dyDescent="0.25">
      <c r="A220" s="78">
        <v>691905004</v>
      </c>
      <c r="B220" s="54" t="s">
        <v>370</v>
      </c>
      <c r="C220" s="53" t="s">
        <v>159</v>
      </c>
      <c r="D220" s="79" t="s">
        <v>159</v>
      </c>
      <c r="E220" s="79" t="s">
        <v>4222</v>
      </c>
      <c r="F220" s="79" t="s">
        <v>4779</v>
      </c>
      <c r="G220" s="79" t="s">
        <v>1932</v>
      </c>
      <c r="H220" s="79">
        <v>69190500</v>
      </c>
      <c r="I220" s="79" t="s">
        <v>4914</v>
      </c>
      <c r="J220" s="79" t="s">
        <v>4445</v>
      </c>
    </row>
    <row r="221" spans="1:10" ht="14.25" hidden="1" customHeight="1" x14ac:dyDescent="0.25">
      <c r="A221" s="78">
        <v>619532007</v>
      </c>
      <c r="B221" s="54" t="s">
        <v>748</v>
      </c>
      <c r="C221" s="53" t="s">
        <v>159</v>
      </c>
      <c r="D221" s="79" t="s">
        <v>159</v>
      </c>
      <c r="E221" s="79" t="s">
        <v>4470</v>
      </c>
      <c r="F221" s="79" t="s">
        <v>4778</v>
      </c>
      <c r="G221" s="79" t="s">
        <v>3149</v>
      </c>
      <c r="H221" s="79">
        <v>61953200</v>
      </c>
      <c r="I221" s="79" t="s">
        <v>4914</v>
      </c>
      <c r="J221" s="79" t="s">
        <v>4445</v>
      </c>
    </row>
    <row r="222" spans="1:10" ht="14.25" hidden="1" customHeight="1" x14ac:dyDescent="0.25">
      <c r="A222" s="78">
        <v>707447001</v>
      </c>
      <c r="B222" s="54" t="s">
        <v>412</v>
      </c>
      <c r="C222" s="53" t="s">
        <v>159</v>
      </c>
      <c r="D222" s="79" t="s">
        <v>159</v>
      </c>
      <c r="E222" s="79" t="s">
        <v>4218</v>
      </c>
      <c r="F222" s="79" t="s">
        <v>4779</v>
      </c>
      <c r="G222" s="79" t="s">
        <v>2295</v>
      </c>
      <c r="H222" s="79">
        <v>70744700</v>
      </c>
      <c r="I222" s="79" t="s">
        <v>4914</v>
      </c>
      <c r="J222" s="79" t="s">
        <v>4445</v>
      </c>
    </row>
    <row r="223" spans="1:10" ht="14.25" hidden="1" customHeight="1" x14ac:dyDescent="0.25">
      <c r="A223" s="78">
        <v>966008504</v>
      </c>
      <c r="B223" s="54" t="s">
        <v>128</v>
      </c>
      <c r="C223" s="53" t="s">
        <v>4757</v>
      </c>
      <c r="D223" s="79" t="s">
        <v>4787</v>
      </c>
      <c r="E223" s="79" t="s">
        <v>4490</v>
      </c>
      <c r="F223" s="79" t="s">
        <v>4788</v>
      </c>
      <c r="G223" s="79" t="s">
        <v>3822</v>
      </c>
      <c r="H223" s="79">
        <v>96600850</v>
      </c>
      <c r="I223" s="79" t="s">
        <v>4915</v>
      </c>
      <c r="J223" s="79" t="s">
        <v>2372</v>
      </c>
    </row>
    <row r="224" spans="1:10" ht="14.25" hidden="1" customHeight="1" x14ac:dyDescent="0.25">
      <c r="A224" s="78">
        <v>616022792</v>
      </c>
      <c r="B224" s="54" t="s">
        <v>204</v>
      </c>
      <c r="C224" s="53" t="s">
        <v>159</v>
      </c>
      <c r="D224" s="79" t="s">
        <v>159</v>
      </c>
      <c r="E224" s="79" t="s">
        <v>4810</v>
      </c>
      <c r="F224" s="79" t="s">
        <v>4800</v>
      </c>
      <c r="G224" s="79" t="s">
        <v>2351</v>
      </c>
      <c r="H224" s="79">
        <v>61602279</v>
      </c>
      <c r="I224" s="79" t="s">
        <v>4914</v>
      </c>
      <c r="J224" s="79" t="s">
        <v>4445</v>
      </c>
    </row>
    <row r="225" spans="1:10" ht="14.25" hidden="1" customHeight="1" x14ac:dyDescent="0.25">
      <c r="A225" s="78" t="s">
        <v>156</v>
      </c>
      <c r="B225" s="54" t="s">
        <v>761</v>
      </c>
      <c r="C225" s="53" t="s">
        <v>159</v>
      </c>
      <c r="D225" s="79" t="s">
        <v>159</v>
      </c>
      <c r="E225" s="79" t="s">
        <v>4391</v>
      </c>
      <c r="F225" s="79" t="s">
        <v>4778</v>
      </c>
      <c r="G225" s="79" t="s">
        <v>3919</v>
      </c>
      <c r="H225" s="79">
        <v>76481620</v>
      </c>
      <c r="I225" s="79" t="s">
        <v>4915</v>
      </c>
      <c r="J225" s="79" t="s">
        <v>4445</v>
      </c>
    </row>
    <row r="226" spans="1:10" ht="14.25" hidden="1" customHeight="1" x14ac:dyDescent="0.25">
      <c r="A226" s="78">
        <v>616070037</v>
      </c>
      <c r="B226" s="54" t="s">
        <v>235</v>
      </c>
      <c r="C226" s="53" t="s">
        <v>159</v>
      </c>
      <c r="D226" s="79" t="s">
        <v>159</v>
      </c>
      <c r="E226" s="79" t="s">
        <v>4267</v>
      </c>
      <c r="F226" s="79" t="s">
        <v>4792</v>
      </c>
      <c r="G226" s="79" t="s">
        <v>1972</v>
      </c>
      <c r="H226" s="79">
        <v>61607003</v>
      </c>
      <c r="I226" s="79" t="s">
        <v>4914</v>
      </c>
      <c r="J226" s="79" t="s">
        <v>4445</v>
      </c>
    </row>
    <row r="227" spans="1:10" ht="14.25" hidden="1" customHeight="1" x14ac:dyDescent="0.25">
      <c r="A227" s="78">
        <v>708921009</v>
      </c>
      <c r="B227" s="54" t="s">
        <v>421</v>
      </c>
      <c r="C227" s="53" t="s">
        <v>159</v>
      </c>
      <c r="D227" s="79" t="s">
        <v>159</v>
      </c>
      <c r="E227" s="79" t="s">
        <v>4171</v>
      </c>
      <c r="F227" s="79" t="s">
        <v>4789</v>
      </c>
      <c r="G227" s="79" t="s">
        <v>2217</v>
      </c>
      <c r="H227" s="79">
        <v>70892100</v>
      </c>
      <c r="I227" s="79" t="s">
        <v>4914</v>
      </c>
      <c r="J227" s="79" t="s">
        <v>4445</v>
      </c>
    </row>
    <row r="228" spans="1:10" ht="14.25" hidden="1" customHeight="1" x14ac:dyDescent="0.25">
      <c r="A228" s="78">
        <v>616022768</v>
      </c>
      <c r="B228" s="54" t="s">
        <v>202</v>
      </c>
      <c r="C228" s="53" t="s">
        <v>159</v>
      </c>
      <c r="D228" s="79" t="s">
        <v>159</v>
      </c>
      <c r="E228" s="79" t="s">
        <v>4484</v>
      </c>
      <c r="F228" s="79" t="s">
        <v>4784</v>
      </c>
      <c r="G228" s="79" t="s">
        <v>1275</v>
      </c>
      <c r="H228" s="79">
        <v>61602276</v>
      </c>
      <c r="I228" s="79" t="s">
        <v>4914</v>
      </c>
      <c r="J228" s="79" t="s">
        <v>4445</v>
      </c>
    </row>
    <row r="229" spans="1:10" ht="14.25" hidden="1" customHeight="1" x14ac:dyDescent="0.25">
      <c r="A229" s="78">
        <v>692105001</v>
      </c>
      <c r="B229" s="54" t="s">
        <v>799</v>
      </c>
      <c r="C229" s="53" t="s">
        <v>159</v>
      </c>
      <c r="D229" s="79" t="s">
        <v>159</v>
      </c>
      <c r="E229" s="79" t="s">
        <v>4282</v>
      </c>
      <c r="F229" s="79" t="s">
        <v>4784</v>
      </c>
      <c r="G229" s="79" t="s">
        <v>1516</v>
      </c>
      <c r="H229" s="79">
        <v>69210500</v>
      </c>
      <c r="I229" s="79" t="s">
        <v>4914</v>
      </c>
      <c r="J229" s="79" t="s">
        <v>4445</v>
      </c>
    </row>
    <row r="230" spans="1:10" ht="14.25" hidden="1" customHeight="1" x14ac:dyDescent="0.25">
      <c r="A230" s="78">
        <v>965679200</v>
      </c>
      <c r="B230" s="54" t="s">
        <v>603</v>
      </c>
      <c r="C230" s="53" t="s">
        <v>159</v>
      </c>
      <c r="D230" s="79" t="s">
        <v>159</v>
      </c>
      <c r="E230" s="79" t="s">
        <v>4185</v>
      </c>
      <c r="F230" s="79" t="s">
        <v>4806</v>
      </c>
      <c r="G230" s="79" t="s">
        <v>3612</v>
      </c>
      <c r="H230" s="79">
        <v>96567920</v>
      </c>
      <c r="I230" s="79" t="s">
        <v>4915</v>
      </c>
      <c r="J230" s="79" t="s">
        <v>4445</v>
      </c>
    </row>
    <row r="231" spans="1:10" ht="14.25" hidden="1" customHeight="1" x14ac:dyDescent="0.25">
      <c r="A231" s="78">
        <v>690906007</v>
      </c>
      <c r="B231" s="54" t="s">
        <v>324</v>
      </c>
      <c r="C231" s="53" t="s">
        <v>4790</v>
      </c>
      <c r="D231" s="79" t="s">
        <v>4790</v>
      </c>
      <c r="E231" s="79" t="s">
        <v>4206</v>
      </c>
      <c r="F231" s="79" t="s">
        <v>4795</v>
      </c>
      <c r="G231" s="79" t="s">
        <v>1976</v>
      </c>
      <c r="H231" s="79">
        <v>69090600</v>
      </c>
      <c r="I231" s="79" t="s">
        <v>4914</v>
      </c>
      <c r="J231" s="79" t="s">
        <v>4445</v>
      </c>
    </row>
    <row r="232" spans="1:10" ht="14.25" hidden="1" customHeight="1" x14ac:dyDescent="0.25">
      <c r="A232" s="78">
        <v>762569094</v>
      </c>
      <c r="B232" s="54" t="s">
        <v>816</v>
      </c>
      <c r="C232" s="53" t="s">
        <v>159</v>
      </c>
      <c r="D232" s="79" t="s">
        <v>159</v>
      </c>
      <c r="E232" s="79" t="s">
        <v>4452</v>
      </c>
      <c r="F232" s="79" t="s">
        <v>4778</v>
      </c>
      <c r="G232" s="79" t="s">
        <v>1754</v>
      </c>
      <c r="H232" s="79">
        <v>76256909</v>
      </c>
      <c r="I232" s="79" t="s">
        <v>4915</v>
      </c>
      <c r="J232" s="79" t="s">
        <v>4445</v>
      </c>
    </row>
    <row r="233" spans="1:10" ht="14.25" hidden="1" customHeight="1" x14ac:dyDescent="0.25">
      <c r="A233" s="78">
        <v>762427745</v>
      </c>
      <c r="B233" s="54" t="s">
        <v>111</v>
      </c>
      <c r="C233" s="53" t="s">
        <v>4</v>
      </c>
      <c r="D233" s="79" t="s">
        <v>4782</v>
      </c>
      <c r="E233" s="79" t="s">
        <v>4394</v>
      </c>
      <c r="F233" s="79" t="s">
        <v>4778</v>
      </c>
      <c r="G233" s="79" t="s">
        <v>1590</v>
      </c>
      <c r="H233" s="79">
        <v>76242774</v>
      </c>
      <c r="I233" s="79" t="s">
        <v>4915</v>
      </c>
      <c r="J233" s="79" t="s">
        <v>4453</v>
      </c>
    </row>
    <row r="234" spans="1:10" ht="14.25" hidden="1" customHeight="1" x14ac:dyDescent="0.25">
      <c r="A234" s="78">
        <v>995736004</v>
      </c>
      <c r="B234" s="54" t="s">
        <v>140</v>
      </c>
      <c r="C234" s="53" t="s">
        <v>4757</v>
      </c>
      <c r="D234" s="79" t="s">
        <v>4787</v>
      </c>
      <c r="E234" s="79" t="s">
        <v>4192</v>
      </c>
      <c r="F234" s="79" t="s">
        <v>4788</v>
      </c>
      <c r="G234" s="79" t="s">
        <v>3616</v>
      </c>
      <c r="H234" s="79">
        <v>99573600</v>
      </c>
      <c r="I234" s="79" t="s">
        <v>4915</v>
      </c>
      <c r="J234" s="79" t="s">
        <v>2372</v>
      </c>
    </row>
    <row r="235" spans="1:10" ht="14.25" customHeight="1" x14ac:dyDescent="0.25">
      <c r="A235" s="78" t="s">
        <v>692</v>
      </c>
      <c r="B235" s="54" t="s">
        <v>693</v>
      </c>
      <c r="C235" s="53" t="s">
        <v>159</v>
      </c>
      <c r="D235" s="79" t="s">
        <v>159</v>
      </c>
      <c r="E235" s="79" t="s">
        <v>4181</v>
      </c>
      <c r="F235" s="79" t="s">
        <v>4801</v>
      </c>
      <c r="G235" s="79" t="s">
        <v>2301</v>
      </c>
      <c r="H235" s="79">
        <v>70770800</v>
      </c>
      <c r="I235" s="79" t="s">
        <v>4914</v>
      </c>
      <c r="J235" s="79" t="s">
        <v>4445</v>
      </c>
    </row>
    <row r="236" spans="1:10" ht="14.25" hidden="1" customHeight="1" x14ac:dyDescent="0.25">
      <c r="A236" s="78">
        <v>775614315</v>
      </c>
      <c r="B236" s="54" t="s">
        <v>557</v>
      </c>
      <c r="C236" s="53" t="s">
        <v>159</v>
      </c>
      <c r="D236" s="79" t="s">
        <v>159</v>
      </c>
      <c r="E236" s="79" t="s">
        <v>4463</v>
      </c>
      <c r="F236" s="79" t="s">
        <v>4778</v>
      </c>
      <c r="G236" s="79" t="s">
        <v>2380</v>
      </c>
      <c r="H236" s="79">
        <v>77561431</v>
      </c>
      <c r="I236" s="79" t="s">
        <v>4915</v>
      </c>
      <c r="J236" s="79" t="s">
        <v>4445</v>
      </c>
    </row>
    <row r="237" spans="1:10" ht="14.25" hidden="1" customHeight="1" x14ac:dyDescent="0.25">
      <c r="A237" s="78">
        <v>770084466</v>
      </c>
      <c r="B237" s="54" t="s">
        <v>520</v>
      </c>
      <c r="C237" s="53" t="s">
        <v>159</v>
      </c>
      <c r="D237" s="79" t="s">
        <v>159</v>
      </c>
      <c r="E237" s="79" t="s">
        <v>4257</v>
      </c>
      <c r="F237" s="79" t="s">
        <v>4791</v>
      </c>
      <c r="G237" s="79" t="s">
        <v>1974</v>
      </c>
      <c r="H237" s="79">
        <v>77008446</v>
      </c>
      <c r="I237" s="79" t="s">
        <v>4915</v>
      </c>
      <c r="J237" s="79" t="s">
        <v>4445</v>
      </c>
    </row>
    <row r="238" spans="1:10" ht="14.25" hidden="1" customHeight="1" x14ac:dyDescent="0.25">
      <c r="A238" s="78">
        <v>700155803</v>
      </c>
      <c r="B238" s="54" t="s">
        <v>100</v>
      </c>
      <c r="C238" s="53" t="s">
        <v>4757</v>
      </c>
      <c r="D238" s="79" t="s">
        <v>4787</v>
      </c>
      <c r="E238" s="79" t="s">
        <v>4175</v>
      </c>
      <c r="F238" s="79" t="s">
        <v>4788</v>
      </c>
      <c r="G238" s="79" t="s">
        <v>2530</v>
      </c>
      <c r="H238" s="79">
        <v>70015580</v>
      </c>
      <c r="I238" s="79" t="s">
        <v>4915</v>
      </c>
      <c r="J238" s="79" t="s">
        <v>2372</v>
      </c>
    </row>
    <row r="239" spans="1:10" ht="14.25" hidden="1" customHeight="1" x14ac:dyDescent="0.25">
      <c r="A239" s="78">
        <v>707918004</v>
      </c>
      <c r="B239" s="54" t="s">
        <v>1002</v>
      </c>
      <c r="C239" s="53" t="s">
        <v>4793</v>
      </c>
      <c r="D239" s="79" t="s">
        <v>4794</v>
      </c>
      <c r="E239" s="79" t="s">
        <v>4182</v>
      </c>
      <c r="F239" s="79" t="s">
        <v>4796</v>
      </c>
      <c r="G239" s="79" t="s">
        <v>1248</v>
      </c>
      <c r="H239" s="79">
        <v>70791800</v>
      </c>
      <c r="I239" s="79" t="s">
        <v>4914</v>
      </c>
      <c r="J239" s="79" t="s">
        <v>4445</v>
      </c>
    </row>
    <row r="240" spans="1:10" ht="14.25" hidden="1" customHeight="1" x14ac:dyDescent="0.25">
      <c r="A240" s="78">
        <v>827453005</v>
      </c>
      <c r="B240" s="54" t="s">
        <v>2119</v>
      </c>
      <c r="C240" s="53" t="s">
        <v>12</v>
      </c>
      <c r="D240" s="79" t="s">
        <v>4785</v>
      </c>
      <c r="E240" s="79" t="s">
        <v>4272</v>
      </c>
      <c r="F240" s="79" t="s">
        <v>4786</v>
      </c>
      <c r="G240" s="79" t="s">
        <v>2118</v>
      </c>
      <c r="H240" s="79">
        <v>82745300</v>
      </c>
      <c r="I240" s="79" t="s">
        <v>4915</v>
      </c>
      <c r="J240" s="79" t="s">
        <v>4464</v>
      </c>
    </row>
    <row r="241" spans="1:10" ht="14.25" hidden="1" customHeight="1" x14ac:dyDescent="0.25">
      <c r="A241" s="78" t="s">
        <v>622</v>
      </c>
      <c r="B241" s="54" t="s">
        <v>623</v>
      </c>
      <c r="C241" s="53" t="s">
        <v>159</v>
      </c>
      <c r="D241" s="79" t="s">
        <v>159</v>
      </c>
      <c r="E241" s="79" t="s">
        <v>4168</v>
      </c>
      <c r="F241" s="79" t="s">
        <v>4778</v>
      </c>
      <c r="G241" s="79" t="s">
        <v>3649</v>
      </c>
      <c r="H241" s="79">
        <v>61108000</v>
      </c>
      <c r="I241" s="79" t="s">
        <v>4914</v>
      </c>
      <c r="J241" s="79" t="s">
        <v>4445</v>
      </c>
    </row>
    <row r="242" spans="1:10" ht="14.25" hidden="1" customHeight="1" x14ac:dyDescent="0.25">
      <c r="A242" s="78">
        <v>692519000</v>
      </c>
      <c r="B242" s="54" t="s">
        <v>949</v>
      </c>
      <c r="C242" s="53" t="s">
        <v>159</v>
      </c>
      <c r="D242" s="79" t="s">
        <v>159</v>
      </c>
      <c r="E242" s="79" t="s">
        <v>4547</v>
      </c>
      <c r="F242" s="79" t="s">
        <v>4803</v>
      </c>
      <c r="G242" s="79" t="s">
        <v>1367</v>
      </c>
      <c r="H242" s="79">
        <v>69251900</v>
      </c>
      <c r="I242" s="79" t="s">
        <v>4914</v>
      </c>
      <c r="J242" s="79" t="s">
        <v>4445</v>
      </c>
    </row>
    <row r="243" spans="1:10" ht="14.25" hidden="1" customHeight="1" x14ac:dyDescent="0.25">
      <c r="A243" s="78">
        <v>692548000</v>
      </c>
      <c r="B243" s="54" t="s">
        <v>393</v>
      </c>
      <c r="C243" s="53" t="s">
        <v>159</v>
      </c>
      <c r="D243" s="79" t="s">
        <v>159</v>
      </c>
      <c r="E243" s="79" t="s">
        <v>4410</v>
      </c>
      <c r="F243" s="79" t="s">
        <v>4778</v>
      </c>
      <c r="G243" s="79" t="s">
        <v>3998</v>
      </c>
      <c r="H243" s="79">
        <v>69254800</v>
      </c>
      <c r="I243" s="79" t="s">
        <v>4914</v>
      </c>
      <c r="J243" s="79" t="s">
        <v>4445</v>
      </c>
    </row>
    <row r="244" spans="1:10" ht="14.25" hidden="1" customHeight="1" x14ac:dyDescent="0.25">
      <c r="A244" s="78">
        <v>691411028</v>
      </c>
      <c r="B244" s="54" t="s">
        <v>349</v>
      </c>
      <c r="C244" s="53" t="s">
        <v>159</v>
      </c>
      <c r="D244" s="79" t="s">
        <v>159</v>
      </c>
      <c r="E244" s="79" t="s">
        <v>4346</v>
      </c>
      <c r="F244" s="79" t="s">
        <v>4792</v>
      </c>
      <c r="G244" s="79" t="s">
        <v>1844</v>
      </c>
      <c r="H244" s="79">
        <v>69141102</v>
      </c>
      <c r="I244" s="79" t="s">
        <v>4914</v>
      </c>
      <c r="J244" s="79" t="s">
        <v>4445</v>
      </c>
    </row>
    <row r="245" spans="1:10" ht="14.25" hidden="1" customHeight="1" x14ac:dyDescent="0.25">
      <c r="A245" s="78">
        <v>708803006</v>
      </c>
      <c r="B245" s="54" t="s">
        <v>418</v>
      </c>
      <c r="C245" s="53" t="s">
        <v>159</v>
      </c>
      <c r="D245" s="79" t="s">
        <v>159</v>
      </c>
      <c r="E245" s="79" t="s">
        <v>4415</v>
      </c>
      <c r="F245" s="79" t="s">
        <v>4778</v>
      </c>
      <c r="G245" s="79" t="s">
        <v>3952</v>
      </c>
      <c r="H245" s="79">
        <v>70880300</v>
      </c>
      <c r="I245" s="79" t="s">
        <v>4914</v>
      </c>
      <c r="J245" s="79" t="s">
        <v>4445</v>
      </c>
    </row>
    <row r="246" spans="1:10" ht="14.25" hidden="1" customHeight="1" x14ac:dyDescent="0.25">
      <c r="A246" s="78">
        <v>770252970</v>
      </c>
      <c r="B246" s="54" t="s">
        <v>846</v>
      </c>
      <c r="C246" s="53" t="s">
        <v>159</v>
      </c>
      <c r="D246" s="79" t="s">
        <v>159</v>
      </c>
      <c r="E246" s="79" t="s">
        <v>4168</v>
      </c>
      <c r="F246" s="79" t="s">
        <v>4778</v>
      </c>
      <c r="G246" s="79" t="s">
        <v>2813</v>
      </c>
      <c r="H246" s="79">
        <v>77025297</v>
      </c>
      <c r="I246" s="79" t="s">
        <v>4915</v>
      </c>
      <c r="J246" s="79" t="s">
        <v>4445</v>
      </c>
    </row>
    <row r="247" spans="1:10" ht="14.25" hidden="1" customHeight="1" x14ac:dyDescent="0.25">
      <c r="A247" s="78">
        <v>760125512</v>
      </c>
      <c r="B247" s="54" t="s">
        <v>457</v>
      </c>
      <c r="C247" s="53" t="s">
        <v>159</v>
      </c>
      <c r="D247" s="79" t="s">
        <v>159</v>
      </c>
      <c r="E247" s="79" t="s">
        <v>4168</v>
      </c>
      <c r="F247" s="79" t="s">
        <v>4778</v>
      </c>
      <c r="G247" s="79" t="s">
        <v>2445</v>
      </c>
      <c r="H247" s="79">
        <v>76012551</v>
      </c>
      <c r="I247" s="79" t="s">
        <v>4915</v>
      </c>
      <c r="J247" s="79" t="s">
        <v>4445</v>
      </c>
    </row>
    <row r="248" spans="1:10" ht="14.25" hidden="1" customHeight="1" x14ac:dyDescent="0.25">
      <c r="A248" s="78">
        <v>702851009</v>
      </c>
      <c r="B248" s="54" t="s">
        <v>101</v>
      </c>
      <c r="C248" s="53" t="s">
        <v>4</v>
      </c>
      <c r="D248" s="79" t="s">
        <v>4782</v>
      </c>
      <c r="E248" s="79" t="s">
        <v>4452</v>
      </c>
      <c r="F248" s="79" t="s">
        <v>4778</v>
      </c>
      <c r="G248" s="79" t="s">
        <v>3552</v>
      </c>
      <c r="H248" s="79">
        <v>70285100</v>
      </c>
      <c r="I248" s="79" t="s">
        <v>4915</v>
      </c>
      <c r="J248" s="79" t="s">
        <v>4453</v>
      </c>
    </row>
    <row r="249" spans="1:10" ht="14.25" hidden="1" customHeight="1" x14ac:dyDescent="0.25">
      <c r="A249" s="78" t="s">
        <v>634</v>
      </c>
      <c r="B249" s="54" t="s">
        <v>635</v>
      </c>
      <c r="C249" s="53" t="s">
        <v>159</v>
      </c>
      <c r="D249" s="79" t="s">
        <v>159</v>
      </c>
      <c r="E249" s="79" t="s">
        <v>4225</v>
      </c>
      <c r="F249" s="79" t="s">
        <v>4784</v>
      </c>
      <c r="G249" s="79" t="s">
        <v>1709</v>
      </c>
      <c r="H249" s="79">
        <v>61602261</v>
      </c>
      <c r="I249" s="79" t="s">
        <v>4914</v>
      </c>
      <c r="J249" s="79" t="s">
        <v>4445</v>
      </c>
    </row>
    <row r="250" spans="1:10" ht="14.25" hidden="1" customHeight="1" x14ac:dyDescent="0.25">
      <c r="A250" s="78">
        <v>708789003</v>
      </c>
      <c r="B250" s="54" t="s">
        <v>417</v>
      </c>
      <c r="C250" s="53" t="s">
        <v>4757</v>
      </c>
      <c r="D250" s="79" t="s">
        <v>4787</v>
      </c>
      <c r="E250" s="79" t="s">
        <v>4490</v>
      </c>
      <c r="F250" s="79" t="s">
        <v>4788</v>
      </c>
      <c r="G250" s="79" t="s">
        <v>1334</v>
      </c>
      <c r="H250" s="79">
        <v>70878900</v>
      </c>
      <c r="I250" s="79" t="s">
        <v>4914</v>
      </c>
      <c r="J250" s="79" t="s">
        <v>2372</v>
      </c>
    </row>
    <row r="251" spans="1:10" ht="14.25" hidden="1" customHeight="1" x14ac:dyDescent="0.25">
      <c r="A251" s="78">
        <v>690408007</v>
      </c>
      <c r="B251" s="54" t="s">
        <v>287</v>
      </c>
      <c r="C251" s="53" t="s">
        <v>159</v>
      </c>
      <c r="D251" s="79" t="s">
        <v>159</v>
      </c>
      <c r="E251" s="79" t="s">
        <v>4303</v>
      </c>
      <c r="F251" s="79" t="s">
        <v>4789</v>
      </c>
      <c r="G251" s="79" t="s">
        <v>1631</v>
      </c>
      <c r="H251" s="79">
        <v>69040800</v>
      </c>
      <c r="I251" s="79" t="s">
        <v>4914</v>
      </c>
      <c r="J251" s="79" t="s">
        <v>4445</v>
      </c>
    </row>
    <row r="252" spans="1:10" ht="14.25" hidden="1" customHeight="1" x14ac:dyDescent="0.25">
      <c r="A252" s="78">
        <v>690509008</v>
      </c>
      <c r="B252" s="54" t="s">
        <v>786</v>
      </c>
      <c r="C252" s="53" t="s">
        <v>159</v>
      </c>
      <c r="D252" s="79" t="s">
        <v>159</v>
      </c>
      <c r="E252" s="79" t="s">
        <v>4308</v>
      </c>
      <c r="F252" s="79" t="s">
        <v>4788</v>
      </c>
      <c r="G252" s="79" t="s">
        <v>1659</v>
      </c>
      <c r="H252" s="79">
        <v>69050900</v>
      </c>
      <c r="I252" s="79" t="s">
        <v>4914</v>
      </c>
      <c r="J252" s="79" t="s">
        <v>4445</v>
      </c>
    </row>
    <row r="253" spans="1:10" ht="14.25" hidden="1" customHeight="1" x14ac:dyDescent="0.25">
      <c r="A253" s="78">
        <v>616069063</v>
      </c>
      <c r="B253" s="54" t="s">
        <v>228</v>
      </c>
      <c r="C253" s="53" t="s">
        <v>4790</v>
      </c>
      <c r="D253" s="79" t="s">
        <v>4790</v>
      </c>
      <c r="E253" s="79" t="s">
        <v>4493</v>
      </c>
      <c r="F253" s="79" t="s">
        <v>4791</v>
      </c>
      <c r="G253" s="79" t="s">
        <v>3897</v>
      </c>
      <c r="H253" s="79">
        <v>61606906</v>
      </c>
      <c r="I253" s="79" t="s">
        <v>4914</v>
      </c>
      <c r="J253" s="79" t="s">
        <v>4445</v>
      </c>
    </row>
    <row r="254" spans="1:10" ht="14.25" hidden="1" customHeight="1" x14ac:dyDescent="0.25">
      <c r="A254" s="78">
        <v>690811006</v>
      </c>
      <c r="B254" s="54" t="s">
        <v>788</v>
      </c>
      <c r="C254" s="53" t="s">
        <v>159</v>
      </c>
      <c r="D254" s="79" t="s">
        <v>159</v>
      </c>
      <c r="E254" s="79" t="s">
        <v>4202</v>
      </c>
      <c r="F254" s="79" t="s">
        <v>4795</v>
      </c>
      <c r="G254" s="79" t="s">
        <v>4149</v>
      </c>
      <c r="H254" s="79">
        <v>69081100</v>
      </c>
      <c r="I254" s="79" t="s">
        <v>4914</v>
      </c>
      <c r="J254" s="79" t="s">
        <v>4445</v>
      </c>
    </row>
    <row r="255" spans="1:10" ht="14.25" hidden="1" customHeight="1" x14ac:dyDescent="0.25">
      <c r="A255" s="78">
        <v>868210001</v>
      </c>
      <c r="B255" s="54" t="s">
        <v>596</v>
      </c>
      <c r="C255" s="53" t="s">
        <v>159</v>
      </c>
      <c r="D255" s="79" t="s">
        <v>159</v>
      </c>
      <c r="E255" s="79" t="s">
        <v>4393</v>
      </c>
      <c r="F255" s="79" t="s">
        <v>4778</v>
      </c>
      <c r="G255" s="79" t="s">
        <v>3247</v>
      </c>
      <c r="H255" s="79">
        <v>86821000</v>
      </c>
      <c r="I255" s="79" t="s">
        <v>4915</v>
      </c>
      <c r="J255" s="79" t="s">
        <v>4445</v>
      </c>
    </row>
    <row r="256" spans="1:10" ht="14.25" hidden="1" customHeight="1" x14ac:dyDescent="0.25">
      <c r="A256" s="78" t="s">
        <v>718</v>
      </c>
      <c r="B256" s="54" t="s">
        <v>719</v>
      </c>
      <c r="C256" s="53" t="s">
        <v>4793</v>
      </c>
      <c r="D256" s="79" t="s">
        <v>4794</v>
      </c>
      <c r="E256" s="79" t="s">
        <v>4465</v>
      </c>
      <c r="F256" s="79" t="s">
        <v>4778</v>
      </c>
      <c r="G256" s="79" t="s">
        <v>1986</v>
      </c>
      <c r="H256" s="79">
        <v>76871990</v>
      </c>
      <c r="I256" s="79" t="s">
        <v>4915</v>
      </c>
      <c r="J256" s="79" t="s">
        <v>4445</v>
      </c>
    </row>
    <row r="257" spans="1:10" ht="14.25" hidden="1" customHeight="1" x14ac:dyDescent="0.25">
      <c r="A257" s="78">
        <v>616069128</v>
      </c>
      <c r="B257" s="54" t="s">
        <v>231</v>
      </c>
      <c r="C257" s="53" t="s">
        <v>4790</v>
      </c>
      <c r="D257" s="79" t="s">
        <v>4790</v>
      </c>
      <c r="E257" s="79" t="s">
        <v>4262</v>
      </c>
      <c r="F257" s="79" t="s">
        <v>4791</v>
      </c>
      <c r="G257" s="79" t="s">
        <v>1729</v>
      </c>
      <c r="H257" s="79">
        <v>61606912</v>
      </c>
      <c r="I257" s="79" t="s">
        <v>4914</v>
      </c>
      <c r="J257" s="79" t="s">
        <v>4445</v>
      </c>
    </row>
    <row r="258" spans="1:10" ht="14.25" hidden="1" customHeight="1" x14ac:dyDescent="0.25">
      <c r="A258" s="78">
        <v>616022296</v>
      </c>
      <c r="B258" s="54" t="s">
        <v>24</v>
      </c>
      <c r="C258" s="53" t="s">
        <v>4758</v>
      </c>
      <c r="D258" s="79" t="s">
        <v>25</v>
      </c>
      <c r="E258" s="79" t="s">
        <v>4361</v>
      </c>
      <c r="F258" s="79" t="s">
        <v>4779</v>
      </c>
      <c r="G258" s="79" t="s">
        <v>2573</v>
      </c>
      <c r="H258" s="79">
        <v>61602229</v>
      </c>
      <c r="I258" s="79" t="s">
        <v>4914</v>
      </c>
      <c r="J258" s="79" t="s">
        <v>4454</v>
      </c>
    </row>
    <row r="259" spans="1:10" ht="14.25" hidden="1" customHeight="1" x14ac:dyDescent="0.25">
      <c r="A259" s="78" t="s">
        <v>670</v>
      </c>
      <c r="B259" s="54" t="s">
        <v>671</v>
      </c>
      <c r="C259" s="53" t="s">
        <v>159</v>
      </c>
      <c r="D259" s="79" t="s">
        <v>159</v>
      </c>
      <c r="E259" s="79" t="s">
        <v>4460</v>
      </c>
      <c r="F259" s="79" t="s">
        <v>4786</v>
      </c>
      <c r="G259" s="79" t="s">
        <v>1357</v>
      </c>
      <c r="H259" s="79">
        <v>65311270</v>
      </c>
      <c r="I259" s="79" t="s">
        <v>4914</v>
      </c>
      <c r="J259" s="79" t="s">
        <v>4445</v>
      </c>
    </row>
    <row r="260" spans="1:10" ht="14.25" hidden="1" customHeight="1" x14ac:dyDescent="0.25">
      <c r="A260" s="78">
        <v>760709115</v>
      </c>
      <c r="B260" s="54" t="s">
        <v>461</v>
      </c>
      <c r="C260" s="53" t="s">
        <v>159</v>
      </c>
      <c r="D260" s="79" t="s">
        <v>159</v>
      </c>
      <c r="E260" s="79" t="s">
        <v>4391</v>
      </c>
      <c r="F260" s="79" t="s">
        <v>4778</v>
      </c>
      <c r="G260" s="79" t="s">
        <v>4124</v>
      </c>
      <c r="H260" s="79">
        <v>76070911</v>
      </c>
      <c r="I260" s="79" t="s">
        <v>4915</v>
      </c>
      <c r="J260" s="79" t="s">
        <v>4445</v>
      </c>
    </row>
    <row r="261" spans="1:10" ht="14.25" hidden="1" customHeight="1" x14ac:dyDescent="0.25">
      <c r="A261" s="78">
        <v>968989804</v>
      </c>
      <c r="B261" s="54" t="s">
        <v>757</v>
      </c>
      <c r="C261" s="53" t="s">
        <v>4</v>
      </c>
      <c r="D261" s="79" t="s">
        <v>4782</v>
      </c>
      <c r="E261" s="79" t="s">
        <v>4394</v>
      </c>
      <c r="F261" s="79" t="s">
        <v>4778</v>
      </c>
      <c r="G261" s="79" t="s">
        <v>3629</v>
      </c>
      <c r="H261" s="79">
        <v>96898980</v>
      </c>
      <c r="I261" s="79" t="s">
        <v>4915</v>
      </c>
      <c r="J261" s="79" t="s">
        <v>4453</v>
      </c>
    </row>
    <row r="262" spans="1:10" ht="14.25" hidden="1" customHeight="1" x14ac:dyDescent="0.25">
      <c r="A262" s="78">
        <v>774175083</v>
      </c>
      <c r="B262" s="54" t="s">
        <v>857</v>
      </c>
      <c r="C262" s="53" t="s">
        <v>159</v>
      </c>
      <c r="D262" s="79" t="s">
        <v>159</v>
      </c>
      <c r="E262" s="79" t="s">
        <v>4171</v>
      </c>
      <c r="F262" s="79" t="s">
        <v>4789</v>
      </c>
      <c r="G262" s="79" t="s">
        <v>2007</v>
      </c>
      <c r="H262" s="79">
        <v>77417508</v>
      </c>
      <c r="I262" s="79" t="s">
        <v>4915</v>
      </c>
      <c r="J262" s="79" t="s">
        <v>4445</v>
      </c>
    </row>
    <row r="263" spans="1:10" ht="14.25" hidden="1" customHeight="1" x14ac:dyDescent="0.25">
      <c r="A263" s="78">
        <v>616072005</v>
      </c>
      <c r="B263" s="54" t="s">
        <v>240</v>
      </c>
      <c r="C263" s="53" t="s">
        <v>159</v>
      </c>
      <c r="D263" s="79" t="s">
        <v>159</v>
      </c>
      <c r="E263" s="79" t="s">
        <v>4183</v>
      </c>
      <c r="F263" s="79" t="s">
        <v>4786</v>
      </c>
      <c r="G263" s="79" t="s">
        <v>4162</v>
      </c>
      <c r="H263" s="79">
        <v>61607200</v>
      </c>
      <c r="I263" s="79" t="s">
        <v>4914</v>
      </c>
      <c r="J263" s="79" t="s">
        <v>4445</v>
      </c>
    </row>
    <row r="264" spans="1:10" ht="14.25" hidden="1" customHeight="1" x14ac:dyDescent="0.25">
      <c r="A264" s="78">
        <v>771477356</v>
      </c>
      <c r="B264" s="54" t="s">
        <v>529</v>
      </c>
      <c r="C264" s="53" t="s">
        <v>159</v>
      </c>
      <c r="D264" s="79" t="s">
        <v>159</v>
      </c>
      <c r="E264" s="79" t="s">
        <v>4495</v>
      </c>
      <c r="F264" s="79" t="s">
        <v>4792</v>
      </c>
      <c r="G264" s="79" t="s">
        <v>1969</v>
      </c>
      <c r="H264" s="79">
        <v>77147735</v>
      </c>
      <c r="I264" s="79" t="s">
        <v>4915</v>
      </c>
      <c r="J264" s="79" t="s">
        <v>4445</v>
      </c>
    </row>
    <row r="265" spans="1:10" ht="14.25" hidden="1" customHeight="1" x14ac:dyDescent="0.25">
      <c r="A265" s="78">
        <v>690303000</v>
      </c>
      <c r="B265" s="54" t="s">
        <v>284</v>
      </c>
      <c r="C265" s="53" t="s">
        <v>159</v>
      </c>
      <c r="D265" s="79" t="s">
        <v>159</v>
      </c>
      <c r="E265" s="79" t="s">
        <v>4299</v>
      </c>
      <c r="F265" s="79" t="s">
        <v>4803</v>
      </c>
      <c r="G265" s="79" t="s">
        <v>1895</v>
      </c>
      <c r="H265" s="79">
        <v>69030300</v>
      </c>
      <c r="I265" s="79" t="s">
        <v>4914</v>
      </c>
      <c r="J265" s="79" t="s">
        <v>4445</v>
      </c>
    </row>
    <row r="266" spans="1:10" ht="14.25" hidden="1" customHeight="1" x14ac:dyDescent="0.25">
      <c r="A266" s="78">
        <v>690737000</v>
      </c>
      <c r="B266" s="54" t="s">
        <v>313</v>
      </c>
      <c r="C266" s="53" t="s">
        <v>159</v>
      </c>
      <c r="D266" s="79" t="s">
        <v>159</v>
      </c>
      <c r="E266" s="79" t="s">
        <v>4321</v>
      </c>
      <c r="F266" s="79" t="s">
        <v>4788</v>
      </c>
      <c r="G266" s="79" t="s">
        <v>1326</v>
      </c>
      <c r="H266" s="79">
        <v>69073700</v>
      </c>
      <c r="I266" s="79" t="s">
        <v>4914</v>
      </c>
      <c r="J266" s="79" t="s">
        <v>4445</v>
      </c>
    </row>
    <row r="267" spans="1:10" ht="14.25" hidden="1" customHeight="1" x14ac:dyDescent="0.25">
      <c r="A267" s="78">
        <v>777228234</v>
      </c>
      <c r="B267" s="54" t="s">
        <v>863</v>
      </c>
      <c r="C267" s="53" t="s">
        <v>159</v>
      </c>
      <c r="D267" s="79" t="s">
        <v>159</v>
      </c>
      <c r="E267" s="79" t="s">
        <v>4393</v>
      </c>
      <c r="F267" s="79" t="s">
        <v>4778</v>
      </c>
      <c r="G267" s="79" t="s">
        <v>1598</v>
      </c>
      <c r="H267" s="79">
        <v>77722823</v>
      </c>
      <c r="I267" s="79" t="s">
        <v>4915</v>
      </c>
      <c r="J267" s="79" t="s">
        <v>4445</v>
      </c>
    </row>
    <row r="268" spans="1:10" ht="14.25" hidden="1" customHeight="1" x14ac:dyDescent="0.25">
      <c r="A268" s="78">
        <v>761426168</v>
      </c>
      <c r="B268" s="54" t="s">
        <v>464</v>
      </c>
      <c r="C268" s="53" t="s">
        <v>159</v>
      </c>
      <c r="D268" s="79" t="s">
        <v>159</v>
      </c>
      <c r="E268" s="79" t="s">
        <v>4470</v>
      </c>
      <c r="F268" s="79" t="s">
        <v>4778</v>
      </c>
      <c r="G268" s="79" t="s">
        <v>1256</v>
      </c>
      <c r="H268" s="79">
        <v>76142616</v>
      </c>
      <c r="I268" s="79" t="s">
        <v>4915</v>
      </c>
      <c r="J268" s="79" t="s">
        <v>4445</v>
      </c>
    </row>
    <row r="269" spans="1:10" ht="14.25" hidden="1" customHeight="1" x14ac:dyDescent="0.25">
      <c r="A269" s="78">
        <v>609210001</v>
      </c>
      <c r="B269" s="54" t="s">
        <v>163</v>
      </c>
      <c r="C269" s="53" t="s">
        <v>159</v>
      </c>
      <c r="D269" s="79" t="s">
        <v>159</v>
      </c>
      <c r="E269" s="79" t="s">
        <v>4175</v>
      </c>
      <c r="F269" s="79" t="s">
        <v>4788</v>
      </c>
      <c r="G269" s="79" t="s">
        <v>3288</v>
      </c>
      <c r="H269" s="79">
        <v>60921000</v>
      </c>
      <c r="I269" s="79" t="s">
        <v>4914</v>
      </c>
      <c r="J269" s="79" t="s">
        <v>4445</v>
      </c>
    </row>
    <row r="270" spans="1:10" ht="14.25" hidden="1" customHeight="1" x14ac:dyDescent="0.25">
      <c r="A270" s="78">
        <v>708855006</v>
      </c>
      <c r="B270" s="54" t="s">
        <v>420</v>
      </c>
      <c r="C270" s="53" t="s">
        <v>4790</v>
      </c>
      <c r="D270" s="79" t="s">
        <v>4790</v>
      </c>
      <c r="E270" s="79" t="s">
        <v>4257</v>
      </c>
      <c r="F270" s="79" t="s">
        <v>4791</v>
      </c>
      <c r="G270" s="79" t="s">
        <v>2325</v>
      </c>
      <c r="H270" s="79">
        <v>70885500</v>
      </c>
      <c r="I270" s="79" t="s">
        <v>4914</v>
      </c>
      <c r="J270" s="79" t="s">
        <v>4445</v>
      </c>
    </row>
    <row r="271" spans="1:10" ht="14.25" hidden="1" customHeight="1" x14ac:dyDescent="0.25">
      <c r="A271" s="78">
        <v>714974009</v>
      </c>
      <c r="B271" s="54" t="s">
        <v>451</v>
      </c>
      <c r="C271" s="53" t="s">
        <v>159</v>
      </c>
      <c r="D271" s="79" t="s">
        <v>159</v>
      </c>
      <c r="E271" s="79" t="s">
        <v>4387</v>
      </c>
      <c r="F271" s="79" t="s">
        <v>4802</v>
      </c>
      <c r="G271" s="79" t="s">
        <v>2407</v>
      </c>
      <c r="H271" s="79">
        <v>71497400</v>
      </c>
      <c r="I271" s="79" t="s">
        <v>4914</v>
      </c>
      <c r="J271" s="79" t="s">
        <v>4445</v>
      </c>
    </row>
    <row r="272" spans="1:10" ht="14.25" hidden="1" customHeight="1" x14ac:dyDescent="0.25">
      <c r="A272" s="78">
        <v>616022091</v>
      </c>
      <c r="B272" s="54" t="s">
        <v>22</v>
      </c>
      <c r="C272" s="53" t="s">
        <v>12</v>
      </c>
      <c r="D272" s="79" t="s">
        <v>4785</v>
      </c>
      <c r="E272" s="79" t="s">
        <v>4214</v>
      </c>
      <c r="F272" s="79" t="s">
        <v>4786</v>
      </c>
      <c r="G272" s="79" t="s">
        <v>1476</v>
      </c>
      <c r="H272" s="79">
        <v>61602209</v>
      </c>
      <c r="I272" s="79" t="s">
        <v>4914</v>
      </c>
      <c r="J272" s="79" t="s">
        <v>4464</v>
      </c>
    </row>
    <row r="273" spans="1:10" ht="14.25" hidden="1" customHeight="1" x14ac:dyDescent="0.25">
      <c r="A273" s="78">
        <v>616021524</v>
      </c>
      <c r="B273" s="54" t="s">
        <v>184</v>
      </c>
      <c r="C273" s="53" t="s">
        <v>159</v>
      </c>
      <c r="D273" s="79" t="s">
        <v>159</v>
      </c>
      <c r="E273" s="79" t="s">
        <v>4208</v>
      </c>
      <c r="F273" s="79" t="s">
        <v>4795</v>
      </c>
      <c r="G273" s="79" t="s">
        <v>2786</v>
      </c>
      <c r="H273" s="79">
        <v>61602152</v>
      </c>
      <c r="I273" s="79" t="s">
        <v>4914</v>
      </c>
      <c r="J273" s="79" t="s">
        <v>4445</v>
      </c>
    </row>
    <row r="274" spans="1:10" ht="14.25" hidden="1" customHeight="1" x14ac:dyDescent="0.25">
      <c r="A274" s="78">
        <v>690907003</v>
      </c>
      <c r="B274" s="54" t="s">
        <v>325</v>
      </c>
      <c r="C274" s="53" t="s">
        <v>159</v>
      </c>
      <c r="D274" s="79" t="s">
        <v>159</v>
      </c>
      <c r="E274" s="79" t="s">
        <v>4534</v>
      </c>
      <c r="F274" s="79" t="s">
        <v>4795</v>
      </c>
      <c r="G274" s="79" t="s">
        <v>1774</v>
      </c>
      <c r="H274" s="79">
        <v>69090700</v>
      </c>
      <c r="I274" s="79" t="s">
        <v>4914</v>
      </c>
      <c r="J274" s="79" t="s">
        <v>4445</v>
      </c>
    </row>
    <row r="275" spans="1:10" ht="14.25" hidden="1" customHeight="1" x14ac:dyDescent="0.25">
      <c r="A275" s="78">
        <v>616079042</v>
      </c>
      <c r="B275" s="54" t="s">
        <v>252</v>
      </c>
      <c r="C275" s="53" t="s">
        <v>159</v>
      </c>
      <c r="D275" s="79" t="s">
        <v>159</v>
      </c>
      <c r="E275" s="79" t="s">
        <v>4503</v>
      </c>
      <c r="F275" s="79" t="s">
        <v>4806</v>
      </c>
      <c r="G275" s="79" t="s">
        <v>2289</v>
      </c>
      <c r="H275" s="79">
        <v>61607904</v>
      </c>
      <c r="I275" s="79" t="s">
        <v>4914</v>
      </c>
      <c r="J275" s="79" t="s">
        <v>4445</v>
      </c>
    </row>
    <row r="276" spans="1:10" ht="14.25" hidden="1" customHeight="1" x14ac:dyDescent="0.25">
      <c r="A276" s="78">
        <v>709337009</v>
      </c>
      <c r="B276" s="54" t="s">
        <v>427</v>
      </c>
      <c r="C276" s="53" t="s">
        <v>159</v>
      </c>
      <c r="D276" s="79" t="s">
        <v>159</v>
      </c>
      <c r="E276" s="79" t="s">
        <v>4394</v>
      </c>
      <c r="F276" s="79" t="s">
        <v>4778</v>
      </c>
      <c r="G276" s="79" t="s">
        <v>1881</v>
      </c>
      <c r="H276" s="79">
        <v>70933700</v>
      </c>
      <c r="I276" s="79" t="s">
        <v>4914</v>
      </c>
      <c r="J276" s="79" t="s">
        <v>4445</v>
      </c>
    </row>
    <row r="277" spans="1:10" ht="14.25" hidden="1" customHeight="1" x14ac:dyDescent="0.25">
      <c r="A277" s="78" t="s">
        <v>713</v>
      </c>
      <c r="B277" s="54" t="s">
        <v>714</v>
      </c>
      <c r="C277" s="53" t="s">
        <v>159</v>
      </c>
      <c r="D277" s="79" t="s">
        <v>159</v>
      </c>
      <c r="E277" s="79" t="s">
        <v>4391</v>
      </c>
      <c r="F277" s="79" t="s">
        <v>4778</v>
      </c>
      <c r="G277" s="79" t="s">
        <v>2679</v>
      </c>
      <c r="H277" s="79">
        <v>76739523</v>
      </c>
      <c r="I277" s="79" t="s">
        <v>4915</v>
      </c>
      <c r="J277" s="79" t="s">
        <v>4445</v>
      </c>
    </row>
    <row r="278" spans="1:10" ht="14.25" hidden="1" customHeight="1" x14ac:dyDescent="0.25">
      <c r="A278" s="78">
        <v>772971834</v>
      </c>
      <c r="B278" s="54" t="s">
        <v>936</v>
      </c>
      <c r="C278" s="53" t="s">
        <v>159</v>
      </c>
      <c r="D278" s="79" t="s">
        <v>159</v>
      </c>
      <c r="E278" s="79" t="s">
        <v>4395</v>
      </c>
      <c r="F278" s="79" t="s">
        <v>4778</v>
      </c>
      <c r="G278" s="79" t="s">
        <v>2938</v>
      </c>
      <c r="H278" s="79">
        <v>77297183</v>
      </c>
      <c r="I278" s="79" t="s">
        <v>4915</v>
      </c>
      <c r="J278" s="79" t="s">
        <v>4445</v>
      </c>
    </row>
    <row r="279" spans="1:10" ht="14.25" hidden="1" customHeight="1" x14ac:dyDescent="0.25">
      <c r="A279" s="78">
        <v>616073052</v>
      </c>
      <c r="B279" s="54" t="s">
        <v>242</v>
      </c>
      <c r="C279" s="53" t="s">
        <v>159</v>
      </c>
      <c r="D279" s="79" t="s">
        <v>159</v>
      </c>
      <c r="E279" s="79" t="s">
        <v>4347</v>
      </c>
      <c r="F279" s="79" t="s">
        <v>4786</v>
      </c>
      <c r="G279" s="79" t="s">
        <v>1394</v>
      </c>
      <c r="H279" s="79">
        <v>61607305</v>
      </c>
      <c r="I279" s="79" t="s">
        <v>4914</v>
      </c>
      <c r="J279" s="79" t="s">
        <v>4445</v>
      </c>
    </row>
    <row r="280" spans="1:10" ht="14.25" hidden="1" customHeight="1" x14ac:dyDescent="0.25">
      <c r="A280" s="78">
        <v>764534581</v>
      </c>
      <c r="B280" s="54" t="s">
        <v>484</v>
      </c>
      <c r="C280" s="53" t="s">
        <v>159</v>
      </c>
      <c r="D280" s="79" t="s">
        <v>159</v>
      </c>
      <c r="E280" s="79" t="s">
        <v>4465</v>
      </c>
      <c r="F280" s="79" t="s">
        <v>4778</v>
      </c>
      <c r="G280" s="79" t="s">
        <v>1610</v>
      </c>
      <c r="H280" s="79">
        <v>76453458</v>
      </c>
      <c r="I280" s="79" t="s">
        <v>4915</v>
      </c>
      <c r="J280" s="79" t="s">
        <v>4445</v>
      </c>
    </row>
    <row r="281" spans="1:10" ht="14.25" hidden="1" customHeight="1" x14ac:dyDescent="0.25">
      <c r="A281" s="78">
        <v>859621007</v>
      </c>
      <c r="B281" s="54" t="s">
        <v>595</v>
      </c>
      <c r="C281" s="53" t="s">
        <v>159</v>
      </c>
      <c r="D281" s="79" t="s">
        <v>159</v>
      </c>
      <c r="E281" s="79" t="s">
        <v>4197</v>
      </c>
      <c r="F281" s="79" t="s">
        <v>4778</v>
      </c>
      <c r="G281" s="79" t="s">
        <v>1302</v>
      </c>
      <c r="H281" s="79">
        <v>85962100</v>
      </c>
      <c r="I281" s="79" t="s">
        <v>4915</v>
      </c>
      <c r="J281" s="79" t="s">
        <v>4445</v>
      </c>
    </row>
    <row r="282" spans="1:10" ht="14.25" customHeight="1" x14ac:dyDescent="0.25">
      <c r="A282" s="78">
        <v>690101009</v>
      </c>
      <c r="B282" s="54" t="s">
        <v>280</v>
      </c>
      <c r="C282" s="53" t="s">
        <v>159</v>
      </c>
      <c r="D282" s="79" t="s">
        <v>159</v>
      </c>
      <c r="E282" s="79" t="s">
        <v>4181</v>
      </c>
      <c r="F282" s="79" t="s">
        <v>4801</v>
      </c>
      <c r="G282" s="79" t="s">
        <v>1977</v>
      </c>
      <c r="H282" s="79">
        <v>69010100</v>
      </c>
      <c r="I282" s="79" t="s">
        <v>4914</v>
      </c>
      <c r="J282" s="79" t="s">
        <v>4445</v>
      </c>
    </row>
    <row r="283" spans="1:10" ht="14.25" hidden="1" customHeight="1" x14ac:dyDescent="0.25">
      <c r="A283" s="78">
        <v>691408027</v>
      </c>
      <c r="B283" s="54" t="s">
        <v>348</v>
      </c>
      <c r="C283" s="53" t="s">
        <v>159</v>
      </c>
      <c r="D283" s="79" t="s">
        <v>159</v>
      </c>
      <c r="E283" s="79" t="s">
        <v>4811</v>
      </c>
      <c r="F283" s="79" t="s">
        <v>4792</v>
      </c>
      <c r="G283" s="79" t="s">
        <v>2341</v>
      </c>
      <c r="H283" s="79">
        <v>69140802</v>
      </c>
      <c r="I283" s="79" t="s">
        <v>4914</v>
      </c>
      <c r="J283" s="79" t="s">
        <v>4445</v>
      </c>
    </row>
    <row r="284" spans="1:10" ht="14.25" hidden="1" customHeight="1" x14ac:dyDescent="0.25">
      <c r="A284" s="78">
        <v>766844154</v>
      </c>
      <c r="B284" s="54" t="s">
        <v>4812</v>
      </c>
      <c r="C284" s="53" t="s">
        <v>159</v>
      </c>
      <c r="D284" s="79" t="s">
        <v>159</v>
      </c>
      <c r="E284" s="79" t="s">
        <v>4391</v>
      </c>
      <c r="F284" s="79" t="s">
        <v>4778</v>
      </c>
      <c r="G284" s="79" t="s">
        <v>3789</v>
      </c>
      <c r="H284" s="79">
        <v>76684415</v>
      </c>
      <c r="I284" s="79" t="s">
        <v>4915</v>
      </c>
      <c r="J284" s="79" t="s">
        <v>4445</v>
      </c>
    </row>
    <row r="285" spans="1:10" ht="14.25" hidden="1" customHeight="1" x14ac:dyDescent="0.25">
      <c r="A285" s="78">
        <v>769987304</v>
      </c>
      <c r="B285" s="54" t="s">
        <v>843</v>
      </c>
      <c r="C285" s="53" t="s">
        <v>159</v>
      </c>
      <c r="D285" s="79" t="s">
        <v>159</v>
      </c>
      <c r="E285" s="79" t="s">
        <v>4183</v>
      </c>
      <c r="F285" s="79" t="s">
        <v>4786</v>
      </c>
      <c r="G285" s="79" t="s">
        <v>2434</v>
      </c>
      <c r="H285" s="79">
        <v>76998730</v>
      </c>
      <c r="I285" s="79" t="s">
        <v>4915</v>
      </c>
      <c r="J285" s="79" t="s">
        <v>4445</v>
      </c>
    </row>
    <row r="286" spans="1:10" ht="14.25" hidden="1" customHeight="1" x14ac:dyDescent="0.25">
      <c r="A286" s="78">
        <v>995417502</v>
      </c>
      <c r="B286" s="54" t="s">
        <v>138</v>
      </c>
      <c r="C286" s="53" t="s">
        <v>4757</v>
      </c>
      <c r="D286" s="79" t="s">
        <v>4787</v>
      </c>
      <c r="E286" s="79" t="s">
        <v>4198</v>
      </c>
      <c r="F286" s="79" t="s">
        <v>4788</v>
      </c>
      <c r="G286" s="79" t="s">
        <v>4108</v>
      </c>
      <c r="H286" s="79">
        <v>99541750</v>
      </c>
      <c r="I286" s="79" t="s">
        <v>4915</v>
      </c>
      <c r="J286" s="79" t="s">
        <v>2372</v>
      </c>
    </row>
    <row r="287" spans="1:10" ht="14.25" hidden="1" customHeight="1" x14ac:dyDescent="0.25">
      <c r="A287" s="78">
        <v>616021451</v>
      </c>
      <c r="B287" s="54" t="s">
        <v>180</v>
      </c>
      <c r="C287" s="53" t="s">
        <v>4790</v>
      </c>
      <c r="D287" s="79" t="s">
        <v>4790</v>
      </c>
      <c r="E287" s="79" t="s">
        <v>4203</v>
      </c>
      <c r="F287" s="79" t="s">
        <v>4795</v>
      </c>
      <c r="G287" s="79" t="s">
        <v>1584</v>
      </c>
      <c r="H287" s="79">
        <v>61602145</v>
      </c>
      <c r="I287" s="79" t="s">
        <v>4914</v>
      </c>
      <c r="J287" s="79" t="s">
        <v>4445</v>
      </c>
    </row>
    <row r="288" spans="1:10" ht="14.25" hidden="1" customHeight="1" x14ac:dyDescent="0.25">
      <c r="A288" s="78">
        <v>620009407</v>
      </c>
      <c r="B288" s="54" t="s">
        <v>278</v>
      </c>
      <c r="C288" s="53" t="s">
        <v>159</v>
      </c>
      <c r="D288" s="79" t="s">
        <v>159</v>
      </c>
      <c r="E288" s="79" t="s">
        <v>4810</v>
      </c>
      <c r="F288" s="79" t="s">
        <v>4800</v>
      </c>
      <c r="G288" s="79" t="s">
        <v>1861</v>
      </c>
      <c r="H288" s="79">
        <v>62000940</v>
      </c>
      <c r="I288" s="79" t="s">
        <v>4914</v>
      </c>
      <c r="J288" s="79" t="s">
        <v>4445</v>
      </c>
    </row>
    <row r="289" spans="1:10" ht="14.25" hidden="1" customHeight="1" x14ac:dyDescent="0.25">
      <c r="A289" s="78" t="s">
        <v>642</v>
      </c>
      <c r="B289" s="54" t="s">
        <v>875</v>
      </c>
      <c r="C289" s="53" t="s">
        <v>4793</v>
      </c>
      <c r="D289" s="79" t="s">
        <v>4794</v>
      </c>
      <c r="E289" s="79" t="s">
        <v>4182</v>
      </c>
      <c r="F289" s="79" t="s">
        <v>4796</v>
      </c>
      <c r="G289" s="79" t="s">
        <v>2330</v>
      </c>
      <c r="H289" s="79">
        <v>61606200</v>
      </c>
      <c r="I289" s="79" t="s">
        <v>4914</v>
      </c>
      <c r="J289" s="79" t="s">
        <v>4445</v>
      </c>
    </row>
    <row r="290" spans="1:10" ht="14.25" hidden="1" customHeight="1" x14ac:dyDescent="0.25">
      <c r="A290" s="78">
        <v>616022474</v>
      </c>
      <c r="B290" s="54" t="s">
        <v>196</v>
      </c>
      <c r="C290" s="53" t="s">
        <v>159</v>
      </c>
      <c r="D290" s="79" t="s">
        <v>159</v>
      </c>
      <c r="E290" s="79" t="s">
        <v>4366</v>
      </c>
      <c r="F290" s="79" t="s">
        <v>4779</v>
      </c>
      <c r="G290" s="79" t="s">
        <v>1220</v>
      </c>
      <c r="H290" s="79">
        <v>61602247</v>
      </c>
      <c r="I290" s="79" t="s">
        <v>4914</v>
      </c>
      <c r="J290" s="79" t="s">
        <v>4445</v>
      </c>
    </row>
    <row r="291" spans="1:10" ht="14.25" hidden="1" customHeight="1" x14ac:dyDescent="0.25">
      <c r="A291" s="78">
        <v>995491303</v>
      </c>
      <c r="B291" s="54" t="s">
        <v>618</v>
      </c>
      <c r="C291" s="53" t="s">
        <v>4793</v>
      </c>
      <c r="D291" s="79" t="s">
        <v>4794</v>
      </c>
      <c r="E291" s="79" t="s">
        <v>4182</v>
      </c>
      <c r="F291" s="79" t="s">
        <v>4796</v>
      </c>
      <c r="G291" s="79" t="s">
        <v>2128</v>
      </c>
      <c r="H291" s="79">
        <v>99549130</v>
      </c>
      <c r="I291" s="79" t="s">
        <v>4915</v>
      </c>
      <c r="J291" s="79" t="s">
        <v>4445</v>
      </c>
    </row>
    <row r="292" spans="1:10" ht="14.25" hidden="1" customHeight="1" x14ac:dyDescent="0.25">
      <c r="A292" s="78">
        <v>965671706</v>
      </c>
      <c r="B292" s="54" t="s">
        <v>602</v>
      </c>
      <c r="C292" s="53" t="s">
        <v>159</v>
      </c>
      <c r="D292" s="79" t="s">
        <v>159</v>
      </c>
      <c r="E292" s="79" t="s">
        <v>4175</v>
      </c>
      <c r="F292" s="79" t="s">
        <v>4788</v>
      </c>
      <c r="G292" s="79" t="s">
        <v>1566</v>
      </c>
      <c r="H292" s="79">
        <v>96567170</v>
      </c>
      <c r="I292" s="79" t="s">
        <v>4915</v>
      </c>
      <c r="J292" s="79" t="s">
        <v>4445</v>
      </c>
    </row>
    <row r="293" spans="1:10" ht="14.25" hidden="1" customHeight="1" x14ac:dyDescent="0.25">
      <c r="A293" s="78" t="s">
        <v>735</v>
      </c>
      <c r="B293" s="54" t="s">
        <v>736</v>
      </c>
      <c r="C293" s="53" t="s">
        <v>159</v>
      </c>
      <c r="D293" s="79" t="s">
        <v>159</v>
      </c>
      <c r="E293" s="79" t="s">
        <v>4391</v>
      </c>
      <c r="F293" s="79" t="s">
        <v>4778</v>
      </c>
      <c r="G293" s="79" t="s">
        <v>3171</v>
      </c>
      <c r="H293" s="79">
        <v>78060400</v>
      </c>
      <c r="I293" s="79" t="s">
        <v>4915</v>
      </c>
      <c r="J293" s="79" t="s">
        <v>4445</v>
      </c>
    </row>
    <row r="294" spans="1:10" ht="14.25" hidden="1" customHeight="1" x14ac:dyDescent="0.25">
      <c r="A294" s="78">
        <v>691904008</v>
      </c>
      <c r="B294" s="54" t="s">
        <v>91</v>
      </c>
      <c r="C294" s="53" t="s">
        <v>4758</v>
      </c>
      <c r="D294" s="79" t="s">
        <v>25</v>
      </c>
      <c r="E294" s="79" t="s">
        <v>4364</v>
      </c>
      <c r="F294" s="79" t="s">
        <v>4779</v>
      </c>
      <c r="G294" s="79" t="s">
        <v>1930</v>
      </c>
      <c r="H294" s="79">
        <v>69190400</v>
      </c>
      <c r="I294" s="79" t="s">
        <v>4914</v>
      </c>
      <c r="J294" s="79" t="s">
        <v>4454</v>
      </c>
    </row>
    <row r="295" spans="1:10" ht="14.25" hidden="1" customHeight="1" x14ac:dyDescent="0.25">
      <c r="A295" s="78">
        <v>969216604</v>
      </c>
      <c r="B295" s="54" t="s">
        <v>613</v>
      </c>
      <c r="C295" s="53" t="s">
        <v>159</v>
      </c>
      <c r="D295" s="79" t="s">
        <v>159</v>
      </c>
      <c r="E295" s="79" t="s">
        <v>4452</v>
      </c>
      <c r="F295" s="79" t="s">
        <v>4778</v>
      </c>
      <c r="G295" s="79" t="s">
        <v>3094</v>
      </c>
      <c r="H295" s="79">
        <v>96921660</v>
      </c>
      <c r="I295" s="79" t="s">
        <v>4915</v>
      </c>
      <c r="J295" s="79" t="s">
        <v>4445</v>
      </c>
    </row>
    <row r="296" spans="1:10" ht="14.25" hidden="1" customHeight="1" x14ac:dyDescent="0.25">
      <c r="A296" s="78">
        <v>969860503</v>
      </c>
      <c r="B296" s="54" t="s">
        <v>1028</v>
      </c>
      <c r="C296" s="53" t="s">
        <v>4</v>
      </c>
      <c r="D296" s="79" t="s">
        <v>4782</v>
      </c>
      <c r="E296" s="79" t="s">
        <v>4394</v>
      </c>
      <c r="F296" s="79" t="s">
        <v>4778</v>
      </c>
      <c r="G296" s="79" t="s">
        <v>1964</v>
      </c>
      <c r="H296" s="79">
        <v>96986050</v>
      </c>
      <c r="I296" s="79" t="s">
        <v>4915</v>
      </c>
      <c r="J296" s="79" t="s">
        <v>4453</v>
      </c>
    </row>
    <row r="297" spans="1:10" ht="14.25" hidden="1" customHeight="1" x14ac:dyDescent="0.25">
      <c r="A297" s="78">
        <v>775583533</v>
      </c>
      <c r="B297" s="54" t="s">
        <v>860</v>
      </c>
      <c r="C297" s="53" t="s">
        <v>159</v>
      </c>
      <c r="D297" s="79" t="s">
        <v>159</v>
      </c>
      <c r="E297" s="79" t="s">
        <v>4391</v>
      </c>
      <c r="F297" s="79" t="s">
        <v>4778</v>
      </c>
      <c r="G297" s="79" t="s">
        <v>3048</v>
      </c>
      <c r="H297" s="79">
        <v>77558353</v>
      </c>
      <c r="I297" s="79" t="s">
        <v>4915</v>
      </c>
      <c r="J297" s="79" t="s">
        <v>4445</v>
      </c>
    </row>
    <row r="298" spans="1:10" ht="14.25" hidden="1" customHeight="1" x14ac:dyDescent="0.25">
      <c r="A298" s="78">
        <v>760465631</v>
      </c>
      <c r="B298" s="54" t="s">
        <v>807</v>
      </c>
      <c r="C298" s="53" t="s">
        <v>159</v>
      </c>
      <c r="D298" s="79" t="s">
        <v>159</v>
      </c>
      <c r="E298" s="79" t="s">
        <v>4391</v>
      </c>
      <c r="F298" s="79" t="s">
        <v>4778</v>
      </c>
      <c r="G298" s="79" t="s">
        <v>3722</v>
      </c>
      <c r="H298" s="79">
        <v>76046563</v>
      </c>
      <c r="I298" s="79" t="s">
        <v>4915</v>
      </c>
      <c r="J298" s="79" t="s">
        <v>4445</v>
      </c>
    </row>
    <row r="299" spans="1:10" ht="14.25" hidden="1" customHeight="1" x14ac:dyDescent="0.25">
      <c r="A299" s="78">
        <v>690603004</v>
      </c>
      <c r="B299" s="54" t="s">
        <v>298</v>
      </c>
      <c r="C299" s="53" t="s">
        <v>159</v>
      </c>
      <c r="D299" s="79" t="s">
        <v>159</v>
      </c>
      <c r="E299" s="79" t="s">
        <v>4813</v>
      </c>
      <c r="F299" s="79" t="s">
        <v>4788</v>
      </c>
      <c r="G299" s="79" t="s">
        <v>2349</v>
      </c>
      <c r="H299" s="79">
        <v>69060300</v>
      </c>
      <c r="I299" s="79" t="s">
        <v>4914</v>
      </c>
      <c r="J299" s="79" t="s">
        <v>4445</v>
      </c>
    </row>
    <row r="300" spans="1:10" ht="14.25" hidden="1" customHeight="1" x14ac:dyDescent="0.25">
      <c r="A300" s="78">
        <v>769958789</v>
      </c>
      <c r="B300" s="54" t="s">
        <v>519</v>
      </c>
      <c r="C300" s="53" t="s">
        <v>159</v>
      </c>
      <c r="D300" s="79" t="s">
        <v>159</v>
      </c>
      <c r="E300" s="79" t="s">
        <v>4393</v>
      </c>
      <c r="F300" s="79" t="s">
        <v>4778</v>
      </c>
      <c r="G300" s="79" t="s">
        <v>3252</v>
      </c>
      <c r="H300" s="79">
        <v>76995878</v>
      </c>
      <c r="I300" s="79" t="s">
        <v>4915</v>
      </c>
      <c r="J300" s="79" t="s">
        <v>4445</v>
      </c>
    </row>
    <row r="301" spans="1:10" ht="14.25" hidden="1" customHeight="1" x14ac:dyDescent="0.25">
      <c r="A301" s="78">
        <v>764523776</v>
      </c>
      <c r="B301" s="54" t="s">
        <v>483</v>
      </c>
      <c r="C301" s="53" t="s">
        <v>159</v>
      </c>
      <c r="D301" s="79" t="s">
        <v>159</v>
      </c>
      <c r="E301" s="79" t="s">
        <v>4460</v>
      </c>
      <c r="F301" s="79" t="s">
        <v>4786</v>
      </c>
      <c r="G301" s="79" t="s">
        <v>2607</v>
      </c>
      <c r="H301" s="79">
        <v>76452377</v>
      </c>
      <c r="I301" s="79" t="s">
        <v>4915</v>
      </c>
      <c r="J301" s="79" t="s">
        <v>4445</v>
      </c>
    </row>
    <row r="302" spans="1:10" ht="14.25" hidden="1" customHeight="1" x14ac:dyDescent="0.25">
      <c r="A302" s="78">
        <v>690605007</v>
      </c>
      <c r="B302" s="54" t="s">
        <v>79</v>
      </c>
      <c r="C302" s="53" t="s">
        <v>159</v>
      </c>
      <c r="D302" s="79" t="s">
        <v>159</v>
      </c>
      <c r="E302" s="79" t="s">
        <v>4312</v>
      </c>
      <c r="F302" s="79" t="s">
        <v>4788</v>
      </c>
      <c r="G302" s="79" t="s">
        <v>2107</v>
      </c>
      <c r="H302" s="79">
        <v>69060500</v>
      </c>
      <c r="I302" s="79" t="s">
        <v>4914</v>
      </c>
      <c r="J302" s="79" t="s">
        <v>4445</v>
      </c>
    </row>
    <row r="303" spans="1:10" ht="14.25" hidden="1" customHeight="1" x14ac:dyDescent="0.25">
      <c r="A303" s="78">
        <v>692645006</v>
      </c>
      <c r="B303" s="54" t="s">
        <v>401</v>
      </c>
      <c r="C303" s="53" t="s">
        <v>159</v>
      </c>
      <c r="D303" s="79" t="s">
        <v>159</v>
      </c>
      <c r="E303" s="79" t="s">
        <v>4379</v>
      </c>
      <c r="F303" s="79" t="s">
        <v>4791</v>
      </c>
      <c r="G303" s="79" t="s">
        <v>3178</v>
      </c>
      <c r="H303" s="79">
        <v>69264500</v>
      </c>
      <c r="I303" s="79" t="s">
        <v>4914</v>
      </c>
      <c r="J303" s="79" t="s">
        <v>4445</v>
      </c>
    </row>
    <row r="304" spans="1:10" ht="14.25" hidden="1" customHeight="1" x14ac:dyDescent="0.25">
      <c r="A304" s="78">
        <v>709625004</v>
      </c>
      <c r="B304" s="54" t="s">
        <v>105</v>
      </c>
      <c r="C304" s="53" t="s">
        <v>159</v>
      </c>
      <c r="D304" s="79" t="s">
        <v>159</v>
      </c>
      <c r="E304" s="79" t="s">
        <v>4416</v>
      </c>
      <c r="F304" s="79" t="s">
        <v>4778</v>
      </c>
      <c r="G304" s="79" t="s">
        <v>1674</v>
      </c>
      <c r="H304" s="79">
        <v>70962500</v>
      </c>
      <c r="I304" s="79" t="s">
        <v>4914</v>
      </c>
      <c r="J304" s="79" t="s">
        <v>4445</v>
      </c>
    </row>
    <row r="305" spans="1:10" ht="14.25" hidden="1" customHeight="1" x14ac:dyDescent="0.25">
      <c r="A305" s="78">
        <v>616070053</v>
      </c>
      <c r="B305" s="54" t="s">
        <v>778</v>
      </c>
      <c r="C305" s="53" t="s">
        <v>159</v>
      </c>
      <c r="D305" s="79" t="s">
        <v>159</v>
      </c>
      <c r="E305" s="79" t="s">
        <v>4269</v>
      </c>
      <c r="F305" s="79" t="s">
        <v>4792</v>
      </c>
      <c r="G305" s="79" t="s">
        <v>2250</v>
      </c>
      <c r="H305" s="79">
        <v>61607005</v>
      </c>
      <c r="I305" s="79" t="s">
        <v>4914</v>
      </c>
      <c r="J305" s="79" t="s">
        <v>4445</v>
      </c>
    </row>
    <row r="306" spans="1:10" ht="14.25" hidden="1" customHeight="1" x14ac:dyDescent="0.25">
      <c r="A306" s="78">
        <v>762177811</v>
      </c>
      <c r="B306" s="54" t="s">
        <v>472</v>
      </c>
      <c r="C306" s="53" t="s">
        <v>159</v>
      </c>
      <c r="D306" s="79" t="s">
        <v>159</v>
      </c>
      <c r="E306" s="79" t="s">
        <v>4391</v>
      </c>
      <c r="F306" s="79" t="s">
        <v>4778</v>
      </c>
      <c r="G306" s="79" t="s">
        <v>2219</v>
      </c>
      <c r="H306" s="79">
        <v>76217781</v>
      </c>
      <c r="I306" s="79" t="s">
        <v>4915</v>
      </c>
      <c r="J306" s="79" t="s">
        <v>4445</v>
      </c>
    </row>
    <row r="307" spans="1:10" ht="14.25" hidden="1" customHeight="1" x14ac:dyDescent="0.25">
      <c r="A307" s="78" t="s">
        <v>686</v>
      </c>
      <c r="B307" s="54" t="s">
        <v>687</v>
      </c>
      <c r="C307" s="53" t="s">
        <v>159</v>
      </c>
      <c r="D307" s="79" t="s">
        <v>159</v>
      </c>
      <c r="E307" s="79" t="s">
        <v>4365</v>
      </c>
      <c r="F307" s="79" t="s">
        <v>4779</v>
      </c>
      <c r="G307" s="79" t="s">
        <v>1809</v>
      </c>
      <c r="H307" s="79">
        <v>69190900</v>
      </c>
      <c r="I307" s="79" t="s">
        <v>4914</v>
      </c>
      <c r="J307" s="79" t="s">
        <v>4445</v>
      </c>
    </row>
    <row r="308" spans="1:10" ht="14.25" hidden="1" customHeight="1" x14ac:dyDescent="0.25">
      <c r="A308" s="78">
        <v>616081047</v>
      </c>
      <c r="B308" s="54" t="s">
        <v>55</v>
      </c>
      <c r="C308" s="53" t="s">
        <v>4</v>
      </c>
      <c r="D308" s="79" t="s">
        <v>4782</v>
      </c>
      <c r="E308" s="79" t="s">
        <v>4416</v>
      </c>
      <c r="F308" s="79" t="s">
        <v>4778</v>
      </c>
      <c r="G308" s="79" t="s">
        <v>1441</v>
      </c>
      <c r="H308" s="79">
        <v>61608104</v>
      </c>
      <c r="I308" s="79" t="s">
        <v>4914</v>
      </c>
      <c r="J308" s="79" t="s">
        <v>4453</v>
      </c>
    </row>
    <row r="309" spans="1:10" ht="14.25" hidden="1" customHeight="1" x14ac:dyDescent="0.25">
      <c r="A309" s="78">
        <v>616065009</v>
      </c>
      <c r="B309" s="54" t="s">
        <v>35</v>
      </c>
      <c r="C309" s="53" t="s">
        <v>4757</v>
      </c>
      <c r="D309" s="79" t="s">
        <v>4787</v>
      </c>
      <c r="E309" s="79" t="s">
        <v>4459</v>
      </c>
      <c r="F309" s="79" t="s">
        <v>4788</v>
      </c>
      <c r="G309" s="79" t="s">
        <v>2271</v>
      </c>
      <c r="H309" s="79">
        <v>61606500</v>
      </c>
      <c r="I309" s="79" t="s">
        <v>4914</v>
      </c>
      <c r="J309" s="79" t="s">
        <v>2372</v>
      </c>
    </row>
    <row r="310" spans="1:10" ht="14.25" hidden="1" customHeight="1" x14ac:dyDescent="0.25">
      <c r="A310" s="78">
        <v>762082179</v>
      </c>
      <c r="B310" s="54" t="s">
        <v>470</v>
      </c>
      <c r="C310" s="53" t="s">
        <v>159</v>
      </c>
      <c r="D310" s="79" t="s">
        <v>159</v>
      </c>
      <c r="E310" s="79" t="s">
        <v>4196</v>
      </c>
      <c r="F310" s="79" t="s">
        <v>4778</v>
      </c>
      <c r="G310" s="79" t="s">
        <v>2522</v>
      </c>
      <c r="H310" s="79">
        <v>76208217</v>
      </c>
      <c r="I310" s="79" t="s">
        <v>4915</v>
      </c>
      <c r="J310" s="79" t="s">
        <v>4445</v>
      </c>
    </row>
    <row r="311" spans="1:10" ht="14.25" hidden="1" customHeight="1" x14ac:dyDescent="0.25">
      <c r="A311" s="78">
        <v>611020678</v>
      </c>
      <c r="B311" s="54" t="s">
        <v>168</v>
      </c>
      <c r="C311" s="53" t="s">
        <v>159</v>
      </c>
      <c r="D311" s="79" t="s">
        <v>159</v>
      </c>
      <c r="E311" s="79" t="s">
        <v>4183</v>
      </c>
      <c r="F311" s="79" t="s">
        <v>4786</v>
      </c>
      <c r="G311" s="79" t="s">
        <v>2286</v>
      </c>
      <c r="H311" s="79">
        <v>61102067</v>
      </c>
      <c r="I311" s="79" t="s">
        <v>4914</v>
      </c>
      <c r="J311" s="79" t="s">
        <v>4445</v>
      </c>
    </row>
    <row r="312" spans="1:10" ht="14.25" hidden="1" customHeight="1" x14ac:dyDescent="0.25">
      <c r="A312" s="78" t="s">
        <v>651</v>
      </c>
      <c r="B312" s="54" t="s">
        <v>652</v>
      </c>
      <c r="C312" s="53" t="s">
        <v>159</v>
      </c>
      <c r="D312" s="79" t="s">
        <v>159</v>
      </c>
      <c r="E312" s="79" t="s">
        <v>4500</v>
      </c>
      <c r="F312" s="79" t="s">
        <v>4798</v>
      </c>
      <c r="G312" s="79" t="s">
        <v>1886</v>
      </c>
      <c r="H312" s="79">
        <v>61607508</v>
      </c>
      <c r="I312" s="79" t="s">
        <v>4914</v>
      </c>
      <c r="J312" s="79" t="s">
        <v>4445</v>
      </c>
    </row>
    <row r="313" spans="1:10" ht="14.25" hidden="1" customHeight="1" x14ac:dyDescent="0.25">
      <c r="A313" s="78">
        <v>616062034</v>
      </c>
      <c r="B313" s="54" t="s">
        <v>209</v>
      </c>
      <c r="C313" s="53" t="s">
        <v>159</v>
      </c>
      <c r="D313" s="79" t="s">
        <v>159</v>
      </c>
      <c r="E313" s="79" t="s">
        <v>4238</v>
      </c>
      <c r="F313" s="79" t="s">
        <v>4796</v>
      </c>
      <c r="G313" s="79" t="s">
        <v>2512</v>
      </c>
      <c r="H313" s="79">
        <v>61606203</v>
      </c>
      <c r="I313" s="79" t="s">
        <v>4914</v>
      </c>
      <c r="J313" s="79" t="s">
        <v>4445</v>
      </c>
    </row>
    <row r="314" spans="1:10" ht="14.25" hidden="1" customHeight="1" x14ac:dyDescent="0.25">
      <c r="A314" s="78">
        <v>616022245</v>
      </c>
      <c r="B314" s="54" t="s">
        <v>886</v>
      </c>
      <c r="C314" s="53" t="s">
        <v>159</v>
      </c>
      <c r="D314" s="79" t="s">
        <v>159</v>
      </c>
      <c r="E314" s="79" t="s">
        <v>4476</v>
      </c>
      <c r="F314" s="79" t="s">
        <v>4779</v>
      </c>
      <c r="G314" s="79" t="s">
        <v>1193</v>
      </c>
      <c r="H314" s="79">
        <v>61602224</v>
      </c>
      <c r="I314" s="79" t="s">
        <v>4914</v>
      </c>
      <c r="J314" s="79" t="s">
        <v>4445</v>
      </c>
    </row>
    <row r="315" spans="1:10" ht="14.25" hidden="1" customHeight="1" x14ac:dyDescent="0.25">
      <c r="A315" s="78">
        <v>616022997</v>
      </c>
      <c r="B315" s="54" t="s">
        <v>206</v>
      </c>
      <c r="C315" s="53" t="s">
        <v>159</v>
      </c>
      <c r="D315" s="79" t="s">
        <v>159</v>
      </c>
      <c r="E315" s="79" t="s">
        <v>4487</v>
      </c>
      <c r="F315" s="79" t="s">
        <v>4779</v>
      </c>
      <c r="G315" s="79" t="s">
        <v>1938</v>
      </c>
      <c r="H315" s="79">
        <v>61602299</v>
      </c>
      <c r="I315" s="79" t="s">
        <v>4914</v>
      </c>
      <c r="J315" s="79" t="s">
        <v>4445</v>
      </c>
    </row>
    <row r="316" spans="1:10" ht="14.25" hidden="1" customHeight="1" x14ac:dyDescent="0.25">
      <c r="A316" s="78">
        <v>616022717</v>
      </c>
      <c r="B316" s="54" t="s">
        <v>200</v>
      </c>
      <c r="C316" s="53" t="s">
        <v>159</v>
      </c>
      <c r="D316" s="79" t="s">
        <v>159</v>
      </c>
      <c r="E316" s="79" t="s">
        <v>4228</v>
      </c>
      <c r="F316" s="79" t="s">
        <v>4784</v>
      </c>
      <c r="G316" s="79" t="s">
        <v>1233</v>
      </c>
      <c r="H316" s="79">
        <v>61602271</v>
      </c>
      <c r="I316" s="79" t="s">
        <v>4914</v>
      </c>
      <c r="J316" s="79" t="s">
        <v>4445</v>
      </c>
    </row>
    <row r="317" spans="1:10" ht="14.25" hidden="1" customHeight="1" x14ac:dyDescent="0.25">
      <c r="A317" s="78">
        <v>690731002</v>
      </c>
      <c r="B317" s="54" t="s">
        <v>311</v>
      </c>
      <c r="C317" s="53" t="s">
        <v>159</v>
      </c>
      <c r="D317" s="79" t="s">
        <v>159</v>
      </c>
      <c r="E317" s="79" t="s">
        <v>4318</v>
      </c>
      <c r="F317" s="79" t="s">
        <v>4778</v>
      </c>
      <c r="G317" s="79" t="s">
        <v>4067</v>
      </c>
      <c r="H317" s="79">
        <v>69073100</v>
      </c>
      <c r="I317" s="79" t="s">
        <v>4914</v>
      </c>
      <c r="J317" s="79" t="s">
        <v>4445</v>
      </c>
    </row>
    <row r="318" spans="1:10" ht="14.25" hidden="1" customHeight="1" x14ac:dyDescent="0.25">
      <c r="A318" s="78">
        <v>690403005</v>
      </c>
      <c r="B318" s="54" t="s">
        <v>75</v>
      </c>
      <c r="C318" s="53" t="s">
        <v>4757</v>
      </c>
      <c r="D318" s="79" t="s">
        <v>4787</v>
      </c>
      <c r="E318" s="79" t="s">
        <v>4245</v>
      </c>
      <c r="F318" s="79" t="s">
        <v>4789</v>
      </c>
      <c r="G318" s="79" t="s">
        <v>1612</v>
      </c>
      <c r="H318" s="79">
        <v>69040300</v>
      </c>
      <c r="I318" s="79" t="s">
        <v>4914</v>
      </c>
      <c r="J318" s="79" t="s">
        <v>2372</v>
      </c>
    </row>
    <row r="319" spans="1:10" ht="14.25" hidden="1" customHeight="1" x14ac:dyDescent="0.25">
      <c r="A319" s="78">
        <v>819491003</v>
      </c>
      <c r="B319" s="54" t="s">
        <v>2317</v>
      </c>
      <c r="C319" s="53" t="s">
        <v>4758</v>
      </c>
      <c r="D319" s="79" t="s">
        <v>25</v>
      </c>
      <c r="E319" s="79" t="s">
        <v>4224</v>
      </c>
      <c r="F319" s="79" t="s">
        <v>4784</v>
      </c>
      <c r="G319" s="79" t="s">
        <v>2316</v>
      </c>
      <c r="H319" s="79">
        <v>81949100</v>
      </c>
      <c r="I319" s="79" t="s">
        <v>4914</v>
      </c>
      <c r="J319" s="79" t="s">
        <v>4454</v>
      </c>
    </row>
    <row r="320" spans="1:10" ht="14.25" hidden="1" customHeight="1" x14ac:dyDescent="0.25">
      <c r="A320" s="78">
        <v>692604008</v>
      </c>
      <c r="B320" s="54" t="s">
        <v>399</v>
      </c>
      <c r="C320" s="53" t="s">
        <v>4757</v>
      </c>
      <c r="D320" s="79" t="s">
        <v>4787</v>
      </c>
      <c r="E320" s="79" t="s">
        <v>4251</v>
      </c>
      <c r="F320" s="79" t="s">
        <v>4788</v>
      </c>
      <c r="G320" s="79" t="s">
        <v>1341</v>
      </c>
      <c r="H320" s="79">
        <v>69260400</v>
      </c>
      <c r="I320" s="79" t="s">
        <v>4914</v>
      </c>
      <c r="J320" s="79" t="s">
        <v>2372</v>
      </c>
    </row>
    <row r="321" spans="1:10" ht="14.25" hidden="1" customHeight="1" x14ac:dyDescent="0.25">
      <c r="A321" s="78">
        <v>968859501</v>
      </c>
      <c r="B321" s="54" t="s">
        <v>135</v>
      </c>
      <c r="C321" s="53" t="s">
        <v>4757</v>
      </c>
      <c r="D321" s="79" t="s">
        <v>4787</v>
      </c>
      <c r="E321" s="79" t="s">
        <v>4175</v>
      </c>
      <c r="F321" s="79" t="s">
        <v>4788</v>
      </c>
      <c r="G321" s="79" t="s">
        <v>1693</v>
      </c>
      <c r="H321" s="79">
        <v>96885950</v>
      </c>
      <c r="I321" s="79" t="s">
        <v>4915</v>
      </c>
      <c r="J321" s="79" t="s">
        <v>2372</v>
      </c>
    </row>
    <row r="322" spans="1:10" ht="14.25" hidden="1" customHeight="1" x14ac:dyDescent="0.25">
      <c r="A322" s="78">
        <v>616021176</v>
      </c>
      <c r="B322" s="54" t="s">
        <v>16</v>
      </c>
      <c r="C322" s="53" t="s">
        <v>159</v>
      </c>
      <c r="D322" s="79" t="s">
        <v>159</v>
      </c>
      <c r="E322" s="79" t="s">
        <v>4470</v>
      </c>
      <c r="F322" s="79" t="s">
        <v>4778</v>
      </c>
      <c r="G322" s="79" t="s">
        <v>1480</v>
      </c>
      <c r="H322" s="79">
        <v>61602117</v>
      </c>
      <c r="I322" s="79" t="s">
        <v>4914</v>
      </c>
      <c r="J322" s="79" t="s">
        <v>4445</v>
      </c>
    </row>
    <row r="323" spans="1:10" ht="14.25" hidden="1" customHeight="1" x14ac:dyDescent="0.25">
      <c r="A323" s="78">
        <v>616022040</v>
      </c>
      <c r="B323" s="54" t="s">
        <v>187</v>
      </c>
      <c r="C323" s="53" t="s">
        <v>159</v>
      </c>
      <c r="D323" s="79" t="s">
        <v>159</v>
      </c>
      <c r="E323" s="79" t="s">
        <v>4213</v>
      </c>
      <c r="F323" s="79" t="s">
        <v>4786</v>
      </c>
      <c r="G323" s="79" t="s">
        <v>3792</v>
      </c>
      <c r="H323" s="79">
        <v>61602204</v>
      </c>
      <c r="I323" s="79" t="s">
        <v>4914</v>
      </c>
      <c r="J323" s="79" t="s">
        <v>4445</v>
      </c>
    </row>
    <row r="324" spans="1:10" ht="14.25" hidden="1" customHeight="1" x14ac:dyDescent="0.25">
      <c r="A324" s="78">
        <v>692551001</v>
      </c>
      <c r="B324" s="54" t="s">
        <v>395</v>
      </c>
      <c r="C324" s="53" t="s">
        <v>4793</v>
      </c>
      <c r="D324" s="79" t="s">
        <v>4794</v>
      </c>
      <c r="E324" s="79" t="s">
        <v>4550</v>
      </c>
      <c r="F324" s="79" t="s">
        <v>4778</v>
      </c>
      <c r="G324" s="79" t="s">
        <v>1499</v>
      </c>
      <c r="H324" s="79">
        <v>69255100</v>
      </c>
      <c r="I324" s="79" t="s">
        <v>4914</v>
      </c>
      <c r="J324" s="79" t="s">
        <v>4445</v>
      </c>
    </row>
    <row r="325" spans="1:10" ht="14.25" hidden="1" customHeight="1" x14ac:dyDescent="0.25">
      <c r="A325" s="78">
        <v>692205006</v>
      </c>
      <c r="B325" s="54" t="s">
        <v>919</v>
      </c>
      <c r="C325" s="53" t="s">
        <v>159</v>
      </c>
      <c r="D325" s="79" t="s">
        <v>159</v>
      </c>
      <c r="E325" s="79" t="s">
        <v>4483</v>
      </c>
      <c r="F325" s="79" t="s">
        <v>4784</v>
      </c>
      <c r="G325" s="79" t="s">
        <v>2023</v>
      </c>
      <c r="H325" s="79">
        <v>69220500</v>
      </c>
      <c r="I325" s="79" t="s">
        <v>4914</v>
      </c>
      <c r="J325" s="79" t="s">
        <v>4445</v>
      </c>
    </row>
    <row r="326" spans="1:10" ht="14.25" hidden="1" customHeight="1" x14ac:dyDescent="0.25">
      <c r="A326" s="78">
        <v>767409842</v>
      </c>
      <c r="B326" s="54" t="s">
        <v>835</v>
      </c>
      <c r="C326" s="53" t="s">
        <v>159</v>
      </c>
      <c r="D326" s="79" t="s">
        <v>159</v>
      </c>
      <c r="E326" s="79" t="s">
        <v>4168</v>
      </c>
      <c r="F326" s="79" t="s">
        <v>4778</v>
      </c>
      <c r="G326" s="79" t="s">
        <v>2685</v>
      </c>
      <c r="H326" s="79">
        <v>76740984</v>
      </c>
      <c r="I326" s="79" t="s">
        <v>4915</v>
      </c>
      <c r="J326" s="79" t="s">
        <v>4445</v>
      </c>
    </row>
    <row r="327" spans="1:10" ht="14.25" hidden="1" customHeight="1" x14ac:dyDescent="0.25">
      <c r="A327" s="78">
        <v>798598902</v>
      </c>
      <c r="B327" s="54" t="s">
        <v>588</v>
      </c>
      <c r="C327" s="53" t="s">
        <v>159</v>
      </c>
      <c r="D327" s="79" t="s">
        <v>159</v>
      </c>
      <c r="E327" s="79" t="s">
        <v>4465</v>
      </c>
      <c r="F327" s="79" t="s">
        <v>4778</v>
      </c>
      <c r="G327" s="79" t="s">
        <v>2802</v>
      </c>
      <c r="H327" s="79">
        <v>79859890</v>
      </c>
      <c r="I327" s="79" t="s">
        <v>4915</v>
      </c>
      <c r="J327" s="79" t="s">
        <v>4445</v>
      </c>
    </row>
    <row r="328" spans="1:10" ht="14.25" hidden="1" customHeight="1" x14ac:dyDescent="0.25">
      <c r="A328" s="78">
        <v>763456226</v>
      </c>
      <c r="B328" s="54" t="s">
        <v>818</v>
      </c>
      <c r="C328" s="53" t="s">
        <v>159</v>
      </c>
      <c r="D328" s="79" t="s">
        <v>159</v>
      </c>
      <c r="E328" s="79" t="s">
        <v>4224</v>
      </c>
      <c r="F328" s="79" t="s">
        <v>4784</v>
      </c>
      <c r="G328" s="79" t="s">
        <v>1857</v>
      </c>
      <c r="H328" s="79">
        <v>76345622</v>
      </c>
      <c r="I328" s="79" t="s">
        <v>4915</v>
      </c>
      <c r="J328" s="79" t="s">
        <v>4445</v>
      </c>
    </row>
    <row r="329" spans="1:10" ht="14.25" hidden="1" customHeight="1" x14ac:dyDescent="0.25">
      <c r="A329" s="78">
        <v>692554000</v>
      </c>
      <c r="B329" s="54" t="s">
        <v>397</v>
      </c>
      <c r="C329" s="53" t="s">
        <v>159</v>
      </c>
      <c r="D329" s="79" t="s">
        <v>159</v>
      </c>
      <c r="E329" s="79" t="s">
        <v>4393</v>
      </c>
      <c r="F329" s="79" t="s">
        <v>4778</v>
      </c>
      <c r="G329" s="79" t="s">
        <v>1211</v>
      </c>
      <c r="H329" s="79">
        <v>69255400</v>
      </c>
      <c r="I329" s="79" t="s">
        <v>4914</v>
      </c>
      <c r="J329" s="79" t="s">
        <v>4445</v>
      </c>
    </row>
    <row r="330" spans="1:10" ht="14.25" hidden="1" customHeight="1" x14ac:dyDescent="0.25">
      <c r="A330" s="78">
        <v>619803701</v>
      </c>
      <c r="B330" s="54" t="s">
        <v>269</v>
      </c>
      <c r="C330" s="53" t="s">
        <v>159</v>
      </c>
      <c r="D330" s="79" t="s">
        <v>159</v>
      </c>
      <c r="E330" s="79" t="s">
        <v>4211</v>
      </c>
      <c r="F330" s="79" t="s">
        <v>4786</v>
      </c>
      <c r="G330" s="79" t="s">
        <v>1538</v>
      </c>
      <c r="H330" s="79">
        <v>61980370</v>
      </c>
      <c r="I330" s="79" t="s">
        <v>4914</v>
      </c>
      <c r="J330" s="79" t="s">
        <v>4445</v>
      </c>
    </row>
    <row r="331" spans="1:10" ht="14.25" hidden="1" customHeight="1" x14ac:dyDescent="0.25">
      <c r="A331" s="78">
        <v>691301001</v>
      </c>
      <c r="B331" s="54" t="s">
        <v>342</v>
      </c>
      <c r="C331" s="53" t="s">
        <v>4790</v>
      </c>
      <c r="D331" s="79" t="s">
        <v>4790</v>
      </c>
      <c r="E331" s="79" t="s">
        <v>4262</v>
      </c>
      <c r="F331" s="79" t="s">
        <v>4791</v>
      </c>
      <c r="G331" s="79" t="s">
        <v>3839</v>
      </c>
      <c r="H331" s="79">
        <v>69130100</v>
      </c>
      <c r="I331" s="79" t="s">
        <v>4914</v>
      </c>
      <c r="J331" s="79" t="s">
        <v>4445</v>
      </c>
    </row>
    <row r="332" spans="1:10" ht="14.25" hidden="1" customHeight="1" x14ac:dyDescent="0.25">
      <c r="A332" s="78">
        <v>692008006</v>
      </c>
      <c r="B332" s="54" t="s">
        <v>3320</v>
      </c>
      <c r="C332" s="53" t="s">
        <v>4758</v>
      </c>
      <c r="D332" s="79" t="s">
        <v>25</v>
      </c>
      <c r="E332" s="79" t="s">
        <v>4467</v>
      </c>
      <c r="F332" s="79" t="s">
        <v>4798</v>
      </c>
      <c r="G332" s="79" t="s">
        <v>3319</v>
      </c>
      <c r="H332" s="79">
        <v>69200800</v>
      </c>
      <c r="I332" s="79" t="s">
        <v>4914</v>
      </c>
      <c r="J332" s="79" t="s">
        <v>4454</v>
      </c>
    </row>
    <row r="333" spans="1:10" ht="14.25" hidden="1" customHeight="1" x14ac:dyDescent="0.25">
      <c r="A333" s="78">
        <v>795768106</v>
      </c>
      <c r="B333" s="54" t="s">
        <v>119</v>
      </c>
      <c r="C333" s="53" t="s">
        <v>4757</v>
      </c>
      <c r="D333" s="79" t="s">
        <v>4787</v>
      </c>
      <c r="E333" s="79" t="s">
        <v>4175</v>
      </c>
      <c r="F333" s="79" t="s">
        <v>4788</v>
      </c>
      <c r="G333" s="79" t="s">
        <v>3530</v>
      </c>
      <c r="H333" s="79">
        <v>79576810</v>
      </c>
      <c r="I333" s="79" t="s">
        <v>4915</v>
      </c>
      <c r="J333" s="79" t="s">
        <v>2372</v>
      </c>
    </row>
    <row r="334" spans="1:10" ht="14.25" hidden="1" customHeight="1" x14ac:dyDescent="0.25">
      <c r="A334" s="78">
        <v>690510006</v>
      </c>
      <c r="B334" s="54" t="s">
        <v>293</v>
      </c>
      <c r="C334" s="53" t="s">
        <v>159</v>
      </c>
      <c r="D334" s="79" t="s">
        <v>159</v>
      </c>
      <c r="E334" s="79" t="s">
        <v>4523</v>
      </c>
      <c r="F334" s="79" t="s">
        <v>4788</v>
      </c>
      <c r="G334" s="79" t="s">
        <v>1179</v>
      </c>
      <c r="H334" s="79">
        <v>69051000</v>
      </c>
      <c r="I334" s="79" t="s">
        <v>4914</v>
      </c>
      <c r="J334" s="79" t="s">
        <v>4445</v>
      </c>
    </row>
    <row r="335" spans="1:10" ht="14.25" hidden="1" customHeight="1" x14ac:dyDescent="0.25">
      <c r="A335" s="78">
        <v>760329800</v>
      </c>
      <c r="B335" s="54" t="s">
        <v>459</v>
      </c>
      <c r="C335" s="53" t="s">
        <v>159</v>
      </c>
      <c r="D335" s="79" t="s">
        <v>159</v>
      </c>
      <c r="E335" s="79" t="s">
        <v>4416</v>
      </c>
      <c r="F335" s="79" t="s">
        <v>4778</v>
      </c>
      <c r="G335" s="79" t="s">
        <v>3578</v>
      </c>
      <c r="H335" s="79">
        <v>76032980</v>
      </c>
      <c r="I335" s="79" t="s">
        <v>4915</v>
      </c>
      <c r="J335" s="79" t="s">
        <v>4445</v>
      </c>
    </row>
    <row r="336" spans="1:10" ht="14.25" hidden="1" customHeight="1" x14ac:dyDescent="0.25">
      <c r="A336" s="78">
        <v>616080032</v>
      </c>
      <c r="B336" s="54" t="s">
        <v>3334</v>
      </c>
      <c r="C336" s="53" t="s">
        <v>4</v>
      </c>
      <c r="D336" s="79" t="s">
        <v>4782</v>
      </c>
      <c r="E336" s="79" t="s">
        <v>4410</v>
      </c>
      <c r="F336" s="79" t="s">
        <v>4778</v>
      </c>
      <c r="G336" s="79" t="s">
        <v>3333</v>
      </c>
      <c r="H336" s="79">
        <v>61608003</v>
      </c>
      <c r="I336" s="79" t="s">
        <v>4914</v>
      </c>
      <c r="J336" s="79" t="s">
        <v>4453</v>
      </c>
    </row>
    <row r="337" spans="1:10" ht="14.25" hidden="1" customHeight="1" x14ac:dyDescent="0.25">
      <c r="A337" s="78">
        <v>760262536</v>
      </c>
      <c r="B337" s="54" t="s">
        <v>458</v>
      </c>
      <c r="C337" s="53" t="s">
        <v>159</v>
      </c>
      <c r="D337" s="79" t="s">
        <v>159</v>
      </c>
      <c r="E337" s="79" t="s">
        <v>4395</v>
      </c>
      <c r="F337" s="79" t="s">
        <v>4778</v>
      </c>
      <c r="G337" s="79" t="s">
        <v>2457</v>
      </c>
      <c r="H337" s="79">
        <v>76026253</v>
      </c>
      <c r="I337" s="79" t="s">
        <v>4915</v>
      </c>
      <c r="J337" s="79" t="s">
        <v>4445</v>
      </c>
    </row>
    <row r="338" spans="1:10" ht="14.25" hidden="1" customHeight="1" x14ac:dyDescent="0.25">
      <c r="A338" s="78">
        <v>766025838</v>
      </c>
      <c r="B338" s="54" t="s">
        <v>493</v>
      </c>
      <c r="C338" s="53" t="s">
        <v>159</v>
      </c>
      <c r="D338" s="79" t="s">
        <v>159</v>
      </c>
      <c r="E338" s="79" t="s">
        <v>4170</v>
      </c>
      <c r="F338" s="79" t="s">
        <v>4798</v>
      </c>
      <c r="G338" s="79" t="s">
        <v>2111</v>
      </c>
      <c r="H338" s="79">
        <v>76602583</v>
      </c>
      <c r="I338" s="79" t="s">
        <v>4915</v>
      </c>
      <c r="J338" s="79" t="s">
        <v>4445</v>
      </c>
    </row>
    <row r="339" spans="1:10" ht="14.25" hidden="1" customHeight="1" x14ac:dyDescent="0.25">
      <c r="A339" s="78">
        <v>616066056</v>
      </c>
      <c r="B339" s="54" t="s">
        <v>38</v>
      </c>
      <c r="C339" s="53" t="s">
        <v>159</v>
      </c>
      <c r="D339" s="79" t="s">
        <v>159</v>
      </c>
      <c r="E339" s="79" t="s">
        <v>4250</v>
      </c>
      <c r="F339" s="79" t="s">
        <v>4788</v>
      </c>
      <c r="G339" s="79" t="s">
        <v>3854</v>
      </c>
      <c r="H339" s="79">
        <v>61606605</v>
      </c>
      <c r="I339" s="79" t="s">
        <v>4914</v>
      </c>
      <c r="J339" s="79" t="s">
        <v>4445</v>
      </c>
    </row>
    <row r="340" spans="1:10" ht="14.25" hidden="1" customHeight="1" x14ac:dyDescent="0.25">
      <c r="A340" s="78">
        <v>616071033</v>
      </c>
      <c r="B340" s="54" t="s">
        <v>239</v>
      </c>
      <c r="C340" s="53" t="s">
        <v>159</v>
      </c>
      <c r="D340" s="79" t="s">
        <v>159</v>
      </c>
      <c r="E340" s="79" t="s">
        <v>4271</v>
      </c>
      <c r="F340" s="79" t="s">
        <v>4786</v>
      </c>
      <c r="G340" s="79" t="s">
        <v>2195</v>
      </c>
      <c r="H340" s="79">
        <v>61607103</v>
      </c>
      <c r="I340" s="79" t="s">
        <v>4914</v>
      </c>
      <c r="J340" s="79" t="s">
        <v>4445</v>
      </c>
    </row>
    <row r="341" spans="1:10" ht="14.25" hidden="1" customHeight="1" x14ac:dyDescent="0.25">
      <c r="A341" s="78">
        <v>786602009</v>
      </c>
      <c r="B341" s="54" t="s">
        <v>118</v>
      </c>
      <c r="C341" s="53" t="s">
        <v>4757</v>
      </c>
      <c r="D341" s="79" t="s">
        <v>4787</v>
      </c>
      <c r="E341" s="79" t="s">
        <v>4175</v>
      </c>
      <c r="F341" s="79" t="s">
        <v>4788</v>
      </c>
      <c r="G341" s="79" t="s">
        <v>3187</v>
      </c>
      <c r="H341" s="79">
        <v>78660200</v>
      </c>
      <c r="I341" s="79" t="s">
        <v>4915</v>
      </c>
      <c r="J341" s="79" t="s">
        <v>2372</v>
      </c>
    </row>
    <row r="342" spans="1:10" ht="14.25" hidden="1" customHeight="1" x14ac:dyDescent="0.25">
      <c r="A342" s="78">
        <v>740695002</v>
      </c>
      <c r="B342" s="54" t="s">
        <v>929</v>
      </c>
      <c r="C342" s="53" t="s">
        <v>159</v>
      </c>
      <c r="D342" s="79" t="s">
        <v>159</v>
      </c>
      <c r="E342" s="79" t="s">
        <v>4391</v>
      </c>
      <c r="F342" s="79" t="s">
        <v>4778</v>
      </c>
      <c r="G342" s="79" t="s">
        <v>2439</v>
      </c>
      <c r="H342" s="79">
        <v>74069500</v>
      </c>
      <c r="I342" s="79" t="s">
        <v>4914</v>
      </c>
      <c r="J342" s="79" t="s">
        <v>4445</v>
      </c>
    </row>
    <row r="343" spans="1:10" ht="14.25" hidden="1" customHeight="1" x14ac:dyDescent="0.25">
      <c r="A343" s="78">
        <v>616022784</v>
      </c>
      <c r="B343" s="54" t="s">
        <v>203</v>
      </c>
      <c r="C343" s="53" t="s">
        <v>159</v>
      </c>
      <c r="D343" s="79" t="s">
        <v>159</v>
      </c>
      <c r="E343" s="79" t="s">
        <v>4231</v>
      </c>
      <c r="F343" s="79" t="s">
        <v>4784</v>
      </c>
      <c r="G343" s="79" t="s">
        <v>2656</v>
      </c>
      <c r="H343" s="79">
        <v>61602278</v>
      </c>
      <c r="I343" s="79" t="s">
        <v>4914</v>
      </c>
      <c r="J343" s="79" t="s">
        <v>4445</v>
      </c>
    </row>
    <row r="344" spans="1:10" ht="14.25" hidden="1" customHeight="1" x14ac:dyDescent="0.25">
      <c r="A344" s="78">
        <v>765626188</v>
      </c>
      <c r="B344" s="54" t="s">
        <v>491</v>
      </c>
      <c r="C344" s="53" t="s">
        <v>159</v>
      </c>
      <c r="D344" s="79" t="s">
        <v>159</v>
      </c>
      <c r="E344" s="79" t="s">
        <v>4182</v>
      </c>
      <c r="F344" s="79" t="s">
        <v>4796</v>
      </c>
      <c r="G344" s="79" t="s">
        <v>1952</v>
      </c>
      <c r="H344" s="79">
        <v>76562618</v>
      </c>
      <c r="I344" s="79" t="s">
        <v>4915</v>
      </c>
      <c r="J344" s="79" t="s">
        <v>4445</v>
      </c>
    </row>
    <row r="345" spans="1:10" ht="14.25" hidden="1" customHeight="1" x14ac:dyDescent="0.25">
      <c r="A345" s="78">
        <v>771867634</v>
      </c>
      <c r="B345" s="54" t="s">
        <v>851</v>
      </c>
      <c r="C345" s="53" t="s">
        <v>159</v>
      </c>
      <c r="D345" s="79" t="s">
        <v>159</v>
      </c>
      <c r="E345" s="79" t="s">
        <v>4175</v>
      </c>
      <c r="F345" s="79" t="s">
        <v>4788</v>
      </c>
      <c r="G345" s="79" t="s">
        <v>2886</v>
      </c>
      <c r="H345" s="79">
        <v>77186763</v>
      </c>
      <c r="I345" s="79" t="s">
        <v>4915</v>
      </c>
      <c r="J345" s="79" t="s">
        <v>4445</v>
      </c>
    </row>
    <row r="346" spans="1:10" ht="14.25" hidden="1" customHeight="1" x14ac:dyDescent="0.25">
      <c r="A346" s="78">
        <v>616022407</v>
      </c>
      <c r="B346" s="54" t="s">
        <v>191</v>
      </c>
      <c r="C346" s="53" t="s">
        <v>159</v>
      </c>
      <c r="D346" s="79" t="s">
        <v>159</v>
      </c>
      <c r="E346" s="79" t="s">
        <v>4219</v>
      </c>
      <c r="F346" s="79" t="s">
        <v>4779</v>
      </c>
      <c r="G346" s="79" t="s">
        <v>1207</v>
      </c>
      <c r="H346" s="79">
        <v>61602240</v>
      </c>
      <c r="I346" s="79" t="s">
        <v>4914</v>
      </c>
      <c r="J346" s="79" t="s">
        <v>4445</v>
      </c>
    </row>
    <row r="347" spans="1:10" ht="14.25" hidden="1" customHeight="1" x14ac:dyDescent="0.25">
      <c r="A347" s="78">
        <v>692556003</v>
      </c>
      <c r="B347" s="54" t="s">
        <v>804</v>
      </c>
      <c r="C347" s="53" t="s">
        <v>159</v>
      </c>
      <c r="D347" s="79" t="s">
        <v>159</v>
      </c>
      <c r="E347" s="79" t="s">
        <v>4552</v>
      </c>
      <c r="F347" s="79" t="s">
        <v>4778</v>
      </c>
      <c r="G347" s="79" t="s">
        <v>2043</v>
      </c>
      <c r="H347" s="79">
        <v>69255600</v>
      </c>
      <c r="I347" s="79" t="s">
        <v>4914</v>
      </c>
      <c r="J347" s="79" t="s">
        <v>4445</v>
      </c>
    </row>
    <row r="348" spans="1:10" ht="14.25" hidden="1" customHeight="1" x14ac:dyDescent="0.25">
      <c r="A348" s="78">
        <v>765327229</v>
      </c>
      <c r="B348" s="54" t="s">
        <v>489</v>
      </c>
      <c r="C348" s="53" t="s">
        <v>159</v>
      </c>
      <c r="D348" s="79" t="s">
        <v>159</v>
      </c>
      <c r="E348" s="79" t="s">
        <v>4381</v>
      </c>
      <c r="F348" s="79" t="s">
        <v>4778</v>
      </c>
      <c r="G348" s="79" t="s">
        <v>2612</v>
      </c>
      <c r="H348" s="79">
        <v>76532722</v>
      </c>
      <c r="I348" s="79" t="s">
        <v>4915</v>
      </c>
      <c r="J348" s="79" t="s">
        <v>4445</v>
      </c>
    </row>
    <row r="349" spans="1:10" ht="14.25" hidden="1" customHeight="1" x14ac:dyDescent="0.25">
      <c r="A349" s="78">
        <v>690514001</v>
      </c>
      <c r="B349" s="54" t="s">
        <v>78</v>
      </c>
      <c r="C349" s="53" t="s">
        <v>159</v>
      </c>
      <c r="D349" s="79" t="s">
        <v>159</v>
      </c>
      <c r="E349" s="79" t="s">
        <v>4310</v>
      </c>
      <c r="F349" s="79" t="s">
        <v>4788</v>
      </c>
      <c r="G349" s="79" t="s">
        <v>1670</v>
      </c>
      <c r="H349" s="79">
        <v>69051400</v>
      </c>
      <c r="I349" s="79" t="s">
        <v>4914</v>
      </c>
      <c r="J349" s="79" t="s">
        <v>4445</v>
      </c>
    </row>
    <row r="350" spans="1:10" ht="14.25" hidden="1" customHeight="1" x14ac:dyDescent="0.25">
      <c r="A350" s="78">
        <v>766402496</v>
      </c>
      <c r="B350" s="54" t="s">
        <v>829</v>
      </c>
      <c r="C350" s="53" t="s">
        <v>159</v>
      </c>
      <c r="D350" s="79" t="s">
        <v>159</v>
      </c>
      <c r="E350" s="79" t="s">
        <v>4410</v>
      </c>
      <c r="F350" s="79" t="s">
        <v>4778</v>
      </c>
      <c r="G350" s="79" t="s">
        <v>3168</v>
      </c>
      <c r="H350" s="79">
        <v>76640249</v>
      </c>
      <c r="I350" s="79" t="s">
        <v>4915</v>
      </c>
      <c r="J350" s="79" t="s">
        <v>4445</v>
      </c>
    </row>
    <row r="351" spans="1:10" ht="14.25" hidden="1" customHeight="1" x14ac:dyDescent="0.25">
      <c r="A351" s="78">
        <v>776062200</v>
      </c>
      <c r="B351" s="54" t="s">
        <v>861</v>
      </c>
      <c r="C351" s="53" t="s">
        <v>159</v>
      </c>
      <c r="D351" s="79" t="s">
        <v>159</v>
      </c>
      <c r="E351" s="79" t="s">
        <v>4456</v>
      </c>
      <c r="F351" s="79" t="s">
        <v>4778</v>
      </c>
      <c r="G351" s="79" t="s">
        <v>3062</v>
      </c>
      <c r="H351" s="79">
        <v>77606220</v>
      </c>
      <c r="I351" s="79" t="s">
        <v>4915</v>
      </c>
      <c r="J351" s="79" t="s">
        <v>4445</v>
      </c>
    </row>
    <row r="352" spans="1:10" ht="14.25" hidden="1" customHeight="1" x14ac:dyDescent="0.25">
      <c r="A352" s="78">
        <v>776108448</v>
      </c>
      <c r="B352" s="54" t="s">
        <v>560</v>
      </c>
      <c r="C352" s="53" t="s">
        <v>159</v>
      </c>
      <c r="D352" s="79" t="s">
        <v>159</v>
      </c>
      <c r="E352" s="79" t="s">
        <v>4178</v>
      </c>
      <c r="F352" s="79" t="s">
        <v>4795</v>
      </c>
      <c r="G352" s="79" t="s">
        <v>3066</v>
      </c>
      <c r="H352" s="79">
        <v>77610844</v>
      </c>
      <c r="I352" s="79" t="s">
        <v>4915</v>
      </c>
      <c r="J352" s="79" t="s">
        <v>4445</v>
      </c>
    </row>
    <row r="353" spans="1:10" ht="14.25" hidden="1" customHeight="1" x14ac:dyDescent="0.25">
      <c r="A353" s="78">
        <v>691505022</v>
      </c>
      <c r="B353" s="54" t="s">
        <v>355</v>
      </c>
      <c r="C353" s="53" t="s">
        <v>159</v>
      </c>
      <c r="D353" s="79" t="s">
        <v>159</v>
      </c>
      <c r="E353" s="79" t="s">
        <v>4211</v>
      </c>
      <c r="F353" s="79" t="s">
        <v>4786</v>
      </c>
      <c r="G353" s="79" t="s">
        <v>3262</v>
      </c>
      <c r="H353" s="79">
        <v>69150502</v>
      </c>
      <c r="I353" s="79" t="s">
        <v>4914</v>
      </c>
      <c r="J353" s="79" t="s">
        <v>4445</v>
      </c>
    </row>
    <row r="354" spans="1:10" ht="14.25" hidden="1" customHeight="1" x14ac:dyDescent="0.25">
      <c r="A354" s="78">
        <v>692555007</v>
      </c>
      <c r="B354" s="54" t="s">
        <v>398</v>
      </c>
      <c r="C354" s="53" t="s">
        <v>159</v>
      </c>
      <c r="D354" s="79" t="s">
        <v>159</v>
      </c>
      <c r="E354" s="79" t="s">
        <v>4458</v>
      </c>
      <c r="F354" s="79" t="s">
        <v>4778</v>
      </c>
      <c r="G354" s="79" t="s">
        <v>2524</v>
      </c>
      <c r="H354" s="79">
        <v>69255500</v>
      </c>
      <c r="I354" s="79" t="s">
        <v>4914</v>
      </c>
      <c r="J354" s="79" t="s">
        <v>4445</v>
      </c>
    </row>
    <row r="355" spans="1:10" ht="14.25" hidden="1" customHeight="1" x14ac:dyDescent="0.25">
      <c r="A355" s="78">
        <v>690732009</v>
      </c>
      <c r="B355" s="54" t="s">
        <v>950</v>
      </c>
      <c r="C355" s="53" t="s">
        <v>159</v>
      </c>
      <c r="D355" s="79" t="s">
        <v>159</v>
      </c>
      <c r="E355" s="79" t="s">
        <v>4814</v>
      </c>
      <c r="F355" s="79" t="s">
        <v>4778</v>
      </c>
      <c r="G355" s="79" t="s">
        <v>2487</v>
      </c>
      <c r="H355" s="79">
        <v>69073200</v>
      </c>
      <c r="I355" s="79" t="s">
        <v>4914</v>
      </c>
      <c r="J355" s="79" t="s">
        <v>4445</v>
      </c>
    </row>
    <row r="356" spans="1:10" ht="14.25" hidden="1" customHeight="1" x14ac:dyDescent="0.25">
      <c r="A356" s="78">
        <v>762098369</v>
      </c>
      <c r="B356" s="54" t="s">
        <v>814</v>
      </c>
      <c r="C356" s="53" t="s">
        <v>159</v>
      </c>
      <c r="D356" s="79" t="s">
        <v>159</v>
      </c>
      <c r="E356" s="79" t="s">
        <v>4465</v>
      </c>
      <c r="F356" s="79" t="s">
        <v>4778</v>
      </c>
      <c r="G356" s="79" t="s">
        <v>4132</v>
      </c>
      <c r="H356" s="79">
        <v>76209836</v>
      </c>
      <c r="I356" s="79" t="s">
        <v>4915</v>
      </c>
      <c r="J356" s="79" t="s">
        <v>4445</v>
      </c>
    </row>
    <row r="357" spans="1:10" ht="14.25" hidden="1" customHeight="1" x14ac:dyDescent="0.25">
      <c r="A357" s="78">
        <v>760738980</v>
      </c>
      <c r="B357" s="54" t="s">
        <v>462</v>
      </c>
      <c r="C357" s="53" t="s">
        <v>159</v>
      </c>
      <c r="D357" s="79" t="s">
        <v>159</v>
      </c>
      <c r="E357" s="79" t="s">
        <v>4264</v>
      </c>
      <c r="F357" s="79" t="s">
        <v>4791</v>
      </c>
      <c r="G357" s="79" t="s">
        <v>1527</v>
      </c>
      <c r="H357" s="79">
        <v>76073898</v>
      </c>
      <c r="I357" s="79" t="s">
        <v>4915</v>
      </c>
      <c r="J357" s="79" t="s">
        <v>4445</v>
      </c>
    </row>
    <row r="358" spans="1:10" ht="14.25" hidden="1" customHeight="1" x14ac:dyDescent="0.25">
      <c r="A358" s="78">
        <v>967667803</v>
      </c>
      <c r="B358" s="54" t="s">
        <v>609</v>
      </c>
      <c r="C358" s="53" t="s">
        <v>159</v>
      </c>
      <c r="D358" s="79" t="s">
        <v>159</v>
      </c>
      <c r="E358" s="79" t="s">
        <v>4460</v>
      </c>
      <c r="F358" s="79" t="s">
        <v>4786</v>
      </c>
      <c r="G358" s="79" t="s">
        <v>3331</v>
      </c>
      <c r="H358" s="79">
        <v>96766780</v>
      </c>
      <c r="I358" s="79" t="s">
        <v>4915</v>
      </c>
      <c r="J358" s="79" t="s">
        <v>4445</v>
      </c>
    </row>
    <row r="359" spans="1:10" ht="14.25" hidden="1" customHeight="1" x14ac:dyDescent="0.25">
      <c r="A359" s="78">
        <v>616085034</v>
      </c>
      <c r="B359" s="54" t="s">
        <v>257</v>
      </c>
      <c r="C359" s="53" t="s">
        <v>159</v>
      </c>
      <c r="D359" s="79" t="s">
        <v>159</v>
      </c>
      <c r="E359" s="79" t="s">
        <v>4504</v>
      </c>
      <c r="F359" s="79" t="s">
        <v>4778</v>
      </c>
      <c r="G359" s="79" t="s">
        <v>1478</v>
      </c>
      <c r="H359" s="79">
        <v>61608503</v>
      </c>
      <c r="I359" s="79" t="s">
        <v>4914</v>
      </c>
      <c r="J359" s="79" t="s">
        <v>4445</v>
      </c>
    </row>
    <row r="360" spans="1:10" ht="14.25" hidden="1" customHeight="1" x14ac:dyDescent="0.25">
      <c r="A360" s="78">
        <v>764164660</v>
      </c>
      <c r="B360" s="54" t="s">
        <v>481</v>
      </c>
      <c r="C360" s="53" t="s">
        <v>159</v>
      </c>
      <c r="D360" s="79" t="s">
        <v>159</v>
      </c>
      <c r="E360" s="79" t="s">
        <v>4390</v>
      </c>
      <c r="F360" s="79" t="s">
        <v>4778</v>
      </c>
      <c r="G360" s="79" t="s">
        <v>1717</v>
      </c>
      <c r="H360" s="79">
        <v>76416466</v>
      </c>
      <c r="I360" s="79" t="s">
        <v>4915</v>
      </c>
      <c r="J360" s="79" t="s">
        <v>4445</v>
      </c>
    </row>
    <row r="361" spans="1:10" ht="14.25" hidden="1" customHeight="1" x14ac:dyDescent="0.25">
      <c r="A361" s="78">
        <v>691607003</v>
      </c>
      <c r="B361" s="54" t="s">
        <v>797</v>
      </c>
      <c r="C361" s="53" t="s">
        <v>159</v>
      </c>
      <c r="D361" s="79" t="s">
        <v>159</v>
      </c>
      <c r="E361" s="79" t="s">
        <v>4542</v>
      </c>
      <c r="F361" s="79" t="s">
        <v>4786</v>
      </c>
      <c r="G361" s="79" t="s">
        <v>3926</v>
      </c>
      <c r="H361" s="79">
        <v>69160700</v>
      </c>
      <c r="I361" s="79" t="s">
        <v>4914</v>
      </c>
      <c r="J361" s="79" t="s">
        <v>4445</v>
      </c>
    </row>
    <row r="362" spans="1:10" ht="14.25" hidden="1" customHeight="1" x14ac:dyDescent="0.25">
      <c r="A362" s="78">
        <v>690504006</v>
      </c>
      <c r="B362" s="54" t="s">
        <v>785</v>
      </c>
      <c r="C362" s="53" t="s">
        <v>159</v>
      </c>
      <c r="D362" s="79" t="s">
        <v>159</v>
      </c>
      <c r="E362" s="79" t="s">
        <v>4307</v>
      </c>
      <c r="F362" s="79" t="s">
        <v>4788</v>
      </c>
      <c r="G362" s="79" t="s">
        <v>1648</v>
      </c>
      <c r="H362" s="79">
        <v>69050400</v>
      </c>
      <c r="I362" s="79" t="s">
        <v>4914</v>
      </c>
      <c r="J362" s="79" t="s">
        <v>4445</v>
      </c>
    </row>
    <row r="363" spans="1:10" ht="14.25" hidden="1" customHeight="1" x14ac:dyDescent="0.25">
      <c r="A363" s="78">
        <v>765501296</v>
      </c>
      <c r="B363" s="54" t="s">
        <v>1015</v>
      </c>
      <c r="C363" s="53" t="s">
        <v>159</v>
      </c>
      <c r="D363" s="79" t="s">
        <v>159</v>
      </c>
      <c r="E363" s="79" t="s">
        <v>4395</v>
      </c>
      <c r="F363" s="79" t="s">
        <v>4778</v>
      </c>
      <c r="G363" s="79" t="s">
        <v>2204</v>
      </c>
      <c r="H363" s="79">
        <v>76550129</v>
      </c>
      <c r="I363" s="79" t="s">
        <v>4915</v>
      </c>
      <c r="J363" s="79" t="s">
        <v>4445</v>
      </c>
    </row>
    <row r="364" spans="1:10" ht="14.25" hidden="1" customHeight="1" x14ac:dyDescent="0.25">
      <c r="A364" s="78" t="s">
        <v>626</v>
      </c>
      <c r="B364" s="54" t="s">
        <v>627</v>
      </c>
      <c r="C364" s="53" t="s">
        <v>159</v>
      </c>
      <c r="D364" s="79" t="s">
        <v>159</v>
      </c>
      <c r="E364" s="79" t="s">
        <v>4472</v>
      </c>
      <c r="F364" s="79" t="s">
        <v>4795</v>
      </c>
      <c r="G364" s="79" t="s">
        <v>1465</v>
      </c>
      <c r="H364" s="79">
        <v>61602132</v>
      </c>
      <c r="I364" s="79" t="s">
        <v>4914</v>
      </c>
      <c r="J364" s="79" t="s">
        <v>4445</v>
      </c>
    </row>
    <row r="365" spans="1:10" ht="14.25" hidden="1" customHeight="1" x14ac:dyDescent="0.25">
      <c r="A365" s="78">
        <v>616022121</v>
      </c>
      <c r="B365" s="54" t="s">
        <v>188</v>
      </c>
      <c r="C365" s="53" t="s">
        <v>12</v>
      </c>
      <c r="D365" s="79" t="s">
        <v>4785</v>
      </c>
      <c r="E365" s="79" t="s">
        <v>4289</v>
      </c>
      <c r="F365" s="79" t="s">
        <v>4786</v>
      </c>
      <c r="G365" s="79" t="s">
        <v>3175</v>
      </c>
      <c r="H365" s="79">
        <v>61602212</v>
      </c>
      <c r="I365" s="79" t="s">
        <v>4914</v>
      </c>
      <c r="J365" s="79" t="s">
        <v>4464</v>
      </c>
    </row>
    <row r="366" spans="1:10" ht="14.25" hidden="1" customHeight="1" x14ac:dyDescent="0.25">
      <c r="A366" s="78">
        <v>616020676</v>
      </c>
      <c r="B366" s="54" t="s">
        <v>171</v>
      </c>
      <c r="C366" s="53" t="s">
        <v>159</v>
      </c>
      <c r="D366" s="79" t="s">
        <v>159</v>
      </c>
      <c r="E366" s="79" t="s">
        <v>4193</v>
      </c>
      <c r="F366" s="79" t="s">
        <v>4788</v>
      </c>
      <c r="G366" s="79" t="s">
        <v>4103</v>
      </c>
      <c r="H366" s="79">
        <v>61602067</v>
      </c>
      <c r="I366" s="79" t="s">
        <v>4914</v>
      </c>
      <c r="J366" s="79" t="s">
        <v>4445</v>
      </c>
    </row>
    <row r="367" spans="1:10" ht="14.25" hidden="1" customHeight="1" x14ac:dyDescent="0.25">
      <c r="A367" s="78">
        <v>709319000</v>
      </c>
      <c r="B367" s="54" t="s">
        <v>426</v>
      </c>
      <c r="C367" s="53" t="s">
        <v>159</v>
      </c>
      <c r="D367" s="79" t="s">
        <v>159</v>
      </c>
      <c r="E367" s="79" t="s">
        <v>4185</v>
      </c>
      <c r="F367" s="79" t="s">
        <v>4806</v>
      </c>
      <c r="G367" s="79" t="s">
        <v>2343</v>
      </c>
      <c r="H367" s="79">
        <v>70931900</v>
      </c>
      <c r="I367" s="79" t="s">
        <v>4914</v>
      </c>
      <c r="J367" s="79" t="s">
        <v>4445</v>
      </c>
    </row>
    <row r="368" spans="1:10" ht="14.25" hidden="1" customHeight="1" x14ac:dyDescent="0.25">
      <c r="A368" s="78">
        <v>690720000</v>
      </c>
      <c r="B368" s="54" t="s">
        <v>307</v>
      </c>
      <c r="C368" s="53" t="s">
        <v>159</v>
      </c>
      <c r="D368" s="79" t="s">
        <v>159</v>
      </c>
      <c r="E368" s="79" t="s">
        <v>4529</v>
      </c>
      <c r="F368" s="79" t="s">
        <v>4778</v>
      </c>
      <c r="G368" s="79" t="s">
        <v>2477</v>
      </c>
      <c r="H368" s="79">
        <v>69072000</v>
      </c>
      <c r="I368" s="79" t="s">
        <v>4914</v>
      </c>
      <c r="J368" s="79" t="s">
        <v>4445</v>
      </c>
    </row>
    <row r="369" spans="1:10" ht="14.25" hidden="1" customHeight="1" x14ac:dyDescent="0.25">
      <c r="A369" s="78">
        <v>619991907</v>
      </c>
      <c r="B369" s="54" t="s">
        <v>274</v>
      </c>
      <c r="C369" s="53" t="s">
        <v>159</v>
      </c>
      <c r="D369" s="79" t="s">
        <v>159</v>
      </c>
      <c r="E369" s="79" t="s">
        <v>4460</v>
      </c>
      <c r="F369" s="79" t="s">
        <v>4786</v>
      </c>
      <c r="G369" s="79" t="s">
        <v>2078</v>
      </c>
      <c r="H369" s="79">
        <v>61999190</v>
      </c>
      <c r="I369" s="79" t="s">
        <v>4914</v>
      </c>
      <c r="J369" s="79" t="s">
        <v>4445</v>
      </c>
    </row>
    <row r="370" spans="1:10" ht="14.25" hidden="1" customHeight="1" x14ac:dyDescent="0.25">
      <c r="A370" s="78">
        <v>616064053</v>
      </c>
      <c r="B370" s="54" t="s">
        <v>218</v>
      </c>
      <c r="C370" s="53" t="s">
        <v>159</v>
      </c>
      <c r="D370" s="79" t="s">
        <v>159</v>
      </c>
      <c r="E370" s="79" t="s">
        <v>4246</v>
      </c>
      <c r="F370" s="79" t="s">
        <v>4789</v>
      </c>
      <c r="G370" s="79" t="s">
        <v>1575</v>
      </c>
      <c r="H370" s="79">
        <v>61606405</v>
      </c>
      <c r="I370" s="79" t="s">
        <v>4914</v>
      </c>
      <c r="J370" s="79" t="s">
        <v>4445</v>
      </c>
    </row>
    <row r="371" spans="1:10" ht="14.25" hidden="1" customHeight="1" x14ac:dyDescent="0.25">
      <c r="A371" s="78">
        <v>726321000</v>
      </c>
      <c r="B371" s="54" t="s">
        <v>971</v>
      </c>
      <c r="C371" s="53" t="s">
        <v>159</v>
      </c>
      <c r="D371" s="79" t="s">
        <v>159</v>
      </c>
      <c r="E371" s="79" t="s">
        <v>4562</v>
      </c>
      <c r="F371" s="79" t="s">
        <v>4792</v>
      </c>
      <c r="G371" s="79" t="s">
        <v>2089</v>
      </c>
      <c r="H371" s="79">
        <v>72632100</v>
      </c>
      <c r="I371" s="79" t="s">
        <v>4914</v>
      </c>
      <c r="J371" s="79" t="s">
        <v>4445</v>
      </c>
    </row>
    <row r="372" spans="1:10" ht="14.25" hidden="1" customHeight="1" x14ac:dyDescent="0.25">
      <c r="A372" s="78">
        <v>711658009</v>
      </c>
      <c r="B372" s="54" t="s">
        <v>442</v>
      </c>
      <c r="C372" s="53" t="s">
        <v>159</v>
      </c>
      <c r="D372" s="79" t="s">
        <v>159</v>
      </c>
      <c r="E372" s="79" t="s">
        <v>4503</v>
      </c>
      <c r="F372" s="79" t="s">
        <v>4806</v>
      </c>
      <c r="G372" s="79" t="s">
        <v>1744</v>
      </c>
      <c r="H372" s="79">
        <v>71165800</v>
      </c>
      <c r="I372" s="79" t="s">
        <v>4914</v>
      </c>
      <c r="J372" s="79" t="s">
        <v>4445</v>
      </c>
    </row>
    <row r="373" spans="1:10" ht="14.25" hidden="1" customHeight="1" x14ac:dyDescent="0.25">
      <c r="A373" s="78">
        <v>776891320</v>
      </c>
      <c r="B373" s="54" t="s">
        <v>566</v>
      </c>
      <c r="C373" s="53" t="s">
        <v>159</v>
      </c>
      <c r="D373" s="79" t="s">
        <v>159</v>
      </c>
      <c r="E373" s="79" t="s">
        <v>4465</v>
      </c>
      <c r="F373" s="79" t="s">
        <v>4778</v>
      </c>
      <c r="G373" s="79" t="s">
        <v>3517</v>
      </c>
      <c r="H373" s="79">
        <v>77689132</v>
      </c>
      <c r="I373" s="79" t="s">
        <v>4915</v>
      </c>
      <c r="J373" s="79" t="s">
        <v>4445</v>
      </c>
    </row>
    <row r="374" spans="1:10" ht="14.25" hidden="1" customHeight="1" x14ac:dyDescent="0.25">
      <c r="A374" s="78">
        <v>692201000</v>
      </c>
      <c r="B374" s="54" t="s">
        <v>97</v>
      </c>
      <c r="C374" s="53" t="s">
        <v>4758</v>
      </c>
      <c r="D374" s="79" t="s">
        <v>25</v>
      </c>
      <c r="E374" s="79" t="s">
        <v>4292</v>
      </c>
      <c r="F374" s="79" t="s">
        <v>4784</v>
      </c>
      <c r="G374" s="79" t="s">
        <v>2038</v>
      </c>
      <c r="H374" s="79">
        <v>69220100</v>
      </c>
      <c r="I374" s="79" t="s">
        <v>4914</v>
      </c>
      <c r="J374" s="79" t="s">
        <v>4454</v>
      </c>
    </row>
    <row r="375" spans="1:10" ht="14.25" hidden="1" customHeight="1" x14ac:dyDescent="0.25">
      <c r="A375" s="78">
        <v>711497005</v>
      </c>
      <c r="B375" s="54" t="s">
        <v>439</v>
      </c>
      <c r="C375" s="53" t="s">
        <v>159</v>
      </c>
      <c r="D375" s="79" t="s">
        <v>159</v>
      </c>
      <c r="E375" s="79" t="s">
        <v>4230</v>
      </c>
      <c r="F375" s="79" t="s">
        <v>4784</v>
      </c>
      <c r="G375" s="79" t="s">
        <v>1850</v>
      </c>
      <c r="H375" s="79">
        <v>71149700</v>
      </c>
      <c r="I375" s="79" t="s">
        <v>4914</v>
      </c>
      <c r="J375" s="79" t="s">
        <v>4445</v>
      </c>
    </row>
    <row r="376" spans="1:10" ht="14.25" hidden="1" customHeight="1" x14ac:dyDescent="0.25">
      <c r="A376" s="78">
        <v>616021214</v>
      </c>
      <c r="B376" s="54" t="s">
        <v>172</v>
      </c>
      <c r="C376" s="53" t="s">
        <v>4793</v>
      </c>
      <c r="D376" s="79" t="s">
        <v>4794</v>
      </c>
      <c r="E376" s="79" t="s">
        <v>4194</v>
      </c>
      <c r="F376" s="79" t="s">
        <v>4778</v>
      </c>
      <c r="G376" s="79" t="s">
        <v>2973</v>
      </c>
      <c r="H376" s="79">
        <v>61602121</v>
      </c>
      <c r="I376" s="79" t="s">
        <v>4914</v>
      </c>
      <c r="J376" s="79" t="s">
        <v>4445</v>
      </c>
    </row>
    <row r="377" spans="1:10" ht="14.25" hidden="1" customHeight="1" x14ac:dyDescent="0.25">
      <c r="A377" s="78">
        <v>654536201</v>
      </c>
      <c r="B377" s="54" t="s">
        <v>74</v>
      </c>
      <c r="C377" s="53" t="s">
        <v>4757</v>
      </c>
      <c r="D377" s="79" t="s">
        <v>4787</v>
      </c>
      <c r="E377" s="79" t="s">
        <v>4459</v>
      </c>
      <c r="F377" s="79" t="s">
        <v>4788</v>
      </c>
      <c r="G377" s="79" t="s">
        <v>1592</v>
      </c>
      <c r="H377" s="79">
        <v>65453620</v>
      </c>
      <c r="I377" s="79" t="s">
        <v>4914</v>
      </c>
      <c r="J377" s="79" t="s">
        <v>2372</v>
      </c>
    </row>
    <row r="378" spans="1:10" ht="14.25" hidden="1" customHeight="1" x14ac:dyDescent="0.25">
      <c r="A378" s="78">
        <v>691101002</v>
      </c>
      <c r="B378" s="54" t="s">
        <v>334</v>
      </c>
      <c r="C378" s="53" t="s">
        <v>4790</v>
      </c>
      <c r="D378" s="79" t="s">
        <v>4790</v>
      </c>
      <c r="E378" s="79" t="s">
        <v>4259</v>
      </c>
      <c r="F378" s="79" t="s">
        <v>4791</v>
      </c>
      <c r="G378" s="79" t="s">
        <v>1798</v>
      </c>
      <c r="H378" s="79">
        <v>69110100</v>
      </c>
      <c r="I378" s="79" t="s">
        <v>4914</v>
      </c>
      <c r="J378" s="79" t="s">
        <v>4445</v>
      </c>
    </row>
    <row r="379" spans="1:10" ht="14.25" hidden="1" customHeight="1" x14ac:dyDescent="0.25">
      <c r="A379" s="78">
        <v>692001001</v>
      </c>
      <c r="B379" s="54" t="s">
        <v>95</v>
      </c>
      <c r="C379" s="53" t="s">
        <v>4758</v>
      </c>
      <c r="D379" s="79" t="s">
        <v>25</v>
      </c>
      <c r="E379" s="79" t="s">
        <v>4170</v>
      </c>
      <c r="F379" s="79" t="s">
        <v>4798</v>
      </c>
      <c r="G379" s="79" t="s">
        <v>1954</v>
      </c>
      <c r="H379" s="79">
        <v>69200100</v>
      </c>
      <c r="I379" s="79" t="s">
        <v>4914</v>
      </c>
      <c r="J379" s="79" t="s">
        <v>4454</v>
      </c>
    </row>
    <row r="380" spans="1:10" ht="14.25" hidden="1" customHeight="1" x14ac:dyDescent="0.25">
      <c r="A380" s="78">
        <v>690415003</v>
      </c>
      <c r="B380" s="54" t="s">
        <v>899</v>
      </c>
      <c r="C380" s="53" t="s">
        <v>159</v>
      </c>
      <c r="D380" s="79" t="s">
        <v>159</v>
      </c>
      <c r="E380" s="79" t="s">
        <v>4248</v>
      </c>
      <c r="F380" s="79" t="s">
        <v>4789</v>
      </c>
      <c r="G380" s="79" t="s">
        <v>1642</v>
      </c>
      <c r="H380" s="79">
        <v>69041500</v>
      </c>
      <c r="I380" s="79" t="s">
        <v>4914</v>
      </c>
      <c r="J380" s="79" t="s">
        <v>4445</v>
      </c>
    </row>
    <row r="381" spans="1:10" ht="14.25" hidden="1" customHeight="1" x14ac:dyDescent="0.25">
      <c r="A381" s="78">
        <v>692542002</v>
      </c>
      <c r="B381" s="54" t="s">
        <v>392</v>
      </c>
      <c r="C381" s="53" t="s">
        <v>159</v>
      </c>
      <c r="D381" s="79" t="s">
        <v>159</v>
      </c>
      <c r="E381" s="79" t="s">
        <v>4400</v>
      </c>
      <c r="F381" s="79" t="s">
        <v>4778</v>
      </c>
      <c r="G381" s="79" t="s">
        <v>2215</v>
      </c>
      <c r="H381" s="79">
        <v>69254200</v>
      </c>
      <c r="I381" s="79" t="s">
        <v>4914</v>
      </c>
      <c r="J381" s="79" t="s">
        <v>4445</v>
      </c>
    </row>
    <row r="382" spans="1:10" ht="14.25" hidden="1" customHeight="1" x14ac:dyDescent="0.25">
      <c r="A382" s="78">
        <v>616021435</v>
      </c>
      <c r="B382" s="54" t="s">
        <v>179</v>
      </c>
      <c r="C382" s="53" t="s">
        <v>159</v>
      </c>
      <c r="D382" s="79" t="s">
        <v>159</v>
      </c>
      <c r="E382" s="79" t="s">
        <v>4202</v>
      </c>
      <c r="F382" s="79" t="s">
        <v>4795</v>
      </c>
      <c r="G382" s="79" t="s">
        <v>1449</v>
      </c>
      <c r="H382" s="79">
        <v>61602143</v>
      </c>
      <c r="I382" s="79" t="s">
        <v>4914</v>
      </c>
      <c r="J382" s="79" t="s">
        <v>4445</v>
      </c>
    </row>
    <row r="383" spans="1:10" ht="14.25" hidden="1" customHeight="1" x14ac:dyDescent="0.25">
      <c r="A383" s="78" t="s">
        <v>997</v>
      </c>
      <c r="B383" s="54" t="s">
        <v>993</v>
      </c>
      <c r="C383" s="53" t="s">
        <v>159</v>
      </c>
      <c r="D383" s="79" t="s">
        <v>159</v>
      </c>
      <c r="E383" s="79" t="s">
        <v>4237</v>
      </c>
      <c r="F383" s="79" t="s">
        <v>4796</v>
      </c>
      <c r="G383" s="79" t="s">
        <v>1606</v>
      </c>
      <c r="H383" s="79">
        <v>69020200</v>
      </c>
      <c r="I383" s="79" t="s">
        <v>4914</v>
      </c>
      <c r="J383" s="79" t="s">
        <v>4445</v>
      </c>
    </row>
    <row r="384" spans="1:10" ht="14.25" hidden="1" customHeight="1" x14ac:dyDescent="0.25">
      <c r="A384" s="78">
        <v>619550005</v>
      </c>
      <c r="B384" s="54" t="s">
        <v>65</v>
      </c>
      <c r="C384" s="53" t="s">
        <v>4758</v>
      </c>
      <c r="D384" s="79" t="s">
        <v>25</v>
      </c>
      <c r="E384" s="79" t="s">
        <v>4290</v>
      </c>
      <c r="F384" s="79" t="s">
        <v>4779</v>
      </c>
      <c r="G384" s="79" t="s">
        <v>1447</v>
      </c>
      <c r="H384" s="79">
        <v>61955000</v>
      </c>
      <c r="I384" s="79" t="s">
        <v>4914</v>
      </c>
      <c r="J384" s="79" t="s">
        <v>4454</v>
      </c>
    </row>
    <row r="385" spans="1:10" ht="14.25" hidden="1" customHeight="1" x14ac:dyDescent="0.25">
      <c r="A385" s="78">
        <v>764954165</v>
      </c>
      <c r="B385" s="54" t="s">
        <v>487</v>
      </c>
      <c r="C385" s="53" t="s">
        <v>159</v>
      </c>
      <c r="D385" s="79" t="s">
        <v>159</v>
      </c>
      <c r="E385" s="79" t="s">
        <v>4391</v>
      </c>
      <c r="F385" s="79" t="s">
        <v>4778</v>
      </c>
      <c r="G385" s="79" t="s">
        <v>1780</v>
      </c>
      <c r="H385" s="79">
        <v>76495416</v>
      </c>
      <c r="I385" s="79" t="s">
        <v>4915</v>
      </c>
      <c r="J385" s="79" t="s">
        <v>4445</v>
      </c>
    </row>
    <row r="386" spans="1:10" ht="14.25" hidden="1" customHeight="1" x14ac:dyDescent="0.25">
      <c r="A386" s="78" t="s">
        <v>628</v>
      </c>
      <c r="B386" s="54" t="s">
        <v>629</v>
      </c>
      <c r="C386" s="53" t="s">
        <v>159</v>
      </c>
      <c r="D386" s="79" t="s">
        <v>159</v>
      </c>
      <c r="E386" s="79" t="s">
        <v>4204</v>
      </c>
      <c r="F386" s="79" t="s">
        <v>4795</v>
      </c>
      <c r="G386" s="79" t="s">
        <v>4128</v>
      </c>
      <c r="H386" s="79">
        <v>61602146</v>
      </c>
      <c r="I386" s="79" t="s">
        <v>4914</v>
      </c>
      <c r="J386" s="79" t="s">
        <v>4445</v>
      </c>
    </row>
    <row r="387" spans="1:10" ht="14.25" hidden="1" customHeight="1" x14ac:dyDescent="0.25">
      <c r="A387" s="78">
        <v>691601005</v>
      </c>
      <c r="B387" s="54" t="s">
        <v>357</v>
      </c>
      <c r="C387" s="53" t="s">
        <v>159</v>
      </c>
      <c r="D387" s="79" t="s">
        <v>159</v>
      </c>
      <c r="E387" s="79" t="s">
        <v>4214</v>
      </c>
      <c r="F387" s="79" t="s">
        <v>4786</v>
      </c>
      <c r="G387" s="79" t="s">
        <v>4110</v>
      </c>
      <c r="H387" s="79">
        <v>69160100</v>
      </c>
      <c r="I387" s="79" t="s">
        <v>4914</v>
      </c>
      <c r="J387" s="79" t="s">
        <v>4445</v>
      </c>
    </row>
    <row r="388" spans="1:10" ht="14.25" hidden="1" customHeight="1" x14ac:dyDescent="0.25">
      <c r="A388" s="78" t="s">
        <v>705</v>
      </c>
      <c r="B388" s="54" t="s">
        <v>706</v>
      </c>
      <c r="C388" s="53" t="s">
        <v>159</v>
      </c>
      <c r="D388" s="79" t="s">
        <v>159</v>
      </c>
      <c r="E388" s="79" t="s">
        <v>4175</v>
      </c>
      <c r="F388" s="79" t="s">
        <v>4788</v>
      </c>
      <c r="G388" s="79" t="s">
        <v>2147</v>
      </c>
      <c r="H388" s="79">
        <v>76098454</v>
      </c>
      <c r="I388" s="79" t="s">
        <v>4915</v>
      </c>
      <c r="J388" s="79" t="s">
        <v>4445</v>
      </c>
    </row>
    <row r="389" spans="1:10" ht="14.25" hidden="1" customHeight="1" x14ac:dyDescent="0.25">
      <c r="A389" s="78">
        <v>700726002</v>
      </c>
      <c r="B389" s="54" t="s">
        <v>1104</v>
      </c>
      <c r="C389" s="53" t="s">
        <v>159</v>
      </c>
      <c r="D389" s="79" t="s">
        <v>159</v>
      </c>
      <c r="E389" s="79" t="s">
        <v>4178</v>
      </c>
      <c r="F389" s="79" t="s">
        <v>4795</v>
      </c>
      <c r="G389" s="79" t="s">
        <v>3547</v>
      </c>
      <c r="H389" s="79">
        <v>70072600</v>
      </c>
      <c r="I389" s="79" t="s">
        <v>4914</v>
      </c>
      <c r="J389" s="79" t="s">
        <v>4445</v>
      </c>
    </row>
    <row r="390" spans="1:10" ht="14.25" hidden="1" customHeight="1" x14ac:dyDescent="0.25">
      <c r="A390" s="78" t="s">
        <v>645</v>
      </c>
      <c r="B390" s="54" t="s">
        <v>646</v>
      </c>
      <c r="C390" s="53" t="s">
        <v>159</v>
      </c>
      <c r="D390" s="79" t="s">
        <v>159</v>
      </c>
      <c r="E390" s="79" t="s">
        <v>4398</v>
      </c>
      <c r="F390" s="79" t="s">
        <v>4789</v>
      </c>
      <c r="G390" s="79" t="s">
        <v>1232</v>
      </c>
      <c r="H390" s="79">
        <v>61606407</v>
      </c>
      <c r="I390" s="79" t="s">
        <v>4914</v>
      </c>
      <c r="J390" s="79" t="s">
        <v>4445</v>
      </c>
    </row>
    <row r="391" spans="1:10" ht="14.25" hidden="1" customHeight="1" x14ac:dyDescent="0.25">
      <c r="A391" s="78">
        <v>771855199</v>
      </c>
      <c r="B391" s="54" t="s">
        <v>536</v>
      </c>
      <c r="C391" s="53" t="s">
        <v>159</v>
      </c>
      <c r="D391" s="79" t="s">
        <v>159</v>
      </c>
      <c r="E391" s="79" t="s">
        <v>4391</v>
      </c>
      <c r="F391" s="79" t="s">
        <v>4778</v>
      </c>
      <c r="G391" s="79" t="s">
        <v>1286</v>
      </c>
      <c r="H391" s="79">
        <v>77185519</v>
      </c>
      <c r="I391" s="79" t="s">
        <v>4915</v>
      </c>
      <c r="J391" s="79" t="s">
        <v>4445</v>
      </c>
    </row>
    <row r="392" spans="1:10" ht="14.25" hidden="1" customHeight="1" x14ac:dyDescent="0.25">
      <c r="A392" s="78">
        <v>716333000</v>
      </c>
      <c r="B392" s="54" t="s">
        <v>452</v>
      </c>
      <c r="C392" s="53" t="s">
        <v>159</v>
      </c>
      <c r="D392" s="79" t="s">
        <v>159</v>
      </c>
      <c r="E392" s="79" t="s">
        <v>4218</v>
      </c>
      <c r="F392" s="79" t="s">
        <v>4779</v>
      </c>
      <c r="G392" s="79" t="s">
        <v>2417</v>
      </c>
      <c r="H392" s="79">
        <v>71633300</v>
      </c>
      <c r="I392" s="79" t="s">
        <v>4915</v>
      </c>
      <c r="J392" s="79" t="s">
        <v>4445</v>
      </c>
    </row>
    <row r="393" spans="1:10" ht="14.25" hidden="1" customHeight="1" x14ac:dyDescent="0.25">
      <c r="A393" s="78">
        <v>769304231</v>
      </c>
      <c r="B393" s="54" t="s">
        <v>976</v>
      </c>
      <c r="C393" s="53" t="s">
        <v>159</v>
      </c>
      <c r="D393" s="79" t="s">
        <v>159</v>
      </c>
      <c r="E393" s="79" t="s">
        <v>4168</v>
      </c>
      <c r="F393" s="79" t="s">
        <v>4778</v>
      </c>
      <c r="G393" s="79" t="s">
        <v>2772</v>
      </c>
      <c r="H393" s="79">
        <v>76930423</v>
      </c>
      <c r="I393" s="79" t="s">
        <v>4915</v>
      </c>
      <c r="J393" s="79" t="s">
        <v>4445</v>
      </c>
    </row>
    <row r="394" spans="1:10" ht="14.25" hidden="1" customHeight="1" x14ac:dyDescent="0.25">
      <c r="A394" s="78">
        <v>968028006</v>
      </c>
      <c r="B394" s="54" t="s">
        <v>611</v>
      </c>
      <c r="C394" s="53" t="s">
        <v>4793</v>
      </c>
      <c r="D394" s="79" t="s">
        <v>4794</v>
      </c>
      <c r="E394" s="79" t="s">
        <v>4237</v>
      </c>
      <c r="F394" s="79" t="s">
        <v>4796</v>
      </c>
      <c r="G394" s="79" t="s">
        <v>3344</v>
      </c>
      <c r="H394" s="79">
        <v>96802800</v>
      </c>
      <c r="I394" s="79" t="s">
        <v>4915</v>
      </c>
      <c r="J394" s="79" t="s">
        <v>4445</v>
      </c>
    </row>
    <row r="395" spans="1:10" ht="14.25" hidden="1" customHeight="1" x14ac:dyDescent="0.25">
      <c r="A395" s="78">
        <v>776267783</v>
      </c>
      <c r="B395" s="54" t="s">
        <v>3694</v>
      </c>
      <c r="C395" s="53" t="s">
        <v>159</v>
      </c>
      <c r="D395" s="79" t="s">
        <v>159</v>
      </c>
      <c r="E395" s="79" t="s">
        <v>4490</v>
      </c>
      <c r="F395" s="79" t="s">
        <v>4788</v>
      </c>
      <c r="G395" s="79" t="s">
        <v>3693</v>
      </c>
      <c r="H395" s="79">
        <v>77626778</v>
      </c>
      <c r="I395" s="79" t="s">
        <v>4914</v>
      </c>
      <c r="J395" s="79" t="s">
        <v>4445</v>
      </c>
    </row>
    <row r="396" spans="1:10" ht="14.25" hidden="1" customHeight="1" x14ac:dyDescent="0.25">
      <c r="A396" s="78">
        <v>616022202</v>
      </c>
      <c r="B396" s="54" t="s">
        <v>189</v>
      </c>
      <c r="C396" s="53" t="s">
        <v>159</v>
      </c>
      <c r="D396" s="79" t="s">
        <v>159</v>
      </c>
      <c r="E396" s="79" t="s">
        <v>4216</v>
      </c>
      <c r="F396" s="79" t="s">
        <v>4786</v>
      </c>
      <c r="G396" s="79" t="s">
        <v>2151</v>
      </c>
      <c r="H396" s="79">
        <v>61602220</v>
      </c>
      <c r="I396" s="79" t="s">
        <v>4914</v>
      </c>
      <c r="J396" s="79" t="s">
        <v>4445</v>
      </c>
    </row>
    <row r="397" spans="1:10" ht="14.25" hidden="1" customHeight="1" x14ac:dyDescent="0.25">
      <c r="A397" s="78">
        <v>710163006</v>
      </c>
      <c r="B397" s="54" t="s">
        <v>435</v>
      </c>
      <c r="C397" s="53" t="s">
        <v>159</v>
      </c>
      <c r="D397" s="79" t="s">
        <v>159</v>
      </c>
      <c r="E397" s="79" t="s">
        <v>4384</v>
      </c>
      <c r="F397" s="79" t="s">
        <v>4798</v>
      </c>
      <c r="G397" s="79" t="s">
        <v>2052</v>
      </c>
      <c r="H397" s="79">
        <v>71016300</v>
      </c>
      <c r="I397" s="79" t="s">
        <v>4914</v>
      </c>
      <c r="J397" s="79" t="s">
        <v>4445</v>
      </c>
    </row>
    <row r="398" spans="1:10" ht="14.25" hidden="1" customHeight="1" x14ac:dyDescent="0.25">
      <c r="A398" s="78">
        <v>531258509</v>
      </c>
      <c r="B398" s="54" t="s">
        <v>2036</v>
      </c>
      <c r="C398" s="53" t="s">
        <v>4</v>
      </c>
      <c r="D398" s="79" t="s">
        <v>4782</v>
      </c>
      <c r="E398" s="79" t="s">
        <v>4452</v>
      </c>
      <c r="F398" s="79" t="s">
        <v>4778</v>
      </c>
      <c r="G398" s="79" t="s">
        <v>2035</v>
      </c>
      <c r="H398" s="79">
        <v>53125850</v>
      </c>
      <c r="I398" s="79" t="s">
        <v>4915</v>
      </c>
      <c r="J398" s="79" t="s">
        <v>4453</v>
      </c>
    </row>
    <row r="399" spans="1:10" ht="14.25" hidden="1" customHeight="1" x14ac:dyDescent="0.25">
      <c r="A399" s="78">
        <v>692006003</v>
      </c>
      <c r="B399" s="54" t="s">
        <v>378</v>
      </c>
      <c r="C399" s="53" t="s">
        <v>159</v>
      </c>
      <c r="D399" s="79" t="s">
        <v>159</v>
      </c>
      <c r="E399" s="79" t="s">
        <v>4281</v>
      </c>
      <c r="F399" s="79" t="s">
        <v>4798</v>
      </c>
      <c r="G399" s="79" t="s">
        <v>1959</v>
      </c>
      <c r="H399" s="79">
        <v>69200600</v>
      </c>
      <c r="I399" s="79" t="s">
        <v>4914</v>
      </c>
      <c r="J399" s="79" t="s">
        <v>4445</v>
      </c>
    </row>
    <row r="400" spans="1:10" ht="14.25" hidden="1" customHeight="1" x14ac:dyDescent="0.25">
      <c r="A400" s="78">
        <v>692552008</v>
      </c>
      <c r="B400" s="54" t="s">
        <v>803</v>
      </c>
      <c r="C400" s="53" t="s">
        <v>159</v>
      </c>
      <c r="D400" s="79" t="s">
        <v>159</v>
      </c>
      <c r="E400" s="79" t="s">
        <v>4551</v>
      </c>
      <c r="F400" s="79" t="s">
        <v>4778</v>
      </c>
      <c r="G400" s="79" t="s">
        <v>2033</v>
      </c>
      <c r="H400" s="79">
        <v>69255200</v>
      </c>
      <c r="I400" s="79" t="s">
        <v>4914</v>
      </c>
      <c r="J400" s="79" t="s">
        <v>4445</v>
      </c>
    </row>
    <row r="401" spans="1:10" ht="14.25" hidden="1" customHeight="1" x14ac:dyDescent="0.25">
      <c r="A401" s="78">
        <v>711026002</v>
      </c>
      <c r="B401" s="54" t="s">
        <v>436</v>
      </c>
      <c r="C401" s="53" t="s">
        <v>4793</v>
      </c>
      <c r="D401" s="79" t="s">
        <v>4794</v>
      </c>
      <c r="E401" s="79" t="s">
        <v>4182</v>
      </c>
      <c r="F401" s="79" t="s">
        <v>4796</v>
      </c>
      <c r="G401" s="79" t="s">
        <v>2367</v>
      </c>
      <c r="H401" s="79">
        <v>71102600</v>
      </c>
      <c r="I401" s="79" t="s">
        <v>4914</v>
      </c>
      <c r="J401" s="79" t="s">
        <v>4445</v>
      </c>
    </row>
    <row r="402" spans="1:10" ht="14.25" hidden="1" customHeight="1" x14ac:dyDescent="0.25">
      <c r="A402" s="78">
        <v>771480330</v>
      </c>
      <c r="B402" s="54" t="s">
        <v>531</v>
      </c>
      <c r="C402" s="53" t="s">
        <v>159</v>
      </c>
      <c r="D402" s="79" t="s">
        <v>159</v>
      </c>
      <c r="E402" s="79" t="s">
        <v>4528</v>
      </c>
      <c r="F402" s="79" t="s">
        <v>4778</v>
      </c>
      <c r="G402" s="79" t="s">
        <v>2865</v>
      </c>
      <c r="H402" s="79">
        <v>77148033</v>
      </c>
      <c r="I402" s="79" t="s">
        <v>4915</v>
      </c>
      <c r="J402" s="79" t="s">
        <v>4445</v>
      </c>
    </row>
    <row r="403" spans="1:10" ht="14.25" hidden="1" customHeight="1" x14ac:dyDescent="0.25">
      <c r="A403" s="78">
        <v>691506010</v>
      </c>
      <c r="B403" s="54" t="s">
        <v>795</v>
      </c>
      <c r="C403" s="53" t="s">
        <v>159</v>
      </c>
      <c r="D403" s="79" t="s">
        <v>159</v>
      </c>
      <c r="E403" s="79" t="s">
        <v>4349</v>
      </c>
      <c r="F403" s="79" t="s">
        <v>4786</v>
      </c>
      <c r="G403" s="79" t="s">
        <v>1863</v>
      </c>
      <c r="H403" s="79">
        <v>69150601</v>
      </c>
      <c r="I403" s="79" t="s">
        <v>4914</v>
      </c>
      <c r="J403" s="79" t="s">
        <v>4445</v>
      </c>
    </row>
    <row r="404" spans="1:10" ht="14.25" hidden="1" customHeight="1" x14ac:dyDescent="0.25">
      <c r="A404" s="78">
        <v>691602028</v>
      </c>
      <c r="B404" s="54" t="s">
        <v>796</v>
      </c>
      <c r="C404" s="53" t="s">
        <v>159</v>
      </c>
      <c r="D404" s="79" t="s">
        <v>159</v>
      </c>
      <c r="E404" s="79" t="s">
        <v>4215</v>
      </c>
      <c r="F404" s="79" t="s">
        <v>4786</v>
      </c>
      <c r="G404" s="79" t="s">
        <v>2516</v>
      </c>
      <c r="H404" s="79">
        <v>69160202</v>
      </c>
      <c r="I404" s="79" t="s">
        <v>4914</v>
      </c>
      <c r="J404" s="79" t="s">
        <v>4445</v>
      </c>
    </row>
    <row r="405" spans="1:10" ht="14.25" hidden="1" customHeight="1" x14ac:dyDescent="0.25">
      <c r="A405" s="78">
        <v>619523008</v>
      </c>
      <c r="B405" s="54" t="s">
        <v>262</v>
      </c>
      <c r="C405" s="53" t="s">
        <v>4</v>
      </c>
      <c r="D405" s="79" t="s">
        <v>4782</v>
      </c>
      <c r="E405" s="79" t="s">
        <v>4186</v>
      </c>
      <c r="F405" s="79" t="s">
        <v>4802</v>
      </c>
      <c r="G405" s="79" t="s">
        <v>1497</v>
      </c>
      <c r="H405" s="79">
        <v>61952300</v>
      </c>
      <c r="I405" s="79" t="s">
        <v>4914</v>
      </c>
      <c r="J405" s="79" t="s">
        <v>4453</v>
      </c>
    </row>
    <row r="406" spans="1:10" ht="14.25" hidden="1" customHeight="1" x14ac:dyDescent="0.25">
      <c r="A406" s="78">
        <v>774193332</v>
      </c>
      <c r="B406" s="54" t="s">
        <v>1001</v>
      </c>
      <c r="C406" s="53" t="s">
        <v>159</v>
      </c>
      <c r="D406" s="79" t="s">
        <v>159</v>
      </c>
      <c r="E406" s="79" t="s">
        <v>4185</v>
      </c>
      <c r="F406" s="79" t="s">
        <v>4806</v>
      </c>
      <c r="G406" s="79" t="s">
        <v>2094</v>
      </c>
      <c r="H406" s="79">
        <v>77419333</v>
      </c>
      <c r="I406" s="79" t="s">
        <v>4915</v>
      </c>
      <c r="J406" s="79" t="s">
        <v>4445</v>
      </c>
    </row>
    <row r="407" spans="1:10" ht="14.25" hidden="1" customHeight="1" x14ac:dyDescent="0.25">
      <c r="A407" s="78">
        <v>616066005</v>
      </c>
      <c r="B407" s="54" t="s">
        <v>222</v>
      </c>
      <c r="C407" s="53" t="s">
        <v>159</v>
      </c>
      <c r="D407" s="79" t="s">
        <v>159</v>
      </c>
      <c r="E407" s="79" t="s">
        <v>4175</v>
      </c>
      <c r="F407" s="79" t="s">
        <v>4788</v>
      </c>
      <c r="G407" s="79" t="s">
        <v>3085</v>
      </c>
      <c r="H407" s="79">
        <v>61606600</v>
      </c>
      <c r="I407" s="79" t="s">
        <v>4914</v>
      </c>
      <c r="J407" s="79" t="s">
        <v>4445</v>
      </c>
    </row>
    <row r="408" spans="1:10" ht="14.25" hidden="1" customHeight="1" x14ac:dyDescent="0.25">
      <c r="A408" s="78">
        <v>785837509</v>
      </c>
      <c r="B408" s="54" t="s">
        <v>584</v>
      </c>
      <c r="C408" s="53" t="s">
        <v>159</v>
      </c>
      <c r="D408" s="79" t="s">
        <v>159</v>
      </c>
      <c r="E408" s="79" t="s">
        <v>4465</v>
      </c>
      <c r="F408" s="79" t="s">
        <v>4778</v>
      </c>
      <c r="G408" s="79" t="s">
        <v>3182</v>
      </c>
      <c r="H408" s="79">
        <v>78583750</v>
      </c>
      <c r="I408" s="79" t="s">
        <v>4915</v>
      </c>
      <c r="J408" s="79" t="s">
        <v>4445</v>
      </c>
    </row>
    <row r="409" spans="1:10" ht="14.25" hidden="1" customHeight="1" x14ac:dyDescent="0.25">
      <c r="A409" s="78">
        <v>764003837</v>
      </c>
      <c r="B409" s="54" t="s">
        <v>821</v>
      </c>
      <c r="C409" s="53" t="s">
        <v>159</v>
      </c>
      <c r="D409" s="79" t="s">
        <v>159</v>
      </c>
      <c r="E409" s="79" t="s">
        <v>4460</v>
      </c>
      <c r="F409" s="79" t="s">
        <v>4786</v>
      </c>
      <c r="G409" s="79" t="s">
        <v>2180</v>
      </c>
      <c r="H409" s="79">
        <v>76400383</v>
      </c>
      <c r="I409" s="79" t="s">
        <v>4915</v>
      </c>
      <c r="J409" s="79" t="s">
        <v>4445</v>
      </c>
    </row>
    <row r="410" spans="1:10" ht="14.25" hidden="1" customHeight="1" x14ac:dyDescent="0.25">
      <c r="A410" s="78">
        <v>692527003</v>
      </c>
      <c r="B410" s="54" t="s">
        <v>390</v>
      </c>
      <c r="C410" s="53" t="s">
        <v>159</v>
      </c>
      <c r="D410" s="79" t="s">
        <v>159</v>
      </c>
      <c r="E410" s="79" t="s">
        <v>4341</v>
      </c>
      <c r="F410" s="79" t="s">
        <v>4791</v>
      </c>
      <c r="G410" s="79" t="s">
        <v>4112</v>
      </c>
      <c r="H410" s="79">
        <v>69252700</v>
      </c>
      <c r="I410" s="79" t="s">
        <v>4914</v>
      </c>
      <c r="J410" s="79" t="s">
        <v>4445</v>
      </c>
    </row>
    <row r="411" spans="1:10" ht="14.25" hidden="1" customHeight="1" x14ac:dyDescent="0.25">
      <c r="A411" s="78">
        <v>691808009</v>
      </c>
      <c r="B411" s="54" t="s">
        <v>367</v>
      </c>
      <c r="C411" s="53" t="s">
        <v>159</v>
      </c>
      <c r="D411" s="79" t="s">
        <v>159</v>
      </c>
      <c r="E411" s="79" t="s">
        <v>4360</v>
      </c>
      <c r="F411" s="79" t="s">
        <v>4779</v>
      </c>
      <c r="G411" s="79" t="s">
        <v>2333</v>
      </c>
      <c r="H411" s="79">
        <v>69180800</v>
      </c>
      <c r="I411" s="79" t="s">
        <v>4914</v>
      </c>
      <c r="J411" s="79" t="s">
        <v>4445</v>
      </c>
    </row>
    <row r="412" spans="1:10" ht="14.25" customHeight="1" x14ac:dyDescent="0.25">
      <c r="A412" s="78">
        <v>966132205</v>
      </c>
      <c r="B412" s="54" t="s">
        <v>606</v>
      </c>
      <c r="C412" s="53" t="s">
        <v>159</v>
      </c>
      <c r="D412" s="79" t="s">
        <v>159</v>
      </c>
      <c r="E412" s="79" t="s">
        <v>4181</v>
      </c>
      <c r="F412" s="79" t="s">
        <v>4801</v>
      </c>
      <c r="G412" s="79" t="s">
        <v>3349</v>
      </c>
      <c r="H412" s="79">
        <v>96613220</v>
      </c>
      <c r="I412" s="79" t="s">
        <v>4914</v>
      </c>
      <c r="J412" s="79" t="s">
        <v>4445</v>
      </c>
    </row>
    <row r="413" spans="1:10" ht="14.25" hidden="1" customHeight="1" x14ac:dyDescent="0.25">
      <c r="A413" s="78">
        <v>616076027</v>
      </c>
      <c r="B413" s="54" t="s">
        <v>249</v>
      </c>
      <c r="C413" s="53" t="s">
        <v>159</v>
      </c>
      <c r="D413" s="79" t="s">
        <v>159</v>
      </c>
      <c r="E413" s="79" t="s">
        <v>4282</v>
      </c>
      <c r="F413" s="79" t="s">
        <v>4784</v>
      </c>
      <c r="G413" s="79" t="s">
        <v>2369</v>
      </c>
      <c r="H413" s="79">
        <v>61607602</v>
      </c>
      <c r="I413" s="79" t="s">
        <v>4914</v>
      </c>
      <c r="J413" s="79" t="s">
        <v>4445</v>
      </c>
    </row>
    <row r="414" spans="1:10" ht="14.25" hidden="1" customHeight="1" x14ac:dyDescent="0.25">
      <c r="A414" s="78">
        <v>690611007</v>
      </c>
      <c r="B414" s="54" t="s">
        <v>1683</v>
      </c>
      <c r="C414" s="53" t="s">
        <v>159</v>
      </c>
      <c r="D414" s="79" t="s">
        <v>159</v>
      </c>
      <c r="E414" s="79" t="s">
        <v>4249</v>
      </c>
      <c r="F414" s="79" t="s">
        <v>4788</v>
      </c>
      <c r="G414" s="79" t="s">
        <v>1682</v>
      </c>
      <c r="H414" s="79">
        <v>69061100</v>
      </c>
      <c r="I414" s="79" t="s">
        <v>4914</v>
      </c>
      <c r="J414" s="79" t="s">
        <v>4445</v>
      </c>
    </row>
    <row r="415" spans="1:10" ht="14.25" hidden="1" customHeight="1" x14ac:dyDescent="0.25">
      <c r="A415" s="78" t="s">
        <v>720</v>
      </c>
      <c r="B415" s="54" t="s">
        <v>721</v>
      </c>
      <c r="C415" s="53" t="s">
        <v>159</v>
      </c>
      <c r="D415" s="79" t="s">
        <v>159</v>
      </c>
      <c r="E415" s="79" t="s">
        <v>4175</v>
      </c>
      <c r="F415" s="79" t="s">
        <v>4788</v>
      </c>
      <c r="G415" s="79" t="s">
        <v>2756</v>
      </c>
      <c r="H415" s="79">
        <v>76875179</v>
      </c>
      <c r="I415" s="79" t="s">
        <v>4915</v>
      </c>
      <c r="J415" s="79" t="s">
        <v>4445</v>
      </c>
    </row>
    <row r="416" spans="1:10" ht="14.25" hidden="1" customHeight="1" x14ac:dyDescent="0.25">
      <c r="A416" s="78">
        <v>690501007</v>
      </c>
      <c r="B416" s="54" t="s">
        <v>77</v>
      </c>
      <c r="C416" s="53" t="s">
        <v>159</v>
      </c>
      <c r="D416" s="79" t="s">
        <v>159</v>
      </c>
      <c r="E416" s="79" t="s">
        <v>4305</v>
      </c>
      <c r="F416" s="79" t="s">
        <v>4788</v>
      </c>
      <c r="G416" s="79" t="s">
        <v>1540</v>
      </c>
      <c r="H416" s="79">
        <v>69050100</v>
      </c>
      <c r="I416" s="79" t="s">
        <v>4914</v>
      </c>
      <c r="J416" s="79" t="s">
        <v>4445</v>
      </c>
    </row>
    <row r="417" spans="1:10" ht="14.25" hidden="1" customHeight="1" x14ac:dyDescent="0.25">
      <c r="A417" s="78">
        <v>714555006</v>
      </c>
      <c r="B417" s="54" t="s">
        <v>450</v>
      </c>
      <c r="C417" s="53" t="s">
        <v>159</v>
      </c>
      <c r="D417" s="79" t="s">
        <v>159</v>
      </c>
      <c r="E417" s="79" t="s">
        <v>4561</v>
      </c>
      <c r="F417" s="79" t="s">
        <v>4778</v>
      </c>
      <c r="G417" s="79" t="s">
        <v>1427</v>
      </c>
      <c r="H417" s="79">
        <v>71455500</v>
      </c>
      <c r="I417" s="79" t="s">
        <v>4914</v>
      </c>
      <c r="J417" s="79" t="s">
        <v>4445</v>
      </c>
    </row>
    <row r="418" spans="1:10" ht="14.25" hidden="1" customHeight="1" x14ac:dyDescent="0.25">
      <c r="A418" s="78">
        <v>761458922</v>
      </c>
      <c r="B418" s="54" t="s">
        <v>465</v>
      </c>
      <c r="C418" s="53" t="s">
        <v>159</v>
      </c>
      <c r="D418" s="79" t="s">
        <v>159</v>
      </c>
      <c r="E418" s="79" t="s">
        <v>4391</v>
      </c>
      <c r="F418" s="79" t="s">
        <v>4778</v>
      </c>
      <c r="G418" s="79" t="s">
        <v>2506</v>
      </c>
      <c r="H418" s="79">
        <v>76145892</v>
      </c>
      <c r="I418" s="79" t="s">
        <v>4915</v>
      </c>
      <c r="J418" s="79" t="s">
        <v>4445</v>
      </c>
    </row>
    <row r="419" spans="1:10" ht="14.25" hidden="1" customHeight="1" x14ac:dyDescent="0.25">
      <c r="A419" s="78">
        <v>690506009</v>
      </c>
      <c r="B419" s="54" t="s">
        <v>292</v>
      </c>
      <c r="C419" s="53" t="s">
        <v>159</v>
      </c>
      <c r="D419" s="79" t="s">
        <v>159</v>
      </c>
      <c r="E419" s="79" t="s">
        <v>4174</v>
      </c>
      <c r="F419" s="79" t="s">
        <v>4788</v>
      </c>
      <c r="G419" s="79" t="s">
        <v>1652</v>
      </c>
      <c r="H419" s="79">
        <v>69050600</v>
      </c>
      <c r="I419" s="79" t="s">
        <v>4914</v>
      </c>
      <c r="J419" s="79" t="s">
        <v>4445</v>
      </c>
    </row>
    <row r="420" spans="1:10" ht="14.25" hidden="1" customHeight="1" x14ac:dyDescent="0.25">
      <c r="A420" s="78">
        <v>768805636</v>
      </c>
      <c r="B420" s="54" t="s">
        <v>511</v>
      </c>
      <c r="C420" s="53" t="s">
        <v>159</v>
      </c>
      <c r="D420" s="79" t="s">
        <v>159</v>
      </c>
      <c r="E420" s="79" t="s">
        <v>4395</v>
      </c>
      <c r="F420" s="79" t="s">
        <v>4778</v>
      </c>
      <c r="G420" s="79" t="s">
        <v>1318</v>
      </c>
      <c r="H420" s="79">
        <v>76880563</v>
      </c>
      <c r="I420" s="79" t="s">
        <v>4915</v>
      </c>
      <c r="J420" s="79" t="s">
        <v>4445</v>
      </c>
    </row>
    <row r="421" spans="1:10" ht="14.25" hidden="1" customHeight="1" x14ac:dyDescent="0.25">
      <c r="A421" s="78">
        <v>691001008</v>
      </c>
      <c r="B421" s="54" t="s">
        <v>329</v>
      </c>
      <c r="C421" s="53" t="s">
        <v>4790</v>
      </c>
      <c r="D421" s="79" t="s">
        <v>4790</v>
      </c>
      <c r="E421" s="79" t="s">
        <v>4491</v>
      </c>
      <c r="F421" s="79" t="s">
        <v>4791</v>
      </c>
      <c r="G421" s="79" t="s">
        <v>1789</v>
      </c>
      <c r="H421" s="79">
        <v>69100100</v>
      </c>
      <c r="I421" s="79" t="s">
        <v>4914</v>
      </c>
      <c r="J421" s="79" t="s">
        <v>4445</v>
      </c>
    </row>
    <row r="422" spans="1:10" ht="14.25" hidden="1" customHeight="1" x14ac:dyDescent="0.25">
      <c r="A422" s="78">
        <v>767568088</v>
      </c>
      <c r="B422" s="54" t="s">
        <v>836</v>
      </c>
      <c r="C422" s="53" t="s">
        <v>159</v>
      </c>
      <c r="D422" s="79" t="s">
        <v>159</v>
      </c>
      <c r="E422" s="79" t="s">
        <v>4395</v>
      </c>
      <c r="F422" s="79" t="s">
        <v>4778</v>
      </c>
      <c r="G422" s="79" t="s">
        <v>1978</v>
      </c>
      <c r="H422" s="79">
        <v>76756808</v>
      </c>
      <c r="I422" s="79" t="s">
        <v>4915</v>
      </c>
      <c r="J422" s="79" t="s">
        <v>4445</v>
      </c>
    </row>
    <row r="423" spans="1:10" ht="14.25" hidden="1" customHeight="1" x14ac:dyDescent="0.25">
      <c r="A423" s="78">
        <v>616069187</v>
      </c>
      <c r="B423" s="54" t="s">
        <v>4815</v>
      </c>
      <c r="C423" s="53" t="s">
        <v>4790</v>
      </c>
      <c r="D423" s="79" t="s">
        <v>4790</v>
      </c>
      <c r="E423" s="79" t="s">
        <v>4265</v>
      </c>
      <c r="F423" s="79" t="s">
        <v>4791</v>
      </c>
      <c r="G423" s="79" t="s">
        <v>2504</v>
      </c>
      <c r="H423" s="79">
        <v>61606918</v>
      </c>
      <c r="I423" s="79" t="s">
        <v>4914</v>
      </c>
      <c r="J423" s="79" t="s">
        <v>4445</v>
      </c>
    </row>
    <row r="424" spans="1:10" ht="14.25" hidden="1" customHeight="1" x14ac:dyDescent="0.25">
      <c r="A424" s="78" t="s">
        <v>737</v>
      </c>
      <c r="B424" s="54" t="s">
        <v>738</v>
      </c>
      <c r="C424" s="53" t="s">
        <v>159</v>
      </c>
      <c r="D424" s="79" t="s">
        <v>159</v>
      </c>
      <c r="E424" s="79" t="s">
        <v>4495</v>
      </c>
      <c r="F424" s="79" t="s">
        <v>4792</v>
      </c>
      <c r="G424" s="79" t="s">
        <v>3220</v>
      </c>
      <c r="H424" s="79">
        <v>81494400</v>
      </c>
      <c r="I424" s="79" t="s">
        <v>4914</v>
      </c>
      <c r="J424" s="79" t="s">
        <v>4445</v>
      </c>
    </row>
    <row r="425" spans="1:10" ht="14.25" hidden="1" customHeight="1" x14ac:dyDescent="0.25">
      <c r="A425" s="78" t="s">
        <v>914</v>
      </c>
      <c r="B425" s="54" t="s">
        <v>915</v>
      </c>
      <c r="C425" s="53" t="s">
        <v>159</v>
      </c>
      <c r="D425" s="79" t="s">
        <v>159</v>
      </c>
      <c r="E425" s="79" t="s">
        <v>4276</v>
      </c>
      <c r="F425" s="79" t="s">
        <v>4779</v>
      </c>
      <c r="G425" s="79" t="s">
        <v>1485</v>
      </c>
      <c r="H425" s="79">
        <v>69181100</v>
      </c>
      <c r="I425" s="79" t="s">
        <v>4914</v>
      </c>
      <c r="J425" s="79" t="s">
        <v>4445</v>
      </c>
    </row>
    <row r="426" spans="1:10" ht="14.25" hidden="1" customHeight="1" x14ac:dyDescent="0.25">
      <c r="A426" s="78">
        <v>773553866</v>
      </c>
      <c r="B426" s="54" t="s">
        <v>856</v>
      </c>
      <c r="C426" s="53" t="s">
        <v>159</v>
      </c>
      <c r="D426" s="79" t="s">
        <v>159</v>
      </c>
      <c r="E426" s="79" t="s">
        <v>4185</v>
      </c>
      <c r="F426" s="79" t="s">
        <v>4806</v>
      </c>
      <c r="G426" s="79" t="s">
        <v>1438</v>
      </c>
      <c r="H426" s="79">
        <v>77355386</v>
      </c>
      <c r="I426" s="79" t="s">
        <v>4915</v>
      </c>
      <c r="J426" s="79" t="s">
        <v>4445</v>
      </c>
    </row>
    <row r="427" spans="1:10" ht="14.25" hidden="1" customHeight="1" x14ac:dyDescent="0.25">
      <c r="A427" s="78">
        <v>692521005</v>
      </c>
      <c r="B427" s="54" t="s">
        <v>388</v>
      </c>
      <c r="C427" s="53" t="s">
        <v>159</v>
      </c>
      <c r="D427" s="79" t="s">
        <v>159</v>
      </c>
      <c r="E427" s="79" t="s">
        <v>4374</v>
      </c>
      <c r="F427" s="79" t="s">
        <v>4779</v>
      </c>
      <c r="G427" s="79" t="s">
        <v>3265</v>
      </c>
      <c r="H427" s="79">
        <v>69252100</v>
      </c>
      <c r="I427" s="79" t="s">
        <v>4914</v>
      </c>
      <c r="J427" s="79" t="s">
        <v>4445</v>
      </c>
    </row>
    <row r="428" spans="1:10" ht="14.25" hidden="1" customHeight="1" x14ac:dyDescent="0.25">
      <c r="A428" s="78" t="s">
        <v>630</v>
      </c>
      <c r="B428" s="54" t="s">
        <v>631</v>
      </c>
      <c r="C428" s="53" t="s">
        <v>159</v>
      </c>
      <c r="D428" s="79" t="s">
        <v>159</v>
      </c>
      <c r="E428" s="79" t="s">
        <v>4210</v>
      </c>
      <c r="F428" s="79" t="s">
        <v>4792</v>
      </c>
      <c r="G428" s="79" t="s">
        <v>2356</v>
      </c>
      <c r="H428" s="79">
        <v>61602194</v>
      </c>
      <c r="I428" s="79" t="s">
        <v>4914</v>
      </c>
      <c r="J428" s="79" t="s">
        <v>4445</v>
      </c>
    </row>
    <row r="429" spans="1:10" ht="14.25" hidden="1" customHeight="1" x14ac:dyDescent="0.25">
      <c r="A429" s="78">
        <v>691412008</v>
      </c>
      <c r="B429" s="54" t="s">
        <v>350</v>
      </c>
      <c r="C429" s="53" t="s">
        <v>159</v>
      </c>
      <c r="D429" s="79" t="s">
        <v>159</v>
      </c>
      <c r="E429" s="79" t="s">
        <v>4267</v>
      </c>
      <c r="F429" s="79" t="s">
        <v>4792</v>
      </c>
      <c r="G429" s="79" t="s">
        <v>1846</v>
      </c>
      <c r="H429" s="79">
        <v>69141200</v>
      </c>
      <c r="I429" s="79" t="s">
        <v>4914</v>
      </c>
      <c r="J429" s="79" t="s">
        <v>4445</v>
      </c>
    </row>
    <row r="430" spans="1:10" ht="14.25" hidden="1" customHeight="1" x14ac:dyDescent="0.25">
      <c r="A430" s="78">
        <v>707831006</v>
      </c>
      <c r="B430" s="54" t="s">
        <v>414</v>
      </c>
      <c r="C430" s="53" t="s">
        <v>4757</v>
      </c>
      <c r="D430" s="79" t="s">
        <v>4787</v>
      </c>
      <c r="E430" s="79" t="s">
        <v>4171</v>
      </c>
      <c r="F430" s="79" t="s">
        <v>4789</v>
      </c>
      <c r="G430" s="79" t="s">
        <v>2304</v>
      </c>
      <c r="H430" s="79">
        <v>70783100</v>
      </c>
      <c r="I430" s="79" t="s">
        <v>4915</v>
      </c>
      <c r="J430" s="79" t="s">
        <v>2372</v>
      </c>
    </row>
    <row r="431" spans="1:10" ht="14.25" hidden="1" customHeight="1" x14ac:dyDescent="0.25">
      <c r="A431" s="78">
        <v>690915006</v>
      </c>
      <c r="B431" s="54" t="s">
        <v>328</v>
      </c>
      <c r="C431" s="53" t="s">
        <v>159</v>
      </c>
      <c r="D431" s="79" t="s">
        <v>159</v>
      </c>
      <c r="E431" s="79" t="s">
        <v>4334</v>
      </c>
      <c r="F431" s="79" t="s">
        <v>4795</v>
      </c>
      <c r="G431" s="79" t="s">
        <v>1787</v>
      </c>
      <c r="H431" s="79">
        <v>69091500</v>
      </c>
      <c r="I431" s="79" t="s">
        <v>4914</v>
      </c>
      <c r="J431" s="79" t="s">
        <v>4445</v>
      </c>
    </row>
    <row r="432" spans="1:10" ht="14.25" hidden="1" customHeight="1" x14ac:dyDescent="0.25">
      <c r="A432" s="78">
        <v>764755081</v>
      </c>
      <c r="B432" s="54" t="s">
        <v>824</v>
      </c>
      <c r="C432" s="53" t="s">
        <v>159</v>
      </c>
      <c r="D432" s="79" t="s">
        <v>159</v>
      </c>
      <c r="E432" s="79" t="s">
        <v>4551</v>
      </c>
      <c r="F432" s="79" t="s">
        <v>4778</v>
      </c>
      <c r="G432" s="79" t="s">
        <v>3943</v>
      </c>
      <c r="H432" s="79">
        <v>76475508</v>
      </c>
      <c r="I432" s="79" t="s">
        <v>4915</v>
      </c>
      <c r="J432" s="79" t="s">
        <v>4445</v>
      </c>
    </row>
    <row r="433" spans="1:10" ht="14.25" hidden="1" customHeight="1" x14ac:dyDescent="0.25">
      <c r="A433" s="78">
        <v>616080067</v>
      </c>
      <c r="B433" s="54" t="s">
        <v>780</v>
      </c>
      <c r="C433" s="53" t="s">
        <v>159</v>
      </c>
      <c r="D433" s="79" t="s">
        <v>159</v>
      </c>
      <c r="E433" s="79" t="s">
        <v>4816</v>
      </c>
      <c r="F433" s="79" t="s">
        <v>4778</v>
      </c>
      <c r="G433" s="79" t="s">
        <v>1842</v>
      </c>
      <c r="H433" s="79">
        <v>61608006</v>
      </c>
      <c r="I433" s="79" t="s">
        <v>4914</v>
      </c>
      <c r="J433" s="79" t="s">
        <v>4445</v>
      </c>
    </row>
    <row r="434" spans="1:10" ht="14.25" hidden="1" customHeight="1" x14ac:dyDescent="0.25">
      <c r="A434" s="78">
        <v>690412004</v>
      </c>
      <c r="B434" s="54" t="s">
        <v>290</v>
      </c>
      <c r="C434" s="53" t="s">
        <v>159</v>
      </c>
      <c r="D434" s="79" t="s">
        <v>159</v>
      </c>
      <c r="E434" s="79" t="s">
        <v>4398</v>
      </c>
      <c r="F434" s="79" t="s">
        <v>4789</v>
      </c>
      <c r="G434" s="79" t="s">
        <v>3618</v>
      </c>
      <c r="H434" s="79">
        <v>69041200</v>
      </c>
      <c r="I434" s="79" t="s">
        <v>4914</v>
      </c>
      <c r="J434" s="79" t="s">
        <v>4445</v>
      </c>
    </row>
    <row r="435" spans="1:10" ht="14.25" hidden="1" customHeight="1" x14ac:dyDescent="0.25">
      <c r="A435" s="78">
        <v>760181188</v>
      </c>
      <c r="B435" s="54" t="s">
        <v>959</v>
      </c>
      <c r="C435" s="53" t="s">
        <v>159</v>
      </c>
      <c r="D435" s="79" t="s">
        <v>159</v>
      </c>
      <c r="E435" s="79" t="s">
        <v>4410</v>
      </c>
      <c r="F435" s="79" t="s">
        <v>4778</v>
      </c>
      <c r="G435" s="79" t="s">
        <v>2447</v>
      </c>
      <c r="H435" s="79">
        <v>76018118</v>
      </c>
      <c r="I435" s="79" t="s">
        <v>4915</v>
      </c>
      <c r="J435" s="79" t="s">
        <v>4445</v>
      </c>
    </row>
    <row r="436" spans="1:10" ht="14.25" hidden="1" customHeight="1" x14ac:dyDescent="0.25">
      <c r="A436" s="78">
        <v>690724006</v>
      </c>
      <c r="B436" s="54" t="s">
        <v>308</v>
      </c>
      <c r="C436" s="53" t="s">
        <v>159</v>
      </c>
      <c r="D436" s="79" t="s">
        <v>159</v>
      </c>
      <c r="E436" s="79" t="s">
        <v>4530</v>
      </c>
      <c r="F436" s="79" t="s">
        <v>4778</v>
      </c>
      <c r="G436" s="79" t="s">
        <v>1899</v>
      </c>
      <c r="H436" s="79">
        <v>69072400</v>
      </c>
      <c r="I436" s="79" t="s">
        <v>4914</v>
      </c>
      <c r="J436" s="79" t="s">
        <v>4445</v>
      </c>
    </row>
    <row r="437" spans="1:10" ht="14.25" hidden="1" customHeight="1" x14ac:dyDescent="0.25">
      <c r="A437" s="78">
        <v>691403025</v>
      </c>
      <c r="B437" s="54" t="s">
        <v>794</v>
      </c>
      <c r="C437" s="53" t="s">
        <v>159</v>
      </c>
      <c r="D437" s="79" t="s">
        <v>159</v>
      </c>
      <c r="E437" s="79" t="s">
        <v>4406</v>
      </c>
      <c r="F437" s="79" t="s">
        <v>4792</v>
      </c>
      <c r="G437" s="79" t="s">
        <v>1217</v>
      </c>
      <c r="H437" s="79">
        <v>69140302</v>
      </c>
      <c r="I437" s="79" t="s">
        <v>4914</v>
      </c>
      <c r="J437" s="79" t="s">
        <v>4445</v>
      </c>
    </row>
    <row r="438" spans="1:10" ht="14.25" hidden="1" customHeight="1" x14ac:dyDescent="0.25">
      <c r="A438" s="78">
        <v>767495641</v>
      </c>
      <c r="B438" s="54" t="s">
        <v>1035</v>
      </c>
      <c r="C438" s="53" t="s">
        <v>159</v>
      </c>
      <c r="D438" s="79" t="s">
        <v>159</v>
      </c>
      <c r="E438" s="79" t="s">
        <v>4364</v>
      </c>
      <c r="F438" s="79" t="s">
        <v>4779</v>
      </c>
      <c r="G438" s="79" t="s">
        <v>1832</v>
      </c>
      <c r="H438" s="79">
        <v>76749564</v>
      </c>
      <c r="I438" s="79" t="s">
        <v>4915</v>
      </c>
      <c r="J438" s="79" t="s">
        <v>4445</v>
      </c>
    </row>
    <row r="439" spans="1:10" ht="14.25" hidden="1" customHeight="1" x14ac:dyDescent="0.25">
      <c r="A439" s="78">
        <v>616021990</v>
      </c>
      <c r="B439" s="54" t="s">
        <v>186</v>
      </c>
      <c r="C439" s="53" t="s">
        <v>159</v>
      </c>
      <c r="D439" s="79" t="s">
        <v>159</v>
      </c>
      <c r="E439" s="79" t="s">
        <v>4212</v>
      </c>
      <c r="F439" s="79" t="s">
        <v>4786</v>
      </c>
      <c r="G439" s="79" t="s">
        <v>4147</v>
      </c>
      <c r="H439" s="79">
        <v>61602199</v>
      </c>
      <c r="I439" s="79" t="s">
        <v>4914</v>
      </c>
      <c r="J439" s="79" t="s">
        <v>4445</v>
      </c>
    </row>
    <row r="440" spans="1:10" ht="14.25" hidden="1" customHeight="1" x14ac:dyDescent="0.25">
      <c r="A440" s="78">
        <v>690608006</v>
      </c>
      <c r="B440" s="54" t="s">
        <v>80</v>
      </c>
      <c r="C440" s="53" t="s">
        <v>4757</v>
      </c>
      <c r="D440" s="79" t="s">
        <v>4787</v>
      </c>
      <c r="E440" s="79" t="s">
        <v>4525</v>
      </c>
      <c r="F440" s="79" t="s">
        <v>4788</v>
      </c>
      <c r="G440" s="79" t="s">
        <v>2031</v>
      </c>
      <c r="H440" s="79">
        <v>69060800</v>
      </c>
      <c r="I440" s="79" t="s">
        <v>4914</v>
      </c>
      <c r="J440" s="79" t="s">
        <v>2372</v>
      </c>
    </row>
    <row r="441" spans="1:10" ht="14.25" hidden="1" customHeight="1" x14ac:dyDescent="0.25">
      <c r="A441" s="78">
        <v>762090155</v>
      </c>
      <c r="B441" s="54" t="s">
        <v>4440</v>
      </c>
      <c r="C441" s="53" t="s">
        <v>159</v>
      </c>
      <c r="D441" s="79" t="s">
        <v>159</v>
      </c>
      <c r="E441" s="79" t="s">
        <v>4495</v>
      </c>
      <c r="F441" s="79" t="s">
        <v>4792</v>
      </c>
      <c r="G441" s="79" t="s">
        <v>4565</v>
      </c>
      <c r="H441" s="79">
        <v>76209015</v>
      </c>
      <c r="I441" s="79" t="s">
        <v>4915</v>
      </c>
      <c r="J441" s="79" t="s">
        <v>4445</v>
      </c>
    </row>
    <row r="442" spans="1:10" ht="14.25" hidden="1" customHeight="1" x14ac:dyDescent="0.25">
      <c r="A442" s="78">
        <v>770342554</v>
      </c>
      <c r="B442" s="54" t="s">
        <v>1097</v>
      </c>
      <c r="C442" s="53" t="s">
        <v>159</v>
      </c>
      <c r="D442" s="79" t="s">
        <v>159</v>
      </c>
      <c r="E442" s="79" t="s">
        <v>4490</v>
      </c>
      <c r="F442" s="79" t="s">
        <v>4788</v>
      </c>
      <c r="G442" s="79" t="s">
        <v>3056</v>
      </c>
      <c r="H442" s="79">
        <v>77034255</v>
      </c>
      <c r="I442" s="79" t="s">
        <v>4915</v>
      </c>
      <c r="J442" s="79" t="s">
        <v>4445</v>
      </c>
    </row>
    <row r="443" spans="1:10" ht="14.25" hidden="1" customHeight="1" x14ac:dyDescent="0.25">
      <c r="A443" s="78" t="s">
        <v>934</v>
      </c>
      <c r="B443" s="54" t="s">
        <v>941</v>
      </c>
      <c r="C443" s="53" t="s">
        <v>159</v>
      </c>
      <c r="D443" s="79" t="s">
        <v>159</v>
      </c>
      <c r="E443" s="79" t="s">
        <v>4178</v>
      </c>
      <c r="F443" s="79" t="s">
        <v>4795</v>
      </c>
      <c r="G443" s="79" t="s">
        <v>2822</v>
      </c>
      <c r="H443" s="79">
        <v>77035627</v>
      </c>
      <c r="I443" s="79" t="s">
        <v>4915</v>
      </c>
      <c r="J443" s="79" t="s">
        <v>4445</v>
      </c>
    </row>
    <row r="444" spans="1:10" ht="14.25" hidden="1" customHeight="1" x14ac:dyDescent="0.25">
      <c r="A444" s="78" t="s">
        <v>4761</v>
      </c>
      <c r="B444" s="54" t="s">
        <v>955</v>
      </c>
      <c r="C444" s="53" t="s">
        <v>159</v>
      </c>
      <c r="D444" s="79" t="s">
        <v>159</v>
      </c>
      <c r="E444" s="79" t="s">
        <v>4401</v>
      </c>
      <c r="F444" s="79" t="s">
        <v>4778</v>
      </c>
      <c r="G444" s="79" t="s">
        <v>2706</v>
      </c>
      <c r="H444" s="79">
        <v>76768780</v>
      </c>
      <c r="I444" s="79" t="s">
        <v>4915</v>
      </c>
      <c r="J444" s="79" t="s">
        <v>4445</v>
      </c>
    </row>
    <row r="445" spans="1:10" ht="14.25" hidden="1" customHeight="1" x14ac:dyDescent="0.25">
      <c r="A445" s="78" t="s">
        <v>733</v>
      </c>
      <c r="B445" s="54" t="s">
        <v>734</v>
      </c>
      <c r="C445" s="53" t="s">
        <v>159</v>
      </c>
      <c r="D445" s="79" t="s">
        <v>159</v>
      </c>
      <c r="E445" s="79" t="s">
        <v>4168</v>
      </c>
      <c r="F445" s="79" t="s">
        <v>4778</v>
      </c>
      <c r="G445" s="79" t="s">
        <v>3030</v>
      </c>
      <c r="H445" s="79">
        <v>77518471</v>
      </c>
      <c r="I445" s="79" t="s">
        <v>4915</v>
      </c>
      <c r="J445" s="79" t="s">
        <v>4445</v>
      </c>
    </row>
    <row r="446" spans="1:10" ht="14.25" hidden="1" customHeight="1" x14ac:dyDescent="0.25">
      <c r="A446" s="78">
        <v>712652004</v>
      </c>
      <c r="B446" s="54" t="s">
        <v>999</v>
      </c>
      <c r="C446" s="53" t="s">
        <v>159</v>
      </c>
      <c r="D446" s="79" t="s">
        <v>159</v>
      </c>
      <c r="E446" s="79" t="s">
        <v>4559</v>
      </c>
      <c r="F446" s="79" t="s">
        <v>4778</v>
      </c>
      <c r="G446" s="79" t="s">
        <v>2386</v>
      </c>
      <c r="H446" s="79">
        <v>71265200</v>
      </c>
      <c r="I446" s="79" t="s">
        <v>4914</v>
      </c>
      <c r="J446" s="79" t="s">
        <v>4445</v>
      </c>
    </row>
    <row r="447" spans="1:10" ht="14.25" hidden="1" customHeight="1" x14ac:dyDescent="0.25">
      <c r="A447" s="78">
        <v>766208177</v>
      </c>
      <c r="B447" s="54" t="s">
        <v>494</v>
      </c>
      <c r="C447" s="53" t="s">
        <v>159</v>
      </c>
      <c r="D447" s="79" t="s">
        <v>159</v>
      </c>
      <c r="E447" s="79" t="s">
        <v>4170</v>
      </c>
      <c r="F447" s="79" t="s">
        <v>4798</v>
      </c>
      <c r="G447" s="79" t="s">
        <v>1322</v>
      </c>
      <c r="H447" s="79">
        <v>76620817</v>
      </c>
      <c r="I447" s="79" t="s">
        <v>4915</v>
      </c>
      <c r="J447" s="79" t="s">
        <v>4445</v>
      </c>
    </row>
    <row r="448" spans="1:10" ht="14.25" hidden="1" customHeight="1" x14ac:dyDescent="0.25">
      <c r="A448" s="78">
        <v>691004007</v>
      </c>
      <c r="B448" s="54" t="s">
        <v>332</v>
      </c>
      <c r="C448" s="53" t="s">
        <v>159</v>
      </c>
      <c r="D448" s="79" t="s">
        <v>159</v>
      </c>
      <c r="E448" s="79" t="s">
        <v>4336</v>
      </c>
      <c r="F448" s="79" t="s">
        <v>4791</v>
      </c>
      <c r="G448" s="79" t="s">
        <v>1794</v>
      </c>
      <c r="H448" s="79">
        <v>69100400</v>
      </c>
      <c r="I448" s="79" t="s">
        <v>4914</v>
      </c>
      <c r="J448" s="79" t="s">
        <v>4445</v>
      </c>
    </row>
    <row r="449" spans="1:10" ht="14.25" hidden="1" customHeight="1" x14ac:dyDescent="0.25">
      <c r="A449" s="78">
        <v>763072797</v>
      </c>
      <c r="B449" s="54" t="s">
        <v>930</v>
      </c>
      <c r="C449" s="53" t="s">
        <v>159</v>
      </c>
      <c r="D449" s="79" t="s">
        <v>159</v>
      </c>
      <c r="E449" s="79" t="s">
        <v>4183</v>
      </c>
      <c r="F449" s="79" t="s">
        <v>4786</v>
      </c>
      <c r="G449" s="79" t="s">
        <v>2563</v>
      </c>
      <c r="H449" s="79">
        <v>76307279</v>
      </c>
      <c r="I449" s="79" t="s">
        <v>4915</v>
      </c>
      <c r="J449" s="79" t="s">
        <v>4445</v>
      </c>
    </row>
    <row r="450" spans="1:10" ht="14.25" hidden="1" customHeight="1" x14ac:dyDescent="0.25">
      <c r="A450" s="78">
        <v>619394003</v>
      </c>
      <c r="B450" s="54" t="s">
        <v>956</v>
      </c>
      <c r="C450" s="53" t="s">
        <v>159</v>
      </c>
      <c r="D450" s="79" t="s">
        <v>159</v>
      </c>
      <c r="E450" s="79" t="s">
        <v>4168</v>
      </c>
      <c r="F450" s="79" t="s">
        <v>4778</v>
      </c>
      <c r="G450" s="79" t="s">
        <v>1495</v>
      </c>
      <c r="H450" s="79">
        <v>61939400</v>
      </c>
      <c r="I450" s="79" t="s">
        <v>4914</v>
      </c>
      <c r="J450" s="79" t="s">
        <v>4445</v>
      </c>
    </row>
    <row r="451" spans="1:10" ht="14.25" hidden="1" customHeight="1" x14ac:dyDescent="0.25">
      <c r="A451" s="78">
        <v>775462167</v>
      </c>
      <c r="B451" s="54" t="s">
        <v>942</v>
      </c>
      <c r="C451" s="53" t="s">
        <v>159</v>
      </c>
      <c r="D451" s="79" t="s">
        <v>159</v>
      </c>
      <c r="E451" s="79" t="s">
        <v>4391</v>
      </c>
      <c r="F451" s="79" t="s">
        <v>4778</v>
      </c>
      <c r="G451" s="79" t="s">
        <v>3042</v>
      </c>
      <c r="H451" s="79">
        <v>77546216</v>
      </c>
      <c r="I451" s="79" t="s">
        <v>4915</v>
      </c>
      <c r="J451" s="79" t="s">
        <v>4445</v>
      </c>
    </row>
    <row r="452" spans="1:10" ht="14.25" hidden="1" customHeight="1" x14ac:dyDescent="0.25">
      <c r="A452" s="78">
        <v>781247707</v>
      </c>
      <c r="B452" s="54" t="s">
        <v>581</v>
      </c>
      <c r="C452" s="53" t="s">
        <v>159</v>
      </c>
      <c r="D452" s="79" t="s">
        <v>159</v>
      </c>
      <c r="E452" s="79" t="s">
        <v>4460</v>
      </c>
      <c r="F452" s="79" t="s">
        <v>4786</v>
      </c>
      <c r="G452" s="79" t="s">
        <v>1371</v>
      </c>
      <c r="H452" s="79">
        <v>78124770</v>
      </c>
      <c r="I452" s="79" t="s">
        <v>4915</v>
      </c>
      <c r="J452" s="79" t="s">
        <v>4445</v>
      </c>
    </row>
    <row r="453" spans="1:10" ht="14.25" hidden="1" customHeight="1" x14ac:dyDescent="0.25">
      <c r="A453" s="78">
        <v>616022709</v>
      </c>
      <c r="B453" s="54" t="s">
        <v>199</v>
      </c>
      <c r="C453" s="53" t="s">
        <v>159</v>
      </c>
      <c r="D453" s="79" t="s">
        <v>159</v>
      </c>
      <c r="E453" s="79" t="s">
        <v>4227</v>
      </c>
      <c r="F453" s="79" t="s">
        <v>4784</v>
      </c>
      <c r="G453" s="79" t="s">
        <v>3032</v>
      </c>
      <c r="H453" s="79">
        <v>61602270</v>
      </c>
      <c r="I453" s="79" t="s">
        <v>4914</v>
      </c>
      <c r="J453" s="79" t="s">
        <v>4445</v>
      </c>
    </row>
    <row r="454" spans="1:10" ht="14.25" hidden="1" customHeight="1" x14ac:dyDescent="0.25">
      <c r="A454" s="78">
        <v>966741708</v>
      </c>
      <c r="B454" s="54" t="s">
        <v>130</v>
      </c>
      <c r="C454" s="53" t="s">
        <v>4757</v>
      </c>
      <c r="D454" s="79" t="s">
        <v>4787</v>
      </c>
      <c r="E454" s="79" t="s">
        <v>4813</v>
      </c>
      <c r="F454" s="79" t="s">
        <v>4788</v>
      </c>
      <c r="G454" s="79" t="s">
        <v>2800</v>
      </c>
      <c r="H454" s="79">
        <v>96674170</v>
      </c>
      <c r="I454" s="79" t="s">
        <v>4915</v>
      </c>
      <c r="J454" s="79" t="s">
        <v>2372</v>
      </c>
    </row>
    <row r="455" spans="1:10" ht="14.25" hidden="1" customHeight="1" x14ac:dyDescent="0.25">
      <c r="A455" s="78">
        <v>709932004</v>
      </c>
      <c r="B455" s="54" t="s">
        <v>433</v>
      </c>
      <c r="C455" s="53" t="s">
        <v>159</v>
      </c>
      <c r="D455" s="79" t="s">
        <v>159</v>
      </c>
      <c r="E455" s="79" t="s">
        <v>4444</v>
      </c>
      <c r="F455" s="79" t="s">
        <v>4778</v>
      </c>
      <c r="G455" s="79" t="s">
        <v>3994</v>
      </c>
      <c r="H455" s="79">
        <v>70993200</v>
      </c>
      <c r="I455" s="79" t="s">
        <v>4914</v>
      </c>
      <c r="J455" s="79" t="s">
        <v>4445</v>
      </c>
    </row>
    <row r="456" spans="1:10" ht="14.25" hidden="1" customHeight="1" x14ac:dyDescent="0.25">
      <c r="A456" s="78" t="s">
        <v>653</v>
      </c>
      <c r="B456" s="54" t="s">
        <v>654</v>
      </c>
      <c r="C456" s="53" t="s">
        <v>159</v>
      </c>
      <c r="D456" s="79" t="s">
        <v>159</v>
      </c>
      <c r="E456" s="79" t="s">
        <v>4185</v>
      </c>
      <c r="F456" s="79" t="s">
        <v>4806</v>
      </c>
      <c r="G456" s="79" t="s">
        <v>1650</v>
      </c>
      <c r="H456" s="79">
        <v>61607900</v>
      </c>
      <c r="I456" s="79" t="s">
        <v>4914</v>
      </c>
      <c r="J456" s="79" t="s">
        <v>4445</v>
      </c>
    </row>
    <row r="457" spans="1:10" ht="14.25" hidden="1" customHeight="1" x14ac:dyDescent="0.25">
      <c r="A457" s="78">
        <v>616021346</v>
      </c>
      <c r="B457" s="54" t="s">
        <v>765</v>
      </c>
      <c r="C457" s="53" t="s">
        <v>159</v>
      </c>
      <c r="D457" s="79" t="s">
        <v>159</v>
      </c>
      <c r="E457" s="79" t="s">
        <v>4199</v>
      </c>
      <c r="F457" s="79" t="s">
        <v>4795</v>
      </c>
      <c r="G457" s="79" t="s">
        <v>2145</v>
      </c>
      <c r="H457" s="79">
        <v>61602134</v>
      </c>
      <c r="I457" s="79" t="s">
        <v>4914</v>
      </c>
      <c r="J457" s="79" t="s">
        <v>4445</v>
      </c>
    </row>
    <row r="458" spans="1:10" ht="14.25" hidden="1" customHeight="1" x14ac:dyDescent="0.25">
      <c r="A458" s="78">
        <v>692202007</v>
      </c>
      <c r="B458" s="54" t="s">
        <v>1981</v>
      </c>
      <c r="C458" s="53" t="s">
        <v>159</v>
      </c>
      <c r="D458" s="79" t="s">
        <v>159</v>
      </c>
      <c r="E458" s="79" t="s">
        <v>4190</v>
      </c>
      <c r="F458" s="79" t="s">
        <v>4784</v>
      </c>
      <c r="G458" s="79" t="s">
        <v>1980</v>
      </c>
      <c r="H458" s="79">
        <v>69220200</v>
      </c>
      <c r="I458" s="79" t="s">
        <v>4914</v>
      </c>
      <c r="J458" s="79" t="s">
        <v>4445</v>
      </c>
    </row>
    <row r="459" spans="1:10" ht="14.25" hidden="1" customHeight="1" x14ac:dyDescent="0.25">
      <c r="A459" s="78">
        <v>691102009</v>
      </c>
      <c r="B459" s="54" t="s">
        <v>335</v>
      </c>
      <c r="C459" s="53" t="s">
        <v>159</v>
      </c>
      <c r="D459" s="79" t="s">
        <v>159</v>
      </c>
      <c r="E459" s="79" t="s">
        <v>4337</v>
      </c>
      <c r="F459" s="79" t="s">
        <v>4791</v>
      </c>
      <c r="G459" s="79" t="s">
        <v>1799</v>
      </c>
      <c r="H459" s="79">
        <v>69110200</v>
      </c>
      <c r="I459" s="79" t="s">
        <v>4914</v>
      </c>
      <c r="J459" s="79" t="s">
        <v>4445</v>
      </c>
    </row>
    <row r="460" spans="1:10" ht="14.25" hidden="1" customHeight="1" x14ac:dyDescent="0.25">
      <c r="A460" s="78">
        <v>770443032</v>
      </c>
      <c r="B460" s="54" t="s">
        <v>522</v>
      </c>
      <c r="C460" s="53" t="s">
        <v>159</v>
      </c>
      <c r="D460" s="79" t="s">
        <v>159</v>
      </c>
      <c r="E460" s="79" t="s">
        <v>4465</v>
      </c>
      <c r="F460" s="79" t="s">
        <v>4778</v>
      </c>
      <c r="G460" s="79" t="s">
        <v>2826</v>
      </c>
      <c r="H460" s="79">
        <v>77044303</v>
      </c>
      <c r="I460" s="79" t="s">
        <v>4915</v>
      </c>
      <c r="J460" s="79" t="s">
        <v>4445</v>
      </c>
    </row>
    <row r="461" spans="1:10" ht="14.25" hidden="1" customHeight="1" x14ac:dyDescent="0.25">
      <c r="A461" s="78">
        <v>690103001</v>
      </c>
      <c r="B461" s="54" t="s">
        <v>1037</v>
      </c>
      <c r="C461" s="53" t="s">
        <v>4</v>
      </c>
      <c r="D461" s="79" t="s">
        <v>4782</v>
      </c>
      <c r="E461" s="79" t="s">
        <v>4186</v>
      </c>
      <c r="F461" s="79" t="s">
        <v>4802</v>
      </c>
      <c r="G461" s="79" t="s">
        <v>2199</v>
      </c>
      <c r="H461" s="79">
        <v>69010300</v>
      </c>
      <c r="I461" s="79" t="s">
        <v>4914</v>
      </c>
      <c r="J461" s="79" t="s">
        <v>4453</v>
      </c>
    </row>
    <row r="462" spans="1:10" ht="14.25" hidden="1" customHeight="1" x14ac:dyDescent="0.25">
      <c r="A462" s="78">
        <v>785563700</v>
      </c>
      <c r="B462" s="54" t="s">
        <v>583</v>
      </c>
      <c r="C462" s="53" t="s">
        <v>159</v>
      </c>
      <c r="D462" s="79" t="s">
        <v>159</v>
      </c>
      <c r="E462" s="79" t="s">
        <v>4391</v>
      </c>
      <c r="F462" s="79" t="s">
        <v>4778</v>
      </c>
      <c r="G462" s="79" t="s">
        <v>3758</v>
      </c>
      <c r="H462" s="79">
        <v>78556370</v>
      </c>
      <c r="I462" s="79" t="s">
        <v>4915</v>
      </c>
      <c r="J462" s="79" t="s">
        <v>4445</v>
      </c>
    </row>
    <row r="463" spans="1:10" ht="14.25" hidden="1" customHeight="1" x14ac:dyDescent="0.25">
      <c r="A463" s="78">
        <v>616067036</v>
      </c>
      <c r="B463" s="54" t="s">
        <v>774</v>
      </c>
      <c r="C463" s="53" t="s">
        <v>159</v>
      </c>
      <c r="D463" s="79" t="s">
        <v>159</v>
      </c>
      <c r="E463" s="79" t="s">
        <v>4256</v>
      </c>
      <c r="F463" s="79" t="s">
        <v>4788</v>
      </c>
      <c r="G463" s="79" t="s">
        <v>1731</v>
      </c>
      <c r="H463" s="79">
        <v>61606703</v>
      </c>
      <c r="I463" s="79" t="s">
        <v>4914</v>
      </c>
      <c r="J463" s="79" t="s">
        <v>4445</v>
      </c>
    </row>
    <row r="464" spans="1:10" ht="14.25" hidden="1" customHeight="1" x14ac:dyDescent="0.25">
      <c r="A464" s="78">
        <v>709836005</v>
      </c>
      <c r="B464" s="54" t="s">
        <v>432</v>
      </c>
      <c r="C464" s="53" t="s">
        <v>159</v>
      </c>
      <c r="D464" s="79" t="s">
        <v>159</v>
      </c>
      <c r="E464" s="79" t="s">
        <v>4250</v>
      </c>
      <c r="F464" s="79" t="s">
        <v>4788</v>
      </c>
      <c r="G464" s="79" t="s">
        <v>1342</v>
      </c>
      <c r="H464" s="79">
        <v>70983600</v>
      </c>
      <c r="I464" s="79" t="s">
        <v>4914</v>
      </c>
      <c r="J464" s="79" t="s">
        <v>4445</v>
      </c>
    </row>
    <row r="465" spans="1:10" ht="14.25" hidden="1" customHeight="1" x14ac:dyDescent="0.25">
      <c r="A465" s="78">
        <v>789374503</v>
      </c>
      <c r="B465" s="54" t="s">
        <v>586</v>
      </c>
      <c r="C465" s="53" t="s">
        <v>159</v>
      </c>
      <c r="D465" s="79" t="s">
        <v>159</v>
      </c>
      <c r="E465" s="79" t="s">
        <v>4168</v>
      </c>
      <c r="F465" s="79" t="s">
        <v>4778</v>
      </c>
      <c r="G465" s="79" t="s">
        <v>3196</v>
      </c>
      <c r="H465" s="79">
        <v>78937450</v>
      </c>
      <c r="I465" s="79" t="s">
        <v>4915</v>
      </c>
      <c r="J465" s="79" t="s">
        <v>4445</v>
      </c>
    </row>
    <row r="466" spans="1:10" ht="14.25" hidden="1" customHeight="1" x14ac:dyDescent="0.25">
      <c r="A466" s="78">
        <v>995734907</v>
      </c>
      <c r="B466" s="54" t="s">
        <v>3985</v>
      </c>
      <c r="C466" s="53" t="s">
        <v>6</v>
      </c>
      <c r="D466" s="79" t="s">
        <v>4783</v>
      </c>
      <c r="E466" s="79" t="s">
        <v>4465</v>
      </c>
      <c r="F466" s="79" t="s">
        <v>4778</v>
      </c>
      <c r="G466" s="79" t="s">
        <v>3984</v>
      </c>
      <c r="H466" s="79">
        <v>99573490</v>
      </c>
      <c r="I466" s="79" t="s">
        <v>4915</v>
      </c>
      <c r="J466" s="79" t="s">
        <v>4457</v>
      </c>
    </row>
    <row r="467" spans="1:10" ht="14.25" hidden="1" customHeight="1" x14ac:dyDescent="0.25">
      <c r="A467" s="78">
        <v>763893839</v>
      </c>
      <c r="B467" s="54" t="s">
        <v>479</v>
      </c>
      <c r="C467" s="53" t="s">
        <v>159</v>
      </c>
      <c r="D467" s="79" t="s">
        <v>159</v>
      </c>
      <c r="E467" s="79" t="s">
        <v>4187</v>
      </c>
      <c r="F467" s="79" t="s">
        <v>4778</v>
      </c>
      <c r="G467" s="79" t="s">
        <v>2586</v>
      </c>
      <c r="H467" s="79">
        <v>76389383</v>
      </c>
      <c r="I467" s="79" t="s">
        <v>4915</v>
      </c>
      <c r="J467" s="79" t="s">
        <v>4445</v>
      </c>
    </row>
    <row r="468" spans="1:10" ht="14.25" hidden="1" customHeight="1" x14ac:dyDescent="0.25">
      <c r="A468" s="78">
        <v>776722316</v>
      </c>
      <c r="B468" s="54" t="s">
        <v>565</v>
      </c>
      <c r="C468" s="53" t="s">
        <v>159</v>
      </c>
      <c r="D468" s="79" t="s">
        <v>159</v>
      </c>
      <c r="E468" s="79" t="s">
        <v>4563</v>
      </c>
      <c r="F468" s="79" t="s">
        <v>4788</v>
      </c>
      <c r="G468" s="79" t="s">
        <v>3087</v>
      </c>
      <c r="H468" s="79">
        <v>77672231</v>
      </c>
      <c r="I468" s="79" t="s">
        <v>4915</v>
      </c>
      <c r="J468" s="79" t="s">
        <v>4445</v>
      </c>
    </row>
    <row r="469" spans="1:10" ht="14.25" hidden="1" customHeight="1" x14ac:dyDescent="0.25">
      <c r="A469" s="78">
        <v>616074024</v>
      </c>
      <c r="B469" s="54" t="s">
        <v>245</v>
      </c>
      <c r="C469" s="53" t="s">
        <v>159</v>
      </c>
      <c r="D469" s="79" t="s">
        <v>159</v>
      </c>
      <c r="E469" s="79" t="s">
        <v>4276</v>
      </c>
      <c r="F469" s="79" t="s">
        <v>4779</v>
      </c>
      <c r="G469" s="79" t="s">
        <v>1398</v>
      </c>
      <c r="H469" s="79">
        <v>61607402</v>
      </c>
      <c r="I469" s="79" t="s">
        <v>4914</v>
      </c>
      <c r="J469" s="79" t="s">
        <v>4445</v>
      </c>
    </row>
    <row r="470" spans="1:10" ht="14.25" hidden="1" customHeight="1" x14ac:dyDescent="0.25">
      <c r="A470" s="78">
        <v>616064061</v>
      </c>
      <c r="B470" s="54" t="s">
        <v>219</v>
      </c>
      <c r="C470" s="53" t="s">
        <v>159</v>
      </c>
      <c r="D470" s="79" t="s">
        <v>159</v>
      </c>
      <c r="E470" s="79" t="s">
        <v>4489</v>
      </c>
      <c r="F470" s="79" t="s">
        <v>4789</v>
      </c>
      <c r="G470" s="79" t="s">
        <v>1304</v>
      </c>
      <c r="H470" s="79">
        <v>61606406</v>
      </c>
      <c r="I470" s="79" t="s">
        <v>4914</v>
      </c>
      <c r="J470" s="79" t="s">
        <v>4445</v>
      </c>
    </row>
    <row r="471" spans="1:10" ht="14.25" hidden="1" customHeight="1" x14ac:dyDescent="0.25">
      <c r="A471" s="78">
        <v>773540845</v>
      </c>
      <c r="B471" s="54" t="s">
        <v>545</v>
      </c>
      <c r="C471" s="53" t="s">
        <v>159</v>
      </c>
      <c r="D471" s="79" t="s">
        <v>159</v>
      </c>
      <c r="E471" s="79" t="s">
        <v>4465</v>
      </c>
      <c r="F471" s="79" t="s">
        <v>4778</v>
      </c>
      <c r="G471" s="79" t="s">
        <v>2954</v>
      </c>
      <c r="H471" s="79">
        <v>77354084</v>
      </c>
      <c r="I471" s="79" t="s">
        <v>4915</v>
      </c>
      <c r="J471" s="79" t="s">
        <v>4445</v>
      </c>
    </row>
    <row r="472" spans="1:10" ht="14.25" hidden="1" customHeight="1" x14ac:dyDescent="0.25">
      <c r="A472" s="78">
        <v>690713012</v>
      </c>
      <c r="B472" s="54" t="s">
        <v>305</v>
      </c>
      <c r="C472" s="53" t="s">
        <v>159</v>
      </c>
      <c r="D472" s="79" t="s">
        <v>159</v>
      </c>
      <c r="E472" s="79" t="s">
        <v>4528</v>
      </c>
      <c r="F472" s="79" t="s">
        <v>4778</v>
      </c>
      <c r="G472" s="79" t="s">
        <v>1689</v>
      </c>
      <c r="H472" s="79">
        <v>69071301</v>
      </c>
      <c r="I472" s="79" t="s">
        <v>4914</v>
      </c>
      <c r="J472" s="79" t="s">
        <v>4445</v>
      </c>
    </row>
    <row r="473" spans="1:10" ht="14.25" hidden="1" customHeight="1" x14ac:dyDescent="0.25">
      <c r="A473" s="78">
        <v>777792954</v>
      </c>
      <c r="B473" s="54" t="s">
        <v>948</v>
      </c>
      <c r="C473" s="53" t="s">
        <v>159</v>
      </c>
      <c r="D473" s="79" t="s">
        <v>159</v>
      </c>
      <c r="E473" s="79" t="s">
        <v>4471</v>
      </c>
      <c r="F473" s="79" t="s">
        <v>4778</v>
      </c>
      <c r="G473" s="79" t="s">
        <v>3924</v>
      </c>
      <c r="H473" s="79">
        <v>77779295</v>
      </c>
      <c r="I473" s="79" t="s">
        <v>4915</v>
      </c>
      <c r="J473" s="79" t="s">
        <v>4445</v>
      </c>
    </row>
    <row r="474" spans="1:10" ht="14.25" hidden="1" customHeight="1" x14ac:dyDescent="0.25">
      <c r="A474" s="78">
        <v>692404009</v>
      </c>
      <c r="B474" s="54" t="s">
        <v>1086</v>
      </c>
      <c r="C474" s="53" t="s">
        <v>159</v>
      </c>
      <c r="D474" s="79" t="s">
        <v>159</v>
      </c>
      <c r="E474" s="79" t="s">
        <v>4234</v>
      </c>
      <c r="F474" s="79" t="s">
        <v>4800</v>
      </c>
      <c r="G474" s="79" t="s">
        <v>1573</v>
      </c>
      <c r="H474" s="79">
        <v>69240400</v>
      </c>
      <c r="I474" s="79" t="s">
        <v>4914</v>
      </c>
      <c r="J474" s="79" t="s">
        <v>4445</v>
      </c>
    </row>
    <row r="475" spans="1:10" ht="14.25" hidden="1" customHeight="1" x14ac:dyDescent="0.25">
      <c r="A475" s="78">
        <v>775190604</v>
      </c>
      <c r="B475" s="54" t="s">
        <v>555</v>
      </c>
      <c r="C475" s="53" t="s">
        <v>159</v>
      </c>
      <c r="D475" s="79" t="s">
        <v>159</v>
      </c>
      <c r="E475" s="79" t="s">
        <v>4465</v>
      </c>
      <c r="F475" s="79" t="s">
        <v>4778</v>
      </c>
      <c r="G475" s="79" t="s">
        <v>3979</v>
      </c>
      <c r="H475" s="79">
        <v>77519060</v>
      </c>
      <c r="I475" s="79" t="s">
        <v>4915</v>
      </c>
      <c r="J475" s="79" t="s">
        <v>4445</v>
      </c>
    </row>
    <row r="476" spans="1:10" ht="14.25" hidden="1" customHeight="1" x14ac:dyDescent="0.25">
      <c r="A476" s="78">
        <v>776717754</v>
      </c>
      <c r="B476" s="54" t="s">
        <v>564</v>
      </c>
      <c r="C476" s="53" t="s">
        <v>159</v>
      </c>
      <c r="D476" s="79" t="s">
        <v>159</v>
      </c>
      <c r="E476" s="79" t="s">
        <v>4459</v>
      </c>
      <c r="F476" s="79" t="s">
        <v>4788</v>
      </c>
      <c r="G476" s="79" t="s">
        <v>3245</v>
      </c>
      <c r="H476" s="79">
        <v>77671775</v>
      </c>
      <c r="I476" s="79" t="s">
        <v>4915</v>
      </c>
      <c r="J476" s="79" t="s">
        <v>4445</v>
      </c>
    </row>
    <row r="477" spans="1:10" ht="14.25" customHeight="1" x14ac:dyDescent="0.25">
      <c r="A477" s="78">
        <v>619790200</v>
      </c>
      <c r="B477" s="54" t="s">
        <v>1030</v>
      </c>
      <c r="C477" s="53" t="s">
        <v>159</v>
      </c>
      <c r="D477" s="79" t="s">
        <v>159</v>
      </c>
      <c r="E477" s="79" t="s">
        <v>4181</v>
      </c>
      <c r="F477" s="79" t="s">
        <v>4801</v>
      </c>
      <c r="G477" s="79" t="s">
        <v>1520</v>
      </c>
      <c r="H477" s="79">
        <v>61979020</v>
      </c>
      <c r="I477" s="79" t="s">
        <v>4915</v>
      </c>
      <c r="J477" s="79" t="s">
        <v>4445</v>
      </c>
    </row>
    <row r="478" spans="1:10" ht="14.25" hidden="1" customHeight="1" x14ac:dyDescent="0.25">
      <c r="A478" s="78">
        <v>692207025</v>
      </c>
      <c r="B478" s="54" t="s">
        <v>801</v>
      </c>
      <c r="C478" s="53" t="s">
        <v>159</v>
      </c>
      <c r="D478" s="79" t="s">
        <v>159</v>
      </c>
      <c r="E478" s="79" t="s">
        <v>4227</v>
      </c>
      <c r="F478" s="79" t="s">
        <v>4784</v>
      </c>
      <c r="G478" s="79" t="s">
        <v>2347</v>
      </c>
      <c r="H478" s="79">
        <v>69220702</v>
      </c>
      <c r="I478" s="79" t="s">
        <v>4914</v>
      </c>
      <c r="J478" s="79" t="s">
        <v>4445</v>
      </c>
    </row>
    <row r="479" spans="1:10" ht="14.25" hidden="1" customHeight="1" x14ac:dyDescent="0.25">
      <c r="A479" s="78">
        <v>765184304</v>
      </c>
      <c r="B479" s="54" t="s">
        <v>1032</v>
      </c>
      <c r="C479" s="53" t="s">
        <v>159</v>
      </c>
      <c r="D479" s="79" t="s">
        <v>159</v>
      </c>
      <c r="E479" s="79" t="s">
        <v>4381</v>
      </c>
      <c r="F479" s="79" t="s">
        <v>4778</v>
      </c>
      <c r="G479" s="79" t="s">
        <v>3410</v>
      </c>
      <c r="H479" s="79">
        <v>76518430</v>
      </c>
      <c r="I479" s="79" t="s">
        <v>4915</v>
      </c>
      <c r="J479" s="79" t="s">
        <v>4445</v>
      </c>
    </row>
    <row r="480" spans="1:10" ht="14.25" hidden="1" customHeight="1" x14ac:dyDescent="0.25">
      <c r="A480" s="78">
        <v>616079034</v>
      </c>
      <c r="B480" s="54" t="s">
        <v>251</v>
      </c>
      <c r="C480" s="53" t="s">
        <v>159</v>
      </c>
      <c r="D480" s="79" t="s">
        <v>159</v>
      </c>
      <c r="E480" s="79" t="s">
        <v>4283</v>
      </c>
      <c r="F480" s="79" t="s">
        <v>4806</v>
      </c>
      <c r="G480" s="79" t="s">
        <v>1300</v>
      </c>
      <c r="H480" s="79">
        <v>61607903</v>
      </c>
      <c r="I480" s="79" t="s">
        <v>4914</v>
      </c>
      <c r="J480" s="79" t="s">
        <v>4445</v>
      </c>
    </row>
    <row r="481" spans="1:10" ht="14.25" hidden="1" customHeight="1" x14ac:dyDescent="0.25">
      <c r="A481" s="78">
        <v>761912631</v>
      </c>
      <c r="B481" s="54" t="s">
        <v>4817</v>
      </c>
      <c r="C481" s="53" t="s">
        <v>159</v>
      </c>
      <c r="D481" s="79" t="s">
        <v>159</v>
      </c>
      <c r="E481" s="79" t="s">
        <v>4380</v>
      </c>
      <c r="F481" s="79" t="s">
        <v>4786</v>
      </c>
      <c r="G481" s="79" t="s">
        <v>1364</v>
      </c>
      <c r="H481" s="79">
        <v>76191263</v>
      </c>
      <c r="I481" s="79" t="s">
        <v>4915</v>
      </c>
      <c r="J481" s="79" t="s">
        <v>4445</v>
      </c>
    </row>
    <row r="482" spans="1:10" ht="14.25" hidden="1" customHeight="1" x14ac:dyDescent="0.25">
      <c r="A482" s="78">
        <v>767407939</v>
      </c>
      <c r="B482" s="54" t="s">
        <v>833</v>
      </c>
      <c r="C482" s="53" t="s">
        <v>159</v>
      </c>
      <c r="D482" s="79" t="s">
        <v>159</v>
      </c>
      <c r="E482" s="79" t="s">
        <v>4460</v>
      </c>
      <c r="F482" s="79" t="s">
        <v>4786</v>
      </c>
      <c r="G482" s="79" t="s">
        <v>3228</v>
      </c>
      <c r="H482" s="79">
        <v>76740793</v>
      </c>
      <c r="I482" s="79" t="s">
        <v>4915</v>
      </c>
      <c r="J482" s="79" t="s">
        <v>4445</v>
      </c>
    </row>
    <row r="483" spans="1:10" ht="14.25" hidden="1" customHeight="1" x14ac:dyDescent="0.25">
      <c r="A483" s="78">
        <v>619807200</v>
      </c>
      <c r="B483" s="54" t="s">
        <v>272</v>
      </c>
      <c r="C483" s="53" t="s">
        <v>159</v>
      </c>
      <c r="D483" s="79" t="s">
        <v>159</v>
      </c>
      <c r="E483" s="79" t="s">
        <v>4297</v>
      </c>
      <c r="F483" s="79" t="s">
        <v>4806</v>
      </c>
      <c r="G483" s="79" t="s">
        <v>4118</v>
      </c>
      <c r="H483" s="79">
        <v>61980720</v>
      </c>
      <c r="I483" s="79" t="s">
        <v>4914</v>
      </c>
      <c r="J483" s="79" t="s">
        <v>4445</v>
      </c>
    </row>
    <row r="484" spans="1:10" ht="14.25" hidden="1" customHeight="1" x14ac:dyDescent="0.25">
      <c r="A484" s="78">
        <v>690807009</v>
      </c>
      <c r="B484" s="54" t="s">
        <v>318</v>
      </c>
      <c r="C484" s="53" t="s">
        <v>159</v>
      </c>
      <c r="D484" s="79" t="s">
        <v>159</v>
      </c>
      <c r="E484" s="79" t="s">
        <v>4326</v>
      </c>
      <c r="F484" s="79" t="s">
        <v>4795</v>
      </c>
      <c r="G484" s="79" t="s">
        <v>2345</v>
      </c>
      <c r="H484" s="79">
        <v>69080700</v>
      </c>
      <c r="I484" s="79" t="s">
        <v>4914</v>
      </c>
      <c r="J484" s="79" t="s">
        <v>4445</v>
      </c>
    </row>
    <row r="485" spans="1:10" ht="14.25" hidden="1" customHeight="1" x14ac:dyDescent="0.25">
      <c r="A485" s="78">
        <v>967051500</v>
      </c>
      <c r="B485" s="54" t="s">
        <v>608</v>
      </c>
      <c r="C485" s="53" t="s">
        <v>159</v>
      </c>
      <c r="D485" s="79" t="s">
        <v>159</v>
      </c>
      <c r="E485" s="79" t="s">
        <v>4395</v>
      </c>
      <c r="F485" s="79" t="s">
        <v>4778</v>
      </c>
      <c r="G485" s="79" t="s">
        <v>3322</v>
      </c>
      <c r="H485" s="79">
        <v>96705150</v>
      </c>
      <c r="I485" s="79" t="s">
        <v>4915</v>
      </c>
      <c r="J485" s="79" t="s">
        <v>4445</v>
      </c>
    </row>
    <row r="486" spans="1:10" ht="14.25" hidden="1" customHeight="1" x14ac:dyDescent="0.25">
      <c r="A486" s="78">
        <v>692009002</v>
      </c>
      <c r="B486" s="54" t="s">
        <v>798</v>
      </c>
      <c r="C486" s="53" t="s">
        <v>159</v>
      </c>
      <c r="D486" s="79" t="s">
        <v>159</v>
      </c>
      <c r="E486" s="79" t="s">
        <v>4279</v>
      </c>
      <c r="F486" s="79" t="s">
        <v>4798</v>
      </c>
      <c r="G486" s="79" t="s">
        <v>2174</v>
      </c>
      <c r="H486" s="79">
        <v>69200900</v>
      </c>
      <c r="I486" s="79" t="s">
        <v>4914</v>
      </c>
      <c r="J486" s="79" t="s">
        <v>4445</v>
      </c>
    </row>
    <row r="487" spans="1:10" ht="14.25" hidden="1" customHeight="1" x14ac:dyDescent="0.25">
      <c r="A487" s="78">
        <v>692628004</v>
      </c>
      <c r="B487" s="54" t="s">
        <v>2055</v>
      </c>
      <c r="C487" s="53" t="s">
        <v>159</v>
      </c>
      <c r="D487" s="79" t="s">
        <v>159</v>
      </c>
      <c r="E487" s="79" t="s">
        <v>4378</v>
      </c>
      <c r="F487" s="79" t="s">
        <v>4786</v>
      </c>
      <c r="G487" s="79" t="s">
        <v>2054</v>
      </c>
      <c r="H487" s="79">
        <v>69262800</v>
      </c>
      <c r="I487" s="79" t="s">
        <v>4914</v>
      </c>
      <c r="J487" s="79" t="s">
        <v>4445</v>
      </c>
    </row>
    <row r="488" spans="1:10" ht="14.25" hidden="1" customHeight="1" x14ac:dyDescent="0.25">
      <c r="A488" s="78">
        <v>616064096</v>
      </c>
      <c r="B488" s="54" t="s">
        <v>221</v>
      </c>
      <c r="C488" s="53" t="s">
        <v>159</v>
      </c>
      <c r="D488" s="79" t="s">
        <v>159</v>
      </c>
      <c r="E488" s="79" t="s">
        <v>4248</v>
      </c>
      <c r="F488" s="79" t="s">
        <v>4789</v>
      </c>
      <c r="G488" s="79" t="s">
        <v>4143</v>
      </c>
      <c r="H488" s="79">
        <v>61606409</v>
      </c>
      <c r="I488" s="79" t="s">
        <v>4914</v>
      </c>
      <c r="J488" s="79" t="s">
        <v>4445</v>
      </c>
    </row>
    <row r="489" spans="1:10" ht="14.25" hidden="1" customHeight="1" x14ac:dyDescent="0.25">
      <c r="A489" s="78">
        <v>616066102</v>
      </c>
      <c r="B489" s="54" t="s">
        <v>223</v>
      </c>
      <c r="C489" s="53" t="s">
        <v>159</v>
      </c>
      <c r="D489" s="79" t="s">
        <v>159</v>
      </c>
      <c r="E489" s="79" t="s">
        <v>4253</v>
      </c>
      <c r="F489" s="79" t="s">
        <v>4788</v>
      </c>
      <c r="G489" s="79" t="s">
        <v>3192</v>
      </c>
      <c r="H489" s="79">
        <v>61606610</v>
      </c>
      <c r="I489" s="79" t="s">
        <v>4914</v>
      </c>
      <c r="J489" s="79" t="s">
        <v>4445</v>
      </c>
    </row>
    <row r="490" spans="1:10" ht="14.25" hidden="1" customHeight="1" x14ac:dyDescent="0.25">
      <c r="A490" s="78">
        <v>774284893</v>
      </c>
      <c r="B490" s="54" t="s">
        <v>4429</v>
      </c>
      <c r="C490" s="53" t="s">
        <v>159</v>
      </c>
      <c r="D490" s="79" t="s">
        <v>159</v>
      </c>
      <c r="E490" s="79" t="s">
        <v>4460</v>
      </c>
      <c r="F490" s="79" t="s">
        <v>4786</v>
      </c>
      <c r="G490" s="79" t="s">
        <v>4586</v>
      </c>
      <c r="H490" s="79">
        <v>77428489</v>
      </c>
      <c r="I490" s="79" t="s">
        <v>4915</v>
      </c>
      <c r="J490" s="79" t="s">
        <v>4445</v>
      </c>
    </row>
    <row r="491" spans="1:10" ht="14.25" hidden="1" customHeight="1" x14ac:dyDescent="0.25">
      <c r="A491" s="78">
        <v>616021532</v>
      </c>
      <c r="B491" s="54" t="s">
        <v>185</v>
      </c>
      <c r="C491" s="53" t="s">
        <v>159</v>
      </c>
      <c r="D491" s="79" t="s">
        <v>159</v>
      </c>
      <c r="E491" s="79" t="s">
        <v>4209</v>
      </c>
      <c r="F491" s="79" t="s">
        <v>4795</v>
      </c>
      <c r="G491" s="79" t="s">
        <v>1385</v>
      </c>
      <c r="H491" s="79">
        <v>61602153</v>
      </c>
      <c r="I491" s="79" t="s">
        <v>4914</v>
      </c>
      <c r="J491" s="79" t="s">
        <v>4445</v>
      </c>
    </row>
    <row r="492" spans="1:10" ht="14.25" hidden="1" customHeight="1" x14ac:dyDescent="0.25">
      <c r="A492" s="78">
        <v>969865505</v>
      </c>
      <c r="B492" s="54" t="s">
        <v>874</v>
      </c>
      <c r="C492" s="53" t="s">
        <v>159</v>
      </c>
      <c r="D492" s="79" t="s">
        <v>159</v>
      </c>
      <c r="E492" s="79" t="s">
        <v>4168</v>
      </c>
      <c r="F492" s="79" t="s">
        <v>4778</v>
      </c>
      <c r="G492" s="79" t="s">
        <v>3969</v>
      </c>
      <c r="H492" s="79">
        <v>96986550</v>
      </c>
      <c r="I492" s="79" t="s">
        <v>4915</v>
      </c>
      <c r="J492" s="79" t="s">
        <v>4445</v>
      </c>
    </row>
    <row r="493" spans="1:10" ht="14.25" hidden="1" customHeight="1" x14ac:dyDescent="0.25">
      <c r="A493" s="78">
        <v>774904492</v>
      </c>
      <c r="B493" s="54" t="s">
        <v>2693</v>
      </c>
      <c r="C493" s="53" t="s">
        <v>159</v>
      </c>
      <c r="D493" s="79" t="s">
        <v>159</v>
      </c>
      <c r="E493" s="79" t="s">
        <v>4391</v>
      </c>
      <c r="F493" s="79" t="s">
        <v>4778</v>
      </c>
      <c r="G493" s="79" t="s">
        <v>2692</v>
      </c>
      <c r="H493" s="79">
        <v>77490449</v>
      </c>
      <c r="I493" s="79" t="s">
        <v>4915</v>
      </c>
      <c r="J493" s="79" t="s">
        <v>4445</v>
      </c>
    </row>
    <row r="494" spans="1:10" ht="14.25" hidden="1" customHeight="1" x14ac:dyDescent="0.25">
      <c r="A494" s="78">
        <v>616022733</v>
      </c>
      <c r="B494" s="54" t="s">
        <v>30</v>
      </c>
      <c r="C494" s="53" t="s">
        <v>4758</v>
      </c>
      <c r="D494" s="79" t="s">
        <v>25</v>
      </c>
      <c r="E494" s="79" t="s">
        <v>4229</v>
      </c>
      <c r="F494" s="79" t="s">
        <v>4784</v>
      </c>
      <c r="G494" s="79" t="s">
        <v>2232</v>
      </c>
      <c r="H494" s="79">
        <v>61602273</v>
      </c>
      <c r="I494" s="79" t="s">
        <v>4914</v>
      </c>
      <c r="J494" s="79" t="s">
        <v>4454</v>
      </c>
    </row>
    <row r="495" spans="1:10" ht="14.25" hidden="1" customHeight="1" x14ac:dyDescent="0.25">
      <c r="A495" s="78">
        <v>690912007</v>
      </c>
      <c r="B495" s="54" t="s">
        <v>327</v>
      </c>
      <c r="C495" s="53" t="s">
        <v>159</v>
      </c>
      <c r="D495" s="79" t="s">
        <v>159</v>
      </c>
      <c r="E495" s="79" t="s">
        <v>4209</v>
      </c>
      <c r="F495" s="79" t="s">
        <v>4795</v>
      </c>
      <c r="G495" s="79" t="s">
        <v>1221</v>
      </c>
      <c r="H495" s="79">
        <v>69091200</v>
      </c>
      <c r="I495" s="79" t="s">
        <v>4914</v>
      </c>
      <c r="J495" s="79" t="s">
        <v>4445</v>
      </c>
    </row>
    <row r="496" spans="1:10" ht="14.25" hidden="1" customHeight="1" x14ac:dyDescent="0.25">
      <c r="A496" s="78">
        <v>691204006</v>
      </c>
      <c r="B496" s="54" t="s">
        <v>341</v>
      </c>
      <c r="C496" s="53" t="s">
        <v>159</v>
      </c>
      <c r="D496" s="79" t="s">
        <v>159</v>
      </c>
      <c r="E496" s="79" t="s">
        <v>4341</v>
      </c>
      <c r="F496" s="79" t="s">
        <v>4791</v>
      </c>
      <c r="G496" s="79" t="s">
        <v>3387</v>
      </c>
      <c r="H496" s="79">
        <v>69120400</v>
      </c>
      <c r="I496" s="79" t="s">
        <v>4914</v>
      </c>
      <c r="J496" s="79" t="s">
        <v>4445</v>
      </c>
    </row>
    <row r="497" spans="1:10" ht="14.25" hidden="1" customHeight="1" x14ac:dyDescent="0.25">
      <c r="A497" s="78">
        <v>763713024</v>
      </c>
      <c r="B497" s="54" t="s">
        <v>4818</v>
      </c>
      <c r="C497" s="53" t="s">
        <v>159</v>
      </c>
      <c r="D497" s="79" t="s">
        <v>159</v>
      </c>
      <c r="E497" s="79" t="s">
        <v>4510</v>
      </c>
      <c r="F497" s="79" t="s">
        <v>4778</v>
      </c>
      <c r="G497" s="79" t="s">
        <v>2584</v>
      </c>
      <c r="H497" s="79">
        <v>76371302</v>
      </c>
      <c r="I497" s="79" t="s">
        <v>4915</v>
      </c>
      <c r="J497" s="79" t="s">
        <v>4445</v>
      </c>
    </row>
    <row r="498" spans="1:10" ht="14.25" hidden="1" customHeight="1" x14ac:dyDescent="0.25">
      <c r="A498" s="78">
        <v>605055230</v>
      </c>
      <c r="B498" s="54" t="s">
        <v>1018</v>
      </c>
      <c r="C498" s="53" t="s">
        <v>159</v>
      </c>
      <c r="D498" s="79" t="s">
        <v>159</v>
      </c>
      <c r="E498" s="79" t="s">
        <v>4170</v>
      </c>
      <c r="F498" s="79" t="s">
        <v>4798</v>
      </c>
      <c r="G498" s="79" t="s">
        <v>4036</v>
      </c>
      <c r="H498" s="79">
        <v>60505523</v>
      </c>
      <c r="I498" s="79" t="s">
        <v>4915</v>
      </c>
      <c r="J498" s="79" t="s">
        <v>4445</v>
      </c>
    </row>
    <row r="499" spans="1:10" ht="14.25" hidden="1" customHeight="1" x14ac:dyDescent="0.25">
      <c r="A499" s="78">
        <v>760534870</v>
      </c>
      <c r="B499" s="54" t="s">
        <v>808</v>
      </c>
      <c r="C499" s="53" t="s">
        <v>159</v>
      </c>
      <c r="D499" s="79" t="s">
        <v>159</v>
      </c>
      <c r="E499" s="79" t="s">
        <v>4391</v>
      </c>
      <c r="F499" s="79" t="s">
        <v>4778</v>
      </c>
      <c r="G499" s="79" t="s">
        <v>2471</v>
      </c>
      <c r="H499" s="79">
        <v>76053487</v>
      </c>
      <c r="I499" s="79" t="s">
        <v>4915</v>
      </c>
      <c r="J499" s="79" t="s">
        <v>4445</v>
      </c>
    </row>
    <row r="500" spans="1:10" ht="14.25" hidden="1" customHeight="1" x14ac:dyDescent="0.25">
      <c r="A500" s="78">
        <v>778744848</v>
      </c>
      <c r="B500" s="54" t="s">
        <v>1095</v>
      </c>
      <c r="C500" s="53" t="s">
        <v>159</v>
      </c>
      <c r="D500" s="79" t="s">
        <v>159</v>
      </c>
      <c r="E500" s="79" t="s">
        <v>4380</v>
      </c>
      <c r="F500" s="79" t="s">
        <v>4786</v>
      </c>
      <c r="G500" s="79" t="s">
        <v>3573</v>
      </c>
      <c r="H500" s="79">
        <v>77874484</v>
      </c>
      <c r="I500" s="79" t="s">
        <v>4915</v>
      </c>
      <c r="J500" s="79" t="s">
        <v>4445</v>
      </c>
    </row>
    <row r="501" spans="1:10" ht="14.25" hidden="1" customHeight="1" x14ac:dyDescent="0.25">
      <c r="A501" s="78">
        <v>690808005</v>
      </c>
      <c r="B501" s="54" t="s">
        <v>902</v>
      </c>
      <c r="C501" s="53" t="s">
        <v>159</v>
      </c>
      <c r="D501" s="79" t="s">
        <v>159</v>
      </c>
      <c r="E501" s="79" t="s">
        <v>4327</v>
      </c>
      <c r="F501" s="79" t="s">
        <v>4795</v>
      </c>
      <c r="G501" s="79" t="s">
        <v>1429</v>
      </c>
      <c r="H501" s="79">
        <v>69080800</v>
      </c>
      <c r="I501" s="79" t="s">
        <v>4914</v>
      </c>
      <c r="J501" s="79" t="s">
        <v>4445</v>
      </c>
    </row>
    <row r="502" spans="1:10" ht="14.25" hidden="1" customHeight="1" x14ac:dyDescent="0.25">
      <c r="A502" s="78">
        <v>691804003</v>
      </c>
      <c r="B502" s="54" t="s">
        <v>977</v>
      </c>
      <c r="C502" s="53" t="s">
        <v>159</v>
      </c>
      <c r="D502" s="79" t="s">
        <v>159</v>
      </c>
      <c r="E502" s="79" t="s">
        <v>4358</v>
      </c>
      <c r="F502" s="79" t="s">
        <v>4779</v>
      </c>
      <c r="G502" s="79" t="s">
        <v>4041</v>
      </c>
      <c r="H502" s="79">
        <v>69180400</v>
      </c>
      <c r="I502" s="79" t="s">
        <v>4914</v>
      </c>
      <c r="J502" s="79" t="s">
        <v>4445</v>
      </c>
    </row>
    <row r="503" spans="1:10" ht="14.25" hidden="1" customHeight="1" x14ac:dyDescent="0.25">
      <c r="A503" s="78">
        <v>995356201</v>
      </c>
      <c r="B503" s="54" t="s">
        <v>616</v>
      </c>
      <c r="C503" s="53" t="s">
        <v>159</v>
      </c>
      <c r="D503" s="79" t="s">
        <v>159</v>
      </c>
      <c r="E503" s="79" t="s">
        <v>4460</v>
      </c>
      <c r="F503" s="79" t="s">
        <v>4786</v>
      </c>
      <c r="G503" s="79" t="s">
        <v>3974</v>
      </c>
      <c r="H503" s="79">
        <v>99535620</v>
      </c>
      <c r="I503" s="79" t="s">
        <v>4915</v>
      </c>
      <c r="J503" s="79" t="s">
        <v>4445</v>
      </c>
    </row>
    <row r="504" spans="1:10" ht="14.25" hidden="1" customHeight="1" x14ac:dyDescent="0.25">
      <c r="A504" s="78">
        <v>690903008</v>
      </c>
      <c r="B504" s="54" t="s">
        <v>322</v>
      </c>
      <c r="C504" s="53" t="s">
        <v>159</v>
      </c>
      <c r="D504" s="79" t="s">
        <v>159</v>
      </c>
      <c r="E504" s="79" t="s">
        <v>4204</v>
      </c>
      <c r="F504" s="79" t="s">
        <v>4795</v>
      </c>
      <c r="G504" s="79" t="s">
        <v>1765</v>
      </c>
      <c r="H504" s="79">
        <v>69090300</v>
      </c>
      <c r="I504" s="79" t="s">
        <v>4914</v>
      </c>
      <c r="J504" s="79" t="s">
        <v>4445</v>
      </c>
    </row>
    <row r="505" spans="1:10" ht="14.25" hidden="1" customHeight="1" x14ac:dyDescent="0.25">
      <c r="A505" s="78">
        <v>690614006</v>
      </c>
      <c r="B505" s="54" t="s">
        <v>301</v>
      </c>
      <c r="C505" s="53" t="s">
        <v>159</v>
      </c>
      <c r="D505" s="79" t="s">
        <v>159</v>
      </c>
      <c r="E505" s="79" t="s">
        <v>4193</v>
      </c>
      <c r="F505" s="79" t="s">
        <v>4788</v>
      </c>
      <c r="G505" s="79" t="s">
        <v>1687</v>
      </c>
      <c r="H505" s="79">
        <v>69061400</v>
      </c>
      <c r="I505" s="79" t="s">
        <v>4914</v>
      </c>
      <c r="J505" s="79" t="s">
        <v>4445</v>
      </c>
    </row>
    <row r="506" spans="1:10" ht="14.25" hidden="1" customHeight="1" x14ac:dyDescent="0.25">
      <c r="A506" s="78">
        <v>690405008</v>
      </c>
      <c r="B506" s="54" t="s">
        <v>1031</v>
      </c>
      <c r="C506" s="53" t="s">
        <v>159</v>
      </c>
      <c r="D506" s="79" t="s">
        <v>159</v>
      </c>
      <c r="E506" s="79" t="s">
        <v>4244</v>
      </c>
      <c r="F506" s="79" t="s">
        <v>4789</v>
      </c>
      <c r="G506" s="79" t="s">
        <v>1625</v>
      </c>
      <c r="H506" s="79">
        <v>69040500</v>
      </c>
      <c r="I506" s="79" t="s">
        <v>4914</v>
      </c>
      <c r="J506" s="79" t="s">
        <v>4445</v>
      </c>
    </row>
    <row r="507" spans="1:10" ht="14.25" hidden="1" customHeight="1" x14ac:dyDescent="0.25">
      <c r="A507" s="78">
        <v>690612003</v>
      </c>
      <c r="B507" s="54" t="s">
        <v>300</v>
      </c>
      <c r="C507" s="53" t="s">
        <v>159</v>
      </c>
      <c r="D507" s="79" t="s">
        <v>159</v>
      </c>
      <c r="E507" s="79" t="s">
        <v>4526</v>
      </c>
      <c r="F507" s="79" t="s">
        <v>4788</v>
      </c>
      <c r="G507" s="79" t="s">
        <v>1685</v>
      </c>
      <c r="H507" s="79">
        <v>69061200</v>
      </c>
      <c r="I507" s="79" t="s">
        <v>4914</v>
      </c>
      <c r="J507" s="79" t="s">
        <v>4445</v>
      </c>
    </row>
    <row r="508" spans="1:10" ht="14.25" hidden="1" customHeight="1" x14ac:dyDescent="0.25">
      <c r="A508" s="78">
        <v>690736004</v>
      </c>
      <c r="B508" s="54" t="s">
        <v>312</v>
      </c>
      <c r="C508" s="53" t="s">
        <v>159</v>
      </c>
      <c r="D508" s="79" t="s">
        <v>159</v>
      </c>
      <c r="E508" s="79" t="s">
        <v>4320</v>
      </c>
      <c r="F508" s="79" t="s">
        <v>4788</v>
      </c>
      <c r="G508" s="79" t="s">
        <v>1727</v>
      </c>
      <c r="H508" s="79">
        <v>69073600</v>
      </c>
      <c r="I508" s="79" t="s">
        <v>4914</v>
      </c>
      <c r="J508" s="79" t="s">
        <v>4445</v>
      </c>
    </row>
    <row r="509" spans="1:10" ht="14.25" hidden="1" customHeight="1" x14ac:dyDescent="0.25">
      <c r="A509" s="78">
        <v>616068008</v>
      </c>
      <c r="B509" s="54" t="s">
        <v>224</v>
      </c>
      <c r="C509" s="53" t="s">
        <v>4790</v>
      </c>
      <c r="D509" s="79" t="s">
        <v>4790</v>
      </c>
      <c r="E509" s="79" t="s">
        <v>4178</v>
      </c>
      <c r="F509" s="79" t="s">
        <v>4795</v>
      </c>
      <c r="G509" s="79" t="s">
        <v>1335</v>
      </c>
      <c r="H509" s="79">
        <v>61606800</v>
      </c>
      <c r="I509" s="79" t="s">
        <v>4914</v>
      </c>
      <c r="J509" s="79" t="s">
        <v>4445</v>
      </c>
    </row>
    <row r="510" spans="1:10" ht="14.25" hidden="1" customHeight="1" x14ac:dyDescent="0.25">
      <c r="A510" s="78" t="s">
        <v>946</v>
      </c>
      <c r="B510" s="54" t="s">
        <v>947</v>
      </c>
      <c r="C510" s="53" t="s">
        <v>159</v>
      </c>
      <c r="D510" s="79" t="s">
        <v>159</v>
      </c>
      <c r="E510" s="79" t="s">
        <v>4287</v>
      </c>
      <c r="F510" s="79" t="s">
        <v>4778</v>
      </c>
      <c r="G510" s="79" t="s">
        <v>1740</v>
      </c>
      <c r="H510" s="79">
        <v>77436921</v>
      </c>
      <c r="I510" s="79" t="s">
        <v>4915</v>
      </c>
      <c r="J510" s="79" t="s">
        <v>4445</v>
      </c>
    </row>
    <row r="511" spans="1:10" ht="14.25" hidden="1" customHeight="1" x14ac:dyDescent="0.25">
      <c r="A511" s="78">
        <v>769915311</v>
      </c>
      <c r="B511" s="54" t="s">
        <v>516</v>
      </c>
      <c r="C511" s="53" t="s">
        <v>159</v>
      </c>
      <c r="D511" s="79" t="s">
        <v>159</v>
      </c>
      <c r="E511" s="79" t="s">
        <v>4218</v>
      </c>
      <c r="F511" s="79" t="s">
        <v>4779</v>
      </c>
      <c r="G511" s="79" t="s">
        <v>3714</v>
      </c>
      <c r="H511" s="79">
        <v>76991531</v>
      </c>
      <c r="I511" s="79" t="s">
        <v>4915</v>
      </c>
      <c r="J511" s="79" t="s">
        <v>4445</v>
      </c>
    </row>
    <row r="512" spans="1:10" ht="14.25" hidden="1" customHeight="1" x14ac:dyDescent="0.25">
      <c r="A512" s="78">
        <v>692103025</v>
      </c>
      <c r="B512" s="54" t="s">
        <v>382</v>
      </c>
      <c r="C512" s="53" t="s">
        <v>159</v>
      </c>
      <c r="D512" s="79" t="s">
        <v>159</v>
      </c>
      <c r="E512" s="79" t="s">
        <v>4482</v>
      </c>
      <c r="F512" s="79" t="s">
        <v>4784</v>
      </c>
      <c r="G512" s="79" t="s">
        <v>2011</v>
      </c>
      <c r="H512" s="79">
        <v>69210302</v>
      </c>
      <c r="I512" s="79" t="s">
        <v>4914</v>
      </c>
      <c r="J512" s="79" t="s">
        <v>4445</v>
      </c>
    </row>
    <row r="513" spans="1:10" ht="14.25" hidden="1" customHeight="1" x14ac:dyDescent="0.25">
      <c r="A513" s="78">
        <v>764520084</v>
      </c>
      <c r="B513" s="54" t="s">
        <v>1094</v>
      </c>
      <c r="C513" s="53" t="s">
        <v>159</v>
      </c>
      <c r="D513" s="79" t="s">
        <v>159</v>
      </c>
      <c r="E513" s="79" t="s">
        <v>4456</v>
      </c>
      <c r="F513" s="79" t="s">
        <v>4778</v>
      </c>
      <c r="G513" s="79" t="s">
        <v>3794</v>
      </c>
      <c r="H513" s="79">
        <v>76452008</v>
      </c>
      <c r="I513" s="79" t="s">
        <v>4915</v>
      </c>
      <c r="J513" s="79" t="s">
        <v>4445</v>
      </c>
    </row>
    <row r="514" spans="1:10" ht="14.25" hidden="1" customHeight="1" x14ac:dyDescent="0.25">
      <c r="A514" s="78">
        <v>766666744</v>
      </c>
      <c r="B514" s="54" t="s">
        <v>498</v>
      </c>
      <c r="C514" s="53" t="s">
        <v>159</v>
      </c>
      <c r="D514" s="79" t="s">
        <v>159</v>
      </c>
      <c r="E514" s="79" t="s">
        <v>4391</v>
      </c>
      <c r="F514" s="79" t="s">
        <v>4778</v>
      </c>
      <c r="G514" s="79" t="s">
        <v>3660</v>
      </c>
      <c r="H514" s="79">
        <v>76666674</v>
      </c>
      <c r="I514" s="79" t="s">
        <v>4915</v>
      </c>
      <c r="J514" s="79" t="s">
        <v>4445</v>
      </c>
    </row>
    <row r="515" spans="1:10" ht="14.25" hidden="1" customHeight="1" x14ac:dyDescent="0.25">
      <c r="A515" s="78" t="s">
        <v>147</v>
      </c>
      <c r="B515" s="54" t="s">
        <v>760</v>
      </c>
      <c r="C515" s="53" t="s">
        <v>159</v>
      </c>
      <c r="D515" s="79" t="s">
        <v>159</v>
      </c>
      <c r="E515" s="79" t="s">
        <v>4313</v>
      </c>
      <c r="F515" s="79" t="s">
        <v>4788</v>
      </c>
      <c r="G515" s="79" t="s">
        <v>3091</v>
      </c>
      <c r="H515" s="79">
        <v>61606603</v>
      </c>
      <c r="I515" s="79" t="s">
        <v>4914</v>
      </c>
      <c r="J515" s="79" t="s">
        <v>4445</v>
      </c>
    </row>
    <row r="516" spans="1:10" ht="14.25" hidden="1" customHeight="1" x14ac:dyDescent="0.25">
      <c r="A516" s="78">
        <v>762051486</v>
      </c>
      <c r="B516" s="54" t="s">
        <v>469</v>
      </c>
      <c r="C516" s="53" t="s">
        <v>159</v>
      </c>
      <c r="D516" s="79" t="s">
        <v>159</v>
      </c>
      <c r="E516" s="79" t="s">
        <v>4528</v>
      </c>
      <c r="F516" s="79" t="s">
        <v>4778</v>
      </c>
      <c r="G516" s="79" t="s">
        <v>2520</v>
      </c>
      <c r="H516" s="79">
        <v>76205148</v>
      </c>
      <c r="I516" s="79" t="s">
        <v>4915</v>
      </c>
      <c r="J516" s="79" t="s">
        <v>4445</v>
      </c>
    </row>
    <row r="517" spans="1:10" ht="14.25" hidden="1" customHeight="1" x14ac:dyDescent="0.25">
      <c r="A517" s="78">
        <v>616022458</v>
      </c>
      <c r="B517" s="54" t="s">
        <v>194</v>
      </c>
      <c r="C517" s="53" t="s">
        <v>159</v>
      </c>
      <c r="D517" s="79" t="s">
        <v>159</v>
      </c>
      <c r="E517" s="79" t="s">
        <v>4221</v>
      </c>
      <c r="F517" s="79" t="s">
        <v>4779</v>
      </c>
      <c r="G517" s="79" t="s">
        <v>2313</v>
      </c>
      <c r="H517" s="79">
        <v>61602245</v>
      </c>
      <c r="I517" s="79" t="s">
        <v>4914</v>
      </c>
      <c r="J517" s="79" t="s">
        <v>4445</v>
      </c>
    </row>
    <row r="518" spans="1:10" ht="14.25" hidden="1" customHeight="1" x14ac:dyDescent="0.25">
      <c r="A518" s="78">
        <v>690104008</v>
      </c>
      <c r="B518" s="54" t="s">
        <v>982</v>
      </c>
      <c r="C518" s="53" t="s">
        <v>159</v>
      </c>
      <c r="D518" s="79" t="s">
        <v>159</v>
      </c>
      <c r="E518" s="79" t="s">
        <v>4403</v>
      </c>
      <c r="F518" s="79" t="s">
        <v>4802</v>
      </c>
      <c r="G518" s="79" t="s">
        <v>1819</v>
      </c>
      <c r="H518" s="79">
        <v>69010400</v>
      </c>
      <c r="I518" s="79" t="s">
        <v>4914</v>
      </c>
      <c r="J518" s="79" t="s">
        <v>4445</v>
      </c>
    </row>
    <row r="519" spans="1:10" ht="14.25" hidden="1" customHeight="1" x14ac:dyDescent="0.25">
      <c r="A519" s="78">
        <v>690401002</v>
      </c>
      <c r="B519" s="54" t="s">
        <v>1621</v>
      </c>
      <c r="C519" s="53" t="s">
        <v>159</v>
      </c>
      <c r="D519" s="79" t="s">
        <v>159</v>
      </c>
      <c r="E519" s="79" t="s">
        <v>4171</v>
      </c>
      <c r="F519" s="79" t="s">
        <v>4789</v>
      </c>
      <c r="G519" s="79" t="s">
        <v>1620</v>
      </c>
      <c r="H519" s="79">
        <v>69040100</v>
      </c>
      <c r="I519" s="79" t="s">
        <v>4914</v>
      </c>
      <c r="J519" s="79" t="s">
        <v>4445</v>
      </c>
    </row>
    <row r="520" spans="1:10" ht="14.25" hidden="1" customHeight="1" x14ac:dyDescent="0.25">
      <c r="A520" s="78">
        <v>766878997</v>
      </c>
      <c r="B520" s="54" t="s">
        <v>1003</v>
      </c>
      <c r="C520" s="53" t="s">
        <v>159</v>
      </c>
      <c r="D520" s="79" t="s">
        <v>159</v>
      </c>
      <c r="E520" s="79" t="s">
        <v>4490</v>
      </c>
      <c r="F520" s="79" t="s">
        <v>4788</v>
      </c>
      <c r="G520" s="79" t="s">
        <v>2662</v>
      </c>
      <c r="H520" s="79">
        <v>76687899</v>
      </c>
      <c r="I520" s="79" t="s">
        <v>4915</v>
      </c>
      <c r="J520" s="79" t="s">
        <v>4445</v>
      </c>
    </row>
    <row r="521" spans="1:10" ht="14.25" hidden="1" customHeight="1" x14ac:dyDescent="0.25">
      <c r="A521" s="78">
        <v>760649511</v>
      </c>
      <c r="B521" s="54" t="s">
        <v>809</v>
      </c>
      <c r="C521" s="53" t="s">
        <v>159</v>
      </c>
      <c r="D521" s="79" t="s">
        <v>159</v>
      </c>
      <c r="E521" s="79" t="s">
        <v>4394</v>
      </c>
      <c r="F521" s="79" t="s">
        <v>4778</v>
      </c>
      <c r="G521" s="79" t="s">
        <v>2479</v>
      </c>
      <c r="H521" s="79">
        <v>76064951</v>
      </c>
      <c r="I521" s="79" t="s">
        <v>4915</v>
      </c>
      <c r="J521" s="79" t="s">
        <v>4445</v>
      </c>
    </row>
    <row r="522" spans="1:10" ht="14.25" hidden="1" customHeight="1" x14ac:dyDescent="0.25">
      <c r="A522" s="78">
        <v>691007006</v>
      </c>
      <c r="B522" s="54" t="s">
        <v>967</v>
      </c>
      <c r="C522" s="53" t="s">
        <v>159</v>
      </c>
      <c r="D522" s="79" t="s">
        <v>159</v>
      </c>
      <c r="E522" s="79" t="s">
        <v>4538</v>
      </c>
      <c r="F522" s="79" t="s">
        <v>4791</v>
      </c>
      <c r="G522" s="79" t="s">
        <v>4536</v>
      </c>
      <c r="H522" s="79">
        <v>69100700</v>
      </c>
      <c r="I522" s="79" t="s">
        <v>4914</v>
      </c>
      <c r="J522" s="79" t="s">
        <v>4445</v>
      </c>
    </row>
    <row r="523" spans="1:10" ht="14.25" hidden="1" customHeight="1" x14ac:dyDescent="0.25">
      <c r="A523" s="78" t="s">
        <v>4425</v>
      </c>
      <c r="B523" s="54" t="s">
        <v>2453</v>
      </c>
      <c r="C523" s="53" t="s">
        <v>159</v>
      </c>
      <c r="D523" s="79" t="s">
        <v>159</v>
      </c>
      <c r="E523" s="79" t="s">
        <v>4460</v>
      </c>
      <c r="F523" s="79" t="s">
        <v>4786</v>
      </c>
      <c r="G523" s="79" t="s">
        <v>2452</v>
      </c>
      <c r="H523" s="79">
        <v>76057158</v>
      </c>
      <c r="I523" s="79" t="s">
        <v>4915</v>
      </c>
      <c r="J523" s="79" t="s">
        <v>4445</v>
      </c>
    </row>
    <row r="524" spans="1:10" ht="14.25" hidden="1" customHeight="1" x14ac:dyDescent="0.25">
      <c r="A524" s="78">
        <v>616020420</v>
      </c>
      <c r="B524" s="54" t="s">
        <v>764</v>
      </c>
      <c r="C524" s="53" t="s">
        <v>159</v>
      </c>
      <c r="D524" s="79" t="s">
        <v>159</v>
      </c>
      <c r="E524" s="79" t="s">
        <v>4819</v>
      </c>
      <c r="F524" s="79" t="s">
        <v>4788</v>
      </c>
      <c r="G524" s="79" t="s">
        <v>1375</v>
      </c>
      <c r="H524" s="79">
        <v>61602042</v>
      </c>
      <c r="I524" s="79" t="s">
        <v>4914</v>
      </c>
      <c r="J524" s="79" t="s">
        <v>4445</v>
      </c>
    </row>
    <row r="525" spans="1:10" ht="14.25" hidden="1" customHeight="1" x14ac:dyDescent="0.25">
      <c r="A525" s="78">
        <v>773845166</v>
      </c>
      <c r="B525" s="54" t="s">
        <v>546</v>
      </c>
      <c r="C525" s="53" t="s">
        <v>159</v>
      </c>
      <c r="D525" s="79" t="s">
        <v>159</v>
      </c>
      <c r="E525" s="79" t="s">
        <v>4465</v>
      </c>
      <c r="F525" s="79" t="s">
        <v>4778</v>
      </c>
      <c r="G525" s="79" t="s">
        <v>2975</v>
      </c>
      <c r="H525" s="79">
        <v>77384516</v>
      </c>
      <c r="I525" s="79" t="s">
        <v>4915</v>
      </c>
      <c r="J525" s="79" t="s">
        <v>4445</v>
      </c>
    </row>
    <row r="526" spans="1:10" ht="14.25" hidden="1" customHeight="1" x14ac:dyDescent="0.25">
      <c r="A526" s="78">
        <v>616022628</v>
      </c>
      <c r="B526" s="54" t="s">
        <v>197</v>
      </c>
      <c r="C526" s="53" t="s">
        <v>159</v>
      </c>
      <c r="D526" s="79" t="s">
        <v>159</v>
      </c>
      <c r="E526" s="79" t="s">
        <v>4482</v>
      </c>
      <c r="F526" s="79" t="s">
        <v>4784</v>
      </c>
      <c r="G526" s="79" t="s">
        <v>1869</v>
      </c>
      <c r="H526" s="79">
        <v>61602262</v>
      </c>
      <c r="I526" s="79" t="s">
        <v>4914</v>
      </c>
      <c r="J526" s="79" t="s">
        <v>4445</v>
      </c>
    </row>
    <row r="527" spans="1:10" ht="14.25" hidden="1" customHeight="1" x14ac:dyDescent="0.25">
      <c r="A527" s="78">
        <v>691807002</v>
      </c>
      <c r="B527" s="54" t="s">
        <v>913</v>
      </c>
      <c r="C527" s="53" t="s">
        <v>159</v>
      </c>
      <c r="D527" s="79" t="s">
        <v>159</v>
      </c>
      <c r="E527" s="79" t="s">
        <v>4477</v>
      </c>
      <c r="F527" s="79" t="s">
        <v>4779</v>
      </c>
      <c r="G527" s="79" t="s">
        <v>1914</v>
      </c>
      <c r="H527" s="79">
        <v>69180700</v>
      </c>
      <c r="I527" s="79" t="s">
        <v>4914</v>
      </c>
      <c r="J527" s="79" t="s">
        <v>4445</v>
      </c>
    </row>
    <row r="528" spans="1:10" ht="14.25" hidden="1" customHeight="1" x14ac:dyDescent="0.25">
      <c r="A528" s="78">
        <v>776326887</v>
      </c>
      <c r="B528" s="54" t="s">
        <v>1088</v>
      </c>
      <c r="C528" s="53" t="s">
        <v>159</v>
      </c>
      <c r="D528" s="79" t="s">
        <v>159</v>
      </c>
      <c r="E528" s="79" t="s">
        <v>4495</v>
      </c>
      <c r="F528" s="79" t="s">
        <v>4792</v>
      </c>
      <c r="G528" s="79" t="s">
        <v>3075</v>
      </c>
      <c r="H528" s="79">
        <v>77632688</v>
      </c>
      <c r="I528" s="79" t="s">
        <v>4915</v>
      </c>
      <c r="J528" s="79" t="s">
        <v>4445</v>
      </c>
    </row>
    <row r="529" spans="1:10" ht="14.25" hidden="1" customHeight="1" x14ac:dyDescent="0.25">
      <c r="A529" s="78">
        <v>692536002</v>
      </c>
      <c r="B529" s="54" t="s">
        <v>957</v>
      </c>
      <c r="C529" s="53" t="s">
        <v>159</v>
      </c>
      <c r="D529" s="79" t="s">
        <v>159</v>
      </c>
      <c r="E529" s="79" t="s">
        <v>4549</v>
      </c>
      <c r="F529" s="79" t="s">
        <v>4796</v>
      </c>
      <c r="G529" s="79" t="s">
        <v>2017</v>
      </c>
      <c r="H529" s="79">
        <v>69253600</v>
      </c>
      <c r="I529" s="79" t="s">
        <v>4914</v>
      </c>
      <c r="J529" s="79" t="s">
        <v>4445</v>
      </c>
    </row>
    <row r="530" spans="1:10" ht="14.25" hidden="1" customHeight="1" x14ac:dyDescent="0.25">
      <c r="A530" s="78">
        <v>691502007</v>
      </c>
      <c r="B530" s="54" t="s">
        <v>353</v>
      </c>
      <c r="C530" s="53" t="s">
        <v>159</v>
      </c>
      <c r="D530" s="79" t="s">
        <v>159</v>
      </c>
      <c r="E530" s="79" t="s">
        <v>4210</v>
      </c>
      <c r="F530" s="79" t="s">
        <v>4792</v>
      </c>
      <c r="G530" s="79" t="s">
        <v>1859</v>
      </c>
      <c r="H530" s="79">
        <v>69150200</v>
      </c>
      <c r="I530" s="79" t="s">
        <v>4914</v>
      </c>
      <c r="J530" s="79" t="s">
        <v>4445</v>
      </c>
    </row>
    <row r="531" spans="1:10" ht="14.25" hidden="1" customHeight="1" x14ac:dyDescent="0.25">
      <c r="A531" s="78">
        <v>779033414</v>
      </c>
      <c r="B531" s="54" t="s">
        <v>952</v>
      </c>
      <c r="C531" s="53" t="s">
        <v>159</v>
      </c>
      <c r="D531" s="79" t="s">
        <v>159</v>
      </c>
      <c r="E531" s="79" t="s">
        <v>4465</v>
      </c>
      <c r="F531" s="79" t="s">
        <v>4778</v>
      </c>
      <c r="G531" s="79" t="s">
        <v>3147</v>
      </c>
      <c r="H531" s="79">
        <v>77903341</v>
      </c>
      <c r="I531" s="79" t="s">
        <v>4915</v>
      </c>
      <c r="J531" s="79" t="s">
        <v>4445</v>
      </c>
    </row>
    <row r="532" spans="1:10" ht="14.25" hidden="1" customHeight="1" x14ac:dyDescent="0.25">
      <c r="A532" s="78">
        <v>761825534</v>
      </c>
      <c r="B532" s="54" t="s">
        <v>466</v>
      </c>
      <c r="C532" s="53" t="s">
        <v>159</v>
      </c>
      <c r="D532" s="79" t="s">
        <v>159</v>
      </c>
      <c r="E532" s="79" t="s">
        <v>4391</v>
      </c>
      <c r="F532" s="79" t="s">
        <v>4778</v>
      </c>
      <c r="G532" s="79" t="s">
        <v>1436</v>
      </c>
      <c r="H532" s="79">
        <v>76182553</v>
      </c>
      <c r="I532" s="79" t="s">
        <v>4915</v>
      </c>
      <c r="J532" s="79" t="s">
        <v>4445</v>
      </c>
    </row>
    <row r="533" spans="1:10" ht="14.25" hidden="1" customHeight="1" x14ac:dyDescent="0.25">
      <c r="A533" s="78">
        <v>772235445</v>
      </c>
      <c r="B533" s="54" t="s">
        <v>854</v>
      </c>
      <c r="C533" s="53" t="s">
        <v>159</v>
      </c>
      <c r="D533" s="79" t="s">
        <v>159</v>
      </c>
      <c r="E533" s="79" t="s">
        <v>4183</v>
      </c>
      <c r="F533" s="79" t="s">
        <v>4786</v>
      </c>
      <c r="G533" s="79" t="s">
        <v>1359</v>
      </c>
      <c r="H533" s="79">
        <v>77223544</v>
      </c>
      <c r="I533" s="79" t="s">
        <v>4915</v>
      </c>
      <c r="J533" s="79" t="s">
        <v>4445</v>
      </c>
    </row>
    <row r="534" spans="1:10" ht="14.25" hidden="1" customHeight="1" x14ac:dyDescent="0.25">
      <c r="A534" s="78">
        <v>690730006</v>
      </c>
      <c r="B534" s="54" t="s">
        <v>310</v>
      </c>
      <c r="C534" s="53" t="s">
        <v>159</v>
      </c>
      <c r="D534" s="79" t="s">
        <v>159</v>
      </c>
      <c r="E534" s="79" t="s">
        <v>4317</v>
      </c>
      <c r="F534" s="79" t="s">
        <v>4778</v>
      </c>
      <c r="G534" s="79" t="s">
        <v>1594</v>
      </c>
      <c r="H534" s="79">
        <v>69073000</v>
      </c>
      <c r="I534" s="79" t="s">
        <v>4914</v>
      </c>
      <c r="J534" s="79" t="s">
        <v>4445</v>
      </c>
    </row>
    <row r="535" spans="1:10" ht="14.25" hidden="1" customHeight="1" x14ac:dyDescent="0.25">
      <c r="A535" s="78">
        <v>616064088</v>
      </c>
      <c r="B535" s="54" t="s">
        <v>220</v>
      </c>
      <c r="C535" s="53" t="s">
        <v>159</v>
      </c>
      <c r="D535" s="79" t="s">
        <v>159</v>
      </c>
      <c r="E535" s="79" t="s">
        <v>4247</v>
      </c>
      <c r="F535" s="79" t="s">
        <v>4789</v>
      </c>
      <c r="G535" s="79" t="s">
        <v>3526</v>
      </c>
      <c r="H535" s="79">
        <v>61606408</v>
      </c>
      <c r="I535" s="79" t="s">
        <v>4914</v>
      </c>
      <c r="J535" s="79" t="s">
        <v>4445</v>
      </c>
    </row>
    <row r="536" spans="1:10" ht="14.25" hidden="1" customHeight="1" x14ac:dyDescent="0.25">
      <c r="A536" s="78">
        <v>616073079</v>
      </c>
      <c r="B536" s="54" t="s">
        <v>244</v>
      </c>
      <c r="C536" s="53" t="s">
        <v>159</v>
      </c>
      <c r="D536" s="79" t="s">
        <v>159</v>
      </c>
      <c r="E536" s="79" t="s">
        <v>4275</v>
      </c>
      <c r="F536" s="79" t="s">
        <v>4786</v>
      </c>
      <c r="G536" s="79" t="s">
        <v>1544</v>
      </c>
      <c r="H536" s="79">
        <v>61607307</v>
      </c>
      <c r="I536" s="79" t="s">
        <v>4914</v>
      </c>
      <c r="J536" s="79" t="s">
        <v>4445</v>
      </c>
    </row>
    <row r="537" spans="1:10" ht="14.25" hidden="1" customHeight="1" x14ac:dyDescent="0.25">
      <c r="A537" s="78">
        <v>619804201</v>
      </c>
      <c r="B537" s="54" t="s">
        <v>270</v>
      </c>
      <c r="C537" s="53" t="s">
        <v>159</v>
      </c>
      <c r="D537" s="79" t="s">
        <v>159</v>
      </c>
      <c r="E537" s="79" t="s">
        <v>4175</v>
      </c>
      <c r="F537" s="79" t="s">
        <v>4788</v>
      </c>
      <c r="G537" s="79" t="s">
        <v>3448</v>
      </c>
      <c r="H537" s="79">
        <v>61980420</v>
      </c>
      <c r="I537" s="79" t="s">
        <v>4914</v>
      </c>
      <c r="J537" s="79" t="s">
        <v>4445</v>
      </c>
    </row>
    <row r="538" spans="1:10" ht="14.25" hidden="1" customHeight="1" x14ac:dyDescent="0.25">
      <c r="A538" s="78">
        <v>771868592</v>
      </c>
      <c r="B538" s="54" t="s">
        <v>537</v>
      </c>
      <c r="C538" s="53" t="s">
        <v>159</v>
      </c>
      <c r="D538" s="79" t="s">
        <v>159</v>
      </c>
      <c r="E538" s="79" t="s">
        <v>4218</v>
      </c>
      <c r="F538" s="79" t="s">
        <v>4779</v>
      </c>
      <c r="G538" s="79" t="s">
        <v>1228</v>
      </c>
      <c r="H538" s="79">
        <v>77186859</v>
      </c>
      <c r="I538" s="79" t="s">
        <v>4915</v>
      </c>
      <c r="J538" s="79" t="s">
        <v>4445</v>
      </c>
    </row>
    <row r="539" spans="1:10" ht="14.25" hidden="1" customHeight="1" x14ac:dyDescent="0.25">
      <c r="A539" s="78">
        <v>692875702</v>
      </c>
      <c r="B539" s="54" t="s">
        <v>407</v>
      </c>
      <c r="C539" s="53" t="s">
        <v>159</v>
      </c>
      <c r="D539" s="79" t="s">
        <v>159</v>
      </c>
      <c r="E539" s="79" t="s">
        <v>4192</v>
      </c>
      <c r="F539" s="79" t="s">
        <v>4788</v>
      </c>
      <c r="G539" s="79" t="s">
        <v>1656</v>
      </c>
      <c r="H539" s="79">
        <v>69287570</v>
      </c>
      <c r="I539" s="79" t="s">
        <v>4914</v>
      </c>
      <c r="J539" s="79" t="s">
        <v>4445</v>
      </c>
    </row>
    <row r="540" spans="1:10" ht="14.25" hidden="1" customHeight="1" x14ac:dyDescent="0.25">
      <c r="A540" s="78">
        <v>773717435</v>
      </c>
      <c r="B540" s="54" t="s">
        <v>988</v>
      </c>
      <c r="C540" s="53" t="s">
        <v>159</v>
      </c>
      <c r="D540" s="79" t="s">
        <v>159</v>
      </c>
      <c r="E540" s="79" t="s">
        <v>4391</v>
      </c>
      <c r="F540" s="79" t="s">
        <v>4778</v>
      </c>
      <c r="G540" s="79" t="s">
        <v>2968</v>
      </c>
      <c r="H540" s="79">
        <v>77371743</v>
      </c>
      <c r="I540" s="79" t="s">
        <v>4915</v>
      </c>
      <c r="J540" s="79" t="s">
        <v>4445</v>
      </c>
    </row>
    <row r="541" spans="1:10" ht="14.25" hidden="1" customHeight="1" x14ac:dyDescent="0.25">
      <c r="A541" s="78">
        <v>616022237</v>
      </c>
      <c r="B541" s="54" t="s">
        <v>190</v>
      </c>
      <c r="C541" s="53" t="s">
        <v>159</v>
      </c>
      <c r="D541" s="79" t="s">
        <v>159</v>
      </c>
      <c r="E541" s="79" t="s">
        <v>4217</v>
      </c>
      <c r="F541" s="79" t="s">
        <v>4779</v>
      </c>
      <c r="G541" s="79" t="s">
        <v>1577</v>
      </c>
      <c r="H541" s="79">
        <v>61602223</v>
      </c>
      <c r="I541" s="79" t="s">
        <v>4914</v>
      </c>
      <c r="J541" s="79" t="s">
        <v>4445</v>
      </c>
    </row>
    <row r="542" spans="1:10" ht="14.25" hidden="1" customHeight="1" x14ac:dyDescent="0.25">
      <c r="A542" s="78" t="s">
        <v>682</v>
      </c>
      <c r="B542" s="54" t="s">
        <v>683</v>
      </c>
      <c r="C542" s="53" t="s">
        <v>159</v>
      </c>
      <c r="D542" s="79" t="s">
        <v>159</v>
      </c>
      <c r="E542" s="79" t="s">
        <v>4333</v>
      </c>
      <c r="F542" s="79" t="s">
        <v>4795</v>
      </c>
      <c r="G542" s="79" t="s">
        <v>1736</v>
      </c>
      <c r="H542" s="79">
        <v>69091400</v>
      </c>
      <c r="I542" s="79" t="s">
        <v>4914</v>
      </c>
      <c r="J542" s="79" t="s">
        <v>4445</v>
      </c>
    </row>
    <row r="543" spans="1:10" ht="14.25" hidden="1" customHeight="1" x14ac:dyDescent="0.25">
      <c r="A543" s="78">
        <v>619806700</v>
      </c>
      <c r="B543" s="54" t="s">
        <v>271</v>
      </c>
      <c r="C543" s="53" t="s">
        <v>159</v>
      </c>
      <c r="D543" s="79" t="s">
        <v>159</v>
      </c>
      <c r="E543" s="79" t="s">
        <v>4296</v>
      </c>
      <c r="F543" s="79" t="s">
        <v>4798</v>
      </c>
      <c r="G543" s="79" t="s">
        <v>1546</v>
      </c>
      <c r="H543" s="79">
        <v>61980670</v>
      </c>
      <c r="I543" s="79" t="s">
        <v>4914</v>
      </c>
      <c r="J543" s="79" t="s">
        <v>4445</v>
      </c>
    </row>
    <row r="544" spans="1:10" ht="14.25" hidden="1" customHeight="1" x14ac:dyDescent="0.25">
      <c r="A544" s="78">
        <v>690738007</v>
      </c>
      <c r="B544" s="54" t="s">
        <v>314</v>
      </c>
      <c r="C544" s="53" t="s">
        <v>159</v>
      </c>
      <c r="D544" s="79" t="s">
        <v>159</v>
      </c>
      <c r="E544" s="79" t="s">
        <v>4322</v>
      </c>
      <c r="F544" s="79" t="s">
        <v>4795</v>
      </c>
      <c r="G544" s="79" t="s">
        <v>1627</v>
      </c>
      <c r="H544" s="79">
        <v>69073800</v>
      </c>
      <c r="I544" s="79" t="s">
        <v>4914</v>
      </c>
      <c r="J544" s="79" t="s">
        <v>4445</v>
      </c>
    </row>
    <row r="545" spans="1:10" ht="14.25" hidden="1" customHeight="1" x14ac:dyDescent="0.25">
      <c r="A545" s="78">
        <v>768144222</v>
      </c>
      <c r="B545" s="54" t="s">
        <v>995</v>
      </c>
      <c r="C545" s="53" t="s">
        <v>159</v>
      </c>
      <c r="D545" s="79" t="s">
        <v>159</v>
      </c>
      <c r="E545" s="79" t="s">
        <v>4183</v>
      </c>
      <c r="F545" s="79" t="s">
        <v>4786</v>
      </c>
      <c r="G545" s="79" t="s">
        <v>3300</v>
      </c>
      <c r="H545" s="79">
        <v>76814422</v>
      </c>
      <c r="I545" s="79" t="s">
        <v>4915</v>
      </c>
      <c r="J545" s="79" t="s">
        <v>4445</v>
      </c>
    </row>
    <row r="546" spans="1:10" ht="14.25" hidden="1" customHeight="1" x14ac:dyDescent="0.25">
      <c r="A546" s="78">
        <v>616078003</v>
      </c>
      <c r="B546" s="54" t="s">
        <v>958</v>
      </c>
      <c r="C546" s="53" t="s">
        <v>159</v>
      </c>
      <c r="D546" s="79" t="s">
        <v>159</v>
      </c>
      <c r="E546" s="79" t="s">
        <v>4799</v>
      </c>
      <c r="F546" s="79" t="s">
        <v>4800</v>
      </c>
      <c r="G546" s="79" t="s">
        <v>1420</v>
      </c>
      <c r="H546" s="79">
        <v>61607800</v>
      </c>
      <c r="I546" s="79" t="s">
        <v>4914</v>
      </c>
      <c r="J546" s="79" t="s">
        <v>4445</v>
      </c>
    </row>
    <row r="547" spans="1:10" ht="14.25" hidden="1" customHeight="1" x14ac:dyDescent="0.25">
      <c r="A547" s="78">
        <v>137714132</v>
      </c>
      <c r="B547" s="54" t="s">
        <v>762</v>
      </c>
      <c r="C547" s="53" t="s">
        <v>159</v>
      </c>
      <c r="D547" s="79" t="s">
        <v>159</v>
      </c>
      <c r="E547" s="79" t="s">
        <v>4448</v>
      </c>
      <c r="F547" s="79" t="s">
        <v>4778</v>
      </c>
      <c r="G547" s="79" t="s">
        <v>4016</v>
      </c>
      <c r="H547" s="79">
        <v>13771413</v>
      </c>
      <c r="I547" s="79" t="s">
        <v>4915</v>
      </c>
      <c r="J547" s="79" t="s">
        <v>4445</v>
      </c>
    </row>
    <row r="548" spans="1:10" ht="14.25" hidden="1" customHeight="1" x14ac:dyDescent="0.25">
      <c r="A548" s="78">
        <v>776670855</v>
      </c>
      <c r="B548" s="54" t="s">
        <v>1099</v>
      </c>
      <c r="C548" s="53" t="s">
        <v>159</v>
      </c>
      <c r="D548" s="79" t="s">
        <v>159</v>
      </c>
      <c r="E548" s="79" t="s">
        <v>4393</v>
      </c>
      <c r="F548" s="79" t="s">
        <v>4778</v>
      </c>
      <c r="G548" s="79" t="s">
        <v>2162</v>
      </c>
      <c r="H548" s="79">
        <v>77667085</v>
      </c>
      <c r="I548" s="79" t="s">
        <v>4915</v>
      </c>
      <c r="J548" s="79" t="s">
        <v>4445</v>
      </c>
    </row>
    <row r="549" spans="1:10" ht="14.25" hidden="1" customHeight="1" x14ac:dyDescent="0.25">
      <c r="A549" s="78" t="s">
        <v>4423</v>
      </c>
      <c r="B549" s="54" t="s">
        <v>4424</v>
      </c>
      <c r="C549" s="53" t="s">
        <v>159</v>
      </c>
      <c r="D549" s="79" t="s">
        <v>159</v>
      </c>
      <c r="E549" s="79" t="s">
        <v>4495</v>
      </c>
      <c r="F549" s="79" t="s">
        <v>4792</v>
      </c>
      <c r="G549" s="79" t="s">
        <v>4608</v>
      </c>
      <c r="H549" s="79">
        <v>78039272</v>
      </c>
      <c r="I549" s="79" t="s">
        <v>4915</v>
      </c>
      <c r="J549" s="79" t="s">
        <v>4445</v>
      </c>
    </row>
    <row r="550" spans="1:10" ht="14.25" hidden="1" customHeight="1" x14ac:dyDescent="0.25">
      <c r="A550" s="78">
        <v>691503003</v>
      </c>
      <c r="B550" s="54" t="s">
        <v>354</v>
      </c>
      <c r="C550" s="53" t="s">
        <v>159</v>
      </c>
      <c r="D550" s="79" t="s">
        <v>159</v>
      </c>
      <c r="E550" s="79" t="s">
        <v>4348</v>
      </c>
      <c r="F550" s="79" t="s">
        <v>4792</v>
      </c>
      <c r="G550" s="79" t="s">
        <v>1805</v>
      </c>
      <c r="H550" s="79">
        <v>69150300</v>
      </c>
      <c r="I550" s="79" t="s">
        <v>4914</v>
      </c>
      <c r="J550" s="79" t="s">
        <v>4445</v>
      </c>
    </row>
    <row r="551" spans="1:10" ht="14.25" hidden="1" customHeight="1" x14ac:dyDescent="0.25">
      <c r="A551" s="78" t="s">
        <v>638</v>
      </c>
      <c r="B551" s="54" t="s">
        <v>639</v>
      </c>
      <c r="C551" s="53" t="s">
        <v>159</v>
      </c>
      <c r="D551" s="79" t="s">
        <v>159</v>
      </c>
      <c r="E551" s="79" t="s">
        <v>4235</v>
      </c>
      <c r="F551" s="79" t="s">
        <v>4800</v>
      </c>
      <c r="G551" s="79" t="s">
        <v>1226</v>
      </c>
      <c r="H551" s="79">
        <v>61602292</v>
      </c>
      <c r="I551" s="79" t="s">
        <v>4914</v>
      </c>
      <c r="J551" s="79" t="s">
        <v>4445</v>
      </c>
    </row>
    <row r="552" spans="1:10" ht="14.25" hidden="1" customHeight="1" x14ac:dyDescent="0.25">
      <c r="A552" s="78">
        <v>691906000</v>
      </c>
      <c r="B552" s="54" t="s">
        <v>371</v>
      </c>
      <c r="C552" s="53" t="s">
        <v>159</v>
      </c>
      <c r="D552" s="79" t="s">
        <v>159</v>
      </c>
      <c r="E552" s="79" t="s">
        <v>4487</v>
      </c>
      <c r="F552" s="79" t="s">
        <v>4779</v>
      </c>
      <c r="G552" s="79" t="s">
        <v>1934</v>
      </c>
      <c r="H552" s="79">
        <v>69190600</v>
      </c>
      <c r="I552" s="79" t="s">
        <v>4914</v>
      </c>
      <c r="J552" s="79" t="s">
        <v>4445</v>
      </c>
    </row>
    <row r="553" spans="1:10" ht="14.25" hidden="1" customHeight="1" x14ac:dyDescent="0.25">
      <c r="A553" s="78">
        <v>773729751</v>
      </c>
      <c r="B553" s="54" t="s">
        <v>986</v>
      </c>
      <c r="C553" s="53" t="s">
        <v>159</v>
      </c>
      <c r="D553" s="79" t="s">
        <v>159</v>
      </c>
      <c r="E553" s="79" t="s">
        <v>4391</v>
      </c>
      <c r="F553" s="79" t="s">
        <v>4778</v>
      </c>
      <c r="G553" s="79" t="s">
        <v>2971</v>
      </c>
      <c r="H553" s="79">
        <v>77372975</v>
      </c>
      <c r="I553" s="79" t="s">
        <v>4915</v>
      </c>
      <c r="J553" s="79" t="s">
        <v>4445</v>
      </c>
    </row>
    <row r="554" spans="1:10" ht="14.25" hidden="1" customHeight="1" x14ac:dyDescent="0.25">
      <c r="A554" s="78">
        <v>895932000</v>
      </c>
      <c r="B554" s="54" t="s">
        <v>125</v>
      </c>
      <c r="C554" s="53" t="s">
        <v>159</v>
      </c>
      <c r="D554" s="79" t="s">
        <v>159</v>
      </c>
      <c r="E554" s="79" t="s">
        <v>4168</v>
      </c>
      <c r="F554" s="79" t="s">
        <v>4778</v>
      </c>
      <c r="G554" s="79" t="s">
        <v>3258</v>
      </c>
      <c r="H554" s="79">
        <v>89593200</v>
      </c>
      <c r="I554" s="79" t="s">
        <v>4915</v>
      </c>
      <c r="J554" s="79" t="s">
        <v>4445</v>
      </c>
    </row>
    <row r="555" spans="1:10" ht="14.25" hidden="1" customHeight="1" x14ac:dyDescent="0.25">
      <c r="A555" s="78">
        <v>771563767</v>
      </c>
      <c r="B555" s="54" t="s">
        <v>1009</v>
      </c>
      <c r="C555" s="53" t="s">
        <v>159</v>
      </c>
      <c r="D555" s="79" t="s">
        <v>159</v>
      </c>
      <c r="E555" s="79" t="s">
        <v>4395</v>
      </c>
      <c r="F555" s="79" t="s">
        <v>4778</v>
      </c>
      <c r="G555" s="79" t="s">
        <v>3336</v>
      </c>
      <c r="H555" s="79">
        <v>77156376</v>
      </c>
      <c r="I555" s="79" t="s">
        <v>4915</v>
      </c>
      <c r="J555" s="79" t="s">
        <v>4445</v>
      </c>
    </row>
    <row r="556" spans="1:10" ht="14.25" hidden="1" customHeight="1" x14ac:dyDescent="0.25">
      <c r="A556" s="78">
        <v>776953997</v>
      </c>
      <c r="B556" s="54" t="s">
        <v>567</v>
      </c>
      <c r="C556" s="53" t="s">
        <v>159</v>
      </c>
      <c r="D556" s="79" t="s">
        <v>159</v>
      </c>
      <c r="E556" s="79" t="s">
        <v>4292</v>
      </c>
      <c r="F556" s="79" t="s">
        <v>4784</v>
      </c>
      <c r="G556" s="79" t="s">
        <v>3089</v>
      </c>
      <c r="H556" s="79">
        <v>77695399</v>
      </c>
      <c r="I556" s="79" t="s">
        <v>4915</v>
      </c>
      <c r="J556" s="79" t="s">
        <v>4445</v>
      </c>
    </row>
    <row r="557" spans="1:10" ht="14.25" hidden="1" customHeight="1" x14ac:dyDescent="0.25">
      <c r="A557" s="78">
        <v>818975007</v>
      </c>
      <c r="B557" s="54" t="s">
        <v>592</v>
      </c>
      <c r="C557" s="53" t="s">
        <v>159</v>
      </c>
      <c r="D557" s="79" t="s">
        <v>159</v>
      </c>
      <c r="E557" s="79" t="s">
        <v>4168</v>
      </c>
      <c r="F557" s="79" t="s">
        <v>4778</v>
      </c>
      <c r="G557" s="79" t="s">
        <v>2308</v>
      </c>
      <c r="H557" s="79">
        <v>81897500</v>
      </c>
      <c r="I557" s="79" t="s">
        <v>4915</v>
      </c>
      <c r="J557" s="79" t="s">
        <v>4445</v>
      </c>
    </row>
    <row r="558" spans="1:10" ht="14.25" hidden="1" customHeight="1" x14ac:dyDescent="0.25">
      <c r="A558" s="78">
        <v>761353470</v>
      </c>
      <c r="B558" s="54" t="s">
        <v>811</v>
      </c>
      <c r="C558" s="53" t="s">
        <v>159</v>
      </c>
      <c r="D558" s="79" t="s">
        <v>159</v>
      </c>
      <c r="E558" s="79" t="s">
        <v>4458</v>
      </c>
      <c r="F558" s="79" t="s">
        <v>4778</v>
      </c>
      <c r="G558" s="79" t="s">
        <v>2502</v>
      </c>
      <c r="H558" s="79">
        <v>76135347</v>
      </c>
      <c r="I558" s="79" t="s">
        <v>4915</v>
      </c>
      <c r="J558" s="79" t="s">
        <v>4445</v>
      </c>
    </row>
    <row r="559" spans="1:10" ht="14.25" hidden="1" customHeight="1" x14ac:dyDescent="0.25">
      <c r="A559" s="78">
        <v>764259122</v>
      </c>
      <c r="B559" s="54" t="s">
        <v>931</v>
      </c>
      <c r="C559" s="53" t="s">
        <v>159</v>
      </c>
      <c r="D559" s="79" t="s">
        <v>159</v>
      </c>
      <c r="E559" s="79" t="s">
        <v>4272</v>
      </c>
      <c r="F559" s="79" t="s">
        <v>4786</v>
      </c>
      <c r="G559" s="79" t="s">
        <v>2599</v>
      </c>
      <c r="H559" s="79">
        <v>76425912</v>
      </c>
      <c r="I559" s="79" t="s">
        <v>4915</v>
      </c>
      <c r="J559" s="79" t="s">
        <v>4445</v>
      </c>
    </row>
    <row r="560" spans="1:10" ht="14.25" hidden="1" customHeight="1" x14ac:dyDescent="0.25">
      <c r="A560" s="78">
        <v>770422620</v>
      </c>
      <c r="B560" s="54" t="s">
        <v>935</v>
      </c>
      <c r="C560" s="53" t="s">
        <v>159</v>
      </c>
      <c r="D560" s="79" t="s">
        <v>159</v>
      </c>
      <c r="E560" s="79" t="s">
        <v>4460</v>
      </c>
      <c r="F560" s="79" t="s">
        <v>4786</v>
      </c>
      <c r="G560" s="79" t="s">
        <v>2824</v>
      </c>
      <c r="H560" s="79">
        <v>77042262</v>
      </c>
      <c r="I560" s="79" t="s">
        <v>4915</v>
      </c>
      <c r="J560" s="79" t="s">
        <v>4445</v>
      </c>
    </row>
    <row r="561" spans="1:10" ht="14.25" hidden="1" customHeight="1" x14ac:dyDescent="0.25">
      <c r="A561" s="78">
        <v>762787458</v>
      </c>
      <c r="B561" s="54" t="s">
        <v>1011</v>
      </c>
      <c r="C561" s="53" t="s">
        <v>159</v>
      </c>
      <c r="D561" s="79" t="s">
        <v>159</v>
      </c>
      <c r="E561" s="79" t="s">
        <v>4448</v>
      </c>
      <c r="F561" s="79" t="s">
        <v>4778</v>
      </c>
      <c r="G561" s="79" t="s">
        <v>2551</v>
      </c>
      <c r="H561" s="79">
        <v>76278745</v>
      </c>
      <c r="I561" s="79" t="s">
        <v>4915</v>
      </c>
      <c r="J561" s="79" t="s">
        <v>4445</v>
      </c>
    </row>
    <row r="562" spans="1:10" ht="14.25" hidden="1" customHeight="1" x14ac:dyDescent="0.25">
      <c r="A562" s="78">
        <v>764919629</v>
      </c>
      <c r="B562" s="54" t="s">
        <v>486</v>
      </c>
      <c r="C562" s="53" t="s">
        <v>159</v>
      </c>
      <c r="D562" s="79" t="s">
        <v>159</v>
      </c>
      <c r="E562" s="79" t="s">
        <v>4510</v>
      </c>
      <c r="F562" s="79" t="s">
        <v>4778</v>
      </c>
      <c r="G562" s="79" t="s">
        <v>3956</v>
      </c>
      <c r="H562" s="79">
        <v>76491962</v>
      </c>
      <c r="I562" s="79" t="s">
        <v>4915</v>
      </c>
      <c r="J562" s="79" t="s">
        <v>4445</v>
      </c>
    </row>
    <row r="563" spans="1:10" ht="14.25" hidden="1" customHeight="1" x14ac:dyDescent="0.25">
      <c r="A563" s="78">
        <v>773851808</v>
      </c>
      <c r="B563" s="54" t="s">
        <v>547</v>
      </c>
      <c r="C563" s="53" t="s">
        <v>159</v>
      </c>
      <c r="D563" s="79" t="s">
        <v>159</v>
      </c>
      <c r="E563" s="79" t="s">
        <v>4391</v>
      </c>
      <c r="F563" s="79" t="s">
        <v>4778</v>
      </c>
      <c r="G563" s="79" t="s">
        <v>2977</v>
      </c>
      <c r="H563" s="79">
        <v>77385180</v>
      </c>
      <c r="I563" s="79" t="s">
        <v>4915</v>
      </c>
      <c r="J563" s="79" t="s">
        <v>4445</v>
      </c>
    </row>
    <row r="564" spans="1:10" ht="14.25" hidden="1" customHeight="1" x14ac:dyDescent="0.25">
      <c r="A564" s="78">
        <v>772442858</v>
      </c>
      <c r="B564" s="54" t="s">
        <v>1087</v>
      </c>
      <c r="C564" s="53" t="s">
        <v>159</v>
      </c>
      <c r="D564" s="79" t="s">
        <v>159</v>
      </c>
      <c r="E564" s="79" t="s">
        <v>4490</v>
      </c>
      <c r="F564" s="79" t="s">
        <v>4788</v>
      </c>
      <c r="G564" s="79" t="s">
        <v>3105</v>
      </c>
      <c r="H564" s="79">
        <v>77244285</v>
      </c>
      <c r="I564" s="79" t="s">
        <v>4915</v>
      </c>
      <c r="J564" s="79" t="s">
        <v>4445</v>
      </c>
    </row>
    <row r="565" spans="1:10" ht="14.25" hidden="1" customHeight="1" x14ac:dyDescent="0.25">
      <c r="A565" s="78">
        <v>610040241</v>
      </c>
      <c r="B565" s="54" t="s">
        <v>164</v>
      </c>
      <c r="C565" s="53" t="s">
        <v>159</v>
      </c>
      <c r="D565" s="79" t="s">
        <v>159</v>
      </c>
      <c r="E565" s="79" t="s">
        <v>4459</v>
      </c>
      <c r="F565" s="79" t="s">
        <v>4788</v>
      </c>
      <c r="G565" s="79" t="s">
        <v>4051</v>
      </c>
      <c r="H565" s="79">
        <v>61004024</v>
      </c>
      <c r="I565" s="79" t="s">
        <v>4914</v>
      </c>
      <c r="J565" s="79" t="s">
        <v>4445</v>
      </c>
    </row>
    <row r="566" spans="1:10" ht="14.25" hidden="1" customHeight="1" x14ac:dyDescent="0.25">
      <c r="A566" s="78">
        <v>692208005</v>
      </c>
      <c r="B566" s="54" t="s">
        <v>802</v>
      </c>
      <c r="C566" s="53" t="s">
        <v>159</v>
      </c>
      <c r="D566" s="79" t="s">
        <v>159</v>
      </c>
      <c r="E566" s="79" t="s">
        <v>4370</v>
      </c>
      <c r="F566" s="79" t="s">
        <v>4784</v>
      </c>
      <c r="G566" s="79" t="s">
        <v>1187</v>
      </c>
      <c r="H566" s="79">
        <v>69220800</v>
      </c>
      <c r="I566" s="79" t="s">
        <v>4914</v>
      </c>
      <c r="J566" s="79" t="s">
        <v>4445</v>
      </c>
    </row>
    <row r="567" spans="1:10" ht="14.25" hidden="1" customHeight="1" x14ac:dyDescent="0.25">
      <c r="A567" s="78" t="s">
        <v>730</v>
      </c>
      <c r="B567" s="54" t="s">
        <v>883</v>
      </c>
      <c r="C567" s="53" t="s">
        <v>159</v>
      </c>
      <c r="D567" s="79" t="s">
        <v>159</v>
      </c>
      <c r="E567" s="79" t="s">
        <v>4493</v>
      </c>
      <c r="F567" s="79" t="s">
        <v>4791</v>
      </c>
      <c r="G567" s="79" t="s">
        <v>2984</v>
      </c>
      <c r="H567" s="79">
        <v>77405832</v>
      </c>
      <c r="I567" s="79" t="s">
        <v>4915</v>
      </c>
      <c r="J567" s="79" t="s">
        <v>4445</v>
      </c>
    </row>
    <row r="568" spans="1:10" ht="14.25" hidden="1" customHeight="1" x14ac:dyDescent="0.25">
      <c r="A568" s="78">
        <v>770697182</v>
      </c>
      <c r="B568" s="54" t="s">
        <v>524</v>
      </c>
      <c r="C568" s="53" t="s">
        <v>159</v>
      </c>
      <c r="D568" s="79" t="s">
        <v>159</v>
      </c>
      <c r="E568" s="79" t="s">
        <v>4395</v>
      </c>
      <c r="F568" s="79" t="s">
        <v>4778</v>
      </c>
      <c r="G568" s="79" t="s">
        <v>2831</v>
      </c>
      <c r="H568" s="79">
        <v>77069718</v>
      </c>
      <c r="I568" s="79" t="s">
        <v>4915</v>
      </c>
      <c r="J568" s="79" t="s">
        <v>4445</v>
      </c>
    </row>
    <row r="569" spans="1:10" ht="14.25" hidden="1" customHeight="1" x14ac:dyDescent="0.25">
      <c r="A569" s="78">
        <v>656371900</v>
      </c>
      <c r="B569" s="54" t="s">
        <v>279</v>
      </c>
      <c r="C569" s="53" t="s">
        <v>159</v>
      </c>
      <c r="D569" s="79" t="s">
        <v>159</v>
      </c>
      <c r="E569" s="79" t="s">
        <v>4409</v>
      </c>
      <c r="F569" s="79" t="s">
        <v>4778</v>
      </c>
      <c r="G569" s="79" t="s">
        <v>1312</v>
      </c>
      <c r="H569" s="79">
        <v>65637190</v>
      </c>
      <c r="I569" s="79" t="s">
        <v>4914</v>
      </c>
      <c r="J569" s="79" t="s">
        <v>4445</v>
      </c>
    </row>
    <row r="570" spans="1:10" ht="14.25" hidden="1" customHeight="1" x14ac:dyDescent="0.25">
      <c r="A570" s="78">
        <v>772043074</v>
      </c>
      <c r="B570" s="54" t="s">
        <v>540</v>
      </c>
      <c r="C570" s="53" t="s">
        <v>159</v>
      </c>
      <c r="D570" s="79" t="s">
        <v>159</v>
      </c>
      <c r="E570" s="79" t="s">
        <v>4293</v>
      </c>
      <c r="F570" s="79" t="s">
        <v>4784</v>
      </c>
      <c r="G570" s="79" t="s">
        <v>2909</v>
      </c>
      <c r="H570" s="79">
        <v>77204307</v>
      </c>
      <c r="I570" s="79" t="s">
        <v>4915</v>
      </c>
      <c r="J570" s="79" t="s">
        <v>4445</v>
      </c>
    </row>
    <row r="571" spans="1:10" ht="14.25" hidden="1" customHeight="1" x14ac:dyDescent="0.25">
      <c r="A571" s="78" t="s">
        <v>4421</v>
      </c>
      <c r="B571" s="54" t="s">
        <v>4422</v>
      </c>
      <c r="C571" s="53" t="s">
        <v>159</v>
      </c>
      <c r="D571" s="79" t="s">
        <v>159</v>
      </c>
      <c r="E571" s="79" t="s">
        <v>4456</v>
      </c>
      <c r="F571" s="79" t="s">
        <v>4778</v>
      </c>
      <c r="G571" s="79" t="s">
        <v>4508</v>
      </c>
      <c r="H571" s="79">
        <v>61978670</v>
      </c>
      <c r="I571" s="79" t="s">
        <v>4914</v>
      </c>
      <c r="J571" s="79" t="s">
        <v>4445</v>
      </c>
    </row>
    <row r="572" spans="1:10" ht="14.25" hidden="1" customHeight="1" x14ac:dyDescent="0.25">
      <c r="A572" s="78">
        <v>771455840</v>
      </c>
      <c r="B572" s="54" t="s">
        <v>528</v>
      </c>
      <c r="C572" s="53" t="s">
        <v>159</v>
      </c>
      <c r="D572" s="79" t="s">
        <v>159</v>
      </c>
      <c r="E572" s="79" t="s">
        <v>4257</v>
      </c>
      <c r="F572" s="79" t="s">
        <v>4791</v>
      </c>
      <c r="G572" s="79" t="s">
        <v>2858</v>
      </c>
      <c r="H572" s="79">
        <v>77145584</v>
      </c>
      <c r="I572" s="79" t="s">
        <v>4915</v>
      </c>
      <c r="J572" s="79" t="s">
        <v>4445</v>
      </c>
    </row>
    <row r="573" spans="1:10" ht="14.25" hidden="1" customHeight="1" x14ac:dyDescent="0.25">
      <c r="A573" s="78">
        <v>691406008</v>
      </c>
      <c r="B573" s="54" t="s">
        <v>347</v>
      </c>
      <c r="C573" s="53" t="s">
        <v>159</v>
      </c>
      <c r="D573" s="79" t="s">
        <v>159</v>
      </c>
      <c r="E573" s="79" t="s">
        <v>4540</v>
      </c>
      <c r="F573" s="79" t="s">
        <v>4792</v>
      </c>
      <c r="G573" s="79" t="s">
        <v>1840</v>
      </c>
      <c r="H573" s="79">
        <v>69140600</v>
      </c>
      <c r="I573" s="79" t="s">
        <v>4914</v>
      </c>
      <c r="J573" s="79" t="s">
        <v>4445</v>
      </c>
    </row>
    <row r="574" spans="1:10" ht="14.25" hidden="1" customHeight="1" x14ac:dyDescent="0.25">
      <c r="A574" s="78">
        <v>690806002</v>
      </c>
      <c r="B574" s="54" t="s">
        <v>4820</v>
      </c>
      <c r="C574" s="53" t="s">
        <v>159</v>
      </c>
      <c r="D574" s="79" t="s">
        <v>159</v>
      </c>
      <c r="E574" s="79" t="s">
        <v>4325</v>
      </c>
      <c r="F574" s="79" t="s">
        <v>4795</v>
      </c>
      <c r="G574" s="79" t="s">
        <v>1510</v>
      </c>
      <c r="H574" s="79">
        <v>69080600</v>
      </c>
      <c r="I574" s="79" t="s">
        <v>4914</v>
      </c>
      <c r="J574" s="79" t="s">
        <v>4445</v>
      </c>
    </row>
    <row r="575" spans="1:10" ht="14.25" hidden="1" customHeight="1" x14ac:dyDescent="0.25">
      <c r="A575" s="78" t="s">
        <v>978</v>
      </c>
      <c r="B575" s="54" t="s">
        <v>980</v>
      </c>
      <c r="C575" s="53" t="s">
        <v>159</v>
      </c>
      <c r="D575" s="79" t="s">
        <v>159</v>
      </c>
      <c r="E575" s="79" t="s">
        <v>4465</v>
      </c>
      <c r="F575" s="79" t="s">
        <v>4778</v>
      </c>
      <c r="G575" s="79" t="s">
        <v>3133</v>
      </c>
      <c r="H575" s="79">
        <v>77815689</v>
      </c>
      <c r="I575" s="79" t="s">
        <v>4915</v>
      </c>
      <c r="J575" s="79" t="s">
        <v>4445</v>
      </c>
    </row>
    <row r="576" spans="1:10" ht="14.25" hidden="1" customHeight="1" x14ac:dyDescent="0.25">
      <c r="A576" s="78" t="s">
        <v>707</v>
      </c>
      <c r="B576" s="54" t="s">
        <v>880</v>
      </c>
      <c r="C576" s="53" t="s">
        <v>159</v>
      </c>
      <c r="D576" s="79" t="s">
        <v>159</v>
      </c>
      <c r="E576" s="79" t="s">
        <v>4552</v>
      </c>
      <c r="F576" s="79" t="s">
        <v>4778</v>
      </c>
      <c r="G576" s="79" t="s">
        <v>2578</v>
      </c>
      <c r="H576" s="79">
        <v>76367603</v>
      </c>
      <c r="I576" s="79" t="s">
        <v>4915</v>
      </c>
      <c r="J576" s="79" t="s">
        <v>4445</v>
      </c>
    </row>
    <row r="577" spans="1:10" ht="14.25" hidden="1" customHeight="1" x14ac:dyDescent="0.25">
      <c r="A577" s="78">
        <v>616066110</v>
      </c>
      <c r="B577" s="54" t="s">
        <v>42</v>
      </c>
      <c r="C577" s="53" t="s">
        <v>159</v>
      </c>
      <c r="D577" s="79" t="s">
        <v>159</v>
      </c>
      <c r="E577" s="79" t="s">
        <v>4305</v>
      </c>
      <c r="F577" s="79" t="s">
        <v>4788</v>
      </c>
      <c r="G577" s="79" t="s">
        <v>1328</v>
      </c>
      <c r="H577" s="79">
        <v>61606611</v>
      </c>
      <c r="I577" s="79" t="s">
        <v>4914</v>
      </c>
      <c r="J577" s="79" t="s">
        <v>4445</v>
      </c>
    </row>
    <row r="578" spans="1:10" ht="14.25" hidden="1" customHeight="1" x14ac:dyDescent="0.25">
      <c r="A578" s="78">
        <v>764254597</v>
      </c>
      <c r="B578" s="54" t="s">
        <v>482</v>
      </c>
      <c r="C578" s="53" t="s">
        <v>159</v>
      </c>
      <c r="D578" s="79" t="s">
        <v>159</v>
      </c>
      <c r="E578" s="79" t="s">
        <v>4449</v>
      </c>
      <c r="F578" s="79" t="s">
        <v>4778</v>
      </c>
      <c r="G578" s="79" t="s">
        <v>2597</v>
      </c>
      <c r="H578" s="79">
        <v>76425459</v>
      </c>
      <c r="I578" s="79" t="s">
        <v>4915</v>
      </c>
      <c r="J578" s="79" t="s">
        <v>4445</v>
      </c>
    </row>
    <row r="579" spans="1:10" ht="14.25" hidden="1" customHeight="1" x14ac:dyDescent="0.25">
      <c r="A579" s="78">
        <v>765478049</v>
      </c>
      <c r="B579" s="54" t="s">
        <v>490</v>
      </c>
      <c r="C579" s="53" t="s">
        <v>159</v>
      </c>
      <c r="D579" s="79" t="s">
        <v>159</v>
      </c>
      <c r="E579" s="79" t="s">
        <v>4250</v>
      </c>
      <c r="F579" s="79" t="s">
        <v>4788</v>
      </c>
      <c r="G579" s="79" t="s">
        <v>2619</v>
      </c>
      <c r="H579" s="79">
        <v>76547804</v>
      </c>
      <c r="I579" s="79" t="s">
        <v>4915</v>
      </c>
      <c r="J579" s="79" t="s">
        <v>4445</v>
      </c>
    </row>
    <row r="580" spans="1:10" ht="14.25" hidden="1" customHeight="1" x14ac:dyDescent="0.25">
      <c r="A580" s="78">
        <v>616022725</v>
      </c>
      <c r="B580" s="54" t="s">
        <v>201</v>
      </c>
      <c r="C580" s="53" t="s">
        <v>159</v>
      </c>
      <c r="D580" s="79" t="s">
        <v>159</v>
      </c>
      <c r="E580" s="79" t="s">
        <v>4483</v>
      </c>
      <c r="F580" s="79" t="s">
        <v>4784</v>
      </c>
      <c r="G580" s="79" t="s">
        <v>1235</v>
      </c>
      <c r="H580" s="79">
        <v>61602272</v>
      </c>
      <c r="I580" s="79" t="s">
        <v>4914</v>
      </c>
      <c r="J580" s="79" t="s">
        <v>4445</v>
      </c>
    </row>
    <row r="581" spans="1:10" ht="14.25" hidden="1" customHeight="1" x14ac:dyDescent="0.25">
      <c r="A581" s="78">
        <v>767166966</v>
      </c>
      <c r="B581" s="54" t="s">
        <v>501</v>
      </c>
      <c r="C581" s="53" t="s">
        <v>159</v>
      </c>
      <c r="D581" s="79" t="s">
        <v>159</v>
      </c>
      <c r="E581" s="79" t="s">
        <v>4495</v>
      </c>
      <c r="F581" s="79" t="s">
        <v>4792</v>
      </c>
      <c r="G581" s="79" t="s">
        <v>2669</v>
      </c>
      <c r="H581" s="79">
        <v>76716696</v>
      </c>
      <c r="I581" s="79" t="s">
        <v>4915</v>
      </c>
      <c r="J581" s="79" t="s">
        <v>4445</v>
      </c>
    </row>
    <row r="582" spans="1:10" ht="14.25" hidden="1" customHeight="1" x14ac:dyDescent="0.25">
      <c r="A582" s="78">
        <v>690508001</v>
      </c>
      <c r="B582" s="54" t="s">
        <v>901</v>
      </c>
      <c r="C582" s="53" t="s">
        <v>159</v>
      </c>
      <c r="D582" s="79" t="s">
        <v>159</v>
      </c>
      <c r="E582" s="79" t="s">
        <v>4522</v>
      </c>
      <c r="F582" s="79" t="s">
        <v>4788</v>
      </c>
      <c r="G582" s="79" t="s">
        <v>1198</v>
      </c>
      <c r="H582" s="79">
        <v>69050800</v>
      </c>
      <c r="I582" s="79" t="s">
        <v>4914</v>
      </c>
      <c r="J582" s="79" t="s">
        <v>4445</v>
      </c>
    </row>
    <row r="583" spans="1:10" ht="14.25" hidden="1" customHeight="1" x14ac:dyDescent="0.25">
      <c r="A583" s="78">
        <v>777941046</v>
      </c>
      <c r="B583" s="54" t="s">
        <v>572</v>
      </c>
      <c r="C583" s="53" t="s">
        <v>159</v>
      </c>
      <c r="D583" s="79" t="s">
        <v>159</v>
      </c>
      <c r="E583" s="79" t="s">
        <v>4182</v>
      </c>
      <c r="F583" s="79" t="s">
        <v>4796</v>
      </c>
      <c r="G583" s="79" t="s">
        <v>3121</v>
      </c>
      <c r="H583" s="79">
        <v>77794104</v>
      </c>
      <c r="I583" s="79" t="s">
        <v>4914</v>
      </c>
      <c r="J583" s="79" t="s">
        <v>4445</v>
      </c>
    </row>
    <row r="584" spans="1:10" ht="14.25" hidden="1" customHeight="1" x14ac:dyDescent="0.25">
      <c r="A584" s="78">
        <v>610040004</v>
      </c>
      <c r="B584" s="54" t="s">
        <v>885</v>
      </c>
      <c r="C584" s="53" t="s">
        <v>159</v>
      </c>
      <c r="D584" s="79" t="s">
        <v>159</v>
      </c>
      <c r="E584" s="79" t="s">
        <v>4168</v>
      </c>
      <c r="F584" s="79" t="s">
        <v>4778</v>
      </c>
      <c r="G584" s="79" t="s">
        <v>4048</v>
      </c>
      <c r="H584" s="79">
        <v>61004000</v>
      </c>
      <c r="I584" s="79" t="s">
        <v>4914</v>
      </c>
      <c r="J584" s="79" t="s">
        <v>4445</v>
      </c>
    </row>
    <row r="585" spans="1:10" ht="14.25" hidden="1" customHeight="1" x14ac:dyDescent="0.25">
      <c r="A585" s="78">
        <v>692106008</v>
      </c>
      <c r="B585" s="54" t="s">
        <v>383</v>
      </c>
      <c r="C585" s="53" t="s">
        <v>159</v>
      </c>
      <c r="D585" s="79" t="s">
        <v>159</v>
      </c>
      <c r="E585" s="79" t="s">
        <v>4369</v>
      </c>
      <c r="F585" s="79" t="s">
        <v>4784</v>
      </c>
      <c r="G585" s="79" t="s">
        <v>3922</v>
      </c>
      <c r="H585" s="79">
        <v>69210600</v>
      </c>
      <c r="I585" s="79" t="s">
        <v>4914</v>
      </c>
      <c r="J585" s="79" t="s">
        <v>4445</v>
      </c>
    </row>
    <row r="586" spans="1:10" ht="14.25" hidden="1" customHeight="1" x14ac:dyDescent="0.25">
      <c r="A586" s="78">
        <v>770120012</v>
      </c>
      <c r="B586" s="54" t="s">
        <v>845</v>
      </c>
      <c r="C586" s="53" t="s">
        <v>159</v>
      </c>
      <c r="D586" s="79" t="s">
        <v>159</v>
      </c>
      <c r="E586" s="79" t="s">
        <v>4395</v>
      </c>
      <c r="F586" s="79" t="s">
        <v>4778</v>
      </c>
      <c r="G586" s="79" t="s">
        <v>2810</v>
      </c>
      <c r="H586" s="79">
        <v>77012001</v>
      </c>
      <c r="I586" s="79" t="s">
        <v>4915</v>
      </c>
      <c r="J586" s="79" t="s">
        <v>4445</v>
      </c>
    </row>
    <row r="587" spans="1:10" ht="14.25" hidden="1" customHeight="1" x14ac:dyDescent="0.25">
      <c r="A587" s="78">
        <v>700126005</v>
      </c>
      <c r="B587" s="54" t="s">
        <v>408</v>
      </c>
      <c r="C587" s="53" t="s">
        <v>159</v>
      </c>
      <c r="D587" s="79" t="s">
        <v>159</v>
      </c>
      <c r="E587" s="79" t="s">
        <v>4168</v>
      </c>
      <c r="F587" s="79" t="s">
        <v>4778</v>
      </c>
      <c r="G587" s="79" t="s">
        <v>2278</v>
      </c>
      <c r="H587" s="79">
        <v>70012600</v>
      </c>
      <c r="I587" s="79" t="s">
        <v>4915</v>
      </c>
      <c r="J587" s="79" t="s">
        <v>4445</v>
      </c>
    </row>
    <row r="588" spans="1:10" ht="14.25" hidden="1" customHeight="1" x14ac:dyDescent="0.25">
      <c r="A588" s="78">
        <v>761991272</v>
      </c>
      <c r="B588" s="54" t="s">
        <v>4439</v>
      </c>
      <c r="C588" s="53" t="s">
        <v>159</v>
      </c>
      <c r="D588" s="79" t="s">
        <v>159</v>
      </c>
      <c r="E588" s="79" t="s">
        <v>4456</v>
      </c>
      <c r="F588" s="79" t="s">
        <v>4778</v>
      </c>
      <c r="G588" s="79" t="s">
        <v>4564</v>
      </c>
      <c r="H588" s="79">
        <v>76199127</v>
      </c>
      <c r="I588" s="79" t="s">
        <v>4915</v>
      </c>
      <c r="J588" s="79" t="s">
        <v>4445</v>
      </c>
    </row>
    <row r="589" spans="1:10" ht="14.25" hidden="1" customHeight="1" x14ac:dyDescent="0.25">
      <c r="A589" s="78" t="s">
        <v>655</v>
      </c>
      <c r="B589" s="54" t="s">
        <v>656</v>
      </c>
      <c r="C589" s="53" t="s">
        <v>159</v>
      </c>
      <c r="D589" s="79" t="s">
        <v>159</v>
      </c>
      <c r="E589" s="79" t="s">
        <v>4416</v>
      </c>
      <c r="F589" s="79" t="s">
        <v>4778</v>
      </c>
      <c r="G589" s="79" t="s">
        <v>4097</v>
      </c>
      <c r="H589" s="79">
        <v>61608108</v>
      </c>
      <c r="I589" s="79" t="s">
        <v>4914</v>
      </c>
      <c r="J589" s="79" t="s">
        <v>4445</v>
      </c>
    </row>
    <row r="590" spans="1:10" ht="14.25" hidden="1" customHeight="1" x14ac:dyDescent="0.25">
      <c r="A590" s="78">
        <v>770874432</v>
      </c>
      <c r="B590" s="54" t="s">
        <v>2167</v>
      </c>
      <c r="C590" s="53" t="s">
        <v>159</v>
      </c>
      <c r="D590" s="79" t="s">
        <v>159</v>
      </c>
      <c r="E590" s="79" t="s">
        <v>4465</v>
      </c>
      <c r="F590" s="79" t="s">
        <v>4778</v>
      </c>
      <c r="G590" s="79" t="s">
        <v>2166</v>
      </c>
      <c r="H590" s="79">
        <v>77087443</v>
      </c>
      <c r="I590" s="79" t="s">
        <v>4915</v>
      </c>
      <c r="J590" s="79" t="s">
        <v>4445</v>
      </c>
    </row>
    <row r="591" spans="1:10" ht="14.25" hidden="1" customHeight="1" x14ac:dyDescent="0.25">
      <c r="A591" s="78" t="s">
        <v>1019</v>
      </c>
      <c r="B591" s="54" t="s">
        <v>1020</v>
      </c>
      <c r="C591" s="53" t="s">
        <v>159</v>
      </c>
      <c r="D591" s="79" t="s">
        <v>159</v>
      </c>
      <c r="E591" s="79" t="s">
        <v>4391</v>
      </c>
      <c r="F591" s="79" t="s">
        <v>4778</v>
      </c>
      <c r="G591" s="79" t="s">
        <v>3982</v>
      </c>
      <c r="H591" s="79">
        <v>99554220</v>
      </c>
      <c r="I591" s="79" t="s">
        <v>4915</v>
      </c>
      <c r="J591" s="79" t="s">
        <v>4445</v>
      </c>
    </row>
    <row r="592" spans="1:10" ht="14.25" hidden="1" customHeight="1" x14ac:dyDescent="0.25">
      <c r="A592" s="78">
        <v>779041808</v>
      </c>
      <c r="B592" s="54" t="s">
        <v>575</v>
      </c>
      <c r="C592" s="53" t="s">
        <v>159</v>
      </c>
      <c r="D592" s="79" t="s">
        <v>159</v>
      </c>
      <c r="E592" s="79" t="s">
        <v>4203</v>
      </c>
      <c r="F592" s="79" t="s">
        <v>4795</v>
      </c>
      <c r="G592" s="79" t="s">
        <v>1204</v>
      </c>
      <c r="H592" s="79">
        <v>77904180</v>
      </c>
      <c r="I592" s="79" t="s">
        <v>4915</v>
      </c>
      <c r="J592" s="79" t="s">
        <v>4445</v>
      </c>
    </row>
    <row r="593" spans="1:10" ht="14.25" hidden="1" customHeight="1" x14ac:dyDescent="0.25">
      <c r="A593" s="78">
        <v>691003000</v>
      </c>
      <c r="B593" s="54" t="s">
        <v>331</v>
      </c>
      <c r="C593" s="53" t="s">
        <v>4790</v>
      </c>
      <c r="D593" s="79" t="s">
        <v>4790</v>
      </c>
      <c r="E593" s="79" t="s">
        <v>4258</v>
      </c>
      <c r="F593" s="79" t="s">
        <v>4791</v>
      </c>
      <c r="G593" s="79" t="s">
        <v>1791</v>
      </c>
      <c r="H593" s="79">
        <v>69100300</v>
      </c>
      <c r="I593" s="79" t="s">
        <v>4914</v>
      </c>
      <c r="J593" s="79" t="s">
        <v>4445</v>
      </c>
    </row>
    <row r="594" spans="1:10" ht="14.25" hidden="1" customHeight="1" x14ac:dyDescent="0.25">
      <c r="A594" s="78">
        <v>708781002</v>
      </c>
      <c r="B594" s="54" t="s">
        <v>416</v>
      </c>
      <c r="C594" s="53" t="s">
        <v>159</v>
      </c>
      <c r="D594" s="79" t="s">
        <v>159</v>
      </c>
      <c r="E594" s="79" t="s">
        <v>4555</v>
      </c>
      <c r="F594" s="79" t="s">
        <v>4778</v>
      </c>
      <c r="G594" s="79" t="s">
        <v>2293</v>
      </c>
      <c r="H594" s="79">
        <v>70878100</v>
      </c>
      <c r="I594" s="79" t="s">
        <v>4914</v>
      </c>
      <c r="J594" s="79" t="s">
        <v>4445</v>
      </c>
    </row>
    <row r="595" spans="1:10" ht="14.25" hidden="1" customHeight="1" x14ac:dyDescent="0.25">
      <c r="A595" s="78">
        <v>610040128</v>
      </c>
      <c r="B595" s="54" t="s">
        <v>1017</v>
      </c>
      <c r="C595" s="53" t="s">
        <v>159</v>
      </c>
      <c r="D595" s="79" t="s">
        <v>159</v>
      </c>
      <c r="E595" s="79" t="s">
        <v>4171</v>
      </c>
      <c r="F595" s="79" t="s">
        <v>4789</v>
      </c>
      <c r="G595" s="79" t="s">
        <v>4049</v>
      </c>
      <c r="H595" s="79">
        <v>61004012</v>
      </c>
      <c r="I595" s="79" t="s">
        <v>4914</v>
      </c>
      <c r="J595" s="79" t="s">
        <v>4445</v>
      </c>
    </row>
    <row r="596" spans="1:10" ht="14.25" hidden="1" customHeight="1" x14ac:dyDescent="0.25">
      <c r="A596" s="78" t="s">
        <v>1025</v>
      </c>
      <c r="B596" s="54" t="s">
        <v>1026</v>
      </c>
      <c r="C596" s="53" t="s">
        <v>159</v>
      </c>
      <c r="D596" s="79" t="s">
        <v>159</v>
      </c>
      <c r="E596" s="79" t="s">
        <v>4292</v>
      </c>
      <c r="F596" s="79" t="s">
        <v>4784</v>
      </c>
      <c r="G596" s="79" t="s">
        <v>3328</v>
      </c>
      <c r="H596" s="79">
        <v>61978510</v>
      </c>
      <c r="I596" s="79" t="s">
        <v>4915</v>
      </c>
      <c r="J596" s="79" t="s">
        <v>4445</v>
      </c>
    </row>
    <row r="597" spans="1:10" ht="14.25" hidden="1" customHeight="1" x14ac:dyDescent="0.25">
      <c r="A597" s="78">
        <v>774393307</v>
      </c>
      <c r="B597" s="54" t="s">
        <v>990</v>
      </c>
      <c r="C597" s="53" t="s">
        <v>159</v>
      </c>
      <c r="D597" s="79" t="s">
        <v>159</v>
      </c>
      <c r="E597" s="79" t="s">
        <v>4460</v>
      </c>
      <c r="F597" s="79" t="s">
        <v>4786</v>
      </c>
      <c r="G597" s="79" t="s">
        <v>3006</v>
      </c>
      <c r="H597" s="79">
        <v>77439330</v>
      </c>
      <c r="I597" s="79" t="s">
        <v>4915</v>
      </c>
      <c r="J597" s="79" t="s">
        <v>4445</v>
      </c>
    </row>
    <row r="598" spans="1:10" ht="14.25" hidden="1" customHeight="1" x14ac:dyDescent="0.25">
      <c r="A598" s="78">
        <v>902120009</v>
      </c>
      <c r="B598" s="54" t="s">
        <v>597</v>
      </c>
      <c r="C598" s="53" t="s">
        <v>159</v>
      </c>
      <c r="D598" s="79" t="s">
        <v>159</v>
      </c>
      <c r="E598" s="79" t="s">
        <v>4168</v>
      </c>
      <c r="F598" s="79" t="s">
        <v>4778</v>
      </c>
      <c r="G598" s="79" t="s">
        <v>2186</v>
      </c>
      <c r="H598" s="79">
        <v>90212000</v>
      </c>
      <c r="I598" s="79" t="s">
        <v>4915</v>
      </c>
      <c r="J598" s="79" t="s">
        <v>4445</v>
      </c>
    </row>
    <row r="599" spans="1:10" ht="14.25" hidden="1" customHeight="1" x14ac:dyDescent="0.25">
      <c r="A599" s="78">
        <v>767253591</v>
      </c>
      <c r="B599" s="54" t="s">
        <v>832</v>
      </c>
      <c r="C599" s="53" t="s">
        <v>159</v>
      </c>
      <c r="D599" s="79" t="s">
        <v>159</v>
      </c>
      <c r="E599" s="79" t="s">
        <v>4257</v>
      </c>
      <c r="F599" s="79" t="s">
        <v>4791</v>
      </c>
      <c r="G599" s="79" t="s">
        <v>2673</v>
      </c>
      <c r="H599" s="79">
        <v>76725359</v>
      </c>
      <c r="I599" s="79" t="s">
        <v>4915</v>
      </c>
      <c r="J599" s="79" t="s">
        <v>4445</v>
      </c>
    </row>
    <row r="600" spans="1:10" ht="14.25" hidden="1" customHeight="1" x14ac:dyDescent="0.25">
      <c r="A600" s="78">
        <v>766499104</v>
      </c>
      <c r="B600" s="54" t="s">
        <v>830</v>
      </c>
      <c r="C600" s="53" t="s">
        <v>159</v>
      </c>
      <c r="D600" s="79" t="s">
        <v>159</v>
      </c>
      <c r="E600" s="79" t="s">
        <v>4495</v>
      </c>
      <c r="F600" s="79" t="s">
        <v>4792</v>
      </c>
      <c r="G600" s="79" t="s">
        <v>2649</v>
      </c>
      <c r="H600" s="79">
        <v>76649910</v>
      </c>
      <c r="I600" s="79" t="s">
        <v>4915</v>
      </c>
      <c r="J600" s="79" t="s">
        <v>4445</v>
      </c>
    </row>
    <row r="601" spans="1:10" ht="14.25" hidden="1" customHeight="1" x14ac:dyDescent="0.25">
      <c r="A601" s="78">
        <v>690913003</v>
      </c>
      <c r="B601" s="54" t="s">
        <v>4417</v>
      </c>
      <c r="C601" s="53" t="s">
        <v>159</v>
      </c>
      <c r="D601" s="79" t="s">
        <v>159</v>
      </c>
      <c r="E601" s="79" t="s">
        <v>4474</v>
      </c>
      <c r="F601" s="79" t="s">
        <v>4795</v>
      </c>
      <c r="G601" s="79" t="s">
        <v>4535</v>
      </c>
      <c r="H601" s="79">
        <v>69091300</v>
      </c>
      <c r="I601" s="79" t="s">
        <v>4914</v>
      </c>
      <c r="J601" s="79" t="s">
        <v>4445</v>
      </c>
    </row>
    <row r="602" spans="1:10" ht="14.25" hidden="1" customHeight="1" x14ac:dyDescent="0.25">
      <c r="A602" s="78">
        <v>691404005</v>
      </c>
      <c r="B602" s="54" t="s">
        <v>345</v>
      </c>
      <c r="C602" s="53" t="s">
        <v>159</v>
      </c>
      <c r="D602" s="79" t="s">
        <v>159</v>
      </c>
      <c r="E602" s="79" t="s">
        <v>4467</v>
      </c>
      <c r="F602" s="79" t="s">
        <v>4798</v>
      </c>
      <c r="G602" s="79" t="s">
        <v>1268</v>
      </c>
      <c r="H602" s="79">
        <v>69140400</v>
      </c>
      <c r="I602" s="79" t="s">
        <v>4914</v>
      </c>
      <c r="J602" s="79" t="s">
        <v>4445</v>
      </c>
    </row>
    <row r="603" spans="1:10" ht="14.25" hidden="1" customHeight="1" x14ac:dyDescent="0.25">
      <c r="A603" s="78">
        <v>691707008</v>
      </c>
      <c r="B603" s="54" t="s">
        <v>362</v>
      </c>
      <c r="C603" s="53" t="s">
        <v>159</v>
      </c>
      <c r="D603" s="79" t="s">
        <v>159</v>
      </c>
      <c r="E603" s="79" t="s">
        <v>4216</v>
      </c>
      <c r="F603" s="79" t="s">
        <v>4786</v>
      </c>
      <c r="G603" s="79" t="s">
        <v>1901</v>
      </c>
      <c r="H603" s="79">
        <v>69170700</v>
      </c>
      <c r="I603" s="79" t="s">
        <v>4914</v>
      </c>
      <c r="J603" s="79" t="s">
        <v>4445</v>
      </c>
    </row>
    <row r="604" spans="1:10" ht="14.25" hidden="1" customHeight="1" x14ac:dyDescent="0.25">
      <c r="A604" s="78" t="s">
        <v>703</v>
      </c>
      <c r="B604" s="54" t="s">
        <v>704</v>
      </c>
      <c r="C604" s="53" t="s">
        <v>159</v>
      </c>
      <c r="D604" s="79" t="s">
        <v>159</v>
      </c>
      <c r="E604" s="79" t="s">
        <v>4470</v>
      </c>
      <c r="F604" s="79" t="s">
        <v>4778</v>
      </c>
      <c r="G604" s="79" t="s">
        <v>2464</v>
      </c>
      <c r="H604" s="79">
        <v>76037430</v>
      </c>
      <c r="I604" s="79" t="s">
        <v>4915</v>
      </c>
      <c r="J604" s="79" t="s">
        <v>4445</v>
      </c>
    </row>
    <row r="605" spans="1:10" ht="14.25" hidden="1" customHeight="1" x14ac:dyDescent="0.25">
      <c r="A605" s="78">
        <v>611030061</v>
      </c>
      <c r="B605" s="54" t="s">
        <v>1021</v>
      </c>
      <c r="C605" s="53" t="s">
        <v>4</v>
      </c>
      <c r="D605" s="79" t="s">
        <v>4782</v>
      </c>
      <c r="E605" s="79" t="s">
        <v>4186</v>
      </c>
      <c r="F605" s="79" t="s">
        <v>4802</v>
      </c>
      <c r="G605" s="79" t="s">
        <v>4074</v>
      </c>
      <c r="H605" s="79">
        <v>61103006</v>
      </c>
      <c r="I605" s="79" t="s">
        <v>4915</v>
      </c>
      <c r="J605" s="79" t="s">
        <v>4453</v>
      </c>
    </row>
    <row r="606" spans="1:10" ht="14.25" hidden="1" customHeight="1" x14ac:dyDescent="0.25">
      <c r="A606" s="78">
        <v>652730205</v>
      </c>
      <c r="B606" s="54" t="s">
        <v>996</v>
      </c>
      <c r="C606" s="53" t="s">
        <v>159</v>
      </c>
      <c r="D606" s="79" t="s">
        <v>159</v>
      </c>
      <c r="E606" s="79" t="s">
        <v>4170</v>
      </c>
      <c r="F606" s="79" t="s">
        <v>4798</v>
      </c>
      <c r="G606" s="79" t="s">
        <v>1586</v>
      </c>
      <c r="H606" s="79">
        <v>65273020</v>
      </c>
      <c r="I606" s="79" t="s">
        <v>4914</v>
      </c>
      <c r="J606" s="79" t="s">
        <v>4445</v>
      </c>
    </row>
    <row r="607" spans="1:10" ht="14.25" hidden="1" customHeight="1" x14ac:dyDescent="0.25">
      <c r="A607" s="78">
        <v>770510473</v>
      </c>
      <c r="B607" s="54" t="s">
        <v>523</v>
      </c>
      <c r="C607" s="53" t="s">
        <v>159</v>
      </c>
      <c r="D607" s="79" t="s">
        <v>159</v>
      </c>
      <c r="E607" s="79" t="s">
        <v>4395</v>
      </c>
      <c r="F607" s="79" t="s">
        <v>4778</v>
      </c>
      <c r="G607" s="79" t="s">
        <v>2237</v>
      </c>
      <c r="H607" s="79">
        <v>77051047</v>
      </c>
      <c r="I607" s="79" t="s">
        <v>4915</v>
      </c>
      <c r="J607" s="79" t="s">
        <v>4445</v>
      </c>
    </row>
    <row r="608" spans="1:10" ht="14.25" hidden="1" customHeight="1" x14ac:dyDescent="0.25">
      <c r="A608" s="78">
        <v>779049493</v>
      </c>
      <c r="B608" s="54" t="s">
        <v>1102</v>
      </c>
      <c r="C608" s="53" t="s">
        <v>159</v>
      </c>
      <c r="D608" s="79" t="s">
        <v>159</v>
      </c>
      <c r="E608" s="79" t="s">
        <v>4510</v>
      </c>
      <c r="F608" s="79" t="s">
        <v>4778</v>
      </c>
      <c r="G608" s="79" t="s">
        <v>2226</v>
      </c>
      <c r="H608" s="79">
        <v>77904949</v>
      </c>
      <c r="I608" s="79" t="s">
        <v>4915</v>
      </c>
      <c r="J608" s="79" t="s">
        <v>4445</v>
      </c>
    </row>
    <row r="609" spans="1:10" ht="14.25" hidden="1" customHeight="1" x14ac:dyDescent="0.25">
      <c r="A609" s="78">
        <v>769729186</v>
      </c>
      <c r="B609" s="54" t="s">
        <v>1014</v>
      </c>
      <c r="C609" s="53" t="s">
        <v>159</v>
      </c>
      <c r="D609" s="79" t="s">
        <v>159</v>
      </c>
      <c r="E609" s="79" t="s">
        <v>4460</v>
      </c>
      <c r="F609" s="79" t="s">
        <v>4786</v>
      </c>
      <c r="G609" s="79" t="s">
        <v>3456</v>
      </c>
      <c r="H609" s="79">
        <v>76972918</v>
      </c>
      <c r="I609" s="79" t="s">
        <v>4915</v>
      </c>
      <c r="J609" s="79" t="s">
        <v>4445</v>
      </c>
    </row>
    <row r="610" spans="1:10" ht="14.25" hidden="1" customHeight="1" x14ac:dyDescent="0.25">
      <c r="A610" s="78">
        <v>776190853</v>
      </c>
      <c r="B610" s="54" t="s">
        <v>1034</v>
      </c>
      <c r="C610" s="53" t="s">
        <v>159</v>
      </c>
      <c r="D610" s="79" t="s">
        <v>159</v>
      </c>
      <c r="E610" s="79" t="s">
        <v>4463</v>
      </c>
      <c r="F610" s="79" t="s">
        <v>4778</v>
      </c>
      <c r="G610" s="79" t="s">
        <v>3361</v>
      </c>
      <c r="H610" s="79">
        <v>77619085</v>
      </c>
      <c r="I610" s="79" t="s">
        <v>4915</v>
      </c>
      <c r="J610" s="79" t="s">
        <v>4445</v>
      </c>
    </row>
    <row r="611" spans="1:10" ht="14.25" hidden="1" customHeight="1" x14ac:dyDescent="0.25">
      <c r="A611" s="78">
        <v>801239005</v>
      </c>
      <c r="B611" s="54" t="s">
        <v>975</v>
      </c>
      <c r="C611" s="53" t="s">
        <v>159</v>
      </c>
      <c r="D611" s="79" t="s">
        <v>159</v>
      </c>
      <c r="E611" s="79" t="s">
        <v>4391</v>
      </c>
      <c r="F611" s="79" t="s">
        <v>4778</v>
      </c>
      <c r="G611" s="79" t="s">
        <v>3214</v>
      </c>
      <c r="H611" s="79">
        <v>80123900</v>
      </c>
      <c r="I611" s="79" t="s">
        <v>4915</v>
      </c>
      <c r="J611" s="79" t="s">
        <v>4445</v>
      </c>
    </row>
    <row r="612" spans="1:10" ht="14.25" hidden="1" customHeight="1" x14ac:dyDescent="0.25">
      <c r="A612" s="78">
        <v>775202769</v>
      </c>
      <c r="B612" s="54" t="s">
        <v>945</v>
      </c>
      <c r="C612" s="53" t="s">
        <v>159</v>
      </c>
      <c r="D612" s="79" t="s">
        <v>159</v>
      </c>
      <c r="E612" s="79" t="s">
        <v>4391</v>
      </c>
      <c r="F612" s="79" t="s">
        <v>4778</v>
      </c>
      <c r="G612" s="79" t="s">
        <v>3034</v>
      </c>
      <c r="H612" s="79">
        <v>77520276</v>
      </c>
      <c r="I612" s="79" t="s">
        <v>4915</v>
      </c>
      <c r="J612" s="79" t="s">
        <v>4445</v>
      </c>
    </row>
    <row r="613" spans="1:10" ht="14.25" hidden="1" customHeight="1" x14ac:dyDescent="0.25">
      <c r="A613" s="78">
        <v>616069071</v>
      </c>
      <c r="B613" s="54" t="s">
        <v>229</v>
      </c>
      <c r="C613" s="53" t="s">
        <v>4790</v>
      </c>
      <c r="D613" s="79" t="s">
        <v>4790</v>
      </c>
      <c r="E613" s="79" t="s">
        <v>4258</v>
      </c>
      <c r="F613" s="79" t="s">
        <v>4791</v>
      </c>
      <c r="G613" s="79" t="s">
        <v>1875</v>
      </c>
      <c r="H613" s="79">
        <v>61606907</v>
      </c>
      <c r="I613" s="79" t="s">
        <v>4914</v>
      </c>
      <c r="J613" s="79" t="s">
        <v>4445</v>
      </c>
    </row>
    <row r="614" spans="1:10" ht="14.25" hidden="1" customHeight="1" x14ac:dyDescent="0.25">
      <c r="A614" s="78">
        <v>777653768</v>
      </c>
      <c r="B614" s="54" t="s">
        <v>1098</v>
      </c>
      <c r="C614" s="53" t="s">
        <v>159</v>
      </c>
      <c r="D614" s="79" t="s">
        <v>159</v>
      </c>
      <c r="E614" s="79" t="s">
        <v>4495</v>
      </c>
      <c r="F614" s="79" t="s">
        <v>4792</v>
      </c>
      <c r="G614" s="79" t="s">
        <v>2176</v>
      </c>
      <c r="H614" s="79">
        <v>77765376</v>
      </c>
      <c r="I614" s="79" t="s">
        <v>4915</v>
      </c>
      <c r="J614" s="79" t="s">
        <v>4445</v>
      </c>
    </row>
    <row r="615" spans="1:10" ht="14.25" hidden="1" customHeight="1" x14ac:dyDescent="0.25">
      <c r="A615" s="78" t="s">
        <v>664</v>
      </c>
      <c r="B615" s="54" t="s">
        <v>665</v>
      </c>
      <c r="C615" s="53" t="s">
        <v>159</v>
      </c>
      <c r="D615" s="79" t="s">
        <v>159</v>
      </c>
      <c r="E615" s="79" t="s">
        <v>4295</v>
      </c>
      <c r="F615" s="79" t="s">
        <v>4784</v>
      </c>
      <c r="G615" s="79" t="s">
        <v>1533</v>
      </c>
      <c r="H615" s="79">
        <v>61980080</v>
      </c>
      <c r="I615" s="79" t="s">
        <v>4914</v>
      </c>
      <c r="J615" s="79" t="s">
        <v>4445</v>
      </c>
    </row>
    <row r="616" spans="1:10" ht="14.25" hidden="1" customHeight="1" x14ac:dyDescent="0.25">
      <c r="A616" s="78">
        <v>690413000</v>
      </c>
      <c r="B616" s="54" t="s">
        <v>4420</v>
      </c>
      <c r="C616" s="53" t="s">
        <v>159</v>
      </c>
      <c r="D616" s="79" t="s">
        <v>159</v>
      </c>
      <c r="E616" s="79" t="s">
        <v>4521</v>
      </c>
      <c r="F616" s="79" t="s">
        <v>4789</v>
      </c>
      <c r="G616" s="79" t="s">
        <v>4520</v>
      </c>
      <c r="H616" s="79">
        <v>69041300</v>
      </c>
      <c r="I616" s="79" t="s">
        <v>4914</v>
      </c>
      <c r="J616" s="79" t="s">
        <v>4445</v>
      </c>
    </row>
    <row r="617" spans="1:10" ht="14.25" hidden="1" customHeight="1" x14ac:dyDescent="0.25">
      <c r="A617" s="78">
        <v>616066064</v>
      </c>
      <c r="B617" s="54" t="s">
        <v>39</v>
      </c>
      <c r="C617" s="53" t="s">
        <v>159</v>
      </c>
      <c r="D617" s="79" t="s">
        <v>159</v>
      </c>
      <c r="E617" s="79" t="s">
        <v>4249</v>
      </c>
      <c r="F617" s="79" t="s">
        <v>4788</v>
      </c>
      <c r="G617" s="79" t="s">
        <v>3779</v>
      </c>
      <c r="H617" s="79">
        <v>61606606</v>
      </c>
      <c r="I617" s="79" t="s">
        <v>4914</v>
      </c>
      <c r="J617" s="79" t="s">
        <v>4445</v>
      </c>
    </row>
    <row r="618" spans="1:10" ht="14.25" hidden="1" customHeight="1" x14ac:dyDescent="0.25">
      <c r="A618" s="78">
        <v>767839332</v>
      </c>
      <c r="B618" s="54" t="s">
        <v>1093</v>
      </c>
      <c r="C618" s="53" t="s">
        <v>159</v>
      </c>
      <c r="D618" s="79" t="s">
        <v>159</v>
      </c>
      <c r="E618" s="79" t="s">
        <v>4490</v>
      </c>
      <c r="F618" s="79" t="s">
        <v>4788</v>
      </c>
      <c r="G618" s="79" t="s">
        <v>2714</v>
      </c>
      <c r="H618" s="79">
        <v>76783933</v>
      </c>
      <c r="I618" s="79" t="s">
        <v>4915</v>
      </c>
      <c r="J618" s="79" t="s">
        <v>4445</v>
      </c>
    </row>
    <row r="619" spans="1:10" ht="14.25" hidden="1" customHeight="1" x14ac:dyDescent="0.25">
      <c r="A619" s="78">
        <v>654787603</v>
      </c>
      <c r="B619" s="54" t="s">
        <v>4434</v>
      </c>
      <c r="C619" s="53" t="s">
        <v>159</v>
      </c>
      <c r="D619" s="79" t="s">
        <v>159</v>
      </c>
      <c r="E619" s="79" t="s">
        <v>4515</v>
      </c>
      <c r="F619" s="79" t="s">
        <v>4786</v>
      </c>
      <c r="G619" s="79" t="s">
        <v>4514</v>
      </c>
      <c r="H619" s="79">
        <v>65478760</v>
      </c>
      <c r="I619" s="79" t="s">
        <v>4914</v>
      </c>
      <c r="J619" s="79" t="s">
        <v>4445</v>
      </c>
    </row>
    <row r="620" spans="1:10" ht="14.25" hidden="1" customHeight="1" x14ac:dyDescent="0.25">
      <c r="A620" s="78">
        <v>616066099</v>
      </c>
      <c r="B620" s="54" t="s">
        <v>41</v>
      </c>
      <c r="C620" s="53" t="s">
        <v>159</v>
      </c>
      <c r="D620" s="79" t="s">
        <v>159</v>
      </c>
      <c r="E620" s="79" t="s">
        <v>4813</v>
      </c>
      <c r="F620" s="79" t="s">
        <v>4788</v>
      </c>
      <c r="G620" s="79" t="s">
        <v>1324</v>
      </c>
      <c r="H620" s="79">
        <v>61606609</v>
      </c>
      <c r="I620" s="79" t="s">
        <v>4914</v>
      </c>
      <c r="J620" s="79" t="s">
        <v>4445</v>
      </c>
    </row>
    <row r="621" spans="1:10" ht="14.25" hidden="1" customHeight="1" x14ac:dyDescent="0.25">
      <c r="A621" s="78">
        <v>616069101</v>
      </c>
      <c r="B621" s="54" t="s">
        <v>4821</v>
      </c>
      <c r="C621" s="53" t="s">
        <v>159</v>
      </c>
      <c r="D621" s="79" t="s">
        <v>159</v>
      </c>
      <c r="E621" s="79" t="s">
        <v>4261</v>
      </c>
      <c r="F621" s="79" t="s">
        <v>4791</v>
      </c>
      <c r="G621" s="79" t="s">
        <v>1623</v>
      </c>
      <c r="H621" s="79">
        <v>61606910</v>
      </c>
      <c r="I621" s="79" t="s">
        <v>4914</v>
      </c>
      <c r="J621" s="79" t="s">
        <v>4445</v>
      </c>
    </row>
    <row r="622" spans="1:10" ht="14.25" hidden="1" customHeight="1" x14ac:dyDescent="0.25">
      <c r="A622" s="78">
        <v>691903001</v>
      </c>
      <c r="B622" s="54" t="s">
        <v>369</v>
      </c>
      <c r="C622" s="53" t="s">
        <v>159</v>
      </c>
      <c r="D622" s="79" t="s">
        <v>159</v>
      </c>
      <c r="E622" s="79" t="s">
        <v>4363</v>
      </c>
      <c r="F622" s="79" t="s">
        <v>4779</v>
      </c>
      <c r="G622" s="79" t="s">
        <v>1314</v>
      </c>
      <c r="H622" s="79">
        <v>69190300</v>
      </c>
      <c r="I622" s="79" t="s">
        <v>4914</v>
      </c>
      <c r="J622" s="79" t="s">
        <v>4445</v>
      </c>
    </row>
    <row r="623" spans="1:10" ht="14.25" hidden="1" customHeight="1" x14ac:dyDescent="0.25">
      <c r="A623" s="78">
        <v>761843133</v>
      </c>
      <c r="B623" s="54" t="s">
        <v>467</v>
      </c>
      <c r="C623" s="53" t="s">
        <v>159</v>
      </c>
      <c r="D623" s="79" t="s">
        <v>159</v>
      </c>
      <c r="E623" s="79" t="s">
        <v>4391</v>
      </c>
      <c r="F623" s="79" t="s">
        <v>4778</v>
      </c>
      <c r="G623" s="79" t="s">
        <v>2514</v>
      </c>
      <c r="H623" s="79">
        <v>76184313</v>
      </c>
      <c r="I623" s="79" t="s">
        <v>4915</v>
      </c>
      <c r="J623" s="79" t="s">
        <v>4445</v>
      </c>
    </row>
    <row r="624" spans="1:10" ht="14.25" hidden="1" customHeight="1" x14ac:dyDescent="0.25">
      <c r="A624" s="78">
        <v>616069152</v>
      </c>
      <c r="B624" s="54" t="s">
        <v>232</v>
      </c>
      <c r="C624" s="53" t="s">
        <v>159</v>
      </c>
      <c r="D624" s="79" t="s">
        <v>159</v>
      </c>
      <c r="E624" s="79" t="s">
        <v>4263</v>
      </c>
      <c r="F624" s="79" t="s">
        <v>4791</v>
      </c>
      <c r="G624" s="79" t="s">
        <v>1355</v>
      </c>
      <c r="H624" s="79">
        <v>61606915</v>
      </c>
      <c r="I624" s="79" t="s">
        <v>4914</v>
      </c>
      <c r="J624" s="79" t="s">
        <v>4445</v>
      </c>
    </row>
    <row r="625" spans="1:10" ht="14.25" hidden="1" customHeight="1" x14ac:dyDescent="0.25">
      <c r="A625" s="78">
        <v>89055407</v>
      </c>
      <c r="B625" s="54" t="s">
        <v>981</v>
      </c>
      <c r="C625" s="53" t="s">
        <v>159</v>
      </c>
      <c r="D625" s="79" t="s">
        <v>159</v>
      </c>
      <c r="E625" s="79" t="s">
        <v>4475</v>
      </c>
      <c r="F625" s="79" t="s">
        <v>4786</v>
      </c>
      <c r="G625" s="79" t="s">
        <v>3256</v>
      </c>
      <c r="H625" s="79">
        <v>8905540</v>
      </c>
      <c r="I625" s="79" t="s">
        <v>4915</v>
      </c>
      <c r="J625" s="79" t="s">
        <v>4445</v>
      </c>
    </row>
    <row r="626" spans="1:10" ht="14.25" hidden="1" customHeight="1" x14ac:dyDescent="0.25">
      <c r="A626" s="78">
        <v>761732145</v>
      </c>
      <c r="B626" s="54" t="s">
        <v>812</v>
      </c>
      <c r="C626" s="53" t="s">
        <v>159</v>
      </c>
      <c r="D626" s="79" t="s">
        <v>159</v>
      </c>
      <c r="E626" s="79" t="s">
        <v>4168</v>
      </c>
      <c r="F626" s="79" t="s">
        <v>4778</v>
      </c>
      <c r="G626" s="79" t="s">
        <v>2510</v>
      </c>
      <c r="H626" s="79">
        <v>76173214</v>
      </c>
      <c r="I626" s="79" t="s">
        <v>4915</v>
      </c>
      <c r="J626" s="79" t="s">
        <v>4445</v>
      </c>
    </row>
    <row r="627" spans="1:10" ht="14.25" hidden="1" customHeight="1" x14ac:dyDescent="0.25">
      <c r="A627" s="78">
        <v>691703002</v>
      </c>
      <c r="B627" s="54" t="s">
        <v>912</v>
      </c>
      <c r="C627" s="53" t="s">
        <v>159</v>
      </c>
      <c r="D627" s="79" t="s">
        <v>159</v>
      </c>
      <c r="E627" s="79" t="s">
        <v>4273</v>
      </c>
      <c r="F627" s="79" t="s">
        <v>4786</v>
      </c>
      <c r="G627" s="79" t="s">
        <v>1897</v>
      </c>
      <c r="H627" s="79">
        <v>69170300</v>
      </c>
      <c r="I627" s="79" t="s">
        <v>4914</v>
      </c>
      <c r="J627" s="79" t="s">
        <v>4445</v>
      </c>
    </row>
    <row r="628" spans="1:10" ht="14.25" hidden="1" customHeight="1" x14ac:dyDescent="0.25">
      <c r="A628" s="78">
        <v>616069004</v>
      </c>
      <c r="B628" s="54" t="s">
        <v>225</v>
      </c>
      <c r="C628" s="53" t="s">
        <v>159</v>
      </c>
      <c r="D628" s="79" t="s">
        <v>159</v>
      </c>
      <c r="E628" s="79" t="s">
        <v>4257</v>
      </c>
      <c r="F628" s="79" t="s">
        <v>4791</v>
      </c>
      <c r="G628" s="79" t="s">
        <v>1337</v>
      </c>
      <c r="H628" s="79">
        <v>61606900</v>
      </c>
      <c r="I628" s="79" t="s">
        <v>4914</v>
      </c>
      <c r="J628" s="79" t="s">
        <v>4445</v>
      </c>
    </row>
    <row r="629" spans="1:10" ht="14.25" hidden="1" customHeight="1" x14ac:dyDescent="0.25">
      <c r="A629" s="78" t="s">
        <v>620</v>
      </c>
      <c r="B629" s="54" t="s">
        <v>621</v>
      </c>
      <c r="C629" s="53" t="s">
        <v>159</v>
      </c>
      <c r="D629" s="79" t="s">
        <v>159</v>
      </c>
      <c r="E629" s="79" t="s">
        <v>4178</v>
      </c>
      <c r="F629" s="79" t="s">
        <v>4795</v>
      </c>
      <c r="G629" s="79" t="s">
        <v>4053</v>
      </c>
      <c r="H629" s="79">
        <v>61004042</v>
      </c>
      <c r="I629" s="79" t="s">
        <v>4914</v>
      </c>
      <c r="J629" s="79" t="s">
        <v>4445</v>
      </c>
    </row>
    <row r="630" spans="1:10" ht="14.25" hidden="1" customHeight="1" x14ac:dyDescent="0.25">
      <c r="A630" s="78">
        <v>725295006</v>
      </c>
      <c r="B630" s="54" t="s">
        <v>453</v>
      </c>
      <c r="C630" s="53" t="s">
        <v>159</v>
      </c>
      <c r="D630" s="79" t="s">
        <v>159</v>
      </c>
      <c r="E630" s="79" t="s">
        <v>4388</v>
      </c>
      <c r="F630" s="79" t="s">
        <v>4792</v>
      </c>
      <c r="G630" s="79" t="s">
        <v>1570</v>
      </c>
      <c r="H630" s="79">
        <v>72529500</v>
      </c>
      <c r="I630" s="79" t="s">
        <v>4914</v>
      </c>
      <c r="J630" s="79" t="s">
        <v>4445</v>
      </c>
    </row>
    <row r="631" spans="1:10" ht="14.25" hidden="1" customHeight="1" x14ac:dyDescent="0.25">
      <c r="A631" s="78">
        <v>616022423</v>
      </c>
      <c r="B631" s="54" t="s">
        <v>193</v>
      </c>
      <c r="C631" s="53" t="s">
        <v>159</v>
      </c>
      <c r="D631" s="79" t="s">
        <v>159</v>
      </c>
      <c r="E631" s="79" t="s">
        <v>4480</v>
      </c>
      <c r="F631" s="79" t="s">
        <v>4779</v>
      </c>
      <c r="G631" s="79" t="s">
        <v>1443</v>
      </c>
      <c r="H631" s="79">
        <v>61602242</v>
      </c>
      <c r="I631" s="79" t="s">
        <v>4914</v>
      </c>
      <c r="J631" s="79" t="s">
        <v>4445</v>
      </c>
    </row>
    <row r="632" spans="1:10" ht="14.25" hidden="1" customHeight="1" x14ac:dyDescent="0.25">
      <c r="A632" s="78">
        <v>778068524</v>
      </c>
      <c r="B632" s="54" t="s">
        <v>938</v>
      </c>
      <c r="C632" s="53" t="s">
        <v>159</v>
      </c>
      <c r="D632" s="79" t="s">
        <v>159</v>
      </c>
      <c r="E632" s="79" t="s">
        <v>4449</v>
      </c>
      <c r="F632" s="79" t="s">
        <v>4778</v>
      </c>
      <c r="G632" s="79" t="s">
        <v>3125</v>
      </c>
      <c r="H632" s="79">
        <v>77806852</v>
      </c>
      <c r="I632" s="79" t="s">
        <v>4915</v>
      </c>
      <c r="J632" s="79" t="s">
        <v>4445</v>
      </c>
    </row>
    <row r="633" spans="1:10" ht="14.25" hidden="1" customHeight="1" x14ac:dyDescent="0.25">
      <c r="A633" s="78">
        <v>929990005</v>
      </c>
      <c r="B633" s="54" t="s">
        <v>1091</v>
      </c>
      <c r="C633" s="53" t="s">
        <v>159</v>
      </c>
      <c r="D633" s="79" t="s">
        <v>159</v>
      </c>
      <c r="E633" s="79" t="s">
        <v>4444</v>
      </c>
      <c r="F633" s="79" t="s">
        <v>4778</v>
      </c>
      <c r="G633" s="79" t="s">
        <v>2358</v>
      </c>
      <c r="H633" s="79">
        <v>92999000</v>
      </c>
      <c r="I633" s="79" t="s">
        <v>4915</v>
      </c>
      <c r="J633" s="79" t="s">
        <v>4445</v>
      </c>
    </row>
    <row r="634" spans="1:10" ht="14.25" hidden="1" customHeight="1" x14ac:dyDescent="0.25">
      <c r="A634" s="78">
        <v>690904004</v>
      </c>
      <c r="B634" s="54" t="s">
        <v>323</v>
      </c>
      <c r="C634" s="53" t="s">
        <v>4790</v>
      </c>
      <c r="D634" s="79" t="s">
        <v>4790</v>
      </c>
      <c r="E634" s="79" t="s">
        <v>4205</v>
      </c>
      <c r="F634" s="79" t="s">
        <v>4795</v>
      </c>
      <c r="G634" s="79" t="s">
        <v>1767</v>
      </c>
      <c r="H634" s="79">
        <v>69090400</v>
      </c>
      <c r="I634" s="79" t="s">
        <v>4914</v>
      </c>
      <c r="J634" s="79" t="s">
        <v>4445</v>
      </c>
    </row>
    <row r="635" spans="1:10" ht="14.25" hidden="1" customHeight="1" x14ac:dyDescent="0.25">
      <c r="A635" s="78">
        <v>690809001</v>
      </c>
      <c r="B635" s="54" t="s">
        <v>1747</v>
      </c>
      <c r="C635" s="53" t="s">
        <v>159</v>
      </c>
      <c r="D635" s="79" t="s">
        <v>159</v>
      </c>
      <c r="E635" s="79" t="s">
        <v>4201</v>
      </c>
      <c r="F635" s="79" t="s">
        <v>4795</v>
      </c>
      <c r="G635" s="79" t="s">
        <v>1746</v>
      </c>
      <c r="H635" s="79">
        <v>69080900</v>
      </c>
      <c r="I635" s="79" t="s">
        <v>4914</v>
      </c>
      <c r="J635" s="79" t="s">
        <v>4445</v>
      </c>
    </row>
    <row r="636" spans="1:10" ht="14.25" hidden="1" customHeight="1" x14ac:dyDescent="0.25">
      <c r="A636" s="78" t="s">
        <v>1023</v>
      </c>
      <c r="B636" s="54" t="s">
        <v>1024</v>
      </c>
      <c r="C636" s="53" t="s">
        <v>159</v>
      </c>
      <c r="D636" s="79" t="s">
        <v>159</v>
      </c>
      <c r="E636" s="79" t="s">
        <v>4350</v>
      </c>
      <c r="F636" s="79" t="s">
        <v>4786</v>
      </c>
      <c r="G636" s="79" t="s">
        <v>2197</v>
      </c>
      <c r="H636" s="79">
        <v>69151000</v>
      </c>
      <c r="I636" s="79" t="s">
        <v>4914</v>
      </c>
      <c r="J636" s="79" t="s">
        <v>4445</v>
      </c>
    </row>
    <row r="637" spans="1:10" ht="14.25" hidden="1" customHeight="1" x14ac:dyDescent="0.25">
      <c r="A637" s="78">
        <v>767486421</v>
      </c>
      <c r="B637" s="54" t="s">
        <v>503</v>
      </c>
      <c r="C637" s="53" t="s">
        <v>159</v>
      </c>
      <c r="D637" s="79" t="s">
        <v>159</v>
      </c>
      <c r="E637" s="79" t="s">
        <v>4465</v>
      </c>
      <c r="F637" s="79" t="s">
        <v>4778</v>
      </c>
      <c r="G637" s="79" t="s">
        <v>2690</v>
      </c>
      <c r="H637" s="79">
        <v>76748642</v>
      </c>
      <c r="I637" s="79" t="s">
        <v>4915</v>
      </c>
      <c r="J637" s="79" t="s">
        <v>4445</v>
      </c>
    </row>
    <row r="638" spans="1:10" ht="14.25" hidden="1" customHeight="1" x14ac:dyDescent="0.25">
      <c r="A638" s="78">
        <v>777129597</v>
      </c>
      <c r="B638" s="54" t="s">
        <v>974</v>
      </c>
      <c r="C638" s="53" t="s">
        <v>159</v>
      </c>
      <c r="D638" s="79" t="s">
        <v>159</v>
      </c>
      <c r="E638" s="79" t="s">
        <v>4391</v>
      </c>
      <c r="F638" s="79" t="s">
        <v>4778</v>
      </c>
      <c r="G638" s="79" t="s">
        <v>3092</v>
      </c>
      <c r="H638" s="79">
        <v>77712959</v>
      </c>
      <c r="I638" s="79" t="s">
        <v>4915</v>
      </c>
      <c r="J638" s="79" t="s">
        <v>4445</v>
      </c>
    </row>
    <row r="639" spans="1:10" ht="14.25" hidden="1" customHeight="1" x14ac:dyDescent="0.25">
      <c r="A639" s="78">
        <v>779682609</v>
      </c>
      <c r="B639" s="54" t="s">
        <v>1010</v>
      </c>
      <c r="C639" s="53" t="s">
        <v>159</v>
      </c>
      <c r="D639" s="79" t="s">
        <v>159</v>
      </c>
      <c r="E639" s="79" t="s">
        <v>4391</v>
      </c>
      <c r="F639" s="79" t="s">
        <v>4778</v>
      </c>
      <c r="G639" s="79" t="s">
        <v>3158</v>
      </c>
      <c r="H639" s="79">
        <v>77968260</v>
      </c>
      <c r="I639" s="79" t="s">
        <v>4915</v>
      </c>
      <c r="J639" s="79" t="s">
        <v>4445</v>
      </c>
    </row>
    <row r="640" spans="1:10" ht="14.25" hidden="1" customHeight="1" x14ac:dyDescent="0.25">
      <c r="A640" s="78">
        <v>692518004</v>
      </c>
      <c r="B640" s="54" t="s">
        <v>387</v>
      </c>
      <c r="C640" s="53" t="s">
        <v>159</v>
      </c>
      <c r="D640" s="79" t="s">
        <v>159</v>
      </c>
      <c r="E640" s="79" t="s">
        <v>4294</v>
      </c>
      <c r="F640" s="79" t="s">
        <v>4784</v>
      </c>
      <c r="G640" s="79" t="s">
        <v>1711</v>
      </c>
      <c r="H640" s="79">
        <v>69251800</v>
      </c>
      <c r="I640" s="79" t="s">
        <v>4914</v>
      </c>
      <c r="J640" s="79" t="s">
        <v>4445</v>
      </c>
    </row>
    <row r="641" spans="1:10" ht="14.25" hidden="1" customHeight="1" x14ac:dyDescent="0.25">
      <c r="A641" s="78">
        <v>619990307</v>
      </c>
      <c r="B641" s="54" t="s">
        <v>783</v>
      </c>
      <c r="C641" s="53" t="s">
        <v>159</v>
      </c>
      <c r="D641" s="79" t="s">
        <v>159</v>
      </c>
      <c r="E641" s="79" t="s">
        <v>4168</v>
      </c>
      <c r="F641" s="79" t="s">
        <v>4778</v>
      </c>
      <c r="G641" s="79" t="s">
        <v>1553</v>
      </c>
      <c r="H641" s="79">
        <v>61999030</v>
      </c>
      <c r="I641" s="79" t="s">
        <v>4914</v>
      </c>
      <c r="J641" s="79" t="s">
        <v>4445</v>
      </c>
    </row>
    <row r="642" spans="1:10" ht="14.25" hidden="1" customHeight="1" x14ac:dyDescent="0.25">
      <c r="A642" s="78">
        <v>690909006</v>
      </c>
      <c r="B642" s="54" t="s">
        <v>326</v>
      </c>
      <c r="C642" s="53" t="s">
        <v>159</v>
      </c>
      <c r="D642" s="79" t="s">
        <v>159</v>
      </c>
      <c r="E642" s="79" t="s">
        <v>4332</v>
      </c>
      <c r="F642" s="79" t="s">
        <v>4795</v>
      </c>
      <c r="G642" s="79" t="s">
        <v>1778</v>
      </c>
      <c r="H642" s="79">
        <v>69090900</v>
      </c>
      <c r="I642" s="79" t="s">
        <v>4914</v>
      </c>
      <c r="J642" s="79" t="s">
        <v>4445</v>
      </c>
    </row>
    <row r="643" spans="1:10" ht="14.25" hidden="1" customHeight="1" x14ac:dyDescent="0.25">
      <c r="A643" s="78">
        <v>779315088</v>
      </c>
      <c r="B643" s="54" t="s">
        <v>4438</v>
      </c>
      <c r="C643" s="53" t="s">
        <v>159</v>
      </c>
      <c r="D643" s="79" t="s">
        <v>159</v>
      </c>
      <c r="E643" s="79" t="s">
        <v>4510</v>
      </c>
      <c r="F643" s="79" t="s">
        <v>4778</v>
      </c>
      <c r="G643" s="79" t="s">
        <v>4601</v>
      </c>
      <c r="H643" s="79">
        <v>77931508</v>
      </c>
      <c r="I643" s="79" t="s">
        <v>4915</v>
      </c>
      <c r="J643" s="79" t="s">
        <v>4445</v>
      </c>
    </row>
    <row r="644" spans="1:10" ht="14.25" hidden="1" customHeight="1" x14ac:dyDescent="0.25">
      <c r="A644" s="78">
        <v>969825201</v>
      </c>
      <c r="B644" s="54" t="s">
        <v>3368</v>
      </c>
      <c r="C644" s="53" t="s">
        <v>159</v>
      </c>
      <c r="D644" s="79" t="s">
        <v>159</v>
      </c>
      <c r="E644" s="79" t="s">
        <v>4391</v>
      </c>
      <c r="F644" s="79" t="s">
        <v>4778</v>
      </c>
      <c r="G644" s="79" t="s">
        <v>3367</v>
      </c>
      <c r="H644" s="79">
        <v>96982520</v>
      </c>
      <c r="I644" s="79" t="s">
        <v>4915</v>
      </c>
      <c r="J644" s="79" t="s">
        <v>4445</v>
      </c>
    </row>
    <row r="645" spans="1:10" ht="14.25" hidden="1" customHeight="1" x14ac:dyDescent="0.25">
      <c r="A645" s="78">
        <v>692502000</v>
      </c>
      <c r="B645" s="54" t="s">
        <v>385</v>
      </c>
      <c r="C645" s="53" t="s">
        <v>159</v>
      </c>
      <c r="D645" s="79" t="s">
        <v>159</v>
      </c>
      <c r="E645" s="79" t="s">
        <v>4185</v>
      </c>
      <c r="F645" s="79" t="s">
        <v>4806</v>
      </c>
      <c r="G645" s="79" t="s">
        <v>1998</v>
      </c>
      <c r="H645" s="79">
        <v>69250200</v>
      </c>
      <c r="I645" s="79" t="s">
        <v>4914</v>
      </c>
      <c r="J645" s="79" t="s">
        <v>4445</v>
      </c>
    </row>
    <row r="646" spans="1:10" ht="14.25" hidden="1" customHeight="1" x14ac:dyDescent="0.25">
      <c r="A646" s="78">
        <v>966248807</v>
      </c>
      <c r="B646" s="54" t="s">
        <v>4822</v>
      </c>
      <c r="C646" s="53" t="s">
        <v>159</v>
      </c>
      <c r="D646" s="79" t="s">
        <v>159</v>
      </c>
      <c r="E646" s="79" t="s">
        <v>4391</v>
      </c>
      <c r="F646" s="79" t="s">
        <v>4778</v>
      </c>
      <c r="G646" s="79" t="s">
        <v>3308</v>
      </c>
      <c r="H646" s="79">
        <v>96624880</v>
      </c>
      <c r="I646" s="79" t="s">
        <v>4915</v>
      </c>
      <c r="J646" s="79" t="s">
        <v>4445</v>
      </c>
    </row>
    <row r="647" spans="1:10" ht="14.25" hidden="1" customHeight="1" x14ac:dyDescent="0.25">
      <c r="A647" s="78">
        <v>778058294</v>
      </c>
      <c r="B647" s="54" t="s">
        <v>1084</v>
      </c>
      <c r="C647" s="53" t="s">
        <v>159</v>
      </c>
      <c r="D647" s="79" t="s">
        <v>159</v>
      </c>
      <c r="E647" s="79" t="s">
        <v>4182</v>
      </c>
      <c r="F647" s="79" t="s">
        <v>4796</v>
      </c>
      <c r="G647" s="79" t="s">
        <v>3123</v>
      </c>
      <c r="H647" s="79">
        <v>77805829</v>
      </c>
      <c r="I647" s="79" t="s">
        <v>4915</v>
      </c>
      <c r="J647" s="79" t="s">
        <v>4445</v>
      </c>
    </row>
    <row r="648" spans="1:10" ht="14.25" hidden="1" customHeight="1" x14ac:dyDescent="0.25">
      <c r="A648" s="78">
        <v>995808307</v>
      </c>
      <c r="B648" s="54" t="s">
        <v>4437</v>
      </c>
      <c r="C648" s="53" t="s">
        <v>159</v>
      </c>
      <c r="D648" s="79" t="s">
        <v>159</v>
      </c>
      <c r="E648" s="79" t="s">
        <v>4391</v>
      </c>
      <c r="F648" s="79" t="s">
        <v>4778</v>
      </c>
      <c r="G648" s="79" t="s">
        <v>4614</v>
      </c>
      <c r="H648" s="79">
        <v>99580830</v>
      </c>
      <c r="I648" s="79" t="s">
        <v>4915</v>
      </c>
      <c r="J648" s="79" t="s">
        <v>4445</v>
      </c>
    </row>
    <row r="649" spans="1:10" ht="14.25" hidden="1" customHeight="1" x14ac:dyDescent="0.25">
      <c r="A649" s="78">
        <v>58921203</v>
      </c>
      <c r="B649" s="54" t="s">
        <v>4418</v>
      </c>
      <c r="C649" s="53" t="s">
        <v>159</v>
      </c>
      <c r="D649" s="79" t="s">
        <v>159</v>
      </c>
      <c r="E649" s="79" t="s">
        <v>4456</v>
      </c>
      <c r="F649" s="79" t="s">
        <v>4778</v>
      </c>
      <c r="G649" s="79" t="s">
        <v>4455</v>
      </c>
      <c r="H649" s="79">
        <v>5892120</v>
      </c>
      <c r="I649" s="79" t="s">
        <v>4915</v>
      </c>
      <c r="J649" s="79" t="s">
        <v>4445</v>
      </c>
    </row>
    <row r="650" spans="1:10" ht="14.25" hidden="1" customHeight="1" x14ac:dyDescent="0.25">
      <c r="A650" s="78">
        <v>771893740</v>
      </c>
      <c r="B650" s="54" t="s">
        <v>852</v>
      </c>
      <c r="C650" s="53" t="s">
        <v>159</v>
      </c>
      <c r="D650" s="79" t="s">
        <v>159</v>
      </c>
      <c r="E650" s="79" t="s">
        <v>4168</v>
      </c>
      <c r="F650" s="79" t="s">
        <v>4778</v>
      </c>
      <c r="G650" s="79" t="s">
        <v>2897</v>
      </c>
      <c r="H650" s="79">
        <v>77189374</v>
      </c>
      <c r="I650" s="79" t="s">
        <v>4915</v>
      </c>
      <c r="J650" s="79" t="s">
        <v>4445</v>
      </c>
    </row>
    <row r="651" spans="1:10" ht="14.25" hidden="1" customHeight="1" x14ac:dyDescent="0.25">
      <c r="A651" s="78">
        <v>707547006</v>
      </c>
      <c r="B651" s="54" t="s">
        <v>1027</v>
      </c>
      <c r="C651" s="53" t="s">
        <v>159</v>
      </c>
      <c r="D651" s="79" t="s">
        <v>159</v>
      </c>
      <c r="E651" s="79" t="s">
        <v>4459</v>
      </c>
      <c r="F651" s="79" t="s">
        <v>4788</v>
      </c>
      <c r="G651" s="79" t="s">
        <v>2297</v>
      </c>
      <c r="H651" s="79">
        <v>70754700</v>
      </c>
      <c r="I651" s="79" t="s">
        <v>4915</v>
      </c>
      <c r="J651" s="79" t="s">
        <v>4445</v>
      </c>
    </row>
    <row r="652" spans="1:10" ht="14.25" hidden="1" customHeight="1" x14ac:dyDescent="0.25">
      <c r="A652" s="78">
        <v>767344848</v>
      </c>
      <c r="B652" s="54" t="s">
        <v>933</v>
      </c>
      <c r="C652" s="53" t="s">
        <v>159</v>
      </c>
      <c r="D652" s="79" t="s">
        <v>159</v>
      </c>
      <c r="E652" s="79" t="s">
        <v>4168</v>
      </c>
      <c r="F652" s="79" t="s">
        <v>4778</v>
      </c>
      <c r="G652" s="79" t="s">
        <v>2675</v>
      </c>
      <c r="H652" s="79">
        <v>76734484</v>
      </c>
      <c r="I652" s="79" t="s">
        <v>4915</v>
      </c>
      <c r="J652" s="79" t="s">
        <v>4445</v>
      </c>
    </row>
    <row r="653" spans="1:10" ht="14.25" hidden="1" customHeight="1" x14ac:dyDescent="0.25">
      <c r="A653" s="78">
        <v>613080007</v>
      </c>
      <c r="B653" s="54" t="s">
        <v>170</v>
      </c>
      <c r="C653" s="53" t="s">
        <v>159</v>
      </c>
      <c r="D653" s="79" t="s">
        <v>159</v>
      </c>
      <c r="E653" s="79" t="s">
        <v>4466</v>
      </c>
      <c r="F653" s="79" t="s">
        <v>4803</v>
      </c>
      <c r="G653" s="79" t="s">
        <v>4086</v>
      </c>
      <c r="H653" s="79">
        <v>61308000</v>
      </c>
      <c r="I653" s="79" t="s">
        <v>4914</v>
      </c>
      <c r="J653" s="79" t="s">
        <v>4445</v>
      </c>
    </row>
    <row r="654" spans="1:10" ht="14.25" hidden="1" customHeight="1" x14ac:dyDescent="0.25">
      <c r="A654" s="78">
        <v>767382995</v>
      </c>
      <c r="B654" s="54" t="s">
        <v>502</v>
      </c>
      <c r="C654" s="53" t="s">
        <v>159</v>
      </c>
      <c r="D654" s="79" t="s">
        <v>159</v>
      </c>
      <c r="E654" s="79" t="s">
        <v>4460</v>
      </c>
      <c r="F654" s="79" t="s">
        <v>4786</v>
      </c>
      <c r="G654" s="79" t="s">
        <v>2677</v>
      </c>
      <c r="H654" s="79">
        <v>76738299</v>
      </c>
      <c r="I654" s="79" t="s">
        <v>4915</v>
      </c>
      <c r="J654" s="79" t="s">
        <v>4445</v>
      </c>
    </row>
    <row r="655" spans="1:10" ht="14.25" hidden="1" customHeight="1" x14ac:dyDescent="0.25">
      <c r="A655" s="78">
        <v>611030355</v>
      </c>
      <c r="B655" s="54" t="s">
        <v>1000</v>
      </c>
      <c r="C655" s="53" t="s">
        <v>159</v>
      </c>
      <c r="D655" s="79" t="s">
        <v>159</v>
      </c>
      <c r="E655" s="79" t="s">
        <v>4411</v>
      </c>
      <c r="F655" s="79" t="s">
        <v>4778</v>
      </c>
      <c r="G655" s="79" t="s">
        <v>4081</v>
      </c>
      <c r="H655" s="79">
        <v>61103035</v>
      </c>
      <c r="I655" s="79" t="s">
        <v>4914</v>
      </c>
      <c r="J655" s="79" t="s">
        <v>4445</v>
      </c>
    </row>
    <row r="656" spans="1:10" ht="14.25" hidden="1" customHeight="1" x14ac:dyDescent="0.25">
      <c r="A656" s="78">
        <v>762886111</v>
      </c>
      <c r="B656" s="54" t="s">
        <v>985</v>
      </c>
      <c r="C656" s="53" t="s">
        <v>159</v>
      </c>
      <c r="D656" s="79" t="s">
        <v>159</v>
      </c>
      <c r="E656" s="79" t="s">
        <v>4465</v>
      </c>
      <c r="F656" s="79" t="s">
        <v>4778</v>
      </c>
      <c r="G656" s="79" t="s">
        <v>3297</v>
      </c>
      <c r="H656" s="79">
        <v>76288611</v>
      </c>
      <c r="I656" s="79" t="s">
        <v>4915</v>
      </c>
      <c r="J656" s="79" t="s">
        <v>4445</v>
      </c>
    </row>
    <row r="657" spans="1:10" ht="14.25" hidden="1" customHeight="1" x14ac:dyDescent="0.25">
      <c r="A657" s="78">
        <v>780271205</v>
      </c>
      <c r="B657" s="54" t="s">
        <v>577</v>
      </c>
      <c r="C657" s="53" t="s">
        <v>159</v>
      </c>
      <c r="D657" s="79" t="s">
        <v>159</v>
      </c>
      <c r="E657" s="79" t="s">
        <v>4460</v>
      </c>
      <c r="F657" s="79" t="s">
        <v>4786</v>
      </c>
      <c r="G657" s="79" t="s">
        <v>3162</v>
      </c>
      <c r="H657" s="79">
        <v>78027120</v>
      </c>
      <c r="I657" s="79" t="s">
        <v>4915</v>
      </c>
      <c r="J657" s="79" t="s">
        <v>4445</v>
      </c>
    </row>
    <row r="658" spans="1:10" ht="14.25" hidden="1" customHeight="1" x14ac:dyDescent="0.25">
      <c r="A658" s="78">
        <v>616071041</v>
      </c>
      <c r="B658" s="54" t="s">
        <v>45</v>
      </c>
      <c r="C658" s="53" t="s">
        <v>12</v>
      </c>
      <c r="D658" s="79" t="s">
        <v>4785</v>
      </c>
      <c r="E658" s="79" t="s">
        <v>4460</v>
      </c>
      <c r="F658" s="79" t="s">
        <v>4786</v>
      </c>
      <c r="G658" s="79" t="s">
        <v>1381</v>
      </c>
      <c r="H658" s="79">
        <v>61607104</v>
      </c>
      <c r="I658" s="79" t="s">
        <v>4914</v>
      </c>
      <c r="J658" s="79" t="s">
        <v>4464</v>
      </c>
    </row>
    <row r="659" spans="1:10" ht="14.25" hidden="1" customHeight="1" x14ac:dyDescent="0.25">
      <c r="A659" s="78" t="s">
        <v>1100</v>
      </c>
      <c r="B659" s="54" t="s">
        <v>1103</v>
      </c>
      <c r="C659" s="53" t="s">
        <v>159</v>
      </c>
      <c r="D659" s="79" t="s">
        <v>159</v>
      </c>
      <c r="E659" s="79" t="s">
        <v>4174</v>
      </c>
      <c r="F659" s="79" t="s">
        <v>4788</v>
      </c>
      <c r="G659" s="79" t="s">
        <v>3521</v>
      </c>
      <c r="H659" s="79">
        <v>83733800</v>
      </c>
      <c r="I659" s="79" t="s">
        <v>4915</v>
      </c>
      <c r="J659" s="79" t="s">
        <v>4445</v>
      </c>
    </row>
    <row r="660" spans="1:10" ht="14.25" hidden="1" customHeight="1" x14ac:dyDescent="0.25">
      <c r="A660" s="78">
        <v>716186008</v>
      </c>
      <c r="B660" s="54" t="s">
        <v>983</v>
      </c>
      <c r="C660" s="53" t="s">
        <v>159</v>
      </c>
      <c r="D660" s="79" t="s">
        <v>159</v>
      </c>
      <c r="E660" s="79" t="s">
        <v>4391</v>
      </c>
      <c r="F660" s="79" t="s">
        <v>4778</v>
      </c>
      <c r="G660" s="79" t="s">
        <v>2415</v>
      </c>
      <c r="H660" s="79">
        <v>71618600</v>
      </c>
      <c r="I660" s="79" t="s">
        <v>4915</v>
      </c>
      <c r="J660" s="79" t="s">
        <v>4445</v>
      </c>
    </row>
    <row r="661" spans="1:10" ht="14.25" hidden="1" customHeight="1" x14ac:dyDescent="0.25">
      <c r="A661" s="78">
        <v>619800702</v>
      </c>
      <c r="B661" s="54" t="s">
        <v>268</v>
      </c>
      <c r="C661" s="53" t="s">
        <v>159</v>
      </c>
      <c r="D661" s="79" t="s">
        <v>159</v>
      </c>
      <c r="E661" s="79" t="s">
        <v>4294</v>
      </c>
      <c r="F661" s="79" t="s">
        <v>4784</v>
      </c>
      <c r="G661" s="79" t="s">
        <v>1531</v>
      </c>
      <c r="H661" s="79">
        <v>61980070</v>
      </c>
      <c r="I661" s="79" t="s">
        <v>4914</v>
      </c>
      <c r="J661" s="79" t="s">
        <v>4445</v>
      </c>
    </row>
    <row r="662" spans="1:10" ht="14.25" hidden="1" customHeight="1" x14ac:dyDescent="0.25">
      <c r="A662" s="78">
        <v>771478026</v>
      </c>
      <c r="B662" s="54" t="s">
        <v>530</v>
      </c>
      <c r="C662" s="53" t="s">
        <v>159</v>
      </c>
      <c r="D662" s="79" t="s">
        <v>159</v>
      </c>
      <c r="E662" s="79" t="s">
        <v>4168</v>
      </c>
      <c r="F662" s="79" t="s">
        <v>4778</v>
      </c>
      <c r="G662" s="79" t="s">
        <v>2863</v>
      </c>
      <c r="H662" s="79">
        <v>77147802</v>
      </c>
      <c r="I662" s="79" t="s">
        <v>4915</v>
      </c>
      <c r="J662" s="79" t="s">
        <v>4445</v>
      </c>
    </row>
    <row r="663" spans="1:10" ht="14.25" hidden="1" customHeight="1" x14ac:dyDescent="0.25">
      <c r="A663" s="78" t="s">
        <v>711</v>
      </c>
      <c r="B663" s="54" t="s">
        <v>712</v>
      </c>
      <c r="C663" s="53" t="s">
        <v>159</v>
      </c>
      <c r="D663" s="79" t="s">
        <v>159</v>
      </c>
      <c r="E663" s="79" t="s">
        <v>4394</v>
      </c>
      <c r="F663" s="79" t="s">
        <v>4778</v>
      </c>
      <c r="G663" s="79" t="s">
        <v>2671</v>
      </c>
      <c r="H663" s="79">
        <v>76718218</v>
      </c>
      <c r="I663" s="79" t="s">
        <v>4915</v>
      </c>
      <c r="J663" s="79" t="s">
        <v>4445</v>
      </c>
    </row>
    <row r="664" spans="1:10" ht="14.25" hidden="1" customHeight="1" x14ac:dyDescent="0.25">
      <c r="A664" s="78">
        <v>787395805</v>
      </c>
      <c r="B664" s="54" t="s">
        <v>868</v>
      </c>
      <c r="C664" s="53" t="s">
        <v>159</v>
      </c>
      <c r="D664" s="79" t="s">
        <v>159</v>
      </c>
      <c r="E664" s="79" t="s">
        <v>4465</v>
      </c>
      <c r="F664" s="79" t="s">
        <v>4778</v>
      </c>
      <c r="G664" s="79" t="s">
        <v>4130</v>
      </c>
      <c r="H664" s="79">
        <v>78739580</v>
      </c>
      <c r="I664" s="79" t="s">
        <v>4915</v>
      </c>
      <c r="J664" s="79" t="s">
        <v>4445</v>
      </c>
    </row>
    <row r="665" spans="1:10" ht="14.25" hidden="1" customHeight="1" x14ac:dyDescent="0.25">
      <c r="A665" s="78">
        <v>764760271</v>
      </c>
      <c r="B665" s="54" t="s">
        <v>485</v>
      </c>
      <c r="C665" s="53" t="s">
        <v>159</v>
      </c>
      <c r="D665" s="79" t="s">
        <v>159</v>
      </c>
      <c r="E665" s="79" t="s">
        <v>4341</v>
      </c>
      <c r="F665" s="79" t="s">
        <v>4791</v>
      </c>
      <c r="G665" s="79" t="s">
        <v>3946</v>
      </c>
      <c r="H665" s="79">
        <v>76476027</v>
      </c>
      <c r="I665" s="79" t="s">
        <v>4915</v>
      </c>
      <c r="J665" s="79" t="s">
        <v>4445</v>
      </c>
    </row>
    <row r="666" spans="1:10" ht="14.25" hidden="1" customHeight="1" x14ac:dyDescent="0.25">
      <c r="A666" s="78">
        <v>770264847</v>
      </c>
      <c r="B666" s="54" t="s">
        <v>1004</v>
      </c>
      <c r="C666" s="53" t="s">
        <v>159</v>
      </c>
      <c r="D666" s="79" t="s">
        <v>159</v>
      </c>
      <c r="E666" s="79" t="s">
        <v>4272</v>
      </c>
      <c r="F666" s="79" t="s">
        <v>4786</v>
      </c>
      <c r="G666" s="79" t="s">
        <v>2817</v>
      </c>
      <c r="H666" s="79">
        <v>77026484</v>
      </c>
      <c r="I666" s="79" t="s">
        <v>4915</v>
      </c>
      <c r="J666" s="79" t="s">
        <v>4445</v>
      </c>
    </row>
    <row r="667" spans="1:10" ht="14.25" hidden="1" customHeight="1" x14ac:dyDescent="0.25">
      <c r="A667" s="78">
        <v>610040683</v>
      </c>
      <c r="B667" s="54" t="s">
        <v>944</v>
      </c>
      <c r="C667" s="53" t="s">
        <v>159</v>
      </c>
      <c r="D667" s="79" t="s">
        <v>159</v>
      </c>
      <c r="E667" s="79" t="s">
        <v>4460</v>
      </c>
      <c r="F667" s="79" t="s">
        <v>4786</v>
      </c>
      <c r="G667" s="79" t="s">
        <v>4055</v>
      </c>
      <c r="H667" s="79">
        <v>61004068</v>
      </c>
      <c r="I667" s="79" t="s">
        <v>4914</v>
      </c>
      <c r="J667" s="79" t="s">
        <v>4445</v>
      </c>
    </row>
    <row r="668" spans="1:10" ht="14.25" hidden="1" customHeight="1" x14ac:dyDescent="0.25">
      <c r="A668" s="78">
        <v>616075098</v>
      </c>
      <c r="B668" s="54" t="s">
        <v>247</v>
      </c>
      <c r="C668" s="53" t="s">
        <v>159</v>
      </c>
      <c r="D668" s="79" t="s">
        <v>159</v>
      </c>
      <c r="E668" s="79" t="s">
        <v>4281</v>
      </c>
      <c r="F668" s="79" t="s">
        <v>4798</v>
      </c>
      <c r="G668" s="79" t="s">
        <v>1414</v>
      </c>
      <c r="H668" s="79">
        <v>61607509</v>
      </c>
      <c r="I668" s="79" t="s">
        <v>4914</v>
      </c>
      <c r="J668" s="79" t="s">
        <v>4445</v>
      </c>
    </row>
    <row r="669" spans="1:10" ht="14.25" hidden="1" customHeight="1" x14ac:dyDescent="0.25">
      <c r="A669" s="78">
        <v>620007609</v>
      </c>
      <c r="B669" s="54" t="s">
        <v>4430</v>
      </c>
      <c r="C669" s="53" t="s">
        <v>159</v>
      </c>
      <c r="D669" s="79" t="s">
        <v>159</v>
      </c>
      <c r="E669" s="79" t="s">
        <v>4283</v>
      </c>
      <c r="F669" s="79" t="s">
        <v>4806</v>
      </c>
      <c r="G669" s="79" t="s">
        <v>4511</v>
      </c>
      <c r="H669" s="79">
        <v>62000760</v>
      </c>
      <c r="I669" s="79" t="s">
        <v>4914</v>
      </c>
      <c r="J669" s="79" t="s">
        <v>4445</v>
      </c>
    </row>
    <row r="670" spans="1:10" ht="14.25" hidden="1" customHeight="1" x14ac:dyDescent="0.25">
      <c r="A670" s="78" t="s">
        <v>4426</v>
      </c>
      <c r="B670" s="54" t="s">
        <v>4427</v>
      </c>
      <c r="C670" s="53" t="s">
        <v>159</v>
      </c>
      <c r="D670" s="79" t="s">
        <v>159</v>
      </c>
      <c r="E670" s="79" t="s">
        <v>4395</v>
      </c>
      <c r="F670" s="79" t="s">
        <v>4778</v>
      </c>
      <c r="G670" s="79" t="s">
        <v>4612</v>
      </c>
      <c r="H670" s="79">
        <v>96636310</v>
      </c>
      <c r="I670" s="79" t="s">
        <v>4915</v>
      </c>
      <c r="J670" s="79" t="s">
        <v>4445</v>
      </c>
    </row>
    <row r="671" spans="1:10" ht="14.25" hidden="1" customHeight="1" x14ac:dyDescent="0.25">
      <c r="A671" s="78">
        <v>764497848</v>
      </c>
      <c r="B671" s="54" t="s">
        <v>940</v>
      </c>
      <c r="C671" s="53" t="s">
        <v>159</v>
      </c>
      <c r="D671" s="79" t="s">
        <v>159</v>
      </c>
      <c r="E671" s="79" t="s">
        <v>4264</v>
      </c>
      <c r="F671" s="79" t="s">
        <v>4791</v>
      </c>
      <c r="G671" s="79" t="s">
        <v>2604</v>
      </c>
      <c r="H671" s="79">
        <v>76449784</v>
      </c>
      <c r="I671" s="79" t="s">
        <v>4915</v>
      </c>
      <c r="J671" s="79" t="s">
        <v>4445</v>
      </c>
    </row>
    <row r="672" spans="1:10" ht="14.25" hidden="1" customHeight="1" x14ac:dyDescent="0.25">
      <c r="A672" s="78">
        <v>766434436</v>
      </c>
      <c r="B672" s="54" t="s">
        <v>496</v>
      </c>
      <c r="C672" s="53" t="s">
        <v>159</v>
      </c>
      <c r="D672" s="79" t="s">
        <v>159</v>
      </c>
      <c r="E672" s="79" t="s">
        <v>4460</v>
      </c>
      <c r="F672" s="79" t="s">
        <v>4786</v>
      </c>
      <c r="G672" s="79" t="s">
        <v>2647</v>
      </c>
      <c r="H672" s="79">
        <v>76643443</v>
      </c>
      <c r="I672" s="79" t="s">
        <v>4915</v>
      </c>
      <c r="J672" s="79" t="s">
        <v>4445</v>
      </c>
    </row>
    <row r="673" spans="1:10" ht="14.25" hidden="1" customHeight="1" x14ac:dyDescent="0.25">
      <c r="A673" s="78">
        <v>616070061</v>
      </c>
      <c r="B673" s="54" t="s">
        <v>237</v>
      </c>
      <c r="C673" s="53" t="s">
        <v>159</v>
      </c>
      <c r="D673" s="79" t="s">
        <v>159</v>
      </c>
      <c r="E673" s="79" t="s">
        <v>4270</v>
      </c>
      <c r="F673" s="79" t="s">
        <v>4792</v>
      </c>
      <c r="G673" s="79" t="s">
        <v>1373</v>
      </c>
      <c r="H673" s="79">
        <v>61607006</v>
      </c>
      <c r="I673" s="79" t="s">
        <v>4914</v>
      </c>
      <c r="J673" s="79" t="s">
        <v>4445</v>
      </c>
    </row>
    <row r="674" spans="1:10" ht="14.25" hidden="1" customHeight="1" x14ac:dyDescent="0.25">
      <c r="A674" s="78" t="s">
        <v>715</v>
      </c>
      <c r="B674" s="54" t="s">
        <v>716</v>
      </c>
      <c r="C674" s="53" t="s">
        <v>159</v>
      </c>
      <c r="D674" s="79" t="s">
        <v>159</v>
      </c>
      <c r="E674" s="79" t="s">
        <v>4391</v>
      </c>
      <c r="F674" s="79" t="s">
        <v>4778</v>
      </c>
      <c r="G674" s="79" t="s">
        <v>2701</v>
      </c>
      <c r="H674" s="79">
        <v>76758248</v>
      </c>
      <c r="I674" s="79" t="s">
        <v>4915</v>
      </c>
      <c r="J674" s="79" t="s">
        <v>4445</v>
      </c>
    </row>
    <row r="675" spans="1:10" ht="14.25" hidden="1" customHeight="1" x14ac:dyDescent="0.25">
      <c r="A675" s="78">
        <v>777746138</v>
      </c>
      <c r="B675" s="54" t="s">
        <v>1036</v>
      </c>
      <c r="C675" s="53" t="s">
        <v>159</v>
      </c>
      <c r="D675" s="79" t="s">
        <v>159</v>
      </c>
      <c r="E675" s="79" t="s">
        <v>4268</v>
      </c>
      <c r="F675" s="79" t="s">
        <v>4792</v>
      </c>
      <c r="G675" s="79" t="s">
        <v>3114</v>
      </c>
      <c r="H675" s="79">
        <v>77774613</v>
      </c>
      <c r="I675" s="79" t="s">
        <v>4915</v>
      </c>
      <c r="J675" s="79" t="s">
        <v>4445</v>
      </c>
    </row>
    <row r="676" spans="1:10" ht="14.25" hidden="1" customHeight="1" x14ac:dyDescent="0.25">
      <c r="A676" s="78">
        <v>770724309</v>
      </c>
      <c r="B676" s="54" t="s">
        <v>525</v>
      </c>
      <c r="C676" s="53" t="s">
        <v>159</v>
      </c>
      <c r="D676" s="79" t="s">
        <v>159</v>
      </c>
      <c r="E676" s="79" t="s">
        <v>4264</v>
      </c>
      <c r="F676" s="79" t="s">
        <v>4791</v>
      </c>
      <c r="G676" s="79" t="s">
        <v>4122</v>
      </c>
      <c r="H676" s="79">
        <v>77072430</v>
      </c>
      <c r="I676" s="79" t="s">
        <v>4915</v>
      </c>
      <c r="J676" s="79" t="s">
        <v>4445</v>
      </c>
    </row>
    <row r="677" spans="1:10" ht="14.25" hidden="1" customHeight="1" x14ac:dyDescent="0.25">
      <c r="A677" s="78">
        <v>777412035</v>
      </c>
      <c r="B677" s="54" t="s">
        <v>943</v>
      </c>
      <c r="C677" s="53" t="s">
        <v>159</v>
      </c>
      <c r="D677" s="79" t="s">
        <v>159</v>
      </c>
      <c r="E677" s="79" t="s">
        <v>4495</v>
      </c>
      <c r="F677" s="79" t="s">
        <v>4792</v>
      </c>
      <c r="G677" s="79" t="s">
        <v>3096</v>
      </c>
      <c r="H677" s="79">
        <v>77741203</v>
      </c>
      <c r="I677" s="79" t="s">
        <v>4915</v>
      </c>
      <c r="J677" s="79" t="s">
        <v>4445</v>
      </c>
    </row>
    <row r="678" spans="1:10" ht="14.25" hidden="1" customHeight="1" x14ac:dyDescent="0.25">
      <c r="A678" s="78">
        <v>620005703</v>
      </c>
      <c r="B678" s="54" t="s">
        <v>1033</v>
      </c>
      <c r="C678" s="53" t="s">
        <v>159</v>
      </c>
      <c r="D678" s="79" t="s">
        <v>159</v>
      </c>
      <c r="E678" s="79" t="s">
        <v>4495</v>
      </c>
      <c r="F678" s="79" t="s">
        <v>4792</v>
      </c>
      <c r="G678" s="79" t="s">
        <v>3284</v>
      </c>
      <c r="H678" s="79">
        <v>62000570</v>
      </c>
      <c r="I678" s="79" t="s">
        <v>4914</v>
      </c>
      <c r="J678" s="79" t="s">
        <v>4445</v>
      </c>
    </row>
    <row r="679" spans="1:10" ht="14.25" hidden="1" customHeight="1" x14ac:dyDescent="0.25">
      <c r="A679" s="78">
        <v>616021478</v>
      </c>
      <c r="B679" s="54" t="s">
        <v>766</v>
      </c>
      <c r="C679" s="53" t="s">
        <v>159</v>
      </c>
      <c r="D679" s="79" t="s">
        <v>159</v>
      </c>
      <c r="E679" s="79" t="s">
        <v>4205</v>
      </c>
      <c r="F679" s="79" t="s">
        <v>4795</v>
      </c>
      <c r="G679" s="79" t="s">
        <v>1306</v>
      </c>
      <c r="H679" s="79">
        <v>61602147</v>
      </c>
      <c r="I679" s="79" t="s">
        <v>4914</v>
      </c>
      <c r="J679" s="79" t="s">
        <v>4445</v>
      </c>
    </row>
    <row r="680" spans="1:10" ht="14.25" hidden="1" customHeight="1" x14ac:dyDescent="0.25">
      <c r="A680" s="78">
        <v>715401002</v>
      </c>
      <c r="B680" s="54" t="s">
        <v>927</v>
      </c>
      <c r="C680" s="53" t="s">
        <v>159</v>
      </c>
      <c r="D680" s="79" t="s">
        <v>159</v>
      </c>
      <c r="E680" s="79" t="s">
        <v>4168</v>
      </c>
      <c r="F680" s="79" t="s">
        <v>4778</v>
      </c>
      <c r="G680" s="79" t="s">
        <v>2411</v>
      </c>
      <c r="H680" s="79">
        <v>71540100</v>
      </c>
      <c r="I680" s="79" t="s">
        <v>4915</v>
      </c>
      <c r="J680" s="79" t="s">
        <v>4445</v>
      </c>
    </row>
    <row r="681" spans="1:10" ht="14.25" hidden="1" customHeight="1" x14ac:dyDescent="0.25">
      <c r="A681" s="78">
        <v>727625003</v>
      </c>
      <c r="B681" s="54" t="s">
        <v>454</v>
      </c>
      <c r="C681" s="53" t="s">
        <v>159</v>
      </c>
      <c r="D681" s="79" t="s">
        <v>159</v>
      </c>
      <c r="E681" s="79" t="s">
        <v>4271</v>
      </c>
      <c r="F681" s="79" t="s">
        <v>4786</v>
      </c>
      <c r="G681" s="79" t="s">
        <v>4004</v>
      </c>
      <c r="H681" s="79">
        <v>72762500</v>
      </c>
      <c r="I681" s="79" t="s">
        <v>4914</v>
      </c>
      <c r="J681" s="79" t="s">
        <v>4445</v>
      </c>
    </row>
    <row r="682" spans="1:10" ht="14.25" hidden="1" customHeight="1" x14ac:dyDescent="0.25">
      <c r="A682" s="78">
        <v>774317910</v>
      </c>
      <c r="B682" s="54" t="s">
        <v>550</v>
      </c>
      <c r="C682" s="53" t="s">
        <v>159</v>
      </c>
      <c r="D682" s="79" t="s">
        <v>159</v>
      </c>
      <c r="E682" s="79" t="s">
        <v>4183</v>
      </c>
      <c r="F682" s="79" t="s">
        <v>4786</v>
      </c>
      <c r="G682" s="79" t="s">
        <v>2999</v>
      </c>
      <c r="H682" s="79">
        <v>77431791</v>
      </c>
      <c r="I682" s="79" t="s">
        <v>4915</v>
      </c>
      <c r="J682" s="79" t="s">
        <v>4445</v>
      </c>
    </row>
    <row r="683" spans="1:10" ht="14.25" hidden="1" customHeight="1" x14ac:dyDescent="0.25">
      <c r="A683" s="78">
        <v>768526907</v>
      </c>
      <c r="B683" s="54" t="s">
        <v>842</v>
      </c>
      <c r="C683" s="53" t="s">
        <v>159</v>
      </c>
      <c r="D683" s="79" t="s">
        <v>159</v>
      </c>
      <c r="E683" s="79" t="s">
        <v>4465</v>
      </c>
      <c r="F683" s="79" t="s">
        <v>4778</v>
      </c>
      <c r="G683" s="79" t="s">
        <v>2743</v>
      </c>
      <c r="H683" s="79">
        <v>76852690</v>
      </c>
      <c r="I683" s="79" t="s">
        <v>4915</v>
      </c>
      <c r="J683" s="79" t="s">
        <v>4445</v>
      </c>
    </row>
    <row r="684" spans="1:10" ht="14.25" hidden="1" customHeight="1" x14ac:dyDescent="0.25">
      <c r="A684" s="78">
        <v>774432280</v>
      </c>
      <c r="B684" s="54" t="s">
        <v>4823</v>
      </c>
      <c r="C684" s="53" t="s">
        <v>159</v>
      </c>
      <c r="D684" s="79" t="s">
        <v>159</v>
      </c>
      <c r="E684" s="79" t="s">
        <v>4500</v>
      </c>
      <c r="F684" s="79" t="s">
        <v>4798</v>
      </c>
      <c r="G684" s="79" t="s">
        <v>3317</v>
      </c>
      <c r="H684" s="79">
        <v>77443228</v>
      </c>
      <c r="I684" s="79" t="s">
        <v>4915</v>
      </c>
      <c r="J684" s="79" t="s">
        <v>4445</v>
      </c>
    </row>
    <row r="685" spans="1:10" ht="14.25" hidden="1" customHeight="1" x14ac:dyDescent="0.25">
      <c r="A685" s="78" t="s">
        <v>672</v>
      </c>
      <c r="B685" s="54" t="s">
        <v>673</v>
      </c>
      <c r="C685" s="53" t="s">
        <v>159</v>
      </c>
      <c r="D685" s="79" t="s">
        <v>159</v>
      </c>
      <c r="E685" s="79" t="s">
        <v>4301</v>
      </c>
      <c r="F685" s="79" t="s">
        <v>4803</v>
      </c>
      <c r="G685" s="79" t="s">
        <v>1618</v>
      </c>
      <c r="H685" s="79">
        <v>69030600</v>
      </c>
      <c r="I685" s="79" t="s">
        <v>4914</v>
      </c>
      <c r="J685" s="79" t="s">
        <v>4445</v>
      </c>
    </row>
    <row r="686" spans="1:10" ht="14.25" hidden="1" customHeight="1" x14ac:dyDescent="0.25">
      <c r="A686" s="78">
        <v>616075004</v>
      </c>
      <c r="B686" s="54" t="s">
        <v>892</v>
      </c>
      <c r="C686" s="53" t="s">
        <v>159</v>
      </c>
      <c r="D686" s="79" t="s">
        <v>159</v>
      </c>
      <c r="E686" s="79" t="s">
        <v>4170</v>
      </c>
      <c r="F686" s="79" t="s">
        <v>4798</v>
      </c>
      <c r="G686" s="79" t="s">
        <v>1400</v>
      </c>
      <c r="H686" s="79">
        <v>61607500</v>
      </c>
      <c r="I686" s="79" t="s">
        <v>4914</v>
      </c>
      <c r="J686" s="79" t="s">
        <v>4445</v>
      </c>
    </row>
    <row r="687" spans="1:10" ht="14.25" hidden="1" customHeight="1" x14ac:dyDescent="0.25">
      <c r="A687" s="78">
        <v>616021516</v>
      </c>
      <c r="B687" s="54" t="s">
        <v>183</v>
      </c>
      <c r="C687" s="53" t="s">
        <v>159</v>
      </c>
      <c r="D687" s="79" t="s">
        <v>159</v>
      </c>
      <c r="E687" s="79" t="s">
        <v>4474</v>
      </c>
      <c r="F687" s="79" t="s">
        <v>4795</v>
      </c>
      <c r="G687" s="79" t="s">
        <v>4137</v>
      </c>
      <c r="H687" s="79">
        <v>61602151</v>
      </c>
      <c r="I687" s="79" t="s">
        <v>4914</v>
      </c>
      <c r="J687" s="79" t="s">
        <v>4445</v>
      </c>
    </row>
    <row r="688" spans="1:10" ht="14.25" hidden="1" customHeight="1" x14ac:dyDescent="0.25">
      <c r="A688" s="78">
        <v>690602008</v>
      </c>
      <c r="B688" s="54" t="s">
        <v>297</v>
      </c>
      <c r="C688" s="53" t="s">
        <v>159</v>
      </c>
      <c r="D688" s="79" t="s">
        <v>159</v>
      </c>
      <c r="E688" s="79" t="s">
        <v>4311</v>
      </c>
      <c r="F688" s="79" t="s">
        <v>4788</v>
      </c>
      <c r="G688" s="79" t="s">
        <v>1353</v>
      </c>
      <c r="H688" s="79">
        <v>69060200</v>
      </c>
      <c r="I688" s="79" t="s">
        <v>4914</v>
      </c>
      <c r="J688" s="79" t="s">
        <v>4445</v>
      </c>
    </row>
    <row r="689" spans="1:10" ht="14.25" hidden="1" customHeight="1" x14ac:dyDescent="0.25">
      <c r="A689" s="78" t="s">
        <v>649</v>
      </c>
      <c r="B689" s="54" t="s">
        <v>650</v>
      </c>
      <c r="C689" s="53" t="s">
        <v>4790</v>
      </c>
      <c r="D689" s="79" t="s">
        <v>4790</v>
      </c>
      <c r="E689" s="79" t="s">
        <v>4494</v>
      </c>
      <c r="F689" s="79" t="s">
        <v>4791</v>
      </c>
      <c r="G689" s="79" t="s">
        <v>1350</v>
      </c>
      <c r="H689" s="79">
        <v>61606911</v>
      </c>
      <c r="I689" s="79" t="s">
        <v>4914</v>
      </c>
      <c r="J689" s="79" t="s">
        <v>4445</v>
      </c>
    </row>
    <row r="690" spans="1:10" ht="14.25" hidden="1" customHeight="1" x14ac:dyDescent="0.25">
      <c r="A690" s="78">
        <v>771711480</v>
      </c>
      <c r="B690" s="54" t="s">
        <v>4433</v>
      </c>
      <c r="C690" s="53" t="s">
        <v>159</v>
      </c>
      <c r="D690" s="79" t="s">
        <v>159</v>
      </c>
      <c r="E690" s="79" t="s">
        <v>4245</v>
      </c>
      <c r="F690" s="79" t="s">
        <v>4789</v>
      </c>
      <c r="G690" s="79" t="s">
        <v>4581</v>
      </c>
      <c r="H690" s="79">
        <v>77171148</v>
      </c>
      <c r="I690" s="79" t="s">
        <v>4915</v>
      </c>
      <c r="J690" s="79" t="s">
        <v>4445</v>
      </c>
    </row>
    <row r="691" spans="1:10" ht="14.25" hidden="1" customHeight="1" x14ac:dyDescent="0.25">
      <c r="A691" s="78">
        <v>775571128</v>
      </c>
      <c r="B691" s="54" t="s">
        <v>4431</v>
      </c>
      <c r="C691" s="53" t="s">
        <v>159</v>
      </c>
      <c r="D691" s="79" t="s">
        <v>159</v>
      </c>
      <c r="E691" s="79" t="s">
        <v>4411</v>
      </c>
      <c r="F691" s="79" t="s">
        <v>4778</v>
      </c>
      <c r="G691" s="79" t="s">
        <v>4589</v>
      </c>
      <c r="H691" s="79">
        <v>77557112</v>
      </c>
      <c r="I691" s="79" t="s">
        <v>4915</v>
      </c>
      <c r="J691" s="79" t="s">
        <v>4445</v>
      </c>
    </row>
    <row r="692" spans="1:10" ht="14.25" hidden="1" customHeight="1" x14ac:dyDescent="0.25">
      <c r="A692" s="78">
        <v>652243002</v>
      </c>
      <c r="B692" s="54" t="s">
        <v>1096</v>
      </c>
      <c r="C692" s="53" t="s">
        <v>159</v>
      </c>
      <c r="D692" s="79" t="s">
        <v>159</v>
      </c>
      <c r="E692" s="79" t="s">
        <v>4799</v>
      </c>
      <c r="F692" s="79" t="s">
        <v>4800</v>
      </c>
      <c r="G692" s="79" t="s">
        <v>1294</v>
      </c>
      <c r="H692" s="79">
        <v>65224300</v>
      </c>
      <c r="I692" s="79" t="s">
        <v>4914</v>
      </c>
      <c r="J692" s="79" t="s">
        <v>4445</v>
      </c>
    </row>
    <row r="693" spans="1:10" ht="14.25" hidden="1" customHeight="1" x14ac:dyDescent="0.25">
      <c r="A693" s="78">
        <v>776081809</v>
      </c>
      <c r="B693" s="54" t="s">
        <v>559</v>
      </c>
      <c r="C693" s="53" t="s">
        <v>159</v>
      </c>
      <c r="D693" s="79" t="s">
        <v>159</v>
      </c>
      <c r="E693" s="79" t="s">
        <v>4552</v>
      </c>
      <c r="F693" s="79" t="s">
        <v>4778</v>
      </c>
      <c r="G693" s="79" t="s">
        <v>3064</v>
      </c>
      <c r="H693" s="79">
        <v>77608180</v>
      </c>
      <c r="I693" s="79" t="s">
        <v>4915</v>
      </c>
      <c r="J693" s="79" t="s">
        <v>4445</v>
      </c>
    </row>
    <row r="694" spans="1:10" ht="14.25" hidden="1" customHeight="1" x14ac:dyDescent="0.25">
      <c r="A694" s="78">
        <v>776441406</v>
      </c>
      <c r="B694" s="54" t="s">
        <v>562</v>
      </c>
      <c r="C694" s="53" t="s">
        <v>159</v>
      </c>
      <c r="D694" s="79" t="s">
        <v>159</v>
      </c>
      <c r="E694" s="79" t="s">
        <v>4552</v>
      </c>
      <c r="F694" s="79" t="s">
        <v>4778</v>
      </c>
      <c r="G694" s="79" t="s">
        <v>3078</v>
      </c>
      <c r="H694" s="79">
        <v>77644140</v>
      </c>
      <c r="I694" s="79" t="s">
        <v>4915</v>
      </c>
      <c r="J694" s="79" t="s">
        <v>4445</v>
      </c>
    </row>
    <row r="695" spans="1:10" ht="14.25" hidden="1" customHeight="1" x14ac:dyDescent="0.25">
      <c r="A695" s="78">
        <v>768142173</v>
      </c>
      <c r="B695" s="54" t="s">
        <v>505</v>
      </c>
      <c r="C695" s="53" t="s">
        <v>159</v>
      </c>
      <c r="D695" s="79" t="s">
        <v>159</v>
      </c>
      <c r="E695" s="79" t="s">
        <v>4196</v>
      </c>
      <c r="F695" s="79" t="s">
        <v>4778</v>
      </c>
      <c r="G695" s="79" t="s">
        <v>2728</v>
      </c>
      <c r="H695" s="79">
        <v>76814217</v>
      </c>
      <c r="I695" s="79" t="s">
        <v>4915</v>
      </c>
      <c r="J695" s="79" t="s">
        <v>4445</v>
      </c>
    </row>
    <row r="696" spans="1:10" ht="14.25" hidden="1" customHeight="1" x14ac:dyDescent="0.25">
      <c r="A696" s="78">
        <v>691704025</v>
      </c>
      <c r="B696" s="54" t="s">
        <v>361</v>
      </c>
      <c r="C696" s="53" t="s">
        <v>159</v>
      </c>
      <c r="D696" s="79" t="s">
        <v>159</v>
      </c>
      <c r="E696" s="79" t="s">
        <v>4355</v>
      </c>
      <c r="F696" s="79" t="s">
        <v>4786</v>
      </c>
      <c r="G696" s="79" t="s">
        <v>1189</v>
      </c>
      <c r="H696" s="79">
        <v>69170402</v>
      </c>
      <c r="I696" s="79" t="s">
        <v>4914</v>
      </c>
      <c r="J696" s="79" t="s">
        <v>4445</v>
      </c>
    </row>
    <row r="697" spans="1:10" ht="14.25" hidden="1" customHeight="1" x14ac:dyDescent="0.25">
      <c r="A697" s="78">
        <v>773250065</v>
      </c>
      <c r="B697" s="54" t="s">
        <v>855</v>
      </c>
      <c r="C697" s="53" t="s">
        <v>159</v>
      </c>
      <c r="D697" s="79" t="s">
        <v>159</v>
      </c>
      <c r="E697" s="79" t="s">
        <v>4465</v>
      </c>
      <c r="F697" s="79" t="s">
        <v>4778</v>
      </c>
      <c r="G697" s="79" t="s">
        <v>2946</v>
      </c>
      <c r="H697" s="79">
        <v>77325006</v>
      </c>
      <c r="I697" s="79" t="s">
        <v>4915</v>
      </c>
      <c r="J697" s="79" t="s">
        <v>4445</v>
      </c>
    </row>
    <row r="698" spans="1:10" ht="14.25" hidden="1" customHeight="1" x14ac:dyDescent="0.25">
      <c r="A698" s="78">
        <v>616081063</v>
      </c>
      <c r="B698" s="54" t="s">
        <v>953</v>
      </c>
      <c r="C698" s="53" t="s">
        <v>159</v>
      </c>
      <c r="D698" s="79" t="s">
        <v>159</v>
      </c>
      <c r="E698" s="79" t="s">
        <v>4381</v>
      </c>
      <c r="F698" s="79" t="s">
        <v>4778</v>
      </c>
      <c r="G698" s="79" t="s">
        <v>1445</v>
      </c>
      <c r="H698" s="79">
        <v>61608106</v>
      </c>
      <c r="I698" s="79" t="s">
        <v>4914</v>
      </c>
      <c r="J698" s="79" t="s">
        <v>4445</v>
      </c>
    </row>
    <row r="699" spans="1:10" ht="14.25" hidden="1" customHeight="1" x14ac:dyDescent="0.25">
      <c r="A699" s="78">
        <v>692102029</v>
      </c>
      <c r="B699" s="54" t="s">
        <v>381</v>
      </c>
      <c r="C699" s="53" t="s">
        <v>159</v>
      </c>
      <c r="D699" s="79" t="s">
        <v>159</v>
      </c>
      <c r="E699" s="79" t="s">
        <v>4295</v>
      </c>
      <c r="F699" s="79" t="s">
        <v>4784</v>
      </c>
      <c r="G699" s="79" t="s">
        <v>1273</v>
      </c>
      <c r="H699" s="79">
        <v>69210202</v>
      </c>
      <c r="I699" s="79" t="s">
        <v>4914</v>
      </c>
      <c r="J699" s="79" t="s">
        <v>4445</v>
      </c>
    </row>
    <row r="700" spans="1:10" ht="14.25" hidden="1" customHeight="1" x14ac:dyDescent="0.25">
      <c r="A700" s="78">
        <v>762232782</v>
      </c>
      <c r="B700" s="54" t="s">
        <v>474</v>
      </c>
      <c r="C700" s="53" t="s">
        <v>159</v>
      </c>
      <c r="D700" s="79" t="s">
        <v>159</v>
      </c>
      <c r="E700" s="79" t="s">
        <v>4460</v>
      </c>
      <c r="F700" s="79" t="s">
        <v>4786</v>
      </c>
      <c r="G700" s="79" t="s">
        <v>2534</v>
      </c>
      <c r="H700" s="79">
        <v>76223278</v>
      </c>
      <c r="I700" s="79" t="s">
        <v>4915</v>
      </c>
      <c r="J700" s="79" t="s">
        <v>4445</v>
      </c>
    </row>
    <row r="701" spans="1:10" ht="14.25" hidden="1" customHeight="1" x14ac:dyDescent="0.25">
      <c r="A701" s="78">
        <v>690512009</v>
      </c>
      <c r="B701" s="54" t="s">
        <v>295</v>
      </c>
      <c r="C701" s="53" t="s">
        <v>159</v>
      </c>
      <c r="D701" s="79" t="s">
        <v>159</v>
      </c>
      <c r="E701" s="79" t="s">
        <v>4524</v>
      </c>
      <c r="F701" s="79" t="s">
        <v>4788</v>
      </c>
      <c r="G701" s="79" t="s">
        <v>1246</v>
      </c>
      <c r="H701" s="79">
        <v>69051200</v>
      </c>
      <c r="I701" s="79" t="s">
        <v>4914</v>
      </c>
      <c r="J701" s="79" t="s">
        <v>4445</v>
      </c>
    </row>
    <row r="702" spans="1:10" ht="14.25" hidden="1" customHeight="1" x14ac:dyDescent="0.25">
      <c r="A702" s="78">
        <v>966126205</v>
      </c>
      <c r="B702" s="54" t="s">
        <v>605</v>
      </c>
      <c r="C702" s="53" t="s">
        <v>159</v>
      </c>
      <c r="D702" s="79" t="s">
        <v>159</v>
      </c>
      <c r="E702" s="79" t="s">
        <v>4395</v>
      </c>
      <c r="F702" s="79" t="s">
        <v>4778</v>
      </c>
      <c r="G702" s="79" t="s">
        <v>3303</v>
      </c>
      <c r="H702" s="79">
        <v>96612620</v>
      </c>
      <c r="I702" s="79" t="s">
        <v>4915</v>
      </c>
      <c r="J702" s="79" t="s">
        <v>4445</v>
      </c>
    </row>
    <row r="703" spans="1:10" ht="14.25" hidden="1" customHeight="1" x14ac:dyDescent="0.25">
      <c r="A703" s="78">
        <v>763023885</v>
      </c>
      <c r="B703" s="54" t="s">
        <v>960</v>
      </c>
      <c r="C703" s="53" t="s">
        <v>159</v>
      </c>
      <c r="D703" s="79" t="s">
        <v>159</v>
      </c>
      <c r="E703" s="79" t="s">
        <v>4555</v>
      </c>
      <c r="F703" s="79" t="s">
        <v>4778</v>
      </c>
      <c r="G703" s="79" t="s">
        <v>2561</v>
      </c>
      <c r="H703" s="79">
        <v>76302388</v>
      </c>
      <c r="I703" s="79" t="s">
        <v>4915</v>
      </c>
      <c r="J703" s="79" t="s">
        <v>4445</v>
      </c>
    </row>
    <row r="704" spans="1:10" ht="14.25" hidden="1" customHeight="1" x14ac:dyDescent="0.25">
      <c r="A704" s="78">
        <v>780101806</v>
      </c>
      <c r="B704" s="54" t="s">
        <v>1089</v>
      </c>
      <c r="C704" s="53" t="s">
        <v>159</v>
      </c>
      <c r="D704" s="79" t="s">
        <v>159</v>
      </c>
      <c r="E704" s="79" t="s">
        <v>4444</v>
      </c>
      <c r="F704" s="79" t="s">
        <v>4778</v>
      </c>
      <c r="G704" s="79" t="s">
        <v>3160</v>
      </c>
      <c r="H704" s="79">
        <v>78010180</v>
      </c>
      <c r="I704" s="79" t="s">
        <v>4915</v>
      </c>
      <c r="J704" s="79" t="s">
        <v>4445</v>
      </c>
    </row>
    <row r="705" spans="1:10" ht="14.25" hidden="1" customHeight="1" x14ac:dyDescent="0.25">
      <c r="A705" s="78">
        <v>79898783</v>
      </c>
      <c r="B705" s="54" t="s">
        <v>939</v>
      </c>
      <c r="C705" s="53" t="s">
        <v>159</v>
      </c>
      <c r="D705" s="79" t="s">
        <v>159</v>
      </c>
      <c r="E705" s="79" t="s">
        <v>4410</v>
      </c>
      <c r="F705" s="79" t="s">
        <v>4778</v>
      </c>
      <c r="G705" s="79" t="s">
        <v>3212</v>
      </c>
      <c r="H705" s="79">
        <v>7989878</v>
      </c>
      <c r="I705" s="79" t="s">
        <v>4915</v>
      </c>
      <c r="J705" s="79" t="s">
        <v>4445</v>
      </c>
    </row>
    <row r="706" spans="1:10" ht="14.25" hidden="1" customHeight="1" x14ac:dyDescent="0.25">
      <c r="A706" s="78">
        <v>613130004</v>
      </c>
      <c r="B706" s="54" t="s">
        <v>989</v>
      </c>
      <c r="C706" s="53" t="s">
        <v>159</v>
      </c>
      <c r="D706" s="79" t="s">
        <v>159</v>
      </c>
      <c r="E706" s="79" t="s">
        <v>4467</v>
      </c>
      <c r="F706" s="79" t="s">
        <v>4798</v>
      </c>
      <c r="G706" s="79" t="s">
        <v>4088</v>
      </c>
      <c r="H706" s="79">
        <v>61313000</v>
      </c>
      <c r="I706" s="79" t="s">
        <v>4914</v>
      </c>
      <c r="J706" s="79" t="s">
        <v>4445</v>
      </c>
    </row>
    <row r="707" spans="1:10" ht="14.25" hidden="1" customHeight="1" x14ac:dyDescent="0.25">
      <c r="A707" s="78">
        <v>771907199</v>
      </c>
      <c r="B707" s="54" t="s">
        <v>1038</v>
      </c>
      <c r="C707" s="53" t="s">
        <v>159</v>
      </c>
      <c r="D707" s="79" t="s">
        <v>159</v>
      </c>
      <c r="E707" s="79" t="s">
        <v>4465</v>
      </c>
      <c r="F707" s="79" t="s">
        <v>4778</v>
      </c>
      <c r="G707" s="79" t="s">
        <v>2899</v>
      </c>
      <c r="H707" s="79">
        <v>77190719</v>
      </c>
      <c r="I707" s="79" t="s">
        <v>4915</v>
      </c>
      <c r="J707" s="79" t="s">
        <v>4445</v>
      </c>
    </row>
    <row r="708" spans="1:10" ht="14.25" hidden="1" customHeight="1" x14ac:dyDescent="0.25">
      <c r="A708" s="78" t="s">
        <v>4441</v>
      </c>
      <c r="B708" s="54" t="s">
        <v>4442</v>
      </c>
      <c r="C708" s="53" t="s">
        <v>159</v>
      </c>
      <c r="D708" s="79" t="s">
        <v>159</v>
      </c>
      <c r="E708" s="79" t="s">
        <v>4552</v>
      </c>
      <c r="F708" s="79" t="s">
        <v>4778</v>
      </c>
      <c r="G708" s="79" t="s">
        <v>4594</v>
      </c>
      <c r="H708" s="79">
        <v>77689477</v>
      </c>
      <c r="I708" s="79" t="s">
        <v>4915</v>
      </c>
      <c r="J708" s="79" t="s">
        <v>4445</v>
      </c>
    </row>
    <row r="709" spans="1:10" ht="14.25" hidden="1" customHeight="1" x14ac:dyDescent="0.25">
      <c r="A709" s="78">
        <v>769919759</v>
      </c>
      <c r="B709" s="54" t="s">
        <v>517</v>
      </c>
      <c r="C709" s="53" t="s">
        <v>159</v>
      </c>
      <c r="D709" s="79" t="s">
        <v>159</v>
      </c>
      <c r="E709" s="79" t="s">
        <v>4390</v>
      </c>
      <c r="F709" s="79" t="s">
        <v>4778</v>
      </c>
      <c r="G709" s="79" t="s">
        <v>2796</v>
      </c>
      <c r="H709" s="79">
        <v>76991975</v>
      </c>
      <c r="I709" s="79" t="s">
        <v>4915</v>
      </c>
      <c r="J709" s="79" t="s">
        <v>4445</v>
      </c>
    </row>
    <row r="710" spans="1:10" ht="14.25" hidden="1" customHeight="1" x14ac:dyDescent="0.25">
      <c r="A710" s="78">
        <v>690911000</v>
      </c>
      <c r="B710" s="54" t="s">
        <v>1783</v>
      </c>
      <c r="C710" s="53" t="s">
        <v>159</v>
      </c>
      <c r="D710" s="79" t="s">
        <v>159</v>
      </c>
      <c r="E710" s="79" t="s">
        <v>4208</v>
      </c>
      <c r="F710" s="79" t="s">
        <v>4795</v>
      </c>
      <c r="G710" s="79" t="s">
        <v>1782</v>
      </c>
      <c r="H710" s="79">
        <v>69091100</v>
      </c>
      <c r="I710" s="79" t="s">
        <v>4914</v>
      </c>
      <c r="J710" s="79" t="s">
        <v>4445</v>
      </c>
    </row>
    <row r="711" spans="1:10" ht="14.25" hidden="1" customHeight="1" x14ac:dyDescent="0.25">
      <c r="A711" s="78" t="s">
        <v>643</v>
      </c>
      <c r="B711" s="54" t="s">
        <v>644</v>
      </c>
      <c r="C711" s="53" t="s">
        <v>159</v>
      </c>
      <c r="D711" s="79" t="s">
        <v>159</v>
      </c>
      <c r="E711" s="79" t="s">
        <v>4396</v>
      </c>
      <c r="F711" s="79" t="s">
        <v>4803</v>
      </c>
      <c r="G711" s="79" t="s">
        <v>4155</v>
      </c>
      <c r="H711" s="79">
        <v>61606309</v>
      </c>
      <c r="I711" s="79" t="s">
        <v>4914</v>
      </c>
      <c r="J711" s="79" t="s">
        <v>4445</v>
      </c>
    </row>
    <row r="712" spans="1:10" ht="14.25" hidden="1" customHeight="1" x14ac:dyDescent="0.25">
      <c r="A712" s="78">
        <v>619805305</v>
      </c>
      <c r="B712" s="54" t="s">
        <v>998</v>
      </c>
      <c r="C712" s="53" t="s">
        <v>159</v>
      </c>
      <c r="D712" s="79" t="s">
        <v>159</v>
      </c>
      <c r="E712" s="79" t="s">
        <v>4178</v>
      </c>
      <c r="F712" s="79" t="s">
        <v>4795</v>
      </c>
      <c r="G712" s="79" t="s">
        <v>1542</v>
      </c>
      <c r="H712" s="79">
        <v>61980530</v>
      </c>
      <c r="I712" s="79" t="s">
        <v>4914</v>
      </c>
      <c r="J712" s="79" t="s">
        <v>4445</v>
      </c>
    </row>
    <row r="713" spans="1:10" ht="14.25" hidden="1" customHeight="1" x14ac:dyDescent="0.25">
      <c r="A713" s="78">
        <v>775208740</v>
      </c>
      <c r="B713" s="54" t="s">
        <v>1085</v>
      </c>
      <c r="C713" s="53" t="s">
        <v>159</v>
      </c>
      <c r="D713" s="79" t="s">
        <v>159</v>
      </c>
      <c r="E713" s="79" t="s">
        <v>4490</v>
      </c>
      <c r="F713" s="79" t="s">
        <v>4788</v>
      </c>
      <c r="G713" s="79" t="s">
        <v>3964</v>
      </c>
      <c r="H713" s="79">
        <v>77520874</v>
      </c>
      <c r="I713" s="79" t="s">
        <v>4915</v>
      </c>
      <c r="J713" s="79" t="s">
        <v>4445</v>
      </c>
    </row>
    <row r="714" spans="1:10" ht="14.25" hidden="1" customHeight="1" x14ac:dyDescent="0.25">
      <c r="A714" s="78" t="s">
        <v>979</v>
      </c>
      <c r="B714" s="54" t="s">
        <v>984</v>
      </c>
      <c r="C714" s="53" t="s">
        <v>159</v>
      </c>
      <c r="D714" s="79" t="s">
        <v>159</v>
      </c>
      <c r="E714" s="79" t="s">
        <v>4391</v>
      </c>
      <c r="F714" s="79" t="s">
        <v>4778</v>
      </c>
      <c r="G714" s="79" t="s">
        <v>2930</v>
      </c>
      <c r="H714" s="79">
        <v>77249212</v>
      </c>
      <c r="I714" s="79" t="s">
        <v>4915</v>
      </c>
      <c r="J714" s="79" t="s">
        <v>4445</v>
      </c>
    </row>
    <row r="715" spans="1:10" ht="14.25" hidden="1" customHeight="1" x14ac:dyDescent="0.25">
      <c r="A715" s="78">
        <v>779544508</v>
      </c>
      <c r="B715" s="54" t="s">
        <v>576</v>
      </c>
      <c r="C715" s="53" t="s">
        <v>159</v>
      </c>
      <c r="D715" s="79" t="s">
        <v>159</v>
      </c>
      <c r="E715" s="79" t="s">
        <v>4465</v>
      </c>
      <c r="F715" s="79" t="s">
        <v>4778</v>
      </c>
      <c r="G715" s="79" t="s">
        <v>3156</v>
      </c>
      <c r="H715" s="79">
        <v>77954450</v>
      </c>
      <c r="I715" s="79" t="s">
        <v>4915</v>
      </c>
      <c r="J715" s="79" t="s">
        <v>4445</v>
      </c>
    </row>
    <row r="716" spans="1:10" ht="14.25" hidden="1" customHeight="1" x14ac:dyDescent="0.25">
      <c r="A716" s="78">
        <v>967599107</v>
      </c>
      <c r="B716" s="54" t="s">
        <v>4824</v>
      </c>
      <c r="C716" s="53" t="s">
        <v>159</v>
      </c>
      <c r="D716" s="79" t="s">
        <v>159</v>
      </c>
      <c r="E716" s="79" t="s">
        <v>4465</v>
      </c>
      <c r="F716" s="79" t="s">
        <v>4778</v>
      </c>
      <c r="G716" s="79" t="s">
        <v>3326</v>
      </c>
      <c r="H716" s="79">
        <v>96759910</v>
      </c>
      <c r="I716" s="79" t="s">
        <v>4915</v>
      </c>
      <c r="J716" s="79" t="s">
        <v>4445</v>
      </c>
    </row>
    <row r="717" spans="1:10" ht="14.25" hidden="1" customHeight="1" x14ac:dyDescent="0.25">
      <c r="A717" s="78">
        <v>616063065</v>
      </c>
      <c r="B717" s="54" t="s">
        <v>214</v>
      </c>
      <c r="C717" s="53" t="s">
        <v>159</v>
      </c>
      <c r="D717" s="79" t="s">
        <v>159</v>
      </c>
      <c r="E717" s="79" t="s">
        <v>4243</v>
      </c>
      <c r="F717" s="79" t="s">
        <v>4803</v>
      </c>
      <c r="G717" s="79" t="s">
        <v>3199</v>
      </c>
      <c r="H717" s="79">
        <v>61606306</v>
      </c>
      <c r="I717" s="79" t="s">
        <v>4914</v>
      </c>
      <c r="J717" s="79" t="s">
        <v>4445</v>
      </c>
    </row>
    <row r="718" spans="1:10" ht="14.25" hidden="1" customHeight="1" x14ac:dyDescent="0.25">
      <c r="A718" s="78">
        <v>651389259</v>
      </c>
      <c r="B718" s="54" t="s">
        <v>1083</v>
      </c>
      <c r="C718" s="53" t="s">
        <v>159</v>
      </c>
      <c r="D718" s="79" t="s">
        <v>159</v>
      </c>
      <c r="E718" s="79" t="s">
        <v>4287</v>
      </c>
      <c r="F718" s="79" t="s">
        <v>4778</v>
      </c>
      <c r="G718" s="79" t="s">
        <v>1581</v>
      </c>
      <c r="H718" s="79">
        <v>65138925</v>
      </c>
      <c r="I718" s="79" t="s">
        <v>4914</v>
      </c>
      <c r="J718" s="79" t="s">
        <v>4445</v>
      </c>
    </row>
    <row r="719" spans="1:10" ht="14.25" hidden="1" customHeight="1" x14ac:dyDescent="0.25">
      <c r="A719" s="78">
        <v>777691309</v>
      </c>
      <c r="B719" s="54" t="s">
        <v>1090</v>
      </c>
      <c r="C719" s="53" t="s">
        <v>159</v>
      </c>
      <c r="D719" s="79" t="s">
        <v>159</v>
      </c>
      <c r="E719" s="79" t="s">
        <v>4490</v>
      </c>
      <c r="F719" s="79" t="s">
        <v>4788</v>
      </c>
      <c r="G719" s="79" t="s">
        <v>3109</v>
      </c>
      <c r="H719" s="79">
        <v>77769130</v>
      </c>
      <c r="I719" s="79" t="s">
        <v>4915</v>
      </c>
      <c r="J719" s="79" t="s">
        <v>4445</v>
      </c>
    </row>
    <row r="720" spans="1:10" ht="14.25" hidden="1" customHeight="1" x14ac:dyDescent="0.25">
      <c r="A720" s="78">
        <v>692204026</v>
      </c>
      <c r="B720" s="54" t="s">
        <v>800</v>
      </c>
      <c r="C720" s="53" t="s">
        <v>159</v>
      </c>
      <c r="D720" s="79" t="s">
        <v>159</v>
      </c>
      <c r="E720" s="79" t="s">
        <v>4228</v>
      </c>
      <c r="F720" s="79" t="s">
        <v>4784</v>
      </c>
      <c r="G720" s="79" t="s">
        <v>1984</v>
      </c>
      <c r="H720" s="79">
        <v>69220402</v>
      </c>
      <c r="I720" s="79" t="s">
        <v>4914</v>
      </c>
      <c r="J720" s="79" t="s">
        <v>4445</v>
      </c>
    </row>
    <row r="721" spans="1:10" ht="14.25" hidden="1" customHeight="1" x14ac:dyDescent="0.25">
      <c r="A721" s="78" t="s">
        <v>4762</v>
      </c>
      <c r="B721" s="54" t="s">
        <v>3021</v>
      </c>
      <c r="C721" s="53" t="s">
        <v>159</v>
      </c>
      <c r="D721" s="79" t="s">
        <v>159</v>
      </c>
      <c r="E721" s="79" t="s">
        <v>4168</v>
      </c>
      <c r="F721" s="79" t="s">
        <v>4778</v>
      </c>
      <c r="G721" s="79" t="s">
        <v>3020</v>
      </c>
      <c r="H721" s="79">
        <v>77490090</v>
      </c>
      <c r="I721" s="79" t="s">
        <v>4915</v>
      </c>
      <c r="J721" s="79" t="s">
        <v>4445</v>
      </c>
    </row>
    <row r="722" spans="1:10" ht="14.25" hidden="1" customHeight="1" x14ac:dyDescent="0.25">
      <c r="A722" s="78">
        <v>777723081</v>
      </c>
      <c r="B722" s="54" t="s">
        <v>937</v>
      </c>
      <c r="C722" s="53" t="s">
        <v>159</v>
      </c>
      <c r="D722" s="79" t="s">
        <v>159</v>
      </c>
      <c r="E722" s="79" t="s">
        <v>4465</v>
      </c>
      <c r="F722" s="79" t="s">
        <v>4778</v>
      </c>
      <c r="G722" s="79" t="s">
        <v>3111</v>
      </c>
      <c r="H722" s="79">
        <v>77772308</v>
      </c>
      <c r="I722" s="79" t="s">
        <v>4915</v>
      </c>
      <c r="J722" s="79" t="s">
        <v>4445</v>
      </c>
    </row>
    <row r="723" spans="1:10" ht="14.25" hidden="1" customHeight="1" x14ac:dyDescent="0.25">
      <c r="A723" s="78">
        <v>783504405</v>
      </c>
      <c r="B723" s="54" t="s">
        <v>4435</v>
      </c>
      <c r="C723" s="53" t="s">
        <v>159</v>
      </c>
      <c r="D723" s="79" t="s">
        <v>159</v>
      </c>
      <c r="E723" s="79" t="s">
        <v>4391</v>
      </c>
      <c r="F723" s="79" t="s">
        <v>4778</v>
      </c>
      <c r="G723" s="79" t="s">
        <v>4611</v>
      </c>
      <c r="H723" s="79">
        <v>78350440</v>
      </c>
      <c r="I723" s="79" t="s">
        <v>4915</v>
      </c>
      <c r="J723" s="79" t="s">
        <v>4445</v>
      </c>
    </row>
    <row r="724" spans="1:10" ht="14.25" hidden="1" customHeight="1" x14ac:dyDescent="0.25">
      <c r="A724" s="78">
        <v>765944619</v>
      </c>
      <c r="B724" s="54" t="s">
        <v>1012</v>
      </c>
      <c r="C724" s="53" t="s">
        <v>159</v>
      </c>
      <c r="D724" s="79" t="s">
        <v>159</v>
      </c>
      <c r="E724" s="79" t="s">
        <v>4552</v>
      </c>
      <c r="F724" s="79" t="s">
        <v>4778</v>
      </c>
      <c r="G724" s="79" t="s">
        <v>2632</v>
      </c>
      <c r="H724" s="79">
        <v>76594461</v>
      </c>
      <c r="I724" s="79" t="s">
        <v>4915</v>
      </c>
      <c r="J724" s="79" t="s">
        <v>4445</v>
      </c>
    </row>
    <row r="725" spans="1:10" ht="14.25" hidden="1" customHeight="1" x14ac:dyDescent="0.25">
      <c r="A725" s="78">
        <v>773262896</v>
      </c>
      <c r="B725" s="54" t="s">
        <v>4825</v>
      </c>
      <c r="C725" s="53" t="s">
        <v>159</v>
      </c>
      <c r="D725" s="79" t="s">
        <v>159</v>
      </c>
      <c r="E725" s="79" t="s">
        <v>4391</v>
      </c>
      <c r="F725" s="79" t="s">
        <v>4778</v>
      </c>
      <c r="G725" s="79" t="s">
        <v>2949</v>
      </c>
      <c r="H725" s="79">
        <v>77326289</v>
      </c>
      <c r="I725" s="79" t="s">
        <v>4915</v>
      </c>
      <c r="J725" s="79" t="s">
        <v>4445</v>
      </c>
    </row>
    <row r="726" spans="1:10" ht="14.25" hidden="1" customHeight="1" x14ac:dyDescent="0.25">
      <c r="A726" s="78">
        <v>761174851</v>
      </c>
      <c r="B726" s="54" t="s">
        <v>463</v>
      </c>
      <c r="C726" s="53" t="s">
        <v>159</v>
      </c>
      <c r="D726" s="79" t="s">
        <v>159</v>
      </c>
      <c r="E726" s="79" t="s">
        <v>4465</v>
      </c>
      <c r="F726" s="79" t="s">
        <v>4778</v>
      </c>
      <c r="G726" s="79" t="s">
        <v>2500</v>
      </c>
      <c r="H726" s="79">
        <v>76117485</v>
      </c>
      <c r="I726" s="79" t="s">
        <v>4915</v>
      </c>
      <c r="J726" s="79" t="s">
        <v>4445</v>
      </c>
    </row>
    <row r="727" spans="1:10" ht="14.25" hidden="1" customHeight="1" x14ac:dyDescent="0.25">
      <c r="A727" s="78">
        <v>762421925</v>
      </c>
      <c r="B727" s="54" t="s">
        <v>815</v>
      </c>
      <c r="C727" s="53" t="s">
        <v>159</v>
      </c>
      <c r="D727" s="79" t="s">
        <v>159</v>
      </c>
      <c r="E727" s="79" t="s">
        <v>4465</v>
      </c>
      <c r="F727" s="79" t="s">
        <v>4778</v>
      </c>
      <c r="G727" s="79" t="s">
        <v>2539</v>
      </c>
      <c r="H727" s="79">
        <v>76242192</v>
      </c>
      <c r="I727" s="79" t="s">
        <v>4915</v>
      </c>
      <c r="J727" s="79" t="s">
        <v>4445</v>
      </c>
    </row>
    <row r="728" spans="1:10" ht="14.25" hidden="1" customHeight="1" x14ac:dyDescent="0.25">
      <c r="A728" s="78">
        <v>691108007</v>
      </c>
      <c r="B728" s="54" t="s">
        <v>951</v>
      </c>
      <c r="C728" s="53" t="s">
        <v>159</v>
      </c>
      <c r="D728" s="79" t="s">
        <v>159</v>
      </c>
      <c r="E728" s="79" t="s">
        <v>4339</v>
      </c>
      <c r="F728" s="79" t="s">
        <v>4791</v>
      </c>
      <c r="G728" s="79" t="s">
        <v>1811</v>
      </c>
      <c r="H728" s="79">
        <v>69110800</v>
      </c>
      <c r="I728" s="79" t="s">
        <v>4914</v>
      </c>
      <c r="J728" s="79" t="s">
        <v>4445</v>
      </c>
    </row>
    <row r="729" spans="1:10" ht="14.25" hidden="1" customHeight="1" x14ac:dyDescent="0.25">
      <c r="A729" s="78">
        <v>766862357</v>
      </c>
      <c r="B729" s="54" t="s">
        <v>499</v>
      </c>
      <c r="C729" s="53" t="s">
        <v>159</v>
      </c>
      <c r="D729" s="79" t="s">
        <v>159</v>
      </c>
      <c r="E729" s="79" t="s">
        <v>4391</v>
      </c>
      <c r="F729" s="79" t="s">
        <v>4778</v>
      </c>
      <c r="G729" s="79" t="s">
        <v>2658</v>
      </c>
      <c r="H729" s="79">
        <v>76686235</v>
      </c>
      <c r="I729" s="79" t="s">
        <v>4915</v>
      </c>
      <c r="J729" s="79" t="s">
        <v>4445</v>
      </c>
    </row>
    <row r="730" spans="1:10" ht="14.25" hidden="1" customHeight="1" x14ac:dyDescent="0.25">
      <c r="A730" s="78">
        <v>764797507</v>
      </c>
      <c r="B730" s="54" t="s">
        <v>932</v>
      </c>
      <c r="C730" s="53" t="s">
        <v>159</v>
      </c>
      <c r="D730" s="79" t="s">
        <v>159</v>
      </c>
      <c r="E730" s="79" t="s">
        <v>4395</v>
      </c>
      <c r="F730" s="79" t="s">
        <v>4778</v>
      </c>
      <c r="G730" s="79" t="s">
        <v>3950</v>
      </c>
      <c r="H730" s="79">
        <v>76479750</v>
      </c>
      <c r="I730" s="79" t="s">
        <v>4915</v>
      </c>
      <c r="J730" s="79" t="s">
        <v>4445</v>
      </c>
    </row>
    <row r="731" spans="1:10" ht="14.25" hidden="1" customHeight="1" x14ac:dyDescent="0.25">
      <c r="A731" s="78">
        <v>778830833</v>
      </c>
      <c r="B731" s="54" t="s">
        <v>1101</v>
      </c>
      <c r="C731" s="53" t="s">
        <v>159</v>
      </c>
      <c r="D731" s="79" t="s">
        <v>159</v>
      </c>
      <c r="E731" s="79" t="s">
        <v>4401</v>
      </c>
      <c r="F731" s="79" t="s">
        <v>4778</v>
      </c>
      <c r="G731" s="79" t="s">
        <v>1923</v>
      </c>
      <c r="H731" s="79">
        <v>77883083</v>
      </c>
      <c r="I731" s="79" t="s">
        <v>4915</v>
      </c>
      <c r="J731" s="79" t="s">
        <v>4445</v>
      </c>
    </row>
    <row r="732" spans="1:10" ht="14.25" hidden="1" customHeight="1" x14ac:dyDescent="0.25">
      <c r="A732" s="78">
        <v>691604020</v>
      </c>
      <c r="B732" s="54" t="s">
        <v>359</v>
      </c>
      <c r="C732" s="53" t="s">
        <v>159</v>
      </c>
      <c r="D732" s="79" t="s">
        <v>159</v>
      </c>
      <c r="E732" s="79" t="s">
        <v>4288</v>
      </c>
      <c r="F732" s="79" t="s">
        <v>4786</v>
      </c>
      <c r="G732" s="79" t="s">
        <v>1848</v>
      </c>
      <c r="H732" s="79">
        <v>69160402</v>
      </c>
      <c r="I732" s="79" t="s">
        <v>4914</v>
      </c>
      <c r="J732" s="79" t="s">
        <v>4445</v>
      </c>
    </row>
    <row r="733" spans="1:10" ht="14.25" hidden="1" customHeight="1" x14ac:dyDescent="0.25">
      <c r="A733" s="78">
        <v>690102005</v>
      </c>
      <c r="B733" s="54" t="s">
        <v>281</v>
      </c>
      <c r="C733" s="53" t="s">
        <v>159</v>
      </c>
      <c r="D733" s="79" t="s">
        <v>159</v>
      </c>
      <c r="E733" s="79" t="s">
        <v>4298</v>
      </c>
      <c r="F733" s="79" t="s">
        <v>4802</v>
      </c>
      <c r="G733" s="79" t="s">
        <v>1600</v>
      </c>
      <c r="H733" s="79">
        <v>69010200</v>
      </c>
      <c r="I733" s="79" t="s">
        <v>4914</v>
      </c>
      <c r="J733" s="79" t="s">
        <v>4445</v>
      </c>
    </row>
    <row r="734" spans="1:10" ht="14.25" hidden="1" customHeight="1" x14ac:dyDescent="0.25">
      <c r="A734" s="78">
        <v>691105008</v>
      </c>
      <c r="B734" s="54" t="s">
        <v>338</v>
      </c>
      <c r="C734" s="53" t="s">
        <v>159</v>
      </c>
      <c r="D734" s="79" t="s">
        <v>159</v>
      </c>
      <c r="E734" s="79" t="s">
        <v>4405</v>
      </c>
      <c r="F734" s="79" t="s">
        <v>4791</v>
      </c>
      <c r="G734" s="79" t="s">
        <v>3523</v>
      </c>
      <c r="H734" s="79">
        <v>69110500</v>
      </c>
      <c r="I734" s="79" t="s">
        <v>4914</v>
      </c>
      <c r="J734" s="79" t="s">
        <v>4445</v>
      </c>
    </row>
    <row r="735" spans="1:10" ht="14.25" hidden="1" customHeight="1" x14ac:dyDescent="0.25">
      <c r="A735" s="78">
        <v>761988220</v>
      </c>
      <c r="B735" s="54" t="s">
        <v>110</v>
      </c>
      <c r="C735" s="53" t="s">
        <v>159</v>
      </c>
      <c r="D735" s="79" t="s">
        <v>159</v>
      </c>
      <c r="E735" s="79" t="s">
        <v>4561</v>
      </c>
      <c r="F735" s="79" t="s">
        <v>4778</v>
      </c>
      <c r="G735" s="79" t="s">
        <v>2498</v>
      </c>
      <c r="H735" s="79">
        <v>76198822</v>
      </c>
      <c r="I735" s="79" t="s">
        <v>4915</v>
      </c>
      <c r="J735" s="79" t="s">
        <v>4445</v>
      </c>
    </row>
    <row r="736" spans="1:10" ht="14.25" hidden="1" customHeight="1" x14ac:dyDescent="0.25">
      <c r="A736" s="78">
        <v>92752313</v>
      </c>
      <c r="B736" s="54" t="s">
        <v>3273</v>
      </c>
      <c r="C736" s="53" t="s">
        <v>159</v>
      </c>
      <c r="D736" s="79" t="s">
        <v>159</v>
      </c>
      <c r="E736" s="79" t="s">
        <v>4391</v>
      </c>
      <c r="F736" s="79" t="s">
        <v>4778</v>
      </c>
      <c r="G736" s="79" t="s">
        <v>3272</v>
      </c>
      <c r="H736" s="79">
        <v>9275231</v>
      </c>
      <c r="I736" s="79" t="s">
        <v>4915</v>
      </c>
      <c r="J736" s="79" t="s">
        <v>4445</v>
      </c>
    </row>
    <row r="737" spans="1:10" ht="14.25" hidden="1" customHeight="1" x14ac:dyDescent="0.25">
      <c r="A737" s="78">
        <v>128624430</v>
      </c>
      <c r="B737" s="54" t="s">
        <v>3279</v>
      </c>
      <c r="C737" s="53" t="s">
        <v>159</v>
      </c>
      <c r="D737" s="79" t="s">
        <v>159</v>
      </c>
      <c r="E737" s="79" t="s">
        <v>4444</v>
      </c>
      <c r="F737" s="79" t="s">
        <v>4778</v>
      </c>
      <c r="G737" s="79" t="s">
        <v>3278</v>
      </c>
      <c r="H737" s="79">
        <v>12862443</v>
      </c>
      <c r="I737" s="79" t="s">
        <v>4915</v>
      </c>
      <c r="J737" s="79" t="s">
        <v>4445</v>
      </c>
    </row>
    <row r="738" spans="1:10" ht="14.25" hidden="1" customHeight="1" x14ac:dyDescent="0.25">
      <c r="A738" s="78">
        <v>130628583</v>
      </c>
      <c r="B738" s="54" t="s">
        <v>4447</v>
      </c>
      <c r="C738" s="53" t="s">
        <v>159</v>
      </c>
      <c r="D738" s="79" t="s">
        <v>159</v>
      </c>
      <c r="E738" s="79" t="s">
        <v>4170</v>
      </c>
      <c r="F738" s="79" t="s">
        <v>4798</v>
      </c>
      <c r="G738" s="79" t="s">
        <v>4446</v>
      </c>
      <c r="H738" s="79">
        <v>13062858</v>
      </c>
      <c r="I738" s="79" t="s">
        <v>4915</v>
      </c>
      <c r="J738" s="79" t="s">
        <v>4445</v>
      </c>
    </row>
    <row r="739" spans="1:10" ht="14.25" hidden="1" customHeight="1" x14ac:dyDescent="0.25">
      <c r="A739" s="78">
        <v>138177564</v>
      </c>
      <c r="B739" s="54" t="s">
        <v>4019</v>
      </c>
      <c r="C739" s="53" t="s">
        <v>159</v>
      </c>
      <c r="D739" s="79" t="s">
        <v>159</v>
      </c>
      <c r="E739" s="79" t="s">
        <v>4170</v>
      </c>
      <c r="F739" s="79" t="s">
        <v>4798</v>
      </c>
      <c r="G739" s="79" t="s">
        <v>4018</v>
      </c>
      <c r="H739" s="79">
        <v>13817756</v>
      </c>
      <c r="I739" s="79" t="s">
        <v>4915</v>
      </c>
      <c r="J739" s="79" t="s">
        <v>4445</v>
      </c>
    </row>
    <row r="740" spans="1:10" ht="14.25" hidden="1" customHeight="1" x14ac:dyDescent="0.25">
      <c r="A740" s="78">
        <v>159017230</v>
      </c>
      <c r="B740" s="54" t="s">
        <v>160</v>
      </c>
      <c r="C740" s="53" t="s">
        <v>159</v>
      </c>
      <c r="D740" s="79" t="s">
        <v>159</v>
      </c>
      <c r="E740" s="79" t="s">
        <v>4171</v>
      </c>
      <c r="F740" s="79" t="s">
        <v>4789</v>
      </c>
      <c r="G740" s="79" t="s">
        <v>2944</v>
      </c>
      <c r="H740" s="79">
        <v>15901723</v>
      </c>
      <c r="I740" s="79" t="s">
        <v>4915</v>
      </c>
      <c r="J740" s="79" t="s">
        <v>4445</v>
      </c>
    </row>
    <row r="741" spans="1:10" ht="14.25" hidden="1" customHeight="1" x14ac:dyDescent="0.25">
      <c r="A741" s="78">
        <v>164793079</v>
      </c>
      <c r="B741" s="54" t="s">
        <v>161</v>
      </c>
      <c r="C741" s="53" t="s">
        <v>159</v>
      </c>
      <c r="D741" s="79" t="s">
        <v>159</v>
      </c>
      <c r="E741" s="79" t="s">
        <v>4449</v>
      </c>
      <c r="F741" s="79" t="s">
        <v>4778</v>
      </c>
      <c r="G741" s="79" t="s">
        <v>4021</v>
      </c>
      <c r="H741" s="79">
        <v>16479307</v>
      </c>
      <c r="I741" s="79" t="s">
        <v>4915</v>
      </c>
      <c r="J741" s="79" t="s">
        <v>4445</v>
      </c>
    </row>
    <row r="742" spans="1:10" ht="14.25" hidden="1" customHeight="1" x14ac:dyDescent="0.25">
      <c r="A742" s="78">
        <v>176010681</v>
      </c>
      <c r="B742" s="54" t="s">
        <v>4451</v>
      </c>
      <c r="C742" s="53" t="s">
        <v>159</v>
      </c>
      <c r="D742" s="79" t="s">
        <v>159</v>
      </c>
      <c r="E742" s="79" t="s">
        <v>4409</v>
      </c>
      <c r="F742" s="79" t="s">
        <v>4778</v>
      </c>
      <c r="G742" s="79" t="s">
        <v>4450</v>
      </c>
      <c r="H742" s="79">
        <v>17601068</v>
      </c>
      <c r="I742" s="79" t="s">
        <v>4915</v>
      </c>
      <c r="J742" s="79" t="s">
        <v>4445</v>
      </c>
    </row>
    <row r="743" spans="1:10" ht="14.25" hidden="1" customHeight="1" x14ac:dyDescent="0.25">
      <c r="A743" s="78">
        <v>236443140</v>
      </c>
      <c r="B743" s="54" t="s">
        <v>4027</v>
      </c>
      <c r="C743" s="53" t="s">
        <v>159</v>
      </c>
      <c r="D743" s="79" t="s">
        <v>159</v>
      </c>
      <c r="E743" s="79" t="s">
        <v>4410</v>
      </c>
      <c r="F743" s="79" t="s">
        <v>4778</v>
      </c>
      <c r="G743" s="79" t="s">
        <v>4026</v>
      </c>
      <c r="H743" s="79">
        <v>23644314</v>
      </c>
      <c r="I743" s="79" t="s">
        <v>4915</v>
      </c>
      <c r="J743" s="79" t="s">
        <v>4445</v>
      </c>
    </row>
    <row r="744" spans="1:10" ht="14.25" hidden="1" customHeight="1" x14ac:dyDescent="0.25">
      <c r="A744" s="78">
        <v>267104476</v>
      </c>
      <c r="B744" s="54" t="s">
        <v>4030</v>
      </c>
      <c r="C744" s="53" t="s">
        <v>159</v>
      </c>
      <c r="D744" s="79" t="s">
        <v>159</v>
      </c>
      <c r="E744" s="79" t="s">
        <v>4410</v>
      </c>
      <c r="F744" s="79" t="s">
        <v>4778</v>
      </c>
      <c r="G744" s="79" t="s">
        <v>4029</v>
      </c>
      <c r="H744" s="79">
        <v>26710447</v>
      </c>
      <c r="I744" s="79" t="s">
        <v>4915</v>
      </c>
      <c r="J744" s="79" t="s">
        <v>4445</v>
      </c>
    </row>
    <row r="745" spans="1:10" ht="14.25" hidden="1" customHeight="1" x14ac:dyDescent="0.25">
      <c r="A745" s="78">
        <v>609110007</v>
      </c>
      <c r="B745" s="54" t="s">
        <v>162</v>
      </c>
      <c r="C745" s="53" t="s">
        <v>159</v>
      </c>
      <c r="D745" s="79" t="s">
        <v>159</v>
      </c>
      <c r="E745" s="79" t="s">
        <v>4452</v>
      </c>
      <c r="F745" s="79" t="s">
        <v>4778</v>
      </c>
      <c r="G745" s="79" t="s">
        <v>4043</v>
      </c>
      <c r="H745" s="79">
        <v>60911000</v>
      </c>
      <c r="I745" s="79" t="s">
        <v>4914</v>
      </c>
      <c r="J745" s="79" t="s">
        <v>4445</v>
      </c>
    </row>
    <row r="746" spans="1:10" ht="14.25" hidden="1" customHeight="1" x14ac:dyDescent="0.25">
      <c r="A746" s="78">
        <v>610080006</v>
      </c>
      <c r="B746" s="54" t="s">
        <v>4462</v>
      </c>
      <c r="C746" s="53" t="s">
        <v>159</v>
      </c>
      <c r="D746" s="79" t="s">
        <v>159</v>
      </c>
      <c r="E746" s="79" t="s">
        <v>4460</v>
      </c>
      <c r="F746" s="79" t="s">
        <v>4786</v>
      </c>
      <c r="G746" s="79" t="s">
        <v>4461</v>
      </c>
      <c r="H746" s="79">
        <v>61008000</v>
      </c>
      <c r="I746" s="79" t="s">
        <v>4915</v>
      </c>
      <c r="J746" s="79" t="s">
        <v>4445</v>
      </c>
    </row>
    <row r="747" spans="1:10" ht="14.25" customHeight="1" x14ac:dyDescent="0.25">
      <c r="A747" s="78">
        <v>611010826</v>
      </c>
      <c r="B747" s="54" t="s">
        <v>165</v>
      </c>
      <c r="C747" s="53" t="s">
        <v>159</v>
      </c>
      <c r="D747" s="79" t="s">
        <v>159</v>
      </c>
      <c r="E747" s="79" t="s">
        <v>4181</v>
      </c>
      <c r="F747" s="79" t="s">
        <v>4801</v>
      </c>
      <c r="G747" s="79" t="s">
        <v>4059</v>
      </c>
      <c r="H747" s="79">
        <v>61101082</v>
      </c>
      <c r="I747" s="79" t="s">
        <v>4914</v>
      </c>
      <c r="J747" s="79" t="s">
        <v>4445</v>
      </c>
    </row>
    <row r="748" spans="1:10" ht="14.25" hidden="1" customHeight="1" x14ac:dyDescent="0.25">
      <c r="A748" s="78">
        <v>611030193</v>
      </c>
      <c r="B748" s="54" t="s">
        <v>169</v>
      </c>
      <c r="C748" s="53" t="s">
        <v>159</v>
      </c>
      <c r="D748" s="79" t="s">
        <v>159</v>
      </c>
      <c r="E748" s="79" t="s">
        <v>4182</v>
      </c>
      <c r="F748" s="79" t="s">
        <v>4796</v>
      </c>
      <c r="G748" s="79" t="s">
        <v>4079</v>
      </c>
      <c r="H748" s="79">
        <v>61103019</v>
      </c>
      <c r="I748" s="79" t="s">
        <v>4914</v>
      </c>
      <c r="J748" s="79" t="s">
        <v>4445</v>
      </c>
    </row>
    <row r="749" spans="1:10" ht="14.25" hidden="1" customHeight="1" x14ac:dyDescent="0.25">
      <c r="A749" s="78">
        <v>611070004</v>
      </c>
      <c r="B749" s="54" t="s">
        <v>4084</v>
      </c>
      <c r="C749" s="53" t="s">
        <v>159</v>
      </c>
      <c r="D749" s="79" t="s">
        <v>159</v>
      </c>
      <c r="E749" s="79" t="s">
        <v>4391</v>
      </c>
      <c r="F749" s="79" t="s">
        <v>4778</v>
      </c>
      <c r="G749" s="79" t="s">
        <v>4083</v>
      </c>
      <c r="H749" s="79">
        <v>61107000</v>
      </c>
      <c r="I749" s="79" t="s">
        <v>4915</v>
      </c>
      <c r="J749" s="79" t="s">
        <v>4445</v>
      </c>
    </row>
    <row r="750" spans="1:10" ht="14.25" hidden="1" customHeight="1" x14ac:dyDescent="0.25">
      <c r="A750" s="78">
        <v>616020404</v>
      </c>
      <c r="B750" s="54" t="s">
        <v>4428</v>
      </c>
      <c r="C750" s="53" t="s">
        <v>159</v>
      </c>
      <c r="D750" s="79" t="s">
        <v>159</v>
      </c>
      <c r="E750" s="79" t="s">
        <v>4256</v>
      </c>
      <c r="F750" s="79" t="s">
        <v>4788</v>
      </c>
      <c r="G750" s="79" t="s">
        <v>4468</v>
      </c>
      <c r="H750" s="79">
        <v>61602040</v>
      </c>
      <c r="I750" s="79" t="s">
        <v>4915</v>
      </c>
      <c r="J750" s="79" t="s">
        <v>4445</v>
      </c>
    </row>
    <row r="751" spans="1:10" ht="14.25" hidden="1" customHeight="1" x14ac:dyDescent="0.25">
      <c r="A751" s="78">
        <v>616021427</v>
      </c>
      <c r="B751" s="54" t="s">
        <v>178</v>
      </c>
      <c r="C751" s="53" t="s">
        <v>159</v>
      </c>
      <c r="D751" s="79" t="s">
        <v>159</v>
      </c>
      <c r="E751" s="79" t="s">
        <v>4201</v>
      </c>
      <c r="F751" s="79" t="s">
        <v>4795</v>
      </c>
      <c r="G751" s="79" t="s">
        <v>2441</v>
      </c>
      <c r="H751" s="79">
        <v>61602142</v>
      </c>
      <c r="I751" s="79" t="s">
        <v>4914</v>
      </c>
      <c r="J751" s="79" t="s">
        <v>4445</v>
      </c>
    </row>
    <row r="752" spans="1:10" ht="14.25" hidden="1" customHeight="1" x14ac:dyDescent="0.25">
      <c r="A752" s="78">
        <v>616021508</v>
      </c>
      <c r="B752" s="54" t="s">
        <v>182</v>
      </c>
      <c r="C752" s="53" t="s">
        <v>159</v>
      </c>
      <c r="D752" s="79" t="s">
        <v>159</v>
      </c>
      <c r="E752" s="79" t="s">
        <v>4207</v>
      </c>
      <c r="F752" s="79" t="s">
        <v>4795</v>
      </c>
      <c r="G752" s="79" t="s">
        <v>1604</v>
      </c>
      <c r="H752" s="79">
        <v>61602150</v>
      </c>
      <c r="I752" s="79" t="s">
        <v>4914</v>
      </c>
      <c r="J752" s="79" t="s">
        <v>4445</v>
      </c>
    </row>
    <row r="753" spans="1:10" ht="14.25" hidden="1" customHeight="1" x14ac:dyDescent="0.25">
      <c r="A753" s="78">
        <v>616022261</v>
      </c>
      <c r="B753" s="54" t="s">
        <v>767</v>
      </c>
      <c r="C753" s="53" t="s">
        <v>159</v>
      </c>
      <c r="D753" s="79" t="s">
        <v>159</v>
      </c>
      <c r="E753" s="79" t="s">
        <v>4477</v>
      </c>
      <c r="F753" s="79" t="s">
        <v>4779</v>
      </c>
      <c r="G753" s="79" t="s">
        <v>1961</v>
      </c>
      <c r="H753" s="79">
        <v>61602226</v>
      </c>
      <c r="I753" s="79" t="s">
        <v>4914</v>
      </c>
      <c r="J753" s="79" t="s">
        <v>4445</v>
      </c>
    </row>
    <row r="754" spans="1:10" ht="14.25" hidden="1" customHeight="1" x14ac:dyDescent="0.25">
      <c r="A754" s="78">
        <v>616022415</v>
      </c>
      <c r="B754" s="54" t="s">
        <v>192</v>
      </c>
      <c r="C754" s="53" t="s">
        <v>159</v>
      </c>
      <c r="D754" s="79" t="s">
        <v>159</v>
      </c>
      <c r="E754" s="79" t="s">
        <v>4479</v>
      </c>
      <c r="F754" s="79" t="s">
        <v>4779</v>
      </c>
      <c r="G754" s="79" t="s">
        <v>2178</v>
      </c>
      <c r="H754" s="79">
        <v>61602241</v>
      </c>
      <c r="I754" s="79" t="s">
        <v>4914</v>
      </c>
      <c r="J754" s="79" t="s">
        <v>4445</v>
      </c>
    </row>
    <row r="755" spans="1:10" ht="14.25" hidden="1" customHeight="1" x14ac:dyDescent="0.25">
      <c r="A755" s="78">
        <v>616022466</v>
      </c>
      <c r="B755" s="54" t="s">
        <v>195</v>
      </c>
      <c r="C755" s="53" t="s">
        <v>159</v>
      </c>
      <c r="D755" s="79" t="s">
        <v>159</v>
      </c>
      <c r="E755" s="79" t="s">
        <v>4222</v>
      </c>
      <c r="F755" s="79" t="s">
        <v>4779</v>
      </c>
      <c r="G755" s="79" t="s">
        <v>1218</v>
      </c>
      <c r="H755" s="79">
        <v>61602246</v>
      </c>
      <c r="I755" s="79" t="s">
        <v>4914</v>
      </c>
      <c r="J755" s="79" t="s">
        <v>4445</v>
      </c>
    </row>
    <row r="756" spans="1:10" ht="14.25" hidden="1" customHeight="1" x14ac:dyDescent="0.25">
      <c r="A756" s="78">
        <v>616022687</v>
      </c>
      <c r="B756" s="54" t="s">
        <v>198</v>
      </c>
      <c r="C756" s="53" t="s">
        <v>159</v>
      </c>
      <c r="D756" s="79" t="s">
        <v>159</v>
      </c>
      <c r="E756" s="79" t="s">
        <v>4226</v>
      </c>
      <c r="F756" s="79" t="s">
        <v>4784</v>
      </c>
      <c r="G756" s="79" t="s">
        <v>1230</v>
      </c>
      <c r="H756" s="79">
        <v>61602268</v>
      </c>
      <c r="I756" s="79" t="s">
        <v>4914</v>
      </c>
      <c r="J756" s="79" t="s">
        <v>4445</v>
      </c>
    </row>
    <row r="757" spans="1:10" ht="14.25" hidden="1" customHeight="1" x14ac:dyDescent="0.25">
      <c r="A757" s="78">
        <v>616022741</v>
      </c>
      <c r="B757" s="54" t="s">
        <v>887</v>
      </c>
      <c r="C757" s="53" t="s">
        <v>159</v>
      </c>
      <c r="D757" s="79" t="s">
        <v>159</v>
      </c>
      <c r="E757" s="79" t="s">
        <v>4826</v>
      </c>
      <c r="F757" s="79" t="s">
        <v>4784</v>
      </c>
      <c r="G757" s="79" t="s">
        <v>1239</v>
      </c>
      <c r="H757" s="79">
        <v>61602274</v>
      </c>
      <c r="I757" s="79" t="s">
        <v>4914</v>
      </c>
      <c r="J757" s="79" t="s">
        <v>4445</v>
      </c>
    </row>
    <row r="758" spans="1:10" ht="14.25" hidden="1" customHeight="1" x14ac:dyDescent="0.25">
      <c r="A758" s="78">
        <v>616022814</v>
      </c>
      <c r="B758" s="54" t="s">
        <v>888</v>
      </c>
      <c r="C758" s="53" t="s">
        <v>159</v>
      </c>
      <c r="D758" s="79" t="s">
        <v>159</v>
      </c>
      <c r="E758" s="79" t="s">
        <v>4234</v>
      </c>
      <c r="F758" s="79" t="s">
        <v>4800</v>
      </c>
      <c r="G758" s="79" t="s">
        <v>4139</v>
      </c>
      <c r="H758" s="79">
        <v>61602281</v>
      </c>
      <c r="I758" s="79" t="s">
        <v>4914</v>
      </c>
      <c r="J758" s="79" t="s">
        <v>4445</v>
      </c>
    </row>
    <row r="759" spans="1:10" ht="14.25" hidden="1" customHeight="1" x14ac:dyDescent="0.25">
      <c r="A759" s="78">
        <v>616022938</v>
      </c>
      <c r="B759" s="54" t="s">
        <v>4827</v>
      </c>
      <c r="C759" s="53" t="s">
        <v>159</v>
      </c>
      <c r="D759" s="79" t="s">
        <v>159</v>
      </c>
      <c r="E759" s="79" t="s">
        <v>4486</v>
      </c>
      <c r="F759" s="79" t="s">
        <v>4800</v>
      </c>
      <c r="G759" s="79" t="s">
        <v>1455</v>
      </c>
      <c r="H759" s="79">
        <v>61602293</v>
      </c>
      <c r="I759" s="79" t="s">
        <v>4914</v>
      </c>
      <c r="J759" s="79" t="s">
        <v>4445</v>
      </c>
    </row>
    <row r="760" spans="1:10" ht="14.25" hidden="1" customHeight="1" x14ac:dyDescent="0.25">
      <c r="A760" s="78">
        <v>616062042</v>
      </c>
      <c r="B760" s="54" t="s">
        <v>210</v>
      </c>
      <c r="C760" s="53" t="s">
        <v>159</v>
      </c>
      <c r="D760" s="79" t="s">
        <v>159</v>
      </c>
      <c r="E760" s="79" t="s">
        <v>4239</v>
      </c>
      <c r="F760" s="79" t="s">
        <v>4796</v>
      </c>
      <c r="G760" s="79" t="s">
        <v>1950</v>
      </c>
      <c r="H760" s="79">
        <v>61606204</v>
      </c>
      <c r="I760" s="79" t="s">
        <v>4914</v>
      </c>
      <c r="J760" s="79" t="s">
        <v>4445</v>
      </c>
    </row>
    <row r="761" spans="1:10" ht="14.25" hidden="1" customHeight="1" x14ac:dyDescent="0.25">
      <c r="A761" s="78">
        <v>616062050</v>
      </c>
      <c r="B761" s="54" t="s">
        <v>211</v>
      </c>
      <c r="C761" s="53" t="s">
        <v>159</v>
      </c>
      <c r="D761" s="79" t="s">
        <v>159</v>
      </c>
      <c r="E761" s="79" t="s">
        <v>4240</v>
      </c>
      <c r="F761" s="79" t="s">
        <v>4796</v>
      </c>
      <c r="G761" s="79" t="s">
        <v>2443</v>
      </c>
      <c r="H761" s="79">
        <v>61606205</v>
      </c>
      <c r="I761" s="79" t="s">
        <v>4914</v>
      </c>
      <c r="J761" s="79" t="s">
        <v>4445</v>
      </c>
    </row>
    <row r="762" spans="1:10" ht="14.25" hidden="1" customHeight="1" x14ac:dyDescent="0.25">
      <c r="A762" s="78">
        <v>616063006</v>
      </c>
      <c r="B762" s="54" t="s">
        <v>4828</v>
      </c>
      <c r="C762" s="53" t="s">
        <v>159</v>
      </c>
      <c r="D762" s="79" t="s">
        <v>159</v>
      </c>
      <c r="E762" s="79" t="s">
        <v>4466</v>
      </c>
      <c r="F762" s="79" t="s">
        <v>4803</v>
      </c>
      <c r="G762" s="79" t="s">
        <v>1282</v>
      </c>
      <c r="H762" s="79">
        <v>61606300</v>
      </c>
      <c r="I762" s="79" t="s">
        <v>4914</v>
      </c>
      <c r="J762" s="79" t="s">
        <v>4445</v>
      </c>
    </row>
    <row r="763" spans="1:10" ht="14.25" hidden="1" customHeight="1" x14ac:dyDescent="0.25">
      <c r="A763" s="78">
        <v>616063057</v>
      </c>
      <c r="B763" s="54" t="s">
        <v>213</v>
      </c>
      <c r="C763" s="53" t="s">
        <v>159</v>
      </c>
      <c r="D763" s="79" t="s">
        <v>159</v>
      </c>
      <c r="E763" s="79" t="s">
        <v>4242</v>
      </c>
      <c r="F763" s="79" t="s">
        <v>4803</v>
      </c>
      <c r="G763" s="79" t="s">
        <v>3068</v>
      </c>
      <c r="H763" s="79">
        <v>61606305</v>
      </c>
      <c r="I763" s="79" t="s">
        <v>4914</v>
      </c>
      <c r="J763" s="79" t="s">
        <v>4445</v>
      </c>
    </row>
    <row r="764" spans="1:10" ht="14.25" hidden="1" customHeight="1" x14ac:dyDescent="0.25">
      <c r="A764" s="78">
        <v>616064002</v>
      </c>
      <c r="B764" s="54" t="s">
        <v>216</v>
      </c>
      <c r="C764" s="53" t="s">
        <v>159</v>
      </c>
      <c r="D764" s="79" t="s">
        <v>159</v>
      </c>
      <c r="E764" s="79" t="s">
        <v>4171</v>
      </c>
      <c r="F764" s="79" t="s">
        <v>4789</v>
      </c>
      <c r="G764" s="79" t="s">
        <v>1316</v>
      </c>
      <c r="H764" s="79">
        <v>61606400</v>
      </c>
      <c r="I764" s="79" t="s">
        <v>4914</v>
      </c>
      <c r="J764" s="79" t="s">
        <v>4445</v>
      </c>
    </row>
    <row r="765" spans="1:10" ht="14.25" hidden="1" customHeight="1" x14ac:dyDescent="0.25">
      <c r="A765" s="78">
        <v>616064010</v>
      </c>
      <c r="B765" s="54" t="s">
        <v>3071</v>
      </c>
      <c r="C765" s="53" t="s">
        <v>159</v>
      </c>
      <c r="D765" s="79" t="s">
        <v>159</v>
      </c>
      <c r="E765" s="79" t="s">
        <v>4244</v>
      </c>
      <c r="F765" s="79" t="s">
        <v>4789</v>
      </c>
      <c r="G765" s="79" t="s">
        <v>3070</v>
      </c>
      <c r="H765" s="79">
        <v>61606401</v>
      </c>
      <c r="I765" s="79" t="s">
        <v>4914</v>
      </c>
      <c r="J765" s="79" t="s">
        <v>4445</v>
      </c>
    </row>
    <row r="766" spans="1:10" ht="14.25" hidden="1" customHeight="1" x14ac:dyDescent="0.25">
      <c r="A766" s="78">
        <v>616066072</v>
      </c>
      <c r="B766" s="54" t="s">
        <v>890</v>
      </c>
      <c r="C766" s="53" t="s">
        <v>159</v>
      </c>
      <c r="D766" s="79" t="s">
        <v>159</v>
      </c>
      <c r="E766" s="79" t="s">
        <v>4249</v>
      </c>
      <c r="F766" s="79" t="s">
        <v>4788</v>
      </c>
      <c r="G766" s="79" t="s">
        <v>1320</v>
      </c>
      <c r="H766" s="79">
        <v>61606607</v>
      </c>
      <c r="I766" s="79" t="s">
        <v>4914</v>
      </c>
      <c r="J766" s="79" t="s">
        <v>4445</v>
      </c>
    </row>
    <row r="767" spans="1:10" ht="14.25" hidden="1" customHeight="1" x14ac:dyDescent="0.25">
      <c r="A767" s="78">
        <v>616066129</v>
      </c>
      <c r="B767" s="54" t="s">
        <v>773</v>
      </c>
      <c r="C767" s="53" t="s">
        <v>159</v>
      </c>
      <c r="D767" s="79" t="s">
        <v>159</v>
      </c>
      <c r="E767" s="79" t="s">
        <v>4255</v>
      </c>
      <c r="F767" s="79" t="s">
        <v>4788</v>
      </c>
      <c r="G767" s="79" t="s">
        <v>1514</v>
      </c>
      <c r="H767" s="79">
        <v>61606612</v>
      </c>
      <c r="I767" s="79" t="s">
        <v>4914</v>
      </c>
      <c r="J767" s="79" t="s">
        <v>4445</v>
      </c>
    </row>
    <row r="768" spans="1:10" ht="14.25" hidden="1" customHeight="1" x14ac:dyDescent="0.25">
      <c r="A768" s="78">
        <v>616067001</v>
      </c>
      <c r="B768" s="54" t="s">
        <v>1332</v>
      </c>
      <c r="C768" s="53" t="s">
        <v>159</v>
      </c>
      <c r="D768" s="79" t="s">
        <v>159</v>
      </c>
      <c r="E768" s="79" t="s">
        <v>4174</v>
      </c>
      <c r="F768" s="79" t="s">
        <v>4788</v>
      </c>
      <c r="G768" s="79" t="s">
        <v>1331</v>
      </c>
      <c r="H768" s="79">
        <v>61606700</v>
      </c>
      <c r="I768" s="79" t="s">
        <v>4914</v>
      </c>
      <c r="J768" s="79" t="s">
        <v>4445</v>
      </c>
    </row>
    <row r="769" spans="1:10" ht="14.25" hidden="1" customHeight="1" x14ac:dyDescent="0.25">
      <c r="A769" s="78">
        <v>616069055</v>
      </c>
      <c r="B769" s="54" t="s">
        <v>227</v>
      </c>
      <c r="C769" s="53" t="s">
        <v>159</v>
      </c>
      <c r="D769" s="79" t="s">
        <v>159</v>
      </c>
      <c r="E769" s="79" t="s">
        <v>4492</v>
      </c>
      <c r="F769" s="79" t="s">
        <v>4791</v>
      </c>
      <c r="G769" s="79" t="s">
        <v>1344</v>
      </c>
      <c r="H769" s="79">
        <v>61606905</v>
      </c>
      <c r="I769" s="79" t="s">
        <v>4914</v>
      </c>
      <c r="J769" s="79" t="s">
        <v>4445</v>
      </c>
    </row>
    <row r="770" spans="1:10" ht="14.25" hidden="1" customHeight="1" x14ac:dyDescent="0.25">
      <c r="A770" s="78">
        <v>616070002</v>
      </c>
      <c r="B770" s="54" t="s">
        <v>234</v>
      </c>
      <c r="C770" s="53" t="s">
        <v>159</v>
      </c>
      <c r="D770" s="79" t="s">
        <v>159</v>
      </c>
      <c r="E770" s="79" t="s">
        <v>4495</v>
      </c>
      <c r="F770" s="79" t="s">
        <v>4792</v>
      </c>
      <c r="G770" s="79" t="s">
        <v>3107</v>
      </c>
      <c r="H770" s="79">
        <v>61607000</v>
      </c>
      <c r="I770" s="79" t="s">
        <v>4914</v>
      </c>
      <c r="J770" s="79" t="s">
        <v>4445</v>
      </c>
    </row>
    <row r="771" spans="1:10" ht="14.25" hidden="1" customHeight="1" x14ac:dyDescent="0.25">
      <c r="A771" s="78">
        <v>616070045</v>
      </c>
      <c r="B771" s="54" t="s">
        <v>236</v>
      </c>
      <c r="C771" s="53" t="s">
        <v>159</v>
      </c>
      <c r="D771" s="79" t="s">
        <v>159</v>
      </c>
      <c r="E771" s="79" t="s">
        <v>4268</v>
      </c>
      <c r="F771" s="79" t="s">
        <v>4792</v>
      </c>
      <c r="G771" s="79" t="s">
        <v>1639</v>
      </c>
      <c r="H771" s="79">
        <v>61607004</v>
      </c>
      <c r="I771" s="79" t="s">
        <v>4914</v>
      </c>
      <c r="J771" s="79" t="s">
        <v>4445</v>
      </c>
    </row>
    <row r="772" spans="1:10" ht="14.25" hidden="1" customHeight="1" x14ac:dyDescent="0.25">
      <c r="A772" s="78">
        <v>616071009</v>
      </c>
      <c r="B772" s="54" t="s">
        <v>238</v>
      </c>
      <c r="C772" s="53" t="s">
        <v>159</v>
      </c>
      <c r="D772" s="79" t="s">
        <v>159</v>
      </c>
      <c r="E772" s="79" t="s">
        <v>4460</v>
      </c>
      <c r="F772" s="79" t="s">
        <v>4786</v>
      </c>
      <c r="G772" s="79" t="s">
        <v>1377</v>
      </c>
      <c r="H772" s="79">
        <v>61607100</v>
      </c>
      <c r="I772" s="79" t="s">
        <v>4914</v>
      </c>
      <c r="J772" s="79" t="s">
        <v>4445</v>
      </c>
    </row>
    <row r="773" spans="1:10" ht="14.25" hidden="1" customHeight="1" x14ac:dyDescent="0.25">
      <c r="A773" s="78">
        <v>616073044</v>
      </c>
      <c r="B773" s="54" t="s">
        <v>891</v>
      </c>
      <c r="C773" s="53" t="s">
        <v>159</v>
      </c>
      <c r="D773" s="79" t="s">
        <v>159</v>
      </c>
      <c r="E773" s="79" t="s">
        <v>4499</v>
      </c>
      <c r="F773" s="79" t="s">
        <v>4786</v>
      </c>
      <c r="G773" s="79" t="s">
        <v>1392</v>
      </c>
      <c r="H773" s="79">
        <v>61607304</v>
      </c>
      <c r="I773" s="79" t="s">
        <v>4914</v>
      </c>
      <c r="J773" s="79" t="s">
        <v>4445</v>
      </c>
    </row>
    <row r="774" spans="1:10" ht="14.25" hidden="1" customHeight="1" x14ac:dyDescent="0.25">
      <c r="A774" s="78">
        <v>616073060</v>
      </c>
      <c r="B774" s="54" t="s">
        <v>243</v>
      </c>
      <c r="C774" s="53" t="s">
        <v>159</v>
      </c>
      <c r="D774" s="79" t="s">
        <v>159</v>
      </c>
      <c r="E774" s="79" t="s">
        <v>4273</v>
      </c>
      <c r="F774" s="79" t="s">
        <v>4786</v>
      </c>
      <c r="G774" s="79" t="s">
        <v>1389</v>
      </c>
      <c r="H774" s="79">
        <v>61607306</v>
      </c>
      <c r="I774" s="79" t="s">
        <v>4914</v>
      </c>
      <c r="J774" s="79" t="s">
        <v>4445</v>
      </c>
    </row>
    <row r="775" spans="1:10" ht="14.25" hidden="1" customHeight="1" x14ac:dyDescent="0.25">
      <c r="A775" s="78">
        <v>616075047</v>
      </c>
      <c r="B775" s="54" t="s">
        <v>4829</v>
      </c>
      <c r="C775" s="53" t="s">
        <v>159</v>
      </c>
      <c r="D775" s="79" t="s">
        <v>159</v>
      </c>
      <c r="E775" s="79" t="s">
        <v>4277</v>
      </c>
      <c r="F775" s="79" t="s">
        <v>4798</v>
      </c>
      <c r="G775" s="79" t="s">
        <v>2319</v>
      </c>
      <c r="H775" s="79">
        <v>61607504</v>
      </c>
      <c r="I775" s="79" t="s">
        <v>4914</v>
      </c>
      <c r="J775" s="79" t="s">
        <v>4445</v>
      </c>
    </row>
    <row r="776" spans="1:10" ht="14.25" hidden="1" customHeight="1" x14ac:dyDescent="0.25">
      <c r="A776" s="78">
        <v>616075055</v>
      </c>
      <c r="B776" s="54" t="s">
        <v>893</v>
      </c>
      <c r="C776" s="53" t="s">
        <v>159</v>
      </c>
      <c r="D776" s="79" t="s">
        <v>159</v>
      </c>
      <c r="E776" s="79" t="s">
        <v>4278</v>
      </c>
      <c r="F776" s="79" t="s">
        <v>4798</v>
      </c>
      <c r="G776" s="79" t="s">
        <v>1807</v>
      </c>
      <c r="H776" s="79">
        <v>61607505</v>
      </c>
      <c r="I776" s="79" t="s">
        <v>4914</v>
      </c>
      <c r="J776" s="79" t="s">
        <v>4445</v>
      </c>
    </row>
    <row r="777" spans="1:10" ht="14.25" hidden="1" customHeight="1" x14ac:dyDescent="0.25">
      <c r="A777" s="78">
        <v>616075071</v>
      </c>
      <c r="B777" s="54" t="s">
        <v>246</v>
      </c>
      <c r="C777" s="53" t="s">
        <v>159</v>
      </c>
      <c r="D777" s="79" t="s">
        <v>159</v>
      </c>
      <c r="E777" s="79" t="s">
        <v>4279</v>
      </c>
      <c r="F777" s="79" t="s">
        <v>4798</v>
      </c>
      <c r="G777" s="79" t="s">
        <v>1410</v>
      </c>
      <c r="H777" s="79">
        <v>61607507</v>
      </c>
      <c r="I777" s="79" t="s">
        <v>4914</v>
      </c>
      <c r="J777" s="79" t="s">
        <v>4445</v>
      </c>
    </row>
    <row r="778" spans="1:10" ht="14.25" hidden="1" customHeight="1" x14ac:dyDescent="0.25">
      <c r="A778" s="78">
        <v>616076000</v>
      </c>
      <c r="B778" s="54" t="s">
        <v>248</v>
      </c>
      <c r="C778" s="53" t="s">
        <v>159</v>
      </c>
      <c r="D778" s="79" t="s">
        <v>159</v>
      </c>
      <c r="E778" s="79" t="s">
        <v>4224</v>
      </c>
      <c r="F778" s="79" t="s">
        <v>4784</v>
      </c>
      <c r="G778" s="79" t="s">
        <v>1416</v>
      </c>
      <c r="H778" s="79">
        <v>61607600</v>
      </c>
      <c r="I778" s="79" t="s">
        <v>4914</v>
      </c>
      <c r="J778" s="79" t="s">
        <v>4445</v>
      </c>
    </row>
    <row r="779" spans="1:10" ht="14.25" hidden="1" customHeight="1" x14ac:dyDescent="0.25">
      <c r="A779" s="78">
        <v>616077007</v>
      </c>
      <c r="B779" s="54" t="s">
        <v>4502</v>
      </c>
      <c r="C779" s="53" t="s">
        <v>159</v>
      </c>
      <c r="D779" s="79" t="s">
        <v>159</v>
      </c>
      <c r="E779" s="79" t="s">
        <v>4292</v>
      </c>
      <c r="F779" s="79" t="s">
        <v>4784</v>
      </c>
      <c r="G779" s="79" t="s">
        <v>4501</v>
      </c>
      <c r="H779" s="79">
        <v>61607700</v>
      </c>
      <c r="I779" s="79" t="s">
        <v>4915</v>
      </c>
      <c r="J779" s="79" t="s">
        <v>4445</v>
      </c>
    </row>
    <row r="780" spans="1:10" ht="14.25" hidden="1" customHeight="1" x14ac:dyDescent="0.25">
      <c r="A780" s="78">
        <v>616082000</v>
      </c>
      <c r="B780" s="54" t="s">
        <v>253</v>
      </c>
      <c r="C780" s="53" t="s">
        <v>159</v>
      </c>
      <c r="D780" s="79" t="s">
        <v>159</v>
      </c>
      <c r="E780" s="79" t="s">
        <v>4168</v>
      </c>
      <c r="F780" s="79" t="s">
        <v>4778</v>
      </c>
      <c r="G780" s="79" t="s">
        <v>2382</v>
      </c>
      <c r="H780" s="79">
        <v>61608200</v>
      </c>
      <c r="I780" s="79" t="s">
        <v>4914</v>
      </c>
      <c r="J780" s="79" t="s">
        <v>4445</v>
      </c>
    </row>
    <row r="781" spans="1:10" ht="14.25" hidden="1" customHeight="1" x14ac:dyDescent="0.25">
      <c r="A781" s="78">
        <v>616084003</v>
      </c>
      <c r="B781" s="54" t="s">
        <v>1460</v>
      </c>
      <c r="C781" s="53" t="s">
        <v>159</v>
      </c>
      <c r="D781" s="79" t="s">
        <v>159</v>
      </c>
      <c r="E781" s="79" t="s">
        <v>4391</v>
      </c>
      <c r="F781" s="79" t="s">
        <v>4778</v>
      </c>
      <c r="G781" s="79" t="s">
        <v>1459</v>
      </c>
      <c r="H781" s="79">
        <v>61608400</v>
      </c>
      <c r="I781" s="79" t="s">
        <v>4915</v>
      </c>
      <c r="J781" s="79" t="s">
        <v>4445</v>
      </c>
    </row>
    <row r="782" spans="1:10" ht="14.25" hidden="1" customHeight="1" x14ac:dyDescent="0.25">
      <c r="A782" s="78">
        <v>616087002</v>
      </c>
      <c r="B782" s="54" t="s">
        <v>1056</v>
      </c>
      <c r="C782" s="53" t="s">
        <v>159</v>
      </c>
      <c r="D782" s="79" t="s">
        <v>159</v>
      </c>
      <c r="E782" s="79" t="s">
        <v>4395</v>
      </c>
      <c r="F782" s="79" t="s">
        <v>4778</v>
      </c>
      <c r="G782" s="79" t="s">
        <v>1487</v>
      </c>
      <c r="H782" s="79">
        <v>61608700</v>
      </c>
      <c r="I782" s="79" t="s">
        <v>4914</v>
      </c>
      <c r="J782" s="79" t="s">
        <v>4445</v>
      </c>
    </row>
    <row r="783" spans="1:10" ht="14.25" hidden="1" customHeight="1" x14ac:dyDescent="0.25">
      <c r="A783" s="78">
        <v>619322002</v>
      </c>
      <c r="B783" s="54" t="s">
        <v>259</v>
      </c>
      <c r="C783" s="53" t="s">
        <v>159</v>
      </c>
      <c r="D783" s="79" t="s">
        <v>159</v>
      </c>
      <c r="E783" s="79" t="s">
        <v>4505</v>
      </c>
      <c r="F783" s="79" t="s">
        <v>4784</v>
      </c>
      <c r="G783" s="79" t="s">
        <v>1835</v>
      </c>
      <c r="H783" s="79">
        <v>61932200</v>
      </c>
      <c r="I783" s="79" t="s">
        <v>4914</v>
      </c>
      <c r="J783" s="79" t="s">
        <v>4445</v>
      </c>
    </row>
    <row r="784" spans="1:10" ht="14.25" hidden="1" customHeight="1" x14ac:dyDescent="0.25">
      <c r="A784" s="78">
        <v>619334000</v>
      </c>
      <c r="B784" s="54" t="s">
        <v>260</v>
      </c>
      <c r="C784" s="53" t="s">
        <v>159</v>
      </c>
      <c r="D784" s="79" t="s">
        <v>159</v>
      </c>
      <c r="E784" s="79" t="s">
        <v>4456</v>
      </c>
      <c r="F784" s="79" t="s">
        <v>4778</v>
      </c>
      <c r="G784" s="79" t="s">
        <v>1491</v>
      </c>
      <c r="H784" s="79">
        <v>61933400</v>
      </c>
      <c r="I784" s="79" t="s">
        <v>4914</v>
      </c>
      <c r="J784" s="79" t="s">
        <v>4445</v>
      </c>
    </row>
    <row r="785" spans="1:13" ht="14.25" hidden="1" customHeight="1" x14ac:dyDescent="0.25">
      <c r="A785" s="78">
        <v>619385004</v>
      </c>
      <c r="B785" s="54" t="s">
        <v>261</v>
      </c>
      <c r="C785" s="53" t="s">
        <v>159</v>
      </c>
      <c r="D785" s="79" t="s">
        <v>159</v>
      </c>
      <c r="E785" s="79" t="s">
        <v>4452</v>
      </c>
      <c r="F785" s="79" t="s">
        <v>4778</v>
      </c>
      <c r="G785" s="79" t="s">
        <v>1493</v>
      </c>
      <c r="H785" s="79">
        <v>61938500</v>
      </c>
      <c r="I785" s="79" t="s">
        <v>4914</v>
      </c>
      <c r="J785" s="79" t="s">
        <v>4445</v>
      </c>
    </row>
    <row r="786" spans="1:13" ht="14.25" hidden="1" customHeight="1" x14ac:dyDescent="0.25">
      <c r="A786" s="78">
        <v>619545001</v>
      </c>
      <c r="B786" s="54" t="s">
        <v>263</v>
      </c>
      <c r="C786" s="53" t="s">
        <v>159</v>
      </c>
      <c r="D786" s="79" t="s">
        <v>159</v>
      </c>
      <c r="E786" s="79" t="s">
        <v>4289</v>
      </c>
      <c r="F786" s="79" t="s">
        <v>4786</v>
      </c>
      <c r="G786" s="79" t="s">
        <v>1501</v>
      </c>
      <c r="H786" s="79">
        <v>61954500</v>
      </c>
      <c r="I786" s="79" t="s">
        <v>4914</v>
      </c>
      <c r="J786" s="79" t="s">
        <v>4445</v>
      </c>
    </row>
    <row r="787" spans="1:13" ht="14.25" hidden="1" customHeight="1" x14ac:dyDescent="0.25">
      <c r="A787" s="78">
        <v>619728009</v>
      </c>
      <c r="B787" s="54" t="s">
        <v>264</v>
      </c>
      <c r="C787" s="53" t="s">
        <v>159</v>
      </c>
      <c r="D787" s="79" t="s">
        <v>159</v>
      </c>
      <c r="E787" s="79" t="s">
        <v>4507</v>
      </c>
      <c r="F787" s="79" t="s">
        <v>4792</v>
      </c>
      <c r="G787" s="79" t="s">
        <v>1508</v>
      </c>
      <c r="H787" s="79">
        <v>61972800</v>
      </c>
      <c r="I787" s="79" t="s">
        <v>4914</v>
      </c>
      <c r="J787" s="79" t="s">
        <v>4445</v>
      </c>
    </row>
    <row r="788" spans="1:13" ht="14.25" hidden="1" customHeight="1" x14ac:dyDescent="0.25">
      <c r="A788" s="78">
        <v>619787307</v>
      </c>
      <c r="B788" s="54" t="s">
        <v>266</v>
      </c>
      <c r="C788" s="53" t="s">
        <v>159</v>
      </c>
      <c r="D788" s="79" t="s">
        <v>159</v>
      </c>
      <c r="E788" s="79" t="s">
        <v>4509</v>
      </c>
      <c r="F788" s="79" t="s">
        <v>4784</v>
      </c>
      <c r="G788" s="79" t="s">
        <v>1518</v>
      </c>
      <c r="H788" s="79">
        <v>61978730</v>
      </c>
      <c r="I788" s="79" t="s">
        <v>4914</v>
      </c>
      <c r="J788" s="79" t="s">
        <v>4445</v>
      </c>
    </row>
    <row r="789" spans="1:13" ht="14.25" hidden="1" customHeight="1" x14ac:dyDescent="0.25">
      <c r="A789" s="78">
        <v>619792106</v>
      </c>
      <c r="B789" s="54" t="s">
        <v>894</v>
      </c>
      <c r="C789" s="53" t="s">
        <v>159</v>
      </c>
      <c r="D789" s="79" t="s">
        <v>159</v>
      </c>
      <c r="E789" s="79" t="s">
        <v>4230</v>
      </c>
      <c r="F789" s="79" t="s">
        <v>4784</v>
      </c>
      <c r="G789" s="79" t="s">
        <v>1522</v>
      </c>
      <c r="H789" s="79">
        <v>61979210</v>
      </c>
      <c r="I789" s="79" t="s">
        <v>4914</v>
      </c>
      <c r="J789" s="79" t="s">
        <v>4445</v>
      </c>
    </row>
    <row r="790" spans="1:13" ht="14.25" hidden="1" customHeight="1" x14ac:dyDescent="0.25">
      <c r="A790" s="78">
        <v>619799100</v>
      </c>
      <c r="B790" s="54" t="s">
        <v>35</v>
      </c>
      <c r="C790" s="53" t="s">
        <v>159</v>
      </c>
      <c r="D790" s="79" t="s">
        <v>159</v>
      </c>
      <c r="E790" s="79" t="s">
        <v>4459</v>
      </c>
      <c r="F790" s="79" t="s">
        <v>4788</v>
      </c>
      <c r="G790" s="79" t="s">
        <v>1529</v>
      </c>
      <c r="H790" s="79">
        <v>61979910</v>
      </c>
      <c r="I790" s="79" t="s">
        <v>4914</v>
      </c>
      <c r="J790" s="79" t="s">
        <v>4445</v>
      </c>
    </row>
    <row r="791" spans="1:13" ht="14.25" hidden="1" customHeight="1" x14ac:dyDescent="0.25">
      <c r="A791" s="78">
        <v>619807405</v>
      </c>
      <c r="B791" s="54" t="s">
        <v>273</v>
      </c>
      <c r="C791" s="53" t="s">
        <v>159</v>
      </c>
      <c r="D791" s="79" t="s">
        <v>159</v>
      </c>
      <c r="E791" s="79" t="s">
        <v>4830</v>
      </c>
      <c r="F791" s="79" t="s">
        <v>4784</v>
      </c>
      <c r="G791" s="79" t="s">
        <v>1254</v>
      </c>
      <c r="H791" s="79">
        <v>61980740</v>
      </c>
      <c r="I791" s="79" t="s">
        <v>4914</v>
      </c>
      <c r="J791" s="79" t="s">
        <v>4445</v>
      </c>
    </row>
    <row r="792" spans="1:13" ht="14.25" hidden="1" customHeight="1" x14ac:dyDescent="0.25">
      <c r="A792" s="78">
        <v>619992601</v>
      </c>
      <c r="B792" s="54" t="s">
        <v>275</v>
      </c>
      <c r="C792" s="53" t="s">
        <v>159</v>
      </c>
      <c r="D792" s="79" t="s">
        <v>159</v>
      </c>
      <c r="E792" s="79" t="s">
        <v>4272</v>
      </c>
      <c r="F792" s="79" t="s">
        <v>4786</v>
      </c>
      <c r="G792" s="79" t="s">
        <v>1559</v>
      </c>
      <c r="H792" s="79">
        <v>61999260</v>
      </c>
      <c r="I792" s="79" t="s">
        <v>4914</v>
      </c>
      <c r="J792" s="79" t="s">
        <v>4445</v>
      </c>
    </row>
    <row r="793" spans="1:13" ht="14.25" hidden="1" customHeight="1" x14ac:dyDescent="0.25">
      <c r="A793" s="78">
        <v>620006203</v>
      </c>
      <c r="B793" s="54" t="s">
        <v>895</v>
      </c>
      <c r="C793" s="53" t="s">
        <v>159</v>
      </c>
      <c r="D793" s="79" t="s">
        <v>159</v>
      </c>
      <c r="E793" s="79" t="s">
        <v>4819</v>
      </c>
      <c r="F793" s="79" t="s">
        <v>4788</v>
      </c>
      <c r="G793" s="79" t="s">
        <v>1644</v>
      </c>
      <c r="H793" s="79">
        <v>62000620</v>
      </c>
      <c r="I793" s="79" t="s">
        <v>4914</v>
      </c>
      <c r="J793" s="79" t="s">
        <v>4445</v>
      </c>
    </row>
    <row r="794" spans="1:13" ht="14.25" hidden="1" customHeight="1" x14ac:dyDescent="0.25">
      <c r="A794" s="78">
        <v>650628438</v>
      </c>
      <c r="B794" s="54" t="s">
        <v>896</v>
      </c>
      <c r="C794" s="53" t="s">
        <v>159</v>
      </c>
      <c r="D794" s="79" t="s">
        <v>159</v>
      </c>
      <c r="E794" s="79" t="s">
        <v>4292</v>
      </c>
      <c r="F794" s="79" t="s">
        <v>4784</v>
      </c>
      <c r="G794" s="79" t="s">
        <v>2021</v>
      </c>
      <c r="H794" s="79">
        <v>65062843</v>
      </c>
      <c r="I794" s="79" t="s">
        <v>4915</v>
      </c>
      <c r="J794" s="79" t="s">
        <v>4445</v>
      </c>
    </row>
    <row r="795" spans="1:13" ht="14.25" hidden="1" customHeight="1" x14ac:dyDescent="0.25">
      <c r="A795" s="78">
        <v>676078003</v>
      </c>
      <c r="B795" s="54" t="s">
        <v>958</v>
      </c>
      <c r="C795" s="53" t="s">
        <v>159</v>
      </c>
      <c r="D795" s="79" t="s">
        <v>159</v>
      </c>
      <c r="E795" s="79" t="s">
        <v>4799</v>
      </c>
      <c r="F795" s="79" t="s">
        <v>4800</v>
      </c>
      <c r="G795" s="79" t="s">
        <v>1596</v>
      </c>
      <c r="H795" s="79">
        <v>67607800</v>
      </c>
      <c r="I795" s="79" t="s">
        <v>4915</v>
      </c>
      <c r="J795" s="79" t="s">
        <v>4445</v>
      </c>
    </row>
    <row r="796" spans="1:13" ht="14.25" hidden="1" customHeight="1" x14ac:dyDescent="0.25">
      <c r="A796" s="78">
        <v>690301008</v>
      </c>
      <c r="B796" s="54" t="s">
        <v>282</v>
      </c>
      <c r="C796" s="53" t="s">
        <v>159</v>
      </c>
      <c r="D796" s="79" t="s">
        <v>159</v>
      </c>
      <c r="E796" s="79" t="s">
        <v>4182</v>
      </c>
      <c r="F796" s="79" t="s">
        <v>4796</v>
      </c>
      <c r="G796" s="79" t="s">
        <v>1608</v>
      </c>
      <c r="H796" s="79">
        <v>69030100</v>
      </c>
      <c r="I796" s="79" t="s">
        <v>4914</v>
      </c>
      <c r="J796" s="79" t="s">
        <v>4445</v>
      </c>
    </row>
    <row r="797" spans="1:13" ht="14.25" hidden="1" customHeight="1" x14ac:dyDescent="0.25">
      <c r="A797" s="78">
        <v>690304007</v>
      </c>
      <c r="B797" s="54" t="s">
        <v>285</v>
      </c>
      <c r="C797" s="53" t="s">
        <v>159</v>
      </c>
      <c r="D797" s="79" t="s">
        <v>159</v>
      </c>
      <c r="E797" s="79" t="s">
        <v>4300</v>
      </c>
      <c r="F797" s="79" t="s">
        <v>4803</v>
      </c>
      <c r="G797" s="79" t="s">
        <v>1614</v>
      </c>
      <c r="H797" s="79">
        <v>69030400</v>
      </c>
      <c r="I797" s="79" t="s">
        <v>4914</v>
      </c>
      <c r="J797" s="79" t="s">
        <v>4445</v>
      </c>
    </row>
    <row r="798" spans="1:13" ht="14.25" hidden="1" customHeight="1" x14ac:dyDescent="0.25">
      <c r="A798" s="78">
        <v>690402009</v>
      </c>
      <c r="B798" s="54" t="s">
        <v>4517</v>
      </c>
      <c r="C798" s="53" t="s">
        <v>159</v>
      </c>
      <c r="D798" s="79" t="s">
        <v>159</v>
      </c>
      <c r="E798" s="79" t="s">
        <v>4518</v>
      </c>
      <c r="F798" s="79" t="s">
        <v>4789</v>
      </c>
      <c r="G798" s="79" t="s">
        <v>4516</v>
      </c>
      <c r="H798" s="79">
        <v>69040200</v>
      </c>
      <c r="I798" s="79" t="s">
        <v>4914</v>
      </c>
      <c r="J798" s="79" t="s">
        <v>4445</v>
      </c>
    </row>
    <row r="799" spans="1:13" ht="14.25" hidden="1" customHeight="1" x14ac:dyDescent="0.25">
      <c r="A799" s="78">
        <v>690406004</v>
      </c>
      <c r="B799" s="54" t="s">
        <v>897</v>
      </c>
      <c r="C799" s="53" t="s">
        <v>159</v>
      </c>
      <c r="D799" s="79" t="s">
        <v>159</v>
      </c>
      <c r="E799" s="79" t="s">
        <v>4831</v>
      </c>
      <c r="F799" s="79" t="s">
        <v>4789</v>
      </c>
      <c r="G799" s="79" t="s">
        <v>1588</v>
      </c>
      <c r="H799" s="79">
        <v>69040600</v>
      </c>
      <c r="I799" s="79" t="s">
        <v>4914</v>
      </c>
      <c r="J799" s="79" t="s">
        <v>4445</v>
      </c>
    </row>
    <row r="800" spans="1:13" ht="14.25" hidden="1" customHeight="1" x14ac:dyDescent="0.25">
      <c r="A800" s="78">
        <v>690409003</v>
      </c>
      <c r="B800" s="54" t="s">
        <v>288</v>
      </c>
      <c r="C800" s="53" t="s">
        <v>159</v>
      </c>
      <c r="D800" s="79" t="s">
        <v>159</v>
      </c>
      <c r="E800" s="79" t="s">
        <v>4304</v>
      </c>
      <c r="F800" s="79" t="s">
        <v>4789</v>
      </c>
      <c r="G800" s="79" t="s">
        <v>1633</v>
      </c>
      <c r="H800" s="79">
        <v>69040900</v>
      </c>
      <c r="I800" s="79" t="s">
        <v>4914</v>
      </c>
      <c r="J800" s="79" t="s">
        <v>4445</v>
      </c>
      <c r="M800" s="32"/>
    </row>
    <row r="801" spans="1:13" ht="14.25" hidden="1" customHeight="1" x14ac:dyDescent="0.25">
      <c r="A801" s="78">
        <v>690410001</v>
      </c>
      <c r="B801" s="54" t="s">
        <v>784</v>
      </c>
      <c r="C801" s="53" t="s">
        <v>159</v>
      </c>
      <c r="D801" s="79" t="s">
        <v>159</v>
      </c>
      <c r="E801" s="79" t="s">
        <v>4519</v>
      </c>
      <c r="F801" s="79" t="s">
        <v>4789</v>
      </c>
      <c r="G801" s="79" t="s">
        <v>1635</v>
      </c>
      <c r="H801" s="79">
        <v>69041000</v>
      </c>
      <c r="I801" s="79" t="s">
        <v>4914</v>
      </c>
      <c r="J801" s="79" t="s">
        <v>4445</v>
      </c>
      <c r="M801" s="32"/>
    </row>
    <row r="802" spans="1:13" ht="14.25" hidden="1" customHeight="1" x14ac:dyDescent="0.25">
      <c r="A802" s="78">
        <v>690411008</v>
      </c>
      <c r="B802" s="54" t="s">
        <v>289</v>
      </c>
      <c r="C802" s="53" t="s">
        <v>159</v>
      </c>
      <c r="D802" s="79" t="s">
        <v>159</v>
      </c>
      <c r="E802" s="79" t="s">
        <v>4489</v>
      </c>
      <c r="F802" s="79" t="s">
        <v>4789</v>
      </c>
      <c r="G802" s="79" t="s">
        <v>1213</v>
      </c>
      <c r="H802" s="79">
        <v>69041100</v>
      </c>
      <c r="I802" s="79" t="s">
        <v>4914</v>
      </c>
      <c r="J802" s="79" t="s">
        <v>4445</v>
      </c>
      <c r="M802" s="33"/>
    </row>
    <row r="803" spans="1:13" ht="14.25" hidden="1" customHeight="1" x14ac:dyDescent="0.25">
      <c r="A803" s="78">
        <v>690414007</v>
      </c>
      <c r="B803" s="54" t="s">
        <v>898</v>
      </c>
      <c r="C803" s="53" t="s">
        <v>159</v>
      </c>
      <c r="D803" s="79" t="s">
        <v>159</v>
      </c>
      <c r="E803" s="79" t="s">
        <v>4247</v>
      </c>
      <c r="F803" s="79" t="s">
        <v>4789</v>
      </c>
      <c r="G803" s="79" t="s">
        <v>1270</v>
      </c>
      <c r="H803" s="79">
        <v>69041400</v>
      </c>
      <c r="I803" s="79" t="s">
        <v>4914</v>
      </c>
      <c r="J803" s="79" t="s">
        <v>4445</v>
      </c>
      <c r="M803" s="32"/>
    </row>
    <row r="804" spans="1:13" ht="14.25" hidden="1" customHeight="1" x14ac:dyDescent="0.25">
      <c r="A804" s="78">
        <v>690505002</v>
      </c>
      <c r="B804" s="54" t="s">
        <v>291</v>
      </c>
      <c r="C804" s="53" t="s">
        <v>159</v>
      </c>
      <c r="D804" s="79" t="s">
        <v>159</v>
      </c>
      <c r="E804" s="79" t="s">
        <v>4255</v>
      </c>
      <c r="F804" s="79" t="s">
        <v>4788</v>
      </c>
      <c r="G804" s="79" t="s">
        <v>1664</v>
      </c>
      <c r="H804" s="79">
        <v>69050500</v>
      </c>
      <c r="I804" s="79" t="s">
        <v>4914</v>
      </c>
      <c r="J804" s="79" t="s">
        <v>4445</v>
      </c>
      <c r="M804" s="32"/>
    </row>
    <row r="805" spans="1:13" ht="14.25" hidden="1" customHeight="1" x14ac:dyDescent="0.25">
      <c r="A805" s="78">
        <v>690507005</v>
      </c>
      <c r="B805" s="54" t="s">
        <v>900</v>
      </c>
      <c r="C805" s="53" t="s">
        <v>159</v>
      </c>
      <c r="D805" s="79" t="s">
        <v>159</v>
      </c>
      <c r="E805" s="79" t="s">
        <v>4256</v>
      </c>
      <c r="F805" s="79" t="s">
        <v>4788</v>
      </c>
      <c r="G805" s="79" t="s">
        <v>1654</v>
      </c>
      <c r="H805" s="79">
        <v>69050700</v>
      </c>
      <c r="I805" s="79" t="s">
        <v>4914</v>
      </c>
      <c r="J805" s="79" t="s">
        <v>4445</v>
      </c>
      <c r="M805" s="32"/>
    </row>
    <row r="806" spans="1:13" ht="14.25" hidden="1" customHeight="1" x14ac:dyDescent="0.25">
      <c r="A806" s="78">
        <v>690511002</v>
      </c>
      <c r="B806" s="54" t="s">
        <v>294</v>
      </c>
      <c r="C806" s="53" t="s">
        <v>159</v>
      </c>
      <c r="D806" s="79" t="s">
        <v>159</v>
      </c>
      <c r="E806" s="79" t="s">
        <v>4192</v>
      </c>
      <c r="F806" s="79" t="s">
        <v>4788</v>
      </c>
      <c r="G806" s="79" t="s">
        <v>1677</v>
      </c>
      <c r="H806" s="79">
        <v>69051100</v>
      </c>
      <c r="I806" s="79" t="s">
        <v>4914</v>
      </c>
      <c r="J806" s="79" t="s">
        <v>4445</v>
      </c>
      <c r="M806" s="32"/>
    </row>
    <row r="807" spans="1:13" ht="14.25" hidden="1" customHeight="1" x14ac:dyDescent="0.25">
      <c r="A807" s="78">
        <v>690513005</v>
      </c>
      <c r="B807" s="54" t="s">
        <v>296</v>
      </c>
      <c r="C807" s="53" t="s">
        <v>159</v>
      </c>
      <c r="D807" s="79" t="s">
        <v>159</v>
      </c>
      <c r="E807" s="79" t="s">
        <v>4309</v>
      </c>
      <c r="F807" s="79" t="s">
        <v>4788</v>
      </c>
      <c r="G807" s="79" t="s">
        <v>4126</v>
      </c>
      <c r="H807" s="79">
        <v>69051300</v>
      </c>
      <c r="I807" s="79" t="s">
        <v>4914</v>
      </c>
      <c r="J807" s="79" t="s">
        <v>4445</v>
      </c>
      <c r="M807" s="32"/>
    </row>
    <row r="808" spans="1:13" ht="14.25" hidden="1" customHeight="1" x14ac:dyDescent="0.25">
      <c r="A808" s="78">
        <v>690606003</v>
      </c>
      <c r="B808" s="54" t="s">
        <v>299</v>
      </c>
      <c r="C808" s="53" t="s">
        <v>159</v>
      </c>
      <c r="D808" s="79" t="s">
        <v>159</v>
      </c>
      <c r="E808" s="79" t="s">
        <v>4404</v>
      </c>
      <c r="F808" s="79" t="s">
        <v>4788</v>
      </c>
      <c r="G808" s="79" t="s">
        <v>1831</v>
      </c>
      <c r="H808" s="79">
        <v>69060600</v>
      </c>
      <c r="I808" s="79" t="s">
        <v>4914</v>
      </c>
      <c r="J808" s="79" t="s">
        <v>4445</v>
      </c>
      <c r="M808" s="33"/>
    </row>
    <row r="809" spans="1:13" ht="14.25" hidden="1" customHeight="1" x14ac:dyDescent="0.25">
      <c r="A809" s="78">
        <v>690616009</v>
      </c>
      <c r="B809" s="54" t="s">
        <v>81</v>
      </c>
      <c r="C809" s="53" t="s">
        <v>159</v>
      </c>
      <c r="D809" s="79" t="s">
        <v>159</v>
      </c>
      <c r="E809" s="79" t="s">
        <v>4314</v>
      </c>
      <c r="F809" s="79" t="s">
        <v>4788</v>
      </c>
      <c r="G809" s="79" t="s">
        <v>1418</v>
      </c>
      <c r="H809" s="79">
        <v>69061600</v>
      </c>
      <c r="I809" s="79" t="s">
        <v>4914</v>
      </c>
      <c r="J809" s="79" t="s">
        <v>4445</v>
      </c>
      <c r="M809" s="33"/>
    </row>
    <row r="810" spans="1:13" ht="14.25" hidden="1" customHeight="1" x14ac:dyDescent="0.25">
      <c r="A810" s="78">
        <v>690713004</v>
      </c>
      <c r="B810" s="54" t="s">
        <v>305</v>
      </c>
      <c r="C810" s="53" t="s">
        <v>159</v>
      </c>
      <c r="D810" s="79" t="s">
        <v>159</v>
      </c>
      <c r="E810" s="79" t="s">
        <v>4528</v>
      </c>
      <c r="F810" s="79" t="s">
        <v>4778</v>
      </c>
      <c r="G810" s="79" t="s">
        <v>3996</v>
      </c>
      <c r="H810" s="79">
        <v>69071300</v>
      </c>
      <c r="I810" s="79" t="s">
        <v>4914</v>
      </c>
      <c r="J810" s="79" t="s">
        <v>4445</v>
      </c>
      <c r="M810" s="33"/>
    </row>
    <row r="811" spans="1:13" ht="14.25" hidden="1" customHeight="1" x14ac:dyDescent="0.25">
      <c r="A811" s="78">
        <v>690728001</v>
      </c>
      <c r="B811" s="54" t="s">
        <v>4065</v>
      </c>
      <c r="C811" s="53" t="s">
        <v>159</v>
      </c>
      <c r="D811" s="79" t="s">
        <v>159</v>
      </c>
      <c r="E811" s="79" t="s">
        <v>4490</v>
      </c>
      <c r="F811" s="79" t="s">
        <v>4788</v>
      </c>
      <c r="G811" s="79" t="s">
        <v>4064</v>
      </c>
      <c r="H811" s="79">
        <v>69072800</v>
      </c>
      <c r="I811" s="79" t="s">
        <v>4914</v>
      </c>
      <c r="J811" s="79" t="s">
        <v>4445</v>
      </c>
      <c r="M811" s="32"/>
    </row>
    <row r="812" spans="1:13" ht="14.25" hidden="1" customHeight="1" x14ac:dyDescent="0.25">
      <c r="A812" s="78">
        <v>690802007</v>
      </c>
      <c r="B812" s="54" t="s">
        <v>315</v>
      </c>
      <c r="C812" s="53" t="s">
        <v>159</v>
      </c>
      <c r="D812" s="79" t="s">
        <v>159</v>
      </c>
      <c r="E812" s="79" t="s">
        <v>4531</v>
      </c>
      <c r="F812" s="79" t="s">
        <v>4795</v>
      </c>
      <c r="G812" s="79" t="s">
        <v>1407</v>
      </c>
      <c r="H812" s="79">
        <v>69080200</v>
      </c>
      <c r="I812" s="79" t="s">
        <v>4914</v>
      </c>
      <c r="J812" s="79" t="s">
        <v>4445</v>
      </c>
      <c r="M812" s="33"/>
    </row>
    <row r="813" spans="1:13" ht="14.25" hidden="1" customHeight="1" x14ac:dyDescent="0.25">
      <c r="A813" s="78">
        <v>690814005</v>
      </c>
      <c r="B813" s="54" t="s">
        <v>903</v>
      </c>
      <c r="C813" s="53" t="s">
        <v>159</v>
      </c>
      <c r="D813" s="79" t="s">
        <v>159</v>
      </c>
      <c r="E813" s="79" t="s">
        <v>4533</v>
      </c>
      <c r="F813" s="79" t="s">
        <v>4795</v>
      </c>
      <c r="G813" s="79" t="s">
        <v>1756</v>
      </c>
      <c r="H813" s="79">
        <v>69081400</v>
      </c>
      <c r="I813" s="79" t="s">
        <v>4914</v>
      </c>
      <c r="J813" s="79" t="s">
        <v>4445</v>
      </c>
      <c r="M813" s="33"/>
    </row>
    <row r="814" spans="1:13" ht="14.25" hidden="1" customHeight="1" x14ac:dyDescent="0.25">
      <c r="A814" s="78">
        <v>690815001</v>
      </c>
      <c r="B814" s="54" t="s">
        <v>4832</v>
      </c>
      <c r="C814" s="53" t="s">
        <v>159</v>
      </c>
      <c r="D814" s="79" t="s">
        <v>159</v>
      </c>
      <c r="E814" s="79" t="s">
        <v>4328</v>
      </c>
      <c r="F814" s="79" t="s">
        <v>4795</v>
      </c>
      <c r="G814" s="79" t="s">
        <v>2626</v>
      </c>
      <c r="H814" s="79">
        <v>69081500</v>
      </c>
      <c r="I814" s="79" t="s">
        <v>4914</v>
      </c>
      <c r="J814" s="79" t="s">
        <v>4445</v>
      </c>
      <c r="M814" s="33"/>
    </row>
    <row r="815" spans="1:13" ht="14.25" hidden="1" customHeight="1" x14ac:dyDescent="0.25">
      <c r="A815" s="78">
        <v>690817004</v>
      </c>
      <c r="B815" s="54" t="s">
        <v>321</v>
      </c>
      <c r="C815" s="53" t="s">
        <v>159</v>
      </c>
      <c r="D815" s="79" t="s">
        <v>159</v>
      </c>
      <c r="E815" s="79" t="s">
        <v>4329</v>
      </c>
      <c r="F815" s="79" t="s">
        <v>4795</v>
      </c>
      <c r="G815" s="79" t="s">
        <v>1761</v>
      </c>
      <c r="H815" s="79">
        <v>69081700</v>
      </c>
      <c r="I815" s="79" t="s">
        <v>4914</v>
      </c>
      <c r="J815" s="79" t="s">
        <v>4445</v>
      </c>
      <c r="M815" s="32"/>
    </row>
    <row r="816" spans="1:13" ht="14.25" hidden="1" customHeight="1" x14ac:dyDescent="0.25">
      <c r="A816" s="78">
        <v>690902001</v>
      </c>
      <c r="B816" s="54" t="s">
        <v>790</v>
      </c>
      <c r="C816" s="53" t="s">
        <v>159</v>
      </c>
      <c r="D816" s="79" t="s">
        <v>159</v>
      </c>
      <c r="E816" s="79" t="s">
        <v>4330</v>
      </c>
      <c r="F816" s="79" t="s">
        <v>4795</v>
      </c>
      <c r="G816" s="79" t="s">
        <v>1763</v>
      </c>
      <c r="H816" s="79">
        <v>69090200</v>
      </c>
      <c r="I816" s="79" t="s">
        <v>4914</v>
      </c>
      <c r="J816" s="79" t="s">
        <v>4445</v>
      </c>
      <c r="M816" s="33"/>
    </row>
    <row r="817" spans="1:13" ht="14.25" hidden="1" customHeight="1" x14ac:dyDescent="0.25">
      <c r="A817" s="78">
        <v>690905000</v>
      </c>
      <c r="B817" s="54" t="s">
        <v>904</v>
      </c>
      <c r="C817" s="53" t="s">
        <v>159</v>
      </c>
      <c r="D817" s="79" t="s">
        <v>159</v>
      </c>
      <c r="E817" s="79" t="s">
        <v>4207</v>
      </c>
      <c r="F817" s="79" t="s">
        <v>4795</v>
      </c>
      <c r="G817" s="79" t="s">
        <v>1298</v>
      </c>
      <c r="H817" s="79">
        <v>69090500</v>
      </c>
      <c r="I817" s="79" t="s">
        <v>4914</v>
      </c>
      <c r="J817" s="79" t="s">
        <v>4445</v>
      </c>
      <c r="M817" s="33"/>
    </row>
    <row r="818" spans="1:13" ht="14.25" hidden="1" customHeight="1" x14ac:dyDescent="0.25">
      <c r="A818" s="78">
        <v>690910004</v>
      </c>
      <c r="B818" s="54" t="s">
        <v>905</v>
      </c>
      <c r="C818" s="53" t="s">
        <v>159</v>
      </c>
      <c r="D818" s="79" t="s">
        <v>159</v>
      </c>
      <c r="E818" s="79" t="s">
        <v>4253</v>
      </c>
      <c r="F818" s="79" t="s">
        <v>4788</v>
      </c>
      <c r="G818" s="79" t="s">
        <v>4057</v>
      </c>
      <c r="H818" s="79">
        <v>69091000</v>
      </c>
      <c r="I818" s="79" t="s">
        <v>4914</v>
      </c>
      <c r="J818" s="79" t="s">
        <v>4445</v>
      </c>
      <c r="M818" s="33"/>
    </row>
    <row r="819" spans="1:13" ht="14.25" hidden="1" customHeight="1" x14ac:dyDescent="0.25">
      <c r="A819" s="78">
        <v>691002004</v>
      </c>
      <c r="B819" s="54" t="s">
        <v>330</v>
      </c>
      <c r="C819" s="53" t="s">
        <v>159</v>
      </c>
      <c r="D819" s="79" t="s">
        <v>159</v>
      </c>
      <c r="E819" s="79" t="s">
        <v>4335</v>
      </c>
      <c r="F819" s="79" t="s">
        <v>4791</v>
      </c>
      <c r="G819" s="79" t="s">
        <v>1183</v>
      </c>
      <c r="H819" s="79">
        <v>69100200</v>
      </c>
      <c r="I819" s="79" t="s">
        <v>4914</v>
      </c>
      <c r="J819" s="79" t="s">
        <v>4445</v>
      </c>
      <c r="M819" s="32"/>
    </row>
    <row r="820" spans="1:13" ht="14.25" hidden="1" customHeight="1" x14ac:dyDescent="0.25">
      <c r="A820" s="78">
        <v>691005003</v>
      </c>
      <c r="B820" s="54" t="s">
        <v>333</v>
      </c>
      <c r="C820" s="53" t="s">
        <v>159</v>
      </c>
      <c r="D820" s="79" t="s">
        <v>159</v>
      </c>
      <c r="E820" s="79" t="s">
        <v>4492</v>
      </c>
      <c r="F820" s="79" t="s">
        <v>4791</v>
      </c>
      <c r="G820" s="79" t="s">
        <v>1796</v>
      </c>
      <c r="H820" s="79">
        <v>69100500</v>
      </c>
      <c r="I820" s="79" t="s">
        <v>4914</v>
      </c>
      <c r="J820" s="79" t="s">
        <v>4445</v>
      </c>
    </row>
    <row r="821" spans="1:13" ht="14.25" hidden="1" customHeight="1" x14ac:dyDescent="0.25">
      <c r="A821" s="78">
        <v>691103005</v>
      </c>
      <c r="B821" s="54" t="s">
        <v>336</v>
      </c>
      <c r="C821" s="53" t="s">
        <v>159</v>
      </c>
      <c r="D821" s="79" t="s">
        <v>159</v>
      </c>
      <c r="E821" s="79" t="s">
        <v>4261</v>
      </c>
      <c r="F821" s="79" t="s">
        <v>4791</v>
      </c>
      <c r="G821" s="79" t="s">
        <v>1801</v>
      </c>
      <c r="H821" s="79">
        <v>69110300</v>
      </c>
      <c r="I821" s="79" t="s">
        <v>4914</v>
      </c>
      <c r="J821" s="79" t="s">
        <v>4445</v>
      </c>
    </row>
    <row r="822" spans="1:13" ht="14.25" hidden="1" customHeight="1" x14ac:dyDescent="0.25">
      <c r="A822" s="78">
        <v>691106004</v>
      </c>
      <c r="B822" s="54" t="s">
        <v>339</v>
      </c>
      <c r="C822" s="53" t="s">
        <v>159</v>
      </c>
      <c r="D822" s="79" t="s">
        <v>159</v>
      </c>
      <c r="E822" s="79" t="s">
        <v>4338</v>
      </c>
      <c r="F822" s="79" t="s">
        <v>4791</v>
      </c>
      <c r="G822" s="79" t="s">
        <v>1453</v>
      </c>
      <c r="H822" s="79">
        <v>69110600</v>
      </c>
      <c r="I822" s="79" t="s">
        <v>4914</v>
      </c>
      <c r="J822" s="79" t="s">
        <v>4445</v>
      </c>
    </row>
    <row r="823" spans="1:13" ht="14.25" hidden="1" customHeight="1" x14ac:dyDescent="0.25">
      <c r="A823" s="78">
        <v>691107000</v>
      </c>
      <c r="B823" s="54" t="s">
        <v>4833</v>
      </c>
      <c r="C823" s="53" t="s">
        <v>159</v>
      </c>
      <c r="D823" s="79" t="s">
        <v>159</v>
      </c>
      <c r="E823" s="79" t="s">
        <v>4539</v>
      </c>
      <c r="F823" s="79" t="s">
        <v>4791</v>
      </c>
      <c r="G823" s="79" t="s">
        <v>1191</v>
      </c>
      <c r="H823" s="79">
        <v>69110700</v>
      </c>
      <c r="I823" s="79" t="s">
        <v>4914</v>
      </c>
      <c r="J823" s="79" t="s">
        <v>4445</v>
      </c>
    </row>
    <row r="824" spans="1:13" ht="14.25" hidden="1" customHeight="1" x14ac:dyDescent="0.25">
      <c r="A824" s="78">
        <v>691201007</v>
      </c>
      <c r="B824" s="54" t="s">
        <v>340</v>
      </c>
      <c r="C824" s="53" t="s">
        <v>4790</v>
      </c>
      <c r="D824" s="79" t="s">
        <v>4790</v>
      </c>
      <c r="E824" s="79" t="s">
        <v>4494</v>
      </c>
      <c r="F824" s="79" t="s">
        <v>4791</v>
      </c>
      <c r="G824" s="79" t="s">
        <v>1813</v>
      </c>
      <c r="H824" s="79">
        <v>69120100</v>
      </c>
      <c r="I824" s="79" t="s">
        <v>4914</v>
      </c>
      <c r="J824" s="79" t="s">
        <v>4445</v>
      </c>
    </row>
    <row r="825" spans="1:13" ht="14.25" hidden="1" customHeight="1" x14ac:dyDescent="0.25">
      <c r="A825" s="78">
        <v>691202003</v>
      </c>
      <c r="B825" s="54" t="s">
        <v>906</v>
      </c>
      <c r="C825" s="53" t="s">
        <v>159</v>
      </c>
      <c r="D825" s="79" t="s">
        <v>159</v>
      </c>
      <c r="E825" s="79" t="s">
        <v>4340</v>
      </c>
      <c r="F825" s="79" t="s">
        <v>4791</v>
      </c>
      <c r="G825" s="79" t="s">
        <v>1816</v>
      </c>
      <c r="H825" s="79">
        <v>69120200</v>
      </c>
      <c r="I825" s="79" t="s">
        <v>4914</v>
      </c>
      <c r="J825" s="79" t="s">
        <v>4445</v>
      </c>
    </row>
    <row r="826" spans="1:13" ht="14.25" hidden="1" customHeight="1" x14ac:dyDescent="0.25">
      <c r="A826" s="78">
        <v>691302008</v>
      </c>
      <c r="B826" s="54" t="s">
        <v>4834</v>
      </c>
      <c r="C826" s="53" t="s">
        <v>159</v>
      </c>
      <c r="D826" s="79" t="s">
        <v>159</v>
      </c>
      <c r="E826" s="79" t="s">
        <v>4342</v>
      </c>
      <c r="F826" s="79" t="s">
        <v>4791</v>
      </c>
      <c r="G826" s="79" t="s">
        <v>1820</v>
      </c>
      <c r="H826" s="79">
        <v>69130200</v>
      </c>
      <c r="I826" s="79" t="s">
        <v>4914</v>
      </c>
      <c r="J826" s="79" t="s">
        <v>4445</v>
      </c>
    </row>
    <row r="827" spans="1:13" ht="14.25" hidden="1" customHeight="1" x14ac:dyDescent="0.25">
      <c r="A827" s="78">
        <v>691304027</v>
      </c>
      <c r="B827" s="54" t="s">
        <v>4835</v>
      </c>
      <c r="C827" s="53" t="s">
        <v>159</v>
      </c>
      <c r="D827" s="79" t="s">
        <v>159</v>
      </c>
      <c r="E827" s="79" t="s">
        <v>4343</v>
      </c>
      <c r="F827" s="79" t="s">
        <v>4791</v>
      </c>
      <c r="G827" s="79" t="s">
        <v>1824</v>
      </c>
      <c r="H827" s="79">
        <v>69130402</v>
      </c>
      <c r="I827" s="79" t="s">
        <v>4914</v>
      </c>
      <c r="J827" s="79" t="s">
        <v>4445</v>
      </c>
    </row>
    <row r="828" spans="1:13" ht="14.25" hidden="1" customHeight="1" x14ac:dyDescent="0.25">
      <c r="A828" s="78">
        <v>691305007</v>
      </c>
      <c r="B828" s="54" t="s">
        <v>344</v>
      </c>
      <c r="C828" s="53" t="s">
        <v>159</v>
      </c>
      <c r="D828" s="79" t="s">
        <v>159</v>
      </c>
      <c r="E828" s="79" t="s">
        <v>4836</v>
      </c>
      <c r="F828" s="79" t="s">
        <v>4791</v>
      </c>
      <c r="G828" s="79" t="s">
        <v>1826</v>
      </c>
      <c r="H828" s="79">
        <v>69130500</v>
      </c>
      <c r="I828" s="79" t="s">
        <v>4914</v>
      </c>
      <c r="J828" s="79" t="s">
        <v>4445</v>
      </c>
    </row>
    <row r="829" spans="1:13" ht="14.25" hidden="1" customHeight="1" x14ac:dyDescent="0.25">
      <c r="A829" s="78">
        <v>691402010</v>
      </c>
      <c r="B829" s="54" t="s">
        <v>907</v>
      </c>
      <c r="C829" s="53" t="s">
        <v>159</v>
      </c>
      <c r="D829" s="79" t="s">
        <v>159</v>
      </c>
      <c r="E829" s="79" t="s">
        <v>4344</v>
      </c>
      <c r="F829" s="79" t="s">
        <v>4792</v>
      </c>
      <c r="G829" s="79" t="s">
        <v>1209</v>
      </c>
      <c r="H829" s="79">
        <v>69140201</v>
      </c>
      <c r="I829" s="79" t="s">
        <v>4914</v>
      </c>
      <c r="J829" s="79" t="s">
        <v>4445</v>
      </c>
    </row>
    <row r="830" spans="1:13" ht="14.25" hidden="1" customHeight="1" x14ac:dyDescent="0.25">
      <c r="A830" s="78">
        <v>691413004</v>
      </c>
      <c r="B830" s="54" t="s">
        <v>351</v>
      </c>
      <c r="C830" s="53" t="s">
        <v>159</v>
      </c>
      <c r="D830" s="79" t="s">
        <v>159</v>
      </c>
      <c r="E830" s="79" t="s">
        <v>4407</v>
      </c>
      <c r="F830" s="79" t="s">
        <v>4792</v>
      </c>
      <c r="G830" s="79" t="s">
        <v>1695</v>
      </c>
      <c r="H830" s="79">
        <v>69141300</v>
      </c>
      <c r="I830" s="79" t="s">
        <v>4914</v>
      </c>
      <c r="J830" s="79" t="s">
        <v>4445</v>
      </c>
    </row>
    <row r="831" spans="1:13" ht="14.25" hidden="1" customHeight="1" x14ac:dyDescent="0.25">
      <c r="A831" s="78">
        <v>691415007</v>
      </c>
      <c r="B831" s="54" t="s">
        <v>4115</v>
      </c>
      <c r="C831" s="53" t="s">
        <v>159</v>
      </c>
      <c r="D831" s="79" t="s">
        <v>159</v>
      </c>
      <c r="E831" s="79" t="s">
        <v>4268</v>
      </c>
      <c r="F831" s="79" t="s">
        <v>4792</v>
      </c>
      <c r="G831" s="79" t="s">
        <v>4114</v>
      </c>
      <c r="H831" s="79">
        <v>69141500</v>
      </c>
      <c r="I831" s="79" t="s">
        <v>4914</v>
      </c>
      <c r="J831" s="79" t="s">
        <v>4445</v>
      </c>
      <c r="K831" s="17"/>
    </row>
    <row r="832" spans="1:13" ht="14.25" hidden="1" customHeight="1" x14ac:dyDescent="0.25">
      <c r="A832" s="78">
        <v>691418022</v>
      </c>
      <c r="B832" s="54" t="s">
        <v>4837</v>
      </c>
      <c r="C832" s="53" t="s">
        <v>159</v>
      </c>
      <c r="D832" s="79" t="s">
        <v>159</v>
      </c>
      <c r="E832" s="79" t="s">
        <v>4347</v>
      </c>
      <c r="F832" s="79" t="s">
        <v>4786</v>
      </c>
      <c r="G832" s="79" t="s">
        <v>1852</v>
      </c>
      <c r="H832" s="79">
        <v>69141802</v>
      </c>
      <c r="I832" s="79" t="s">
        <v>4914</v>
      </c>
      <c r="J832" s="79" t="s">
        <v>4445</v>
      </c>
      <c r="K832" s="17"/>
    </row>
    <row r="833" spans="1:11" ht="14.25" hidden="1" customHeight="1" x14ac:dyDescent="0.25">
      <c r="A833" s="78">
        <v>691501019</v>
      </c>
      <c r="B833" s="54" t="s">
        <v>1855</v>
      </c>
      <c r="C833" s="53" t="s">
        <v>159</v>
      </c>
      <c r="D833" s="79" t="s">
        <v>159</v>
      </c>
      <c r="E833" s="79" t="s">
        <v>4496</v>
      </c>
      <c r="F833" s="79" t="s">
        <v>4786</v>
      </c>
      <c r="G833" s="79" t="s">
        <v>1854</v>
      </c>
      <c r="H833" s="79">
        <v>69150101</v>
      </c>
      <c r="I833" s="79" t="s">
        <v>4914</v>
      </c>
      <c r="J833" s="79" t="s">
        <v>4445</v>
      </c>
      <c r="K833" s="17"/>
    </row>
    <row r="834" spans="1:11" ht="14.25" hidden="1" customHeight="1" x14ac:dyDescent="0.25">
      <c r="A834" s="78">
        <v>691511006</v>
      </c>
      <c r="B834" s="54" t="s">
        <v>356</v>
      </c>
      <c r="C834" s="53" t="s">
        <v>159</v>
      </c>
      <c r="D834" s="79" t="s">
        <v>159</v>
      </c>
      <c r="E834" s="79" t="s">
        <v>4351</v>
      </c>
      <c r="F834" s="79" t="s">
        <v>4786</v>
      </c>
      <c r="G834" s="79" t="s">
        <v>1873</v>
      </c>
      <c r="H834" s="79">
        <v>69151100</v>
      </c>
      <c r="I834" s="79" t="s">
        <v>4914</v>
      </c>
      <c r="J834" s="79" t="s">
        <v>4445</v>
      </c>
      <c r="K834" s="17"/>
    </row>
    <row r="835" spans="1:11" ht="14.25" hidden="1" customHeight="1" x14ac:dyDescent="0.25">
      <c r="A835" s="78">
        <v>691514005</v>
      </c>
      <c r="B835" s="54" t="s">
        <v>910</v>
      </c>
      <c r="C835" s="53" t="s">
        <v>159</v>
      </c>
      <c r="D835" s="79" t="s">
        <v>159</v>
      </c>
      <c r="E835" s="79" t="s">
        <v>4213</v>
      </c>
      <c r="F835" s="79" t="s">
        <v>4786</v>
      </c>
      <c r="G835" s="79" t="s">
        <v>1877</v>
      </c>
      <c r="H835" s="79">
        <v>69151400</v>
      </c>
      <c r="I835" s="79" t="s">
        <v>4914</v>
      </c>
      <c r="J835" s="79" t="s">
        <v>4445</v>
      </c>
      <c r="K835" s="17"/>
    </row>
    <row r="836" spans="1:11" ht="14.25" hidden="1" customHeight="1" x14ac:dyDescent="0.25">
      <c r="A836" s="78">
        <v>691603008</v>
      </c>
      <c r="B836" s="54" t="s">
        <v>358</v>
      </c>
      <c r="C836" s="53" t="s">
        <v>159</v>
      </c>
      <c r="D836" s="79" t="s">
        <v>159</v>
      </c>
      <c r="E836" s="79" t="s">
        <v>4289</v>
      </c>
      <c r="F836" s="79" t="s">
        <v>4786</v>
      </c>
      <c r="G836" s="79" t="s">
        <v>1215</v>
      </c>
      <c r="H836" s="79">
        <v>69160300</v>
      </c>
      <c r="I836" s="79" t="s">
        <v>4914</v>
      </c>
      <c r="J836" s="79" t="s">
        <v>4445</v>
      </c>
      <c r="K836" s="17"/>
    </row>
    <row r="837" spans="1:11" ht="14.25" hidden="1" customHeight="1" x14ac:dyDescent="0.25">
      <c r="A837" s="78">
        <v>691605000</v>
      </c>
      <c r="B837" s="54" t="s">
        <v>911</v>
      </c>
      <c r="C837" s="53" t="s">
        <v>159</v>
      </c>
      <c r="D837" s="79" t="s">
        <v>159</v>
      </c>
      <c r="E837" s="79" t="s">
        <v>4353</v>
      </c>
      <c r="F837" s="79" t="s">
        <v>4786</v>
      </c>
      <c r="G837" s="79" t="s">
        <v>3180</v>
      </c>
      <c r="H837" s="79">
        <v>69160500</v>
      </c>
      <c r="I837" s="79" t="s">
        <v>4914</v>
      </c>
      <c r="J837" s="79" t="s">
        <v>4445</v>
      </c>
      <c r="K837" s="17"/>
    </row>
    <row r="838" spans="1:11" ht="14.25" hidden="1" customHeight="1" x14ac:dyDescent="0.25">
      <c r="A838" s="78">
        <v>691702022</v>
      </c>
      <c r="B838" s="54" t="s">
        <v>360</v>
      </c>
      <c r="C838" s="53" t="s">
        <v>159</v>
      </c>
      <c r="D838" s="79" t="s">
        <v>159</v>
      </c>
      <c r="E838" s="79" t="s">
        <v>4499</v>
      </c>
      <c r="F838" s="79" t="s">
        <v>4786</v>
      </c>
      <c r="G838" s="79" t="s">
        <v>1696</v>
      </c>
      <c r="H838" s="79">
        <v>69170202</v>
      </c>
      <c r="I838" s="79" t="s">
        <v>4915</v>
      </c>
      <c r="J838" s="79" t="s">
        <v>4445</v>
      </c>
      <c r="K838" s="17"/>
    </row>
    <row r="839" spans="1:11" ht="14.25" hidden="1" customHeight="1" x14ac:dyDescent="0.25">
      <c r="A839" s="78">
        <v>691708004</v>
      </c>
      <c r="B839" s="54" t="s">
        <v>363</v>
      </c>
      <c r="C839" s="53" t="s">
        <v>159</v>
      </c>
      <c r="D839" s="79" t="s">
        <v>159</v>
      </c>
      <c r="E839" s="79" t="s">
        <v>4356</v>
      </c>
      <c r="F839" s="79" t="s">
        <v>4786</v>
      </c>
      <c r="G839" s="79" t="s">
        <v>1903</v>
      </c>
      <c r="H839" s="79">
        <v>69170800</v>
      </c>
      <c r="I839" s="79" t="s">
        <v>4914</v>
      </c>
      <c r="J839" s="79" t="s">
        <v>4445</v>
      </c>
      <c r="K839" s="17"/>
    </row>
    <row r="840" spans="1:11" ht="14.25" hidden="1" customHeight="1" x14ac:dyDescent="0.25">
      <c r="A840" s="78">
        <v>691726002</v>
      </c>
      <c r="B840" s="54" t="s">
        <v>364</v>
      </c>
      <c r="C840" s="53" t="s">
        <v>159</v>
      </c>
      <c r="D840" s="79" t="s">
        <v>159</v>
      </c>
      <c r="E840" s="79" t="s">
        <v>4408</v>
      </c>
      <c r="F840" s="79" t="s">
        <v>4786</v>
      </c>
      <c r="G840" s="79" t="s">
        <v>4117</v>
      </c>
      <c r="H840" s="79">
        <v>69172600</v>
      </c>
      <c r="I840" s="79" t="s">
        <v>4914</v>
      </c>
      <c r="J840" s="79" t="s">
        <v>4445</v>
      </c>
      <c r="K840" s="17"/>
    </row>
    <row r="841" spans="1:11" ht="14.25" hidden="1" customHeight="1" x14ac:dyDescent="0.25">
      <c r="A841" s="78">
        <v>691803007</v>
      </c>
      <c r="B841" s="54" t="s">
        <v>365</v>
      </c>
      <c r="C841" s="53" t="s">
        <v>159</v>
      </c>
      <c r="D841" s="79" t="s">
        <v>159</v>
      </c>
      <c r="E841" s="79" t="s">
        <v>4357</v>
      </c>
      <c r="F841" s="79" t="s">
        <v>4779</v>
      </c>
      <c r="G841" s="79" t="s">
        <v>1908</v>
      </c>
      <c r="H841" s="79">
        <v>69180300</v>
      </c>
      <c r="I841" s="79" t="s">
        <v>4914</v>
      </c>
      <c r="J841" s="79" t="s">
        <v>4445</v>
      </c>
      <c r="K841" s="17"/>
    </row>
    <row r="842" spans="1:11" ht="14.25" hidden="1" customHeight="1" x14ac:dyDescent="0.25">
      <c r="A842" s="78">
        <v>691806006</v>
      </c>
      <c r="B842" s="54" t="s">
        <v>366</v>
      </c>
      <c r="C842" s="53" t="s">
        <v>159</v>
      </c>
      <c r="D842" s="79" t="s">
        <v>159</v>
      </c>
      <c r="E842" s="79" t="s">
        <v>4359</v>
      </c>
      <c r="F842" s="79" t="s">
        <v>4779</v>
      </c>
      <c r="G842" s="79" t="s">
        <v>2754</v>
      </c>
      <c r="H842" s="79">
        <v>69180600</v>
      </c>
      <c r="I842" s="79" t="s">
        <v>4914</v>
      </c>
      <c r="J842" s="79" t="s">
        <v>4445</v>
      </c>
      <c r="K842" s="17"/>
    </row>
    <row r="843" spans="1:11" ht="14.25" hidden="1" customHeight="1" x14ac:dyDescent="0.25">
      <c r="A843" s="78">
        <v>691810003</v>
      </c>
      <c r="B843" s="54" t="s">
        <v>368</v>
      </c>
      <c r="C843" s="53" t="s">
        <v>159</v>
      </c>
      <c r="D843" s="79" t="s">
        <v>159</v>
      </c>
      <c r="E843" s="79" t="s">
        <v>4479</v>
      </c>
      <c r="F843" s="79" t="s">
        <v>4779</v>
      </c>
      <c r="G843" s="79" t="s">
        <v>1921</v>
      </c>
      <c r="H843" s="79">
        <v>69181000</v>
      </c>
      <c r="I843" s="79" t="s">
        <v>4914</v>
      </c>
      <c r="J843" s="79" t="s">
        <v>4445</v>
      </c>
      <c r="K843" s="17"/>
    </row>
    <row r="844" spans="1:11" ht="14.25" hidden="1" customHeight="1" x14ac:dyDescent="0.25">
      <c r="A844" s="78">
        <v>691902005</v>
      </c>
      <c r="B844" s="54" t="s">
        <v>916</v>
      </c>
      <c r="C844" s="53" t="s">
        <v>159</v>
      </c>
      <c r="D844" s="79" t="s">
        <v>159</v>
      </c>
      <c r="E844" s="79" t="s">
        <v>4219</v>
      </c>
      <c r="F844" s="79" t="s">
        <v>4779</v>
      </c>
      <c r="G844" s="79" t="s">
        <v>2087</v>
      </c>
      <c r="H844" s="79">
        <v>69190200</v>
      </c>
      <c r="I844" s="79" t="s">
        <v>4914</v>
      </c>
      <c r="J844" s="79" t="s">
        <v>4445</v>
      </c>
      <c r="K844" s="17"/>
    </row>
    <row r="845" spans="1:11" ht="14.25" hidden="1" customHeight="1" x14ac:dyDescent="0.25">
      <c r="A845" s="78">
        <v>691910008</v>
      </c>
      <c r="B845" s="54" t="s">
        <v>373</v>
      </c>
      <c r="C845" s="53" t="s">
        <v>159</v>
      </c>
      <c r="D845" s="79" t="s">
        <v>159</v>
      </c>
      <c r="E845" s="79" t="s">
        <v>4220</v>
      </c>
      <c r="F845" s="79" t="s">
        <v>4779</v>
      </c>
      <c r="G845" s="79" t="s">
        <v>1712</v>
      </c>
      <c r="H845" s="79">
        <v>69191000</v>
      </c>
      <c r="I845" s="79" t="s">
        <v>4914</v>
      </c>
      <c r="J845" s="79" t="s">
        <v>4445</v>
      </c>
      <c r="K845" s="17"/>
    </row>
    <row r="846" spans="1:11" ht="14.25" hidden="1" customHeight="1" x14ac:dyDescent="0.25">
      <c r="A846" s="78">
        <v>691911004</v>
      </c>
      <c r="B846" s="54" t="s">
        <v>374</v>
      </c>
      <c r="C846" s="53" t="s">
        <v>159</v>
      </c>
      <c r="D846" s="79" t="s">
        <v>159</v>
      </c>
      <c r="E846" s="79" t="s">
        <v>4366</v>
      </c>
      <c r="F846" s="79" t="s">
        <v>4779</v>
      </c>
      <c r="G846" s="79" t="s">
        <v>1944</v>
      </c>
      <c r="H846" s="79">
        <v>69191100</v>
      </c>
      <c r="I846" s="79" t="s">
        <v>4914</v>
      </c>
      <c r="J846" s="79" t="s">
        <v>4445</v>
      </c>
    </row>
    <row r="847" spans="1:11" ht="14.25" hidden="1" customHeight="1" x14ac:dyDescent="0.25">
      <c r="A847" s="78">
        <v>691912000</v>
      </c>
      <c r="B847" s="54" t="s">
        <v>375</v>
      </c>
      <c r="C847" s="53" t="s">
        <v>159</v>
      </c>
      <c r="D847" s="79" t="s">
        <v>159</v>
      </c>
      <c r="E847" s="79" t="s">
        <v>4221</v>
      </c>
      <c r="F847" s="79" t="s">
        <v>4779</v>
      </c>
      <c r="G847" s="79" t="s">
        <v>1348</v>
      </c>
      <c r="H847" s="79">
        <v>69191200</v>
      </c>
      <c r="I847" s="79" t="s">
        <v>4914</v>
      </c>
      <c r="J847" s="79" t="s">
        <v>4445</v>
      </c>
    </row>
    <row r="848" spans="1:11" ht="14.25" hidden="1" customHeight="1" x14ac:dyDescent="0.25">
      <c r="A848" s="78">
        <v>691914003</v>
      </c>
      <c r="B848" s="54" t="s">
        <v>987</v>
      </c>
      <c r="C848" s="53" t="s">
        <v>159</v>
      </c>
      <c r="D848" s="79" t="s">
        <v>159</v>
      </c>
      <c r="E848" s="79" t="s">
        <v>4481</v>
      </c>
      <c r="F848" s="79" t="s">
        <v>4779</v>
      </c>
      <c r="G848" s="79" t="s">
        <v>4543</v>
      </c>
      <c r="H848" s="79">
        <v>69191400</v>
      </c>
      <c r="I848" s="79" t="s">
        <v>4914</v>
      </c>
      <c r="J848" s="79" t="s">
        <v>4445</v>
      </c>
    </row>
    <row r="849" spans="1:10" ht="14.25" hidden="1" customHeight="1" x14ac:dyDescent="0.25">
      <c r="A849" s="78">
        <v>692003004</v>
      </c>
      <c r="B849" s="54" t="s">
        <v>376</v>
      </c>
      <c r="C849" s="53" t="s">
        <v>159</v>
      </c>
      <c r="D849" s="79" t="s">
        <v>159</v>
      </c>
      <c r="E849" s="79" t="s">
        <v>4277</v>
      </c>
      <c r="F849" s="79" t="s">
        <v>4798</v>
      </c>
      <c r="G849" s="79" t="s">
        <v>1351</v>
      </c>
      <c r="H849" s="79">
        <v>69200300</v>
      </c>
      <c r="I849" s="79" t="s">
        <v>4914</v>
      </c>
      <c r="J849" s="79" t="s">
        <v>4445</v>
      </c>
    </row>
    <row r="850" spans="1:10" ht="14.25" hidden="1" customHeight="1" x14ac:dyDescent="0.25">
      <c r="A850" s="78">
        <v>692005007</v>
      </c>
      <c r="B850" s="54" t="s">
        <v>377</v>
      </c>
      <c r="C850" s="53" t="s">
        <v>159</v>
      </c>
      <c r="D850" s="79" t="s">
        <v>159</v>
      </c>
      <c r="E850" s="79" t="s">
        <v>4545</v>
      </c>
      <c r="F850" s="79" t="s">
        <v>4798</v>
      </c>
      <c r="G850" s="79" t="s">
        <v>1957</v>
      </c>
      <c r="H850" s="79">
        <v>69200500</v>
      </c>
      <c r="I850" s="79" t="s">
        <v>4914</v>
      </c>
      <c r="J850" s="79" t="s">
        <v>4445</v>
      </c>
    </row>
    <row r="851" spans="1:10" ht="14.25" hidden="1" customHeight="1" x14ac:dyDescent="0.25">
      <c r="A851" s="78">
        <v>692011007</v>
      </c>
      <c r="B851" s="54" t="s">
        <v>380</v>
      </c>
      <c r="C851" s="53" t="s">
        <v>159</v>
      </c>
      <c r="D851" s="79" t="s">
        <v>159</v>
      </c>
      <c r="E851" s="79" t="s">
        <v>4368</v>
      </c>
      <c r="F851" s="79" t="s">
        <v>4798</v>
      </c>
      <c r="G851" s="79" t="s">
        <v>2009</v>
      </c>
      <c r="H851" s="79">
        <v>69201100</v>
      </c>
      <c r="I851" s="79" t="s">
        <v>4914</v>
      </c>
      <c r="J851" s="79" t="s">
        <v>4445</v>
      </c>
    </row>
    <row r="852" spans="1:10" ht="14.25" hidden="1" customHeight="1" x14ac:dyDescent="0.25">
      <c r="A852" s="78">
        <v>692302001</v>
      </c>
      <c r="B852" s="54" t="s">
        <v>384</v>
      </c>
      <c r="C852" s="53" t="s">
        <v>159</v>
      </c>
      <c r="D852" s="79" t="s">
        <v>159</v>
      </c>
      <c r="E852" s="79" t="s">
        <v>4371</v>
      </c>
      <c r="F852" s="79" t="s">
        <v>4784</v>
      </c>
      <c r="G852" s="79" t="s">
        <v>2047</v>
      </c>
      <c r="H852" s="79">
        <v>69230200</v>
      </c>
      <c r="I852" s="79" t="s">
        <v>4914</v>
      </c>
      <c r="J852" s="79" t="s">
        <v>4445</v>
      </c>
    </row>
    <row r="853" spans="1:10" ht="14.25" hidden="1" customHeight="1" x14ac:dyDescent="0.25">
      <c r="A853" s="78">
        <v>692311000</v>
      </c>
      <c r="B853" s="54" t="s">
        <v>920</v>
      </c>
      <c r="C853" s="53" t="s">
        <v>159</v>
      </c>
      <c r="D853" s="79" t="s">
        <v>159</v>
      </c>
      <c r="E853" s="79" t="s">
        <v>4488</v>
      </c>
      <c r="F853" s="79" t="s">
        <v>4784</v>
      </c>
      <c r="G853" s="79" t="s">
        <v>1280</v>
      </c>
      <c r="H853" s="79">
        <v>69231100</v>
      </c>
      <c r="I853" s="79" t="s">
        <v>4914</v>
      </c>
      <c r="J853" s="79" t="s">
        <v>4445</v>
      </c>
    </row>
    <row r="854" spans="1:10" ht="14.25" customHeight="1" x14ac:dyDescent="0.25">
      <c r="A854" s="78">
        <v>692508009</v>
      </c>
      <c r="B854" s="54" t="s">
        <v>921</v>
      </c>
      <c r="C854" s="53" t="s">
        <v>159</v>
      </c>
      <c r="D854" s="79" t="s">
        <v>159</v>
      </c>
      <c r="E854" s="79" t="s">
        <v>4372</v>
      </c>
      <c r="F854" s="79" t="s">
        <v>4801</v>
      </c>
      <c r="G854" s="79" t="s">
        <v>1503</v>
      </c>
      <c r="H854" s="79">
        <v>69250800</v>
      </c>
      <c r="I854" s="79" t="s">
        <v>4914</v>
      </c>
      <c r="J854" s="79" t="s">
        <v>4445</v>
      </c>
    </row>
    <row r="855" spans="1:10" ht="14.25" hidden="1" customHeight="1" x14ac:dyDescent="0.25">
      <c r="A855" s="78">
        <v>692515005</v>
      </c>
      <c r="B855" s="54" t="s">
        <v>922</v>
      </c>
      <c r="C855" s="53" t="s">
        <v>159</v>
      </c>
      <c r="D855" s="79" t="s">
        <v>159</v>
      </c>
      <c r="E855" s="79" t="s">
        <v>4546</v>
      </c>
      <c r="F855" s="79" t="s">
        <v>4806</v>
      </c>
      <c r="G855" s="79" t="s">
        <v>4141</v>
      </c>
      <c r="H855" s="79">
        <v>69251500</v>
      </c>
      <c r="I855" s="79" t="s">
        <v>4914</v>
      </c>
      <c r="J855" s="79" t="s">
        <v>4445</v>
      </c>
    </row>
    <row r="856" spans="1:10" ht="14.25" hidden="1" customHeight="1" x14ac:dyDescent="0.25">
      <c r="A856" s="78">
        <v>692516001</v>
      </c>
      <c r="B856" s="54" t="s">
        <v>386</v>
      </c>
      <c r="C856" s="53" t="s">
        <v>159</v>
      </c>
      <c r="D856" s="79" t="s">
        <v>159</v>
      </c>
      <c r="E856" s="79" t="s">
        <v>4373</v>
      </c>
      <c r="F856" s="79" t="s">
        <v>4806</v>
      </c>
      <c r="G856" s="79" t="s">
        <v>2005</v>
      </c>
      <c r="H856" s="79">
        <v>69251600</v>
      </c>
      <c r="I856" s="79" t="s">
        <v>4914</v>
      </c>
      <c r="J856" s="79" t="s">
        <v>4445</v>
      </c>
    </row>
    <row r="857" spans="1:10" ht="14.25" hidden="1" customHeight="1" x14ac:dyDescent="0.25">
      <c r="A857" s="78">
        <v>692523008</v>
      </c>
      <c r="B857" s="54" t="s">
        <v>389</v>
      </c>
      <c r="C857" s="53" t="s">
        <v>159</v>
      </c>
      <c r="D857" s="79" t="s">
        <v>159</v>
      </c>
      <c r="E857" s="79" t="s">
        <v>4548</v>
      </c>
      <c r="F857" s="79" t="s">
        <v>4788</v>
      </c>
      <c r="G857" s="79" t="s">
        <v>2012</v>
      </c>
      <c r="H857" s="79">
        <v>69252300</v>
      </c>
      <c r="I857" s="79" t="s">
        <v>4914</v>
      </c>
      <c r="J857" s="79" t="s">
        <v>4445</v>
      </c>
    </row>
    <row r="858" spans="1:10" ht="14.25" hidden="1" customHeight="1" x14ac:dyDescent="0.25">
      <c r="A858" s="78">
        <v>692525000</v>
      </c>
      <c r="B858" s="54" t="s">
        <v>923</v>
      </c>
      <c r="C858" s="53" t="s">
        <v>159</v>
      </c>
      <c r="D858" s="79" t="s">
        <v>159</v>
      </c>
      <c r="E858" s="79" t="s">
        <v>4375</v>
      </c>
      <c r="F858" s="79" t="s">
        <v>4796</v>
      </c>
      <c r="G858" s="79" t="s">
        <v>2085</v>
      </c>
      <c r="H858" s="79">
        <v>69252500</v>
      </c>
      <c r="I858" s="79" t="s">
        <v>4914</v>
      </c>
      <c r="J858" s="79" t="s">
        <v>4445</v>
      </c>
    </row>
    <row r="859" spans="1:10" ht="14.25" hidden="1" customHeight="1" x14ac:dyDescent="0.25">
      <c r="A859" s="78">
        <v>692543009</v>
      </c>
      <c r="B859" s="54" t="s">
        <v>925</v>
      </c>
      <c r="C859" s="53" t="s">
        <v>159</v>
      </c>
      <c r="D859" s="79" t="s">
        <v>159</v>
      </c>
      <c r="E859" s="79" t="s">
        <v>4452</v>
      </c>
      <c r="F859" s="79" t="s">
        <v>4778</v>
      </c>
      <c r="G859" s="79" t="s">
        <v>2025</v>
      </c>
      <c r="H859" s="79">
        <v>69254300</v>
      </c>
      <c r="I859" s="79" t="s">
        <v>4914</v>
      </c>
      <c r="J859" s="79" t="s">
        <v>4445</v>
      </c>
    </row>
    <row r="860" spans="1:10" ht="14.25" hidden="1" customHeight="1" x14ac:dyDescent="0.25">
      <c r="A860" s="78">
        <v>692614003</v>
      </c>
      <c r="B860" s="54" t="s">
        <v>400</v>
      </c>
      <c r="C860" s="53" t="s">
        <v>159</v>
      </c>
      <c r="D860" s="79" t="s">
        <v>159</v>
      </c>
      <c r="E860" s="79" t="s">
        <v>4412</v>
      </c>
      <c r="F860" s="79" t="s">
        <v>4778</v>
      </c>
      <c r="G860" s="79" t="s">
        <v>3981</v>
      </c>
      <c r="H860" s="79">
        <v>69261400</v>
      </c>
      <c r="I860" s="79" t="s">
        <v>4914</v>
      </c>
      <c r="J860" s="79" t="s">
        <v>4445</v>
      </c>
    </row>
    <row r="861" spans="1:10" ht="14.25" hidden="1" customHeight="1" x14ac:dyDescent="0.25">
      <c r="A861" s="78">
        <v>692646002</v>
      </c>
      <c r="B861" s="54" t="s">
        <v>402</v>
      </c>
      <c r="C861" s="53" t="s">
        <v>159</v>
      </c>
      <c r="D861" s="79" t="s">
        <v>159</v>
      </c>
      <c r="E861" s="79" t="s">
        <v>4515</v>
      </c>
      <c r="F861" s="79" t="s">
        <v>4786</v>
      </c>
      <c r="G861" s="79" t="s">
        <v>1237</v>
      </c>
      <c r="H861" s="79">
        <v>69264600</v>
      </c>
      <c r="I861" s="79" t="s">
        <v>4914</v>
      </c>
      <c r="J861" s="79" t="s">
        <v>4445</v>
      </c>
    </row>
    <row r="862" spans="1:10" ht="14.25" hidden="1" customHeight="1" x14ac:dyDescent="0.25">
      <c r="A862" s="78">
        <v>692648005</v>
      </c>
      <c r="B862" s="54" t="s">
        <v>404</v>
      </c>
      <c r="C862" s="53" t="s">
        <v>159</v>
      </c>
      <c r="D862" s="79" t="s">
        <v>159</v>
      </c>
      <c r="E862" s="79" t="s">
        <v>4380</v>
      </c>
      <c r="F862" s="79" t="s">
        <v>4786</v>
      </c>
      <c r="G862" s="79" t="s">
        <v>2066</v>
      </c>
      <c r="H862" s="79">
        <v>69264800</v>
      </c>
      <c r="I862" s="79" t="s">
        <v>4914</v>
      </c>
      <c r="J862" s="79" t="s">
        <v>4445</v>
      </c>
    </row>
    <row r="863" spans="1:10" ht="14.25" hidden="1" customHeight="1" x14ac:dyDescent="0.25">
      <c r="A863" s="78">
        <v>692664000</v>
      </c>
      <c r="B863" s="54" t="s">
        <v>805</v>
      </c>
      <c r="C863" s="53" t="s">
        <v>159</v>
      </c>
      <c r="D863" s="79" t="s">
        <v>159</v>
      </c>
      <c r="E863" s="79" t="s">
        <v>4553</v>
      </c>
      <c r="F863" s="79" t="s">
        <v>4792</v>
      </c>
      <c r="G863" s="79" t="s">
        <v>2071</v>
      </c>
      <c r="H863" s="79">
        <v>69266400</v>
      </c>
      <c r="I863" s="79" t="s">
        <v>4914</v>
      </c>
      <c r="J863" s="79" t="s">
        <v>4445</v>
      </c>
    </row>
    <row r="864" spans="1:10" ht="14.25" hidden="1" customHeight="1" x14ac:dyDescent="0.25">
      <c r="A864" s="78">
        <v>692875605</v>
      </c>
      <c r="B864" s="54" t="s">
        <v>406</v>
      </c>
      <c r="C864" s="53" t="s">
        <v>159</v>
      </c>
      <c r="D864" s="79" t="s">
        <v>159</v>
      </c>
      <c r="E864" s="79" t="s">
        <v>4174</v>
      </c>
      <c r="F864" s="79" t="s">
        <v>4788</v>
      </c>
      <c r="G864" s="79" t="s">
        <v>1250</v>
      </c>
      <c r="H864" s="79">
        <v>69287560</v>
      </c>
      <c r="I864" s="79" t="s">
        <v>4914</v>
      </c>
      <c r="J864" s="79" t="s">
        <v>4445</v>
      </c>
    </row>
    <row r="865" spans="1:10" ht="14.25" hidden="1" customHeight="1" x14ac:dyDescent="0.25">
      <c r="A865" s="78">
        <v>700126013</v>
      </c>
      <c r="B865" s="54" t="s">
        <v>2281</v>
      </c>
      <c r="C865" s="53" t="s">
        <v>159</v>
      </c>
      <c r="D865" s="79" t="s">
        <v>159</v>
      </c>
      <c r="E865" s="79" t="s">
        <v>4381</v>
      </c>
      <c r="F865" s="79" t="s">
        <v>4778</v>
      </c>
      <c r="G865" s="79" t="s">
        <v>2280</v>
      </c>
      <c r="H865" s="79">
        <v>70012601</v>
      </c>
      <c r="I865" s="79" t="s">
        <v>4915</v>
      </c>
      <c r="J865" s="79" t="s">
        <v>4445</v>
      </c>
    </row>
    <row r="866" spans="1:10" ht="14.25" hidden="1" customHeight="1" x14ac:dyDescent="0.25">
      <c r="A866" s="78">
        <v>700836002</v>
      </c>
      <c r="B866" s="54" t="s">
        <v>409</v>
      </c>
      <c r="C866" s="53" t="s">
        <v>159</v>
      </c>
      <c r="D866" s="79" t="s">
        <v>159</v>
      </c>
      <c r="E866" s="79" t="s">
        <v>4411</v>
      </c>
      <c r="F866" s="79" t="s">
        <v>4778</v>
      </c>
      <c r="G866" s="79" t="s">
        <v>4106</v>
      </c>
      <c r="H866" s="79">
        <v>70083600</v>
      </c>
      <c r="I866" s="79" t="s">
        <v>4915</v>
      </c>
      <c r="J866" s="79" t="s">
        <v>4445</v>
      </c>
    </row>
    <row r="867" spans="1:10" ht="14.25" hidden="1" customHeight="1" x14ac:dyDescent="0.25">
      <c r="A867" s="78">
        <v>703620000</v>
      </c>
      <c r="B867" s="54" t="s">
        <v>410</v>
      </c>
      <c r="C867" s="53" t="s">
        <v>159</v>
      </c>
      <c r="D867" s="79" t="s">
        <v>159</v>
      </c>
      <c r="E867" s="79" t="s">
        <v>4391</v>
      </c>
      <c r="F867" s="79" t="s">
        <v>4778</v>
      </c>
      <c r="G867" s="79" t="s">
        <v>2291</v>
      </c>
      <c r="H867" s="79">
        <v>70362000</v>
      </c>
      <c r="I867" s="79" t="s">
        <v>4915</v>
      </c>
      <c r="J867" s="79" t="s">
        <v>4445</v>
      </c>
    </row>
    <row r="868" spans="1:10" ht="14.25" hidden="1" customHeight="1" x14ac:dyDescent="0.25">
      <c r="A868" s="78">
        <v>707665009</v>
      </c>
      <c r="B868" s="54" t="s">
        <v>413</v>
      </c>
      <c r="C868" s="53" t="s">
        <v>159</v>
      </c>
      <c r="D868" s="79" t="s">
        <v>159</v>
      </c>
      <c r="E868" s="79" t="s">
        <v>4382</v>
      </c>
      <c r="F868" s="79" t="s">
        <v>4779</v>
      </c>
      <c r="G868" s="79" t="s">
        <v>2299</v>
      </c>
      <c r="H868" s="79">
        <v>70766500</v>
      </c>
      <c r="I868" s="79" t="s">
        <v>4914</v>
      </c>
      <c r="J868" s="79" t="s">
        <v>4445</v>
      </c>
    </row>
    <row r="869" spans="1:10" ht="14.25" hidden="1" customHeight="1" x14ac:dyDescent="0.25">
      <c r="A869" s="78">
        <v>707775009</v>
      </c>
      <c r="B869" s="54" t="s">
        <v>4091</v>
      </c>
      <c r="C869" s="53" t="s">
        <v>159</v>
      </c>
      <c r="D869" s="79" t="s">
        <v>159</v>
      </c>
      <c r="E869" s="79" t="s">
        <v>4361</v>
      </c>
      <c r="F869" s="79" t="s">
        <v>4779</v>
      </c>
      <c r="G869" s="79" t="s">
        <v>4090</v>
      </c>
      <c r="H869" s="79">
        <v>70777500</v>
      </c>
      <c r="I869" s="79" t="s">
        <v>4915</v>
      </c>
      <c r="J869" s="79" t="s">
        <v>4445</v>
      </c>
    </row>
    <row r="870" spans="1:10" ht="14.25" hidden="1" customHeight="1" x14ac:dyDescent="0.25">
      <c r="A870" s="78">
        <v>708723002</v>
      </c>
      <c r="B870" s="54" t="s">
        <v>104</v>
      </c>
      <c r="C870" s="53" t="s">
        <v>159</v>
      </c>
      <c r="D870" s="79" t="s">
        <v>159</v>
      </c>
      <c r="E870" s="79" t="s">
        <v>4175</v>
      </c>
      <c r="F870" s="79" t="s">
        <v>4788</v>
      </c>
      <c r="G870" s="79" t="s">
        <v>3194</v>
      </c>
      <c r="H870" s="79">
        <v>70872300</v>
      </c>
      <c r="I870" s="79" t="s">
        <v>4914</v>
      </c>
      <c r="J870" s="79" t="s">
        <v>4445</v>
      </c>
    </row>
    <row r="871" spans="1:10" ht="14.25" hidden="1" customHeight="1" x14ac:dyDescent="0.25">
      <c r="A871" s="78">
        <v>708821004</v>
      </c>
      <c r="B871" s="54" t="s">
        <v>419</v>
      </c>
      <c r="C871" s="53" t="s">
        <v>159</v>
      </c>
      <c r="D871" s="79" t="s">
        <v>159</v>
      </c>
      <c r="E871" s="79" t="s">
        <v>4556</v>
      </c>
      <c r="F871" s="79" t="s">
        <v>4778</v>
      </c>
      <c r="G871" s="79" t="s">
        <v>1379</v>
      </c>
      <c r="H871" s="79">
        <v>70882100</v>
      </c>
      <c r="I871" s="79" t="s">
        <v>4914</v>
      </c>
      <c r="J871" s="79" t="s">
        <v>4445</v>
      </c>
    </row>
    <row r="872" spans="1:10" ht="14.25" hidden="1" customHeight="1" x14ac:dyDescent="0.25">
      <c r="A872" s="78">
        <v>709024000</v>
      </c>
      <c r="B872" s="54" t="s">
        <v>422</v>
      </c>
      <c r="C872" s="53" t="s">
        <v>159</v>
      </c>
      <c r="D872" s="79" t="s">
        <v>159</v>
      </c>
      <c r="E872" s="79" t="s">
        <v>4504</v>
      </c>
      <c r="F872" s="79" t="s">
        <v>4778</v>
      </c>
      <c r="G872" s="79" t="s">
        <v>1266</v>
      </c>
      <c r="H872" s="79">
        <v>70902400</v>
      </c>
      <c r="I872" s="79" t="s">
        <v>4914</v>
      </c>
      <c r="J872" s="79" t="s">
        <v>4445</v>
      </c>
    </row>
    <row r="873" spans="1:10" ht="14.25" hidden="1" customHeight="1" x14ac:dyDescent="0.25">
      <c r="A873" s="78">
        <v>709131001</v>
      </c>
      <c r="B873" s="54" t="s">
        <v>424</v>
      </c>
      <c r="C873" s="53" t="s">
        <v>159</v>
      </c>
      <c r="D873" s="79" t="s">
        <v>159</v>
      </c>
      <c r="E873" s="79" t="s">
        <v>4399</v>
      </c>
      <c r="F873" s="79" t="s">
        <v>4778</v>
      </c>
      <c r="G873" s="79" t="s">
        <v>1260</v>
      </c>
      <c r="H873" s="79">
        <v>70913100</v>
      </c>
      <c r="I873" s="79" t="s">
        <v>4914</v>
      </c>
      <c r="J873" s="79" t="s">
        <v>4445</v>
      </c>
    </row>
    <row r="874" spans="1:10" ht="14.25" hidden="1" customHeight="1" x14ac:dyDescent="0.25">
      <c r="A874" s="78">
        <v>709372009</v>
      </c>
      <c r="B874" s="54" t="s">
        <v>429</v>
      </c>
      <c r="C874" s="53" t="s">
        <v>159</v>
      </c>
      <c r="D874" s="79" t="s">
        <v>159</v>
      </c>
      <c r="E874" s="79" t="s">
        <v>4383</v>
      </c>
      <c r="F874" s="79" t="s">
        <v>4778</v>
      </c>
      <c r="G874" s="79" t="s">
        <v>4145</v>
      </c>
      <c r="H874" s="79">
        <v>70937200</v>
      </c>
      <c r="I874" s="79" t="s">
        <v>4914</v>
      </c>
      <c r="J874" s="79" t="s">
        <v>4445</v>
      </c>
    </row>
    <row r="875" spans="1:10" ht="14.25" hidden="1" customHeight="1" x14ac:dyDescent="0.25">
      <c r="A875" s="78">
        <v>709388002</v>
      </c>
      <c r="B875" s="54" t="s">
        <v>430</v>
      </c>
      <c r="C875" s="53" t="s">
        <v>159</v>
      </c>
      <c r="D875" s="79" t="s">
        <v>159</v>
      </c>
      <c r="E875" s="79" t="s">
        <v>4186</v>
      </c>
      <c r="F875" s="79" t="s">
        <v>4802</v>
      </c>
      <c r="G875" s="79" t="s">
        <v>1971</v>
      </c>
      <c r="H875" s="79">
        <v>70938800</v>
      </c>
      <c r="I875" s="79" t="s">
        <v>4914</v>
      </c>
      <c r="J875" s="79" t="s">
        <v>4445</v>
      </c>
    </row>
    <row r="876" spans="1:10" ht="14.25" hidden="1" customHeight="1" x14ac:dyDescent="0.25">
      <c r="A876" s="78">
        <v>711272003</v>
      </c>
      <c r="B876" s="54" t="s">
        <v>437</v>
      </c>
      <c r="C876" s="53" t="s">
        <v>159</v>
      </c>
      <c r="D876" s="79" t="s">
        <v>159</v>
      </c>
      <c r="E876" s="79" t="s">
        <v>4509</v>
      </c>
      <c r="F876" s="79" t="s">
        <v>4784</v>
      </c>
      <c r="G876" s="79" t="s">
        <v>4120</v>
      </c>
      <c r="H876" s="79">
        <v>71127200</v>
      </c>
      <c r="I876" s="79" t="s">
        <v>4914</v>
      </c>
      <c r="J876" s="79" t="s">
        <v>4445</v>
      </c>
    </row>
    <row r="877" spans="1:10" ht="14.25" hidden="1" customHeight="1" x14ac:dyDescent="0.25">
      <c r="A877" s="78">
        <v>711460004</v>
      </c>
      <c r="B877" s="54" t="s">
        <v>438</v>
      </c>
      <c r="C877" s="53" t="s">
        <v>159</v>
      </c>
      <c r="D877" s="79" t="s">
        <v>159</v>
      </c>
      <c r="E877" s="79" t="s">
        <v>4385</v>
      </c>
      <c r="F877" s="79" t="s">
        <v>4784</v>
      </c>
      <c r="G877" s="79" t="s">
        <v>2019</v>
      </c>
      <c r="H877" s="79">
        <v>71146000</v>
      </c>
      <c r="I877" s="79" t="s">
        <v>4914</v>
      </c>
      <c r="J877" s="79" t="s">
        <v>4445</v>
      </c>
    </row>
    <row r="878" spans="1:10" ht="14.25" hidden="1" customHeight="1" x14ac:dyDescent="0.25">
      <c r="A878" s="78">
        <v>711609008</v>
      </c>
      <c r="B878" s="54" t="s">
        <v>440</v>
      </c>
      <c r="C878" s="53" t="s">
        <v>159</v>
      </c>
      <c r="D878" s="79" t="s">
        <v>159</v>
      </c>
      <c r="E878" s="79" t="s">
        <v>4558</v>
      </c>
      <c r="F878" s="79" t="s">
        <v>4784</v>
      </c>
      <c r="G878" s="79" t="s">
        <v>1776</v>
      </c>
      <c r="H878" s="79">
        <v>71160900</v>
      </c>
      <c r="I878" s="79" t="s">
        <v>4914</v>
      </c>
      <c r="J878" s="79" t="s">
        <v>4445</v>
      </c>
    </row>
    <row r="879" spans="1:10" ht="14.25" hidden="1" customHeight="1" x14ac:dyDescent="0.25">
      <c r="A879" s="78">
        <v>711643001</v>
      </c>
      <c r="B879" s="54" t="s">
        <v>441</v>
      </c>
      <c r="C879" s="53" t="s">
        <v>159</v>
      </c>
      <c r="D879" s="79" t="s">
        <v>159</v>
      </c>
      <c r="E879" s="79" t="s">
        <v>4231</v>
      </c>
      <c r="F879" s="79" t="s">
        <v>4784</v>
      </c>
      <c r="G879" s="79" t="s">
        <v>2378</v>
      </c>
      <c r="H879" s="79">
        <v>71164300</v>
      </c>
      <c r="I879" s="79" t="s">
        <v>4914</v>
      </c>
      <c r="J879" s="79" t="s">
        <v>4445</v>
      </c>
    </row>
    <row r="880" spans="1:10" ht="14.25" hidden="1" customHeight="1" x14ac:dyDescent="0.25">
      <c r="A880" s="78">
        <v>711731008</v>
      </c>
      <c r="B880" s="54" t="s">
        <v>443</v>
      </c>
      <c r="C880" s="53" t="s">
        <v>159</v>
      </c>
      <c r="D880" s="79" t="s">
        <v>159</v>
      </c>
      <c r="E880" s="79" t="s">
        <v>4484</v>
      </c>
      <c r="F880" s="79" t="s">
        <v>4784</v>
      </c>
      <c r="G880" s="79" t="s">
        <v>3600</v>
      </c>
      <c r="H880" s="79">
        <v>71173100</v>
      </c>
      <c r="I880" s="79" t="s">
        <v>4914</v>
      </c>
      <c r="J880" s="79" t="s">
        <v>4445</v>
      </c>
    </row>
    <row r="881" spans="1:12" ht="14.25" hidden="1" customHeight="1" x14ac:dyDescent="0.25">
      <c r="A881" s="78">
        <v>712341009</v>
      </c>
      <c r="B881" s="54" t="s">
        <v>806</v>
      </c>
      <c r="C881" s="53" t="s">
        <v>159</v>
      </c>
      <c r="D881" s="79" t="s">
        <v>159</v>
      </c>
      <c r="E881" s="79" t="s">
        <v>4470</v>
      </c>
      <c r="F881" s="79" t="s">
        <v>4778</v>
      </c>
      <c r="G881" s="79" t="s">
        <v>3223</v>
      </c>
      <c r="H881" s="79">
        <v>71234100</v>
      </c>
      <c r="I881" s="79" t="s">
        <v>4914</v>
      </c>
      <c r="J881" s="79" t="s">
        <v>4445</v>
      </c>
    </row>
    <row r="882" spans="1:12" ht="14.25" hidden="1" customHeight="1" x14ac:dyDescent="0.25">
      <c r="A882" s="78">
        <v>712815000</v>
      </c>
      <c r="B882" s="54" t="s">
        <v>444</v>
      </c>
      <c r="C882" s="53" t="s">
        <v>159</v>
      </c>
      <c r="D882" s="79" t="s">
        <v>159</v>
      </c>
      <c r="E882" s="79" t="s">
        <v>4560</v>
      </c>
      <c r="F882" s="79" t="s">
        <v>4784</v>
      </c>
      <c r="G882" s="79" t="s">
        <v>2124</v>
      </c>
      <c r="H882" s="79">
        <v>71281500</v>
      </c>
      <c r="I882" s="79" t="s">
        <v>4914</v>
      </c>
      <c r="J882" s="79" t="s">
        <v>4445</v>
      </c>
    </row>
    <row r="883" spans="1:12" ht="14.25" hidden="1" customHeight="1" x14ac:dyDescent="0.25">
      <c r="A883" s="78">
        <v>712990007</v>
      </c>
      <c r="B883" s="54" t="s">
        <v>446</v>
      </c>
      <c r="C883" s="53" t="s">
        <v>159</v>
      </c>
      <c r="D883" s="79" t="s">
        <v>159</v>
      </c>
      <c r="E883" s="79" t="s">
        <v>4386</v>
      </c>
      <c r="F883" s="79" t="s">
        <v>4784</v>
      </c>
      <c r="G883" s="79" t="s">
        <v>2392</v>
      </c>
      <c r="H883" s="79">
        <v>71299000</v>
      </c>
      <c r="I883" s="79" t="s">
        <v>4914</v>
      </c>
      <c r="J883" s="79" t="s">
        <v>4445</v>
      </c>
    </row>
    <row r="884" spans="1:12" ht="14.25" hidden="1" customHeight="1" x14ac:dyDescent="0.25">
      <c r="A884" s="78">
        <v>713780006</v>
      </c>
      <c r="B884" s="54" t="s">
        <v>106</v>
      </c>
      <c r="C884" s="53" t="s">
        <v>159</v>
      </c>
      <c r="D884" s="79" t="s">
        <v>159</v>
      </c>
      <c r="E884" s="79" t="s">
        <v>4463</v>
      </c>
      <c r="F884" s="79" t="s">
        <v>4778</v>
      </c>
      <c r="G884" s="79" t="s">
        <v>2400</v>
      </c>
      <c r="H884" s="79">
        <v>71378000</v>
      </c>
      <c r="I884" s="79" t="s">
        <v>4914</v>
      </c>
      <c r="J884" s="79" t="s">
        <v>4445</v>
      </c>
    </row>
    <row r="885" spans="1:12" ht="14.25" hidden="1" customHeight="1" x14ac:dyDescent="0.25">
      <c r="A885" s="78">
        <v>714207008</v>
      </c>
      <c r="B885" s="54" t="s">
        <v>449</v>
      </c>
      <c r="C885" s="53" t="s">
        <v>159</v>
      </c>
      <c r="D885" s="79" t="s">
        <v>159</v>
      </c>
      <c r="E885" s="79" t="s">
        <v>4293</v>
      </c>
      <c r="F885" s="79" t="s">
        <v>4784</v>
      </c>
      <c r="G885" s="79" t="s">
        <v>1278</v>
      </c>
      <c r="H885" s="79">
        <v>71420700</v>
      </c>
      <c r="I885" s="79" t="s">
        <v>4914</v>
      </c>
      <c r="J885" s="79" t="s">
        <v>4445</v>
      </c>
    </row>
    <row r="886" spans="1:12" ht="14.25" hidden="1" customHeight="1" x14ac:dyDescent="0.25">
      <c r="A886" s="78">
        <v>716443000</v>
      </c>
      <c r="B886" s="54" t="s">
        <v>2420</v>
      </c>
      <c r="C886" s="53" t="s">
        <v>159</v>
      </c>
      <c r="D886" s="79" t="s">
        <v>159</v>
      </c>
      <c r="E886" s="79" t="s">
        <v>4551</v>
      </c>
      <c r="F886" s="79" t="s">
        <v>4778</v>
      </c>
      <c r="G886" s="79" t="s">
        <v>2419</v>
      </c>
      <c r="H886" s="79">
        <v>71644300</v>
      </c>
      <c r="I886" s="79" t="s">
        <v>4915</v>
      </c>
      <c r="J886" s="79" t="s">
        <v>4445</v>
      </c>
    </row>
    <row r="887" spans="1:12" ht="14.25" hidden="1" customHeight="1" x14ac:dyDescent="0.25">
      <c r="A887" s="78">
        <v>719158005</v>
      </c>
      <c r="B887" s="54" t="s">
        <v>2425</v>
      </c>
      <c r="C887" s="53" t="s">
        <v>159</v>
      </c>
      <c r="D887" s="79" t="s">
        <v>159</v>
      </c>
      <c r="E887" s="79" t="s">
        <v>4460</v>
      </c>
      <c r="F887" s="79" t="s">
        <v>4786</v>
      </c>
      <c r="G887" s="79" t="s">
        <v>2424</v>
      </c>
      <c r="H887" s="79">
        <v>71915800</v>
      </c>
      <c r="I887" s="79" t="s">
        <v>4915</v>
      </c>
      <c r="J887" s="79" t="s">
        <v>4445</v>
      </c>
      <c r="K887" s="16"/>
      <c r="L887" s="16"/>
    </row>
    <row r="888" spans="1:12" ht="14.25" hidden="1" customHeight="1" x14ac:dyDescent="0.25">
      <c r="A888" s="78">
        <v>723684005</v>
      </c>
      <c r="B888" s="54" t="s">
        <v>928</v>
      </c>
      <c r="C888" s="53" t="s">
        <v>159</v>
      </c>
      <c r="D888" s="79" t="s">
        <v>159</v>
      </c>
      <c r="E888" s="79" t="s">
        <v>4460</v>
      </c>
      <c r="F888" s="79" t="s">
        <v>4786</v>
      </c>
      <c r="G888" s="79" t="s">
        <v>2429</v>
      </c>
      <c r="H888" s="79">
        <v>72368400</v>
      </c>
      <c r="I888" s="79" t="s">
        <v>4914</v>
      </c>
      <c r="J888" s="79" t="s">
        <v>4445</v>
      </c>
      <c r="K888" s="16"/>
      <c r="L888" s="16"/>
    </row>
    <row r="889" spans="1:12" ht="14.25" hidden="1" customHeight="1" x14ac:dyDescent="0.25">
      <c r="A889" s="78">
        <v>735686003</v>
      </c>
      <c r="B889" s="54" t="s">
        <v>455</v>
      </c>
      <c r="C889" s="53" t="s">
        <v>159</v>
      </c>
      <c r="D889" s="79" t="s">
        <v>159</v>
      </c>
      <c r="E889" s="79" t="s">
        <v>4563</v>
      </c>
      <c r="F889" s="79" t="s">
        <v>4788</v>
      </c>
      <c r="G889" s="79" t="s">
        <v>2437</v>
      </c>
      <c r="H889" s="79">
        <v>73568600</v>
      </c>
      <c r="I889" s="79" t="s">
        <v>4914</v>
      </c>
      <c r="J889" s="79" t="s">
        <v>4445</v>
      </c>
      <c r="K889" s="16"/>
      <c r="L889" s="16"/>
    </row>
    <row r="890" spans="1:12" ht="14.25" hidden="1" customHeight="1" x14ac:dyDescent="0.25">
      <c r="A890" s="78">
        <v>748622004</v>
      </c>
      <c r="B890" s="54" t="s">
        <v>4077</v>
      </c>
      <c r="C890" s="53" t="s">
        <v>159</v>
      </c>
      <c r="D890" s="79" t="s">
        <v>159</v>
      </c>
      <c r="E890" s="79" t="s">
        <v>4218</v>
      </c>
      <c r="F890" s="79" t="s">
        <v>4779</v>
      </c>
      <c r="G890" s="79" t="s">
        <v>4076</v>
      </c>
      <c r="H890" s="79">
        <v>74862200</v>
      </c>
      <c r="I890" s="79" t="s">
        <v>4915</v>
      </c>
      <c r="J890" s="79" t="s">
        <v>4445</v>
      </c>
      <c r="K890" s="16"/>
      <c r="L890" s="16"/>
    </row>
    <row r="891" spans="1:12" ht="14.25" hidden="1" customHeight="1" x14ac:dyDescent="0.25">
      <c r="A891" s="78">
        <v>760006165</v>
      </c>
      <c r="B891" s="54" t="s">
        <v>456</v>
      </c>
      <c r="C891" s="53" t="s">
        <v>159</v>
      </c>
      <c r="D891" s="79" t="s">
        <v>159</v>
      </c>
      <c r="E891" s="79" t="s">
        <v>4178</v>
      </c>
      <c r="F891" s="79" t="s">
        <v>4795</v>
      </c>
      <c r="G891" s="79" t="s">
        <v>2422</v>
      </c>
      <c r="H891" s="79">
        <v>76000616</v>
      </c>
      <c r="I891" s="79" t="s">
        <v>4915</v>
      </c>
      <c r="J891" s="79" t="s">
        <v>4445</v>
      </c>
    </row>
    <row r="892" spans="1:12" ht="14.25" hidden="1" customHeight="1" x14ac:dyDescent="0.25">
      <c r="A892" s="78">
        <v>760243876</v>
      </c>
      <c r="B892" s="54" t="s">
        <v>1069</v>
      </c>
      <c r="C892" s="53" t="s">
        <v>159</v>
      </c>
      <c r="D892" s="79" t="s">
        <v>159</v>
      </c>
      <c r="E892" s="79" t="s">
        <v>4465</v>
      </c>
      <c r="F892" s="79" t="s">
        <v>4778</v>
      </c>
      <c r="G892" s="79" t="s">
        <v>2455</v>
      </c>
      <c r="H892" s="79">
        <v>76024387</v>
      </c>
      <c r="I892" s="79" t="s">
        <v>4915</v>
      </c>
      <c r="J892" s="79" t="s">
        <v>4445</v>
      </c>
    </row>
    <row r="893" spans="1:12" ht="14.25" hidden="1" customHeight="1" x14ac:dyDescent="0.25">
      <c r="A893" s="78">
        <v>760542377</v>
      </c>
      <c r="B893" s="54" t="s">
        <v>2475</v>
      </c>
      <c r="C893" s="53" t="s">
        <v>159</v>
      </c>
      <c r="D893" s="79" t="s">
        <v>159</v>
      </c>
      <c r="E893" s="79" t="s">
        <v>4465</v>
      </c>
      <c r="F893" s="79" t="s">
        <v>4778</v>
      </c>
      <c r="G893" s="79" t="s">
        <v>2474</v>
      </c>
      <c r="H893" s="79">
        <v>76054237</v>
      </c>
      <c r="I893" s="79" t="s">
        <v>4915</v>
      </c>
      <c r="J893" s="79" t="s">
        <v>4445</v>
      </c>
    </row>
    <row r="894" spans="1:12" ht="14.25" hidden="1" customHeight="1" x14ac:dyDescent="0.25">
      <c r="A894" s="78">
        <v>761037293</v>
      </c>
      <c r="B894" s="54" t="s">
        <v>2490</v>
      </c>
      <c r="C894" s="53" t="s">
        <v>159</v>
      </c>
      <c r="D894" s="79" t="s">
        <v>159</v>
      </c>
      <c r="E894" s="79" t="s">
        <v>4168</v>
      </c>
      <c r="F894" s="79" t="s">
        <v>4778</v>
      </c>
      <c r="G894" s="79" t="s">
        <v>2489</v>
      </c>
      <c r="H894" s="79">
        <v>76103729</v>
      </c>
      <c r="I894" s="79" t="s">
        <v>4915</v>
      </c>
      <c r="J894" s="79" t="s">
        <v>4445</v>
      </c>
    </row>
    <row r="895" spans="1:12" ht="14.25" hidden="1" customHeight="1" x14ac:dyDescent="0.25">
      <c r="A895" s="78">
        <v>761066366</v>
      </c>
      <c r="B895" s="54" t="s">
        <v>2493</v>
      </c>
      <c r="C895" s="53" t="s">
        <v>159</v>
      </c>
      <c r="D895" s="79" t="s">
        <v>159</v>
      </c>
      <c r="E895" s="79" t="s">
        <v>4528</v>
      </c>
      <c r="F895" s="79" t="s">
        <v>4778</v>
      </c>
      <c r="G895" s="79" t="s">
        <v>2492</v>
      </c>
      <c r="H895" s="79">
        <v>76106636</v>
      </c>
      <c r="I895" s="79" t="s">
        <v>4915</v>
      </c>
      <c r="J895" s="79" t="s">
        <v>4445</v>
      </c>
    </row>
    <row r="896" spans="1:12" ht="14.25" hidden="1" customHeight="1" x14ac:dyDescent="0.25">
      <c r="A896" s="78">
        <v>761150065</v>
      </c>
      <c r="B896" s="54" t="s">
        <v>4838</v>
      </c>
      <c r="C896" s="53" t="s">
        <v>159</v>
      </c>
      <c r="D896" s="79" t="s">
        <v>159</v>
      </c>
      <c r="E896" s="79" t="s">
        <v>4272</v>
      </c>
      <c r="F896" s="79" t="s">
        <v>4786</v>
      </c>
      <c r="G896" s="79" t="s">
        <v>2495</v>
      </c>
      <c r="H896" s="79">
        <v>76115006</v>
      </c>
      <c r="I896" s="79" t="s">
        <v>4915</v>
      </c>
      <c r="J896" s="79" t="s">
        <v>4445</v>
      </c>
    </row>
    <row r="897" spans="1:16" ht="14.25" hidden="1" customHeight="1" x14ac:dyDescent="0.25">
      <c r="A897" s="78">
        <v>761495240</v>
      </c>
      <c r="B897" s="54" t="s">
        <v>1051</v>
      </c>
      <c r="C897" s="53" t="s">
        <v>159</v>
      </c>
      <c r="D897" s="79" t="s">
        <v>159</v>
      </c>
      <c r="E897" s="79" t="s">
        <v>4448</v>
      </c>
      <c r="F897" s="79" t="s">
        <v>4778</v>
      </c>
      <c r="G897" s="79" t="s">
        <v>2508</v>
      </c>
      <c r="H897" s="79">
        <v>76149524</v>
      </c>
      <c r="I897" s="79" t="s">
        <v>4915</v>
      </c>
      <c r="J897" s="79" t="s">
        <v>4445</v>
      </c>
    </row>
    <row r="898" spans="1:16" ht="14.25" hidden="1" customHeight="1" x14ac:dyDescent="0.25">
      <c r="A898" s="78">
        <v>762051370</v>
      </c>
      <c r="B898" s="54" t="s">
        <v>468</v>
      </c>
      <c r="C898" s="53" t="s">
        <v>159</v>
      </c>
      <c r="D898" s="79" t="s">
        <v>159</v>
      </c>
      <c r="E898" s="79" t="s">
        <v>4460</v>
      </c>
      <c r="F898" s="79" t="s">
        <v>4786</v>
      </c>
      <c r="G898" s="79" t="s">
        <v>2518</v>
      </c>
      <c r="H898" s="79">
        <v>76205137</v>
      </c>
      <c r="I898" s="79" t="s">
        <v>4915</v>
      </c>
      <c r="J898" s="79" t="s">
        <v>4445</v>
      </c>
    </row>
    <row r="899" spans="1:16" ht="14.25" hidden="1" customHeight="1" x14ac:dyDescent="0.25">
      <c r="A899" s="78">
        <v>762174413</v>
      </c>
      <c r="B899" s="54" t="s">
        <v>471</v>
      </c>
      <c r="C899" s="53" t="s">
        <v>159</v>
      </c>
      <c r="D899" s="79" t="s">
        <v>159</v>
      </c>
      <c r="E899" s="79" t="s">
        <v>4510</v>
      </c>
      <c r="F899" s="79" t="s">
        <v>4778</v>
      </c>
      <c r="G899" s="79" t="s">
        <v>2528</v>
      </c>
      <c r="H899" s="79">
        <v>76217441</v>
      </c>
      <c r="I899" s="79" t="s">
        <v>4915</v>
      </c>
      <c r="J899" s="79" t="s">
        <v>4445</v>
      </c>
    </row>
    <row r="900" spans="1:16" ht="14.25" hidden="1" customHeight="1" x14ac:dyDescent="0.25">
      <c r="A900" s="78">
        <v>762177684</v>
      </c>
      <c r="B900" s="54" t="s">
        <v>111</v>
      </c>
      <c r="C900" s="53" t="s">
        <v>159</v>
      </c>
      <c r="D900" s="79" t="s">
        <v>159</v>
      </c>
      <c r="E900" s="79" t="s">
        <v>4168</v>
      </c>
      <c r="F900" s="79" t="s">
        <v>4778</v>
      </c>
      <c r="G900" s="79" t="s">
        <v>4839</v>
      </c>
      <c r="H900" s="79">
        <v>76217768</v>
      </c>
      <c r="I900" s="79" t="s">
        <v>4915</v>
      </c>
      <c r="J900" s="79" t="s">
        <v>4445</v>
      </c>
    </row>
    <row r="901" spans="1:16" ht="14.25" hidden="1" customHeight="1" x14ac:dyDescent="0.25">
      <c r="A901" s="78">
        <v>762187000</v>
      </c>
      <c r="B901" s="54" t="s">
        <v>473</v>
      </c>
      <c r="C901" s="53" t="s">
        <v>159</v>
      </c>
      <c r="D901" s="79" t="s">
        <v>159</v>
      </c>
      <c r="E901" s="79" t="s">
        <v>4168</v>
      </c>
      <c r="F901" s="79" t="s">
        <v>4778</v>
      </c>
      <c r="G901" s="79" t="s">
        <v>2532</v>
      </c>
      <c r="H901" s="79">
        <v>76218700</v>
      </c>
      <c r="I901" s="79" t="s">
        <v>4915</v>
      </c>
      <c r="J901" s="79" t="s">
        <v>4445</v>
      </c>
      <c r="K901" s="16"/>
      <c r="L901" s="16"/>
    </row>
    <row r="902" spans="1:16" ht="14.25" hidden="1" customHeight="1" x14ac:dyDescent="0.25">
      <c r="A902" s="78">
        <v>762522500</v>
      </c>
      <c r="B902" s="54" t="s">
        <v>1080</v>
      </c>
      <c r="C902" s="53" t="s">
        <v>159</v>
      </c>
      <c r="D902" s="79" t="s">
        <v>159</v>
      </c>
      <c r="E902" s="79" t="s">
        <v>4168</v>
      </c>
      <c r="F902" s="79" t="s">
        <v>4778</v>
      </c>
      <c r="G902" s="79" t="s">
        <v>2544</v>
      </c>
      <c r="H902" s="79">
        <v>76252250</v>
      </c>
      <c r="I902" s="79" t="s">
        <v>4915</v>
      </c>
      <c r="J902" s="79" t="s">
        <v>4445</v>
      </c>
      <c r="K902" s="16"/>
      <c r="L902" s="16"/>
    </row>
    <row r="903" spans="1:16" ht="14.25" hidden="1" customHeight="1" x14ac:dyDescent="0.25">
      <c r="A903" s="78">
        <v>762561387</v>
      </c>
      <c r="B903" s="54" t="s">
        <v>4032</v>
      </c>
      <c r="C903" s="53" t="s">
        <v>159</v>
      </c>
      <c r="D903" s="79" t="s">
        <v>159</v>
      </c>
      <c r="E903" s="79" t="s">
        <v>4444</v>
      </c>
      <c r="F903" s="79" t="s">
        <v>4778</v>
      </c>
      <c r="G903" s="79" t="s">
        <v>4031</v>
      </c>
      <c r="H903" s="79">
        <v>76256138</v>
      </c>
      <c r="I903" s="79" t="s">
        <v>4915</v>
      </c>
      <c r="J903" s="79" t="s">
        <v>4445</v>
      </c>
      <c r="K903" s="16"/>
      <c r="L903" s="16"/>
    </row>
    <row r="904" spans="1:16" ht="14.25" hidden="1" customHeight="1" x14ac:dyDescent="0.25">
      <c r="A904" s="78">
        <v>762666510</v>
      </c>
      <c r="B904" s="54" t="s">
        <v>476</v>
      </c>
      <c r="C904" s="53" t="s">
        <v>159</v>
      </c>
      <c r="D904" s="79" t="s">
        <v>159</v>
      </c>
      <c r="E904" s="79" t="s">
        <v>4182</v>
      </c>
      <c r="F904" s="79" t="s">
        <v>4796</v>
      </c>
      <c r="G904" s="79" t="s">
        <v>2549</v>
      </c>
      <c r="H904" s="79">
        <v>76266651</v>
      </c>
      <c r="I904" s="79" t="s">
        <v>4915</v>
      </c>
      <c r="J904" s="79" t="s">
        <v>4445</v>
      </c>
      <c r="K904" s="16"/>
      <c r="L904" s="16"/>
    </row>
    <row r="905" spans="1:16" ht="14.25" hidden="1" customHeight="1" x14ac:dyDescent="0.25">
      <c r="A905" s="78">
        <v>762887231</v>
      </c>
      <c r="B905" s="54" t="s">
        <v>4840</v>
      </c>
      <c r="C905" s="53" t="s">
        <v>159</v>
      </c>
      <c r="D905" s="79" t="s">
        <v>159</v>
      </c>
      <c r="E905" s="79" t="s">
        <v>4389</v>
      </c>
      <c r="F905" s="79" t="s">
        <v>4779</v>
      </c>
      <c r="G905" s="79" t="s">
        <v>2556</v>
      </c>
      <c r="H905" s="79">
        <v>76288723</v>
      </c>
      <c r="I905" s="79" t="s">
        <v>4915</v>
      </c>
      <c r="J905" s="79" t="s">
        <v>4445</v>
      </c>
      <c r="K905" s="16"/>
      <c r="L905" s="16"/>
    </row>
    <row r="906" spans="1:16" ht="14.25" hidden="1" customHeight="1" x14ac:dyDescent="0.25">
      <c r="A906" s="78">
        <v>762996316</v>
      </c>
      <c r="B906" s="54" t="s">
        <v>2559</v>
      </c>
      <c r="C906" s="53" t="s">
        <v>159</v>
      </c>
      <c r="D906" s="79" t="s">
        <v>159</v>
      </c>
      <c r="E906" s="79" t="s">
        <v>4230</v>
      </c>
      <c r="F906" s="79" t="s">
        <v>4784</v>
      </c>
      <c r="G906" s="79" t="s">
        <v>2558</v>
      </c>
      <c r="H906" s="79">
        <v>76299631</v>
      </c>
      <c r="I906" s="79" t="s">
        <v>4915</v>
      </c>
      <c r="J906" s="79" t="s">
        <v>4445</v>
      </c>
      <c r="K906" s="16"/>
      <c r="L906" s="16"/>
      <c r="P906" s="16"/>
    </row>
    <row r="907" spans="1:16" ht="14.25" hidden="1" customHeight="1" x14ac:dyDescent="0.25">
      <c r="A907" s="78">
        <v>763244970</v>
      </c>
      <c r="B907" s="54" t="s">
        <v>477</v>
      </c>
      <c r="C907" s="53" t="s">
        <v>159</v>
      </c>
      <c r="D907" s="79" t="s">
        <v>159</v>
      </c>
      <c r="E907" s="79" t="s">
        <v>4552</v>
      </c>
      <c r="F907" s="79" t="s">
        <v>4778</v>
      </c>
      <c r="G907" s="79" t="s">
        <v>2565</v>
      </c>
      <c r="H907" s="79">
        <v>76324497</v>
      </c>
      <c r="I907" s="79" t="s">
        <v>4915</v>
      </c>
      <c r="J907" s="79" t="s">
        <v>4445</v>
      </c>
      <c r="P907" s="16"/>
    </row>
    <row r="908" spans="1:16" ht="14.25" hidden="1" customHeight="1" x14ac:dyDescent="0.25">
      <c r="A908" s="78">
        <v>763370003</v>
      </c>
      <c r="B908" s="54" t="s">
        <v>4567</v>
      </c>
      <c r="C908" s="53" t="s">
        <v>159</v>
      </c>
      <c r="D908" s="79" t="s">
        <v>159</v>
      </c>
      <c r="E908" s="79" t="s">
        <v>4390</v>
      </c>
      <c r="F908" s="79" t="s">
        <v>4778</v>
      </c>
      <c r="G908" s="79" t="s">
        <v>4566</v>
      </c>
      <c r="H908" s="79">
        <v>76337000</v>
      </c>
      <c r="I908" s="79" t="s">
        <v>4915</v>
      </c>
      <c r="J908" s="79" t="s">
        <v>4445</v>
      </c>
      <c r="P908" s="16"/>
    </row>
    <row r="909" spans="1:16" ht="14.25" hidden="1" customHeight="1" x14ac:dyDescent="0.25">
      <c r="A909" s="78">
        <v>763489477</v>
      </c>
      <c r="B909" s="54" t="s">
        <v>4841</v>
      </c>
      <c r="C909" s="53" t="s">
        <v>159</v>
      </c>
      <c r="D909" s="79" t="s">
        <v>159</v>
      </c>
      <c r="E909" s="79" t="s">
        <v>4460</v>
      </c>
      <c r="F909" s="79" t="s">
        <v>4786</v>
      </c>
      <c r="G909" s="79" t="s">
        <v>2574</v>
      </c>
      <c r="H909" s="79">
        <v>76348947</v>
      </c>
      <c r="I909" s="79" t="s">
        <v>4915</v>
      </c>
      <c r="J909" s="79" t="s">
        <v>4445</v>
      </c>
      <c r="P909" s="16"/>
    </row>
    <row r="910" spans="1:16" ht="14.25" hidden="1" customHeight="1" x14ac:dyDescent="0.25">
      <c r="A910" s="78">
        <v>763632059</v>
      </c>
      <c r="B910" s="54" t="s">
        <v>113</v>
      </c>
      <c r="C910" s="53" t="s">
        <v>159</v>
      </c>
      <c r="D910" s="79" t="s">
        <v>159</v>
      </c>
      <c r="E910" s="79" t="s">
        <v>4458</v>
      </c>
      <c r="F910" s="79" t="s">
        <v>4778</v>
      </c>
      <c r="G910" s="79" t="s">
        <v>2576</v>
      </c>
      <c r="H910" s="79">
        <v>76363205</v>
      </c>
      <c r="I910" s="79" t="s">
        <v>4915</v>
      </c>
      <c r="J910" s="79" t="s">
        <v>4445</v>
      </c>
    </row>
    <row r="911" spans="1:16" ht="14.25" hidden="1" customHeight="1" x14ac:dyDescent="0.25">
      <c r="A911" s="78">
        <v>763686035</v>
      </c>
      <c r="B911" s="54" t="s">
        <v>2582</v>
      </c>
      <c r="C911" s="53" t="s">
        <v>159</v>
      </c>
      <c r="D911" s="79" t="s">
        <v>159</v>
      </c>
      <c r="E911" s="79" t="s">
        <v>4391</v>
      </c>
      <c r="F911" s="79" t="s">
        <v>4778</v>
      </c>
      <c r="G911" s="79" t="s">
        <v>2581</v>
      </c>
      <c r="H911" s="79">
        <v>76368603</v>
      </c>
      <c r="I911" s="79" t="s">
        <v>4915</v>
      </c>
      <c r="J911" s="79" t="s">
        <v>4445</v>
      </c>
    </row>
    <row r="912" spans="1:16" ht="14.25" hidden="1" customHeight="1" x14ac:dyDescent="0.25">
      <c r="A912" s="78">
        <v>763991776</v>
      </c>
      <c r="B912" s="54" t="s">
        <v>4842</v>
      </c>
      <c r="C912" s="53" t="s">
        <v>159</v>
      </c>
      <c r="D912" s="79" t="s">
        <v>159</v>
      </c>
      <c r="E912" s="79" t="s">
        <v>4292</v>
      </c>
      <c r="F912" s="79" t="s">
        <v>4784</v>
      </c>
      <c r="G912" s="79" t="s">
        <v>2588</v>
      </c>
      <c r="H912" s="79">
        <v>76399177</v>
      </c>
      <c r="I912" s="79" t="s">
        <v>4915</v>
      </c>
      <c r="J912" s="79" t="s">
        <v>4445</v>
      </c>
    </row>
    <row r="913" spans="1:32" ht="14.25" hidden="1" customHeight="1" x14ac:dyDescent="0.25">
      <c r="A913" s="78">
        <v>764074270</v>
      </c>
      <c r="B913" s="54" t="s">
        <v>480</v>
      </c>
      <c r="C913" s="53" t="s">
        <v>159</v>
      </c>
      <c r="D913" s="79" t="s">
        <v>159</v>
      </c>
      <c r="E913" s="79" t="s">
        <v>4391</v>
      </c>
      <c r="F913" s="79" t="s">
        <v>4778</v>
      </c>
      <c r="G913" s="79" t="s">
        <v>2592</v>
      </c>
      <c r="H913" s="79">
        <v>76407427</v>
      </c>
      <c r="I913" s="79" t="s">
        <v>4915</v>
      </c>
      <c r="J913" s="79" t="s">
        <v>4445</v>
      </c>
      <c r="K913" s="16"/>
    </row>
    <row r="914" spans="1:32" ht="14.25" hidden="1" customHeight="1" x14ac:dyDescent="0.25">
      <c r="A914" s="78">
        <v>764605608</v>
      </c>
      <c r="B914" s="54" t="s">
        <v>4843</v>
      </c>
      <c r="C914" s="53" t="s">
        <v>159</v>
      </c>
      <c r="D914" s="79" t="s">
        <v>159</v>
      </c>
      <c r="E914" s="79" t="s">
        <v>4187</v>
      </c>
      <c r="F914" s="79" t="s">
        <v>4778</v>
      </c>
      <c r="G914" s="79" t="s">
        <v>3939</v>
      </c>
      <c r="H914" s="79">
        <v>76460560</v>
      </c>
      <c r="I914" s="79" t="s">
        <v>4915</v>
      </c>
      <c r="J914" s="79" t="s">
        <v>4445</v>
      </c>
      <c r="K914" s="16"/>
    </row>
    <row r="915" spans="1:32" ht="14.25" hidden="1" customHeight="1" x14ac:dyDescent="0.25">
      <c r="A915" s="78">
        <v>764614062</v>
      </c>
      <c r="B915" s="54" t="s">
        <v>4844</v>
      </c>
      <c r="C915" s="53" t="s">
        <v>159</v>
      </c>
      <c r="D915" s="79" t="s">
        <v>159</v>
      </c>
      <c r="E915" s="79" t="s">
        <v>4237</v>
      </c>
      <c r="F915" s="79" t="s">
        <v>4796</v>
      </c>
      <c r="G915" s="79" t="s">
        <v>3941</v>
      </c>
      <c r="H915" s="79">
        <v>76461406</v>
      </c>
      <c r="I915" s="79" t="s">
        <v>4915</v>
      </c>
      <c r="J915" s="79" t="s">
        <v>4445</v>
      </c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</row>
    <row r="916" spans="1:32" ht="14.25" hidden="1" customHeight="1" x14ac:dyDescent="0.25">
      <c r="A916" s="78">
        <v>764717384</v>
      </c>
      <c r="B916" s="54" t="s">
        <v>3276</v>
      </c>
      <c r="C916" s="53" t="s">
        <v>159</v>
      </c>
      <c r="D916" s="79" t="s">
        <v>159</v>
      </c>
      <c r="E916" s="79" t="s">
        <v>4460</v>
      </c>
      <c r="F916" s="79" t="s">
        <v>4786</v>
      </c>
      <c r="G916" s="79" t="s">
        <v>3275</v>
      </c>
      <c r="H916" s="79">
        <v>76471738</v>
      </c>
      <c r="I916" s="79" t="s">
        <v>4915</v>
      </c>
      <c r="J916" s="79" t="s">
        <v>4445</v>
      </c>
      <c r="K916" s="16"/>
      <c r="L916" s="36"/>
      <c r="M916" s="16"/>
      <c r="N916" s="16"/>
      <c r="O916" s="37"/>
      <c r="P916" s="16"/>
      <c r="Q916" s="16"/>
      <c r="R916" s="36"/>
      <c r="S916" s="16"/>
      <c r="T916" s="36"/>
      <c r="U916" s="16"/>
      <c r="V916" s="16"/>
      <c r="W916" s="36"/>
      <c r="X916" s="36"/>
      <c r="Y916" s="38"/>
      <c r="Z916" s="38"/>
      <c r="AA916" s="39"/>
      <c r="AB916" s="16"/>
      <c r="AC916" s="40"/>
      <c r="AD916" s="16"/>
      <c r="AE916" s="16"/>
      <c r="AF916" s="16"/>
    </row>
    <row r="917" spans="1:32" ht="14.25" hidden="1" customHeight="1" x14ac:dyDescent="0.25">
      <c r="A917" s="78">
        <v>764793692</v>
      </c>
      <c r="B917" s="54" t="s">
        <v>4845</v>
      </c>
      <c r="C917" s="53" t="s">
        <v>159</v>
      </c>
      <c r="D917" s="79" t="s">
        <v>159</v>
      </c>
      <c r="E917" s="79" t="s">
        <v>4391</v>
      </c>
      <c r="F917" s="79" t="s">
        <v>4778</v>
      </c>
      <c r="G917" s="79" t="s">
        <v>3948</v>
      </c>
      <c r="H917" s="79">
        <v>76479369</v>
      </c>
      <c r="I917" s="79" t="s">
        <v>4915</v>
      </c>
      <c r="J917" s="79" t="s">
        <v>4445</v>
      </c>
      <c r="K917" s="16"/>
      <c r="L917" s="36"/>
      <c r="M917" s="16"/>
      <c r="N917" s="16"/>
      <c r="O917" s="37"/>
      <c r="P917" s="16"/>
      <c r="Q917" s="16"/>
      <c r="R917" s="36"/>
      <c r="S917" s="16"/>
      <c r="T917" s="36"/>
      <c r="U917" s="16"/>
      <c r="V917" s="16"/>
      <c r="W917" s="36"/>
      <c r="X917" s="36"/>
      <c r="Y917" s="38"/>
      <c r="Z917" s="38"/>
      <c r="AA917" s="39"/>
      <c r="AB917" s="16"/>
      <c r="AC917" s="40"/>
      <c r="AD917" s="16"/>
      <c r="AE917" s="16"/>
      <c r="AF917" s="16"/>
    </row>
    <row r="918" spans="1:32" ht="14.25" hidden="1" customHeight="1" x14ac:dyDescent="0.25">
      <c r="A918" s="78">
        <v>764831675</v>
      </c>
      <c r="B918" s="54" t="s">
        <v>3954</v>
      </c>
      <c r="C918" s="53" t="s">
        <v>159</v>
      </c>
      <c r="D918" s="79" t="s">
        <v>159</v>
      </c>
      <c r="E918" s="79" t="s">
        <v>4490</v>
      </c>
      <c r="F918" s="79" t="s">
        <v>4788</v>
      </c>
      <c r="G918" s="79" t="s">
        <v>3953</v>
      </c>
      <c r="H918" s="79">
        <v>76483167</v>
      </c>
      <c r="I918" s="79" t="s">
        <v>4915</v>
      </c>
      <c r="J918" s="79" t="s">
        <v>4445</v>
      </c>
      <c r="L918" s="36"/>
      <c r="M918" s="16"/>
      <c r="N918" s="16"/>
      <c r="O918" s="37"/>
      <c r="P918" s="16"/>
      <c r="Q918" s="16"/>
      <c r="R918" s="36"/>
      <c r="S918" s="16"/>
      <c r="T918" s="36"/>
      <c r="U918" s="16"/>
      <c r="V918" s="16"/>
      <c r="W918" s="36"/>
      <c r="X918" s="36"/>
      <c r="Y918" s="38"/>
      <c r="Z918" s="38"/>
      <c r="AA918" s="39"/>
      <c r="AB918" s="16"/>
      <c r="AC918" s="40"/>
      <c r="AD918" s="16"/>
      <c r="AE918" s="16"/>
      <c r="AF918" s="16"/>
    </row>
    <row r="919" spans="1:32" ht="14.25" hidden="1" customHeight="1" x14ac:dyDescent="0.25">
      <c r="A919" s="78">
        <v>765012791</v>
      </c>
      <c r="B919" s="54" t="s">
        <v>4846</v>
      </c>
      <c r="C919" s="53" t="s">
        <v>159</v>
      </c>
      <c r="D919" s="79" t="s">
        <v>159</v>
      </c>
      <c r="E919" s="79" t="s">
        <v>4383</v>
      </c>
      <c r="F919" s="79" t="s">
        <v>4778</v>
      </c>
      <c r="G919" s="79" t="s">
        <v>3958</v>
      </c>
      <c r="H919" s="79">
        <v>76501279</v>
      </c>
      <c r="I919" s="79" t="s">
        <v>4915</v>
      </c>
      <c r="J919" s="79" t="s">
        <v>4445</v>
      </c>
      <c r="L919" s="36"/>
      <c r="M919" s="16"/>
      <c r="N919" s="16"/>
      <c r="O919" s="37"/>
      <c r="P919" s="16"/>
      <c r="Q919" s="16"/>
      <c r="R919" s="36"/>
      <c r="S919" s="16"/>
      <c r="T919" s="36"/>
      <c r="U919" s="16"/>
      <c r="V919" s="16"/>
      <c r="W919" s="36"/>
      <c r="X919" s="36"/>
      <c r="Y919" s="38"/>
      <c r="Z919" s="38"/>
      <c r="AA919" s="39"/>
      <c r="AB919" s="16"/>
      <c r="AC919" s="40"/>
      <c r="AD919" s="16"/>
      <c r="AE919" s="16"/>
      <c r="AF919" s="16"/>
    </row>
    <row r="920" spans="1:32" ht="14.25" hidden="1" customHeight="1" x14ac:dyDescent="0.25">
      <c r="A920" s="78">
        <v>765208491</v>
      </c>
      <c r="B920" s="54" t="s">
        <v>488</v>
      </c>
      <c r="C920" s="53" t="s">
        <v>159</v>
      </c>
      <c r="D920" s="79" t="s">
        <v>159</v>
      </c>
      <c r="E920" s="79" t="s">
        <v>4391</v>
      </c>
      <c r="F920" s="79" t="s">
        <v>4778</v>
      </c>
      <c r="G920" s="79" t="s">
        <v>3967</v>
      </c>
      <c r="H920" s="79">
        <v>76520849</v>
      </c>
      <c r="I920" s="79" t="s">
        <v>4915</v>
      </c>
      <c r="J920" s="79" t="s">
        <v>4445</v>
      </c>
      <c r="L920" s="36"/>
      <c r="M920" s="16"/>
      <c r="N920" s="16"/>
      <c r="O920" s="37"/>
      <c r="P920" s="16"/>
      <c r="Q920" s="16"/>
      <c r="R920" s="36"/>
      <c r="S920" s="16"/>
      <c r="T920" s="36"/>
      <c r="U920" s="16"/>
      <c r="V920" s="16"/>
      <c r="W920" s="36"/>
      <c r="X920" s="36"/>
      <c r="Y920" s="38"/>
      <c r="Z920" s="38"/>
      <c r="AA920" s="39"/>
      <c r="AB920" s="16"/>
      <c r="AC920" s="40"/>
      <c r="AD920" s="16"/>
      <c r="AE920" s="16"/>
      <c r="AF920" s="16"/>
    </row>
    <row r="921" spans="1:32" ht="14.25" hidden="1" customHeight="1" x14ac:dyDescent="0.25">
      <c r="A921" s="78">
        <v>765255600</v>
      </c>
      <c r="B921" s="54" t="s">
        <v>1081</v>
      </c>
      <c r="C921" s="53" t="s">
        <v>159</v>
      </c>
      <c r="D921" s="79" t="s">
        <v>159</v>
      </c>
      <c r="E921" s="79" t="s">
        <v>4552</v>
      </c>
      <c r="F921" s="79" t="s">
        <v>4778</v>
      </c>
      <c r="G921" s="79" t="s">
        <v>2610</v>
      </c>
      <c r="H921" s="79">
        <v>76525560</v>
      </c>
      <c r="I921" s="79" t="s">
        <v>4915</v>
      </c>
      <c r="J921" s="79" t="s">
        <v>4445</v>
      </c>
      <c r="L921" s="36"/>
      <c r="M921" s="16"/>
      <c r="N921" s="16"/>
      <c r="O921" s="37"/>
      <c r="P921" s="16"/>
      <c r="Q921" s="16"/>
      <c r="R921" s="36"/>
      <c r="S921" s="16"/>
      <c r="T921" s="36"/>
      <c r="U921" s="16"/>
      <c r="V921" s="16"/>
      <c r="W921" s="36"/>
      <c r="X921" s="36"/>
      <c r="Y921" s="38"/>
      <c r="Z921" s="38"/>
      <c r="AA921" s="39"/>
      <c r="AB921" s="16"/>
      <c r="AC921" s="40"/>
      <c r="AD921" s="16"/>
      <c r="AE921" s="16"/>
      <c r="AF921" s="16"/>
    </row>
    <row r="922" spans="1:32" ht="14.25" hidden="1" customHeight="1" x14ac:dyDescent="0.25">
      <c r="A922" s="78">
        <v>765444527</v>
      </c>
      <c r="B922" s="54" t="s">
        <v>2615</v>
      </c>
      <c r="C922" s="53" t="s">
        <v>159</v>
      </c>
      <c r="D922" s="79" t="s">
        <v>159</v>
      </c>
      <c r="E922" s="79" t="s">
        <v>4401</v>
      </c>
      <c r="F922" s="79" t="s">
        <v>4778</v>
      </c>
      <c r="G922" s="79" t="s">
        <v>2614</v>
      </c>
      <c r="H922" s="79">
        <v>76544452</v>
      </c>
      <c r="I922" s="79" t="s">
        <v>4915</v>
      </c>
      <c r="J922" s="79" t="s">
        <v>4445</v>
      </c>
      <c r="L922" s="36"/>
      <c r="M922" s="16"/>
      <c r="N922" s="16"/>
      <c r="O922" s="37"/>
      <c r="P922" s="16"/>
      <c r="Q922" s="16"/>
      <c r="R922" s="36"/>
      <c r="S922" s="16"/>
      <c r="T922" s="36"/>
      <c r="U922" s="16"/>
      <c r="V922" s="16"/>
      <c r="W922" s="36"/>
      <c r="X922" s="36"/>
      <c r="Y922" s="38"/>
      <c r="Z922" s="38"/>
      <c r="AA922" s="39"/>
      <c r="AB922" s="16"/>
      <c r="AC922" s="40"/>
      <c r="AD922" s="16"/>
      <c r="AE922" s="16"/>
      <c r="AF922" s="16"/>
    </row>
    <row r="923" spans="1:32" ht="14.25" hidden="1" customHeight="1" x14ac:dyDescent="0.25">
      <c r="A923" s="78">
        <v>765464307</v>
      </c>
      <c r="B923" s="54" t="s">
        <v>4847</v>
      </c>
      <c r="C923" s="53" t="s">
        <v>159</v>
      </c>
      <c r="D923" s="79" t="s">
        <v>159</v>
      </c>
      <c r="E923" s="79" t="s">
        <v>4465</v>
      </c>
      <c r="F923" s="79" t="s">
        <v>4778</v>
      </c>
      <c r="G923" s="79" t="s">
        <v>2617</v>
      </c>
      <c r="H923" s="79">
        <v>76546430</v>
      </c>
      <c r="I923" s="79" t="s">
        <v>4915</v>
      </c>
      <c r="J923" s="79" t="s">
        <v>4445</v>
      </c>
      <c r="L923" s="36"/>
      <c r="M923" s="16"/>
      <c r="N923" s="16"/>
      <c r="O923" s="37"/>
      <c r="P923" s="16"/>
      <c r="Q923" s="16"/>
      <c r="R923" s="36"/>
      <c r="S923" s="16"/>
      <c r="T923" s="36"/>
      <c r="U923" s="16"/>
      <c r="V923" s="16"/>
      <c r="W923" s="36"/>
      <c r="X923" s="36"/>
      <c r="Y923" s="38"/>
      <c r="Z923" s="38"/>
      <c r="AA923" s="39"/>
      <c r="AB923" s="16"/>
      <c r="AC923" s="40"/>
      <c r="AD923" s="16"/>
      <c r="AE923" s="16"/>
      <c r="AF923" s="16"/>
    </row>
    <row r="924" spans="1:32" ht="14.25" hidden="1" customHeight="1" x14ac:dyDescent="0.25">
      <c r="A924" s="78">
        <v>765902134</v>
      </c>
      <c r="B924" s="54" t="s">
        <v>492</v>
      </c>
      <c r="C924" s="53" t="s">
        <v>159</v>
      </c>
      <c r="D924" s="79" t="s">
        <v>159</v>
      </c>
      <c r="E924" s="79" t="s">
        <v>4465</v>
      </c>
      <c r="F924" s="79" t="s">
        <v>4778</v>
      </c>
      <c r="G924" s="79" t="s">
        <v>2630</v>
      </c>
      <c r="H924" s="79">
        <v>76590213</v>
      </c>
      <c r="I924" s="79" t="s">
        <v>4915</v>
      </c>
      <c r="J924" s="79" t="s">
        <v>4445</v>
      </c>
      <c r="L924" s="36"/>
      <c r="M924" s="16"/>
      <c r="N924" s="16"/>
      <c r="O924" s="37"/>
      <c r="P924" s="16"/>
      <c r="Q924" s="16"/>
      <c r="R924" s="36"/>
      <c r="S924" s="16"/>
      <c r="T924" s="36"/>
      <c r="U924" s="16"/>
      <c r="V924" s="16"/>
      <c r="W924" s="36"/>
      <c r="X924" s="36"/>
      <c r="Y924" s="38"/>
      <c r="Z924" s="38"/>
      <c r="AA924" s="39"/>
      <c r="AB924" s="16"/>
      <c r="AC924" s="40"/>
      <c r="AD924" s="16"/>
      <c r="AE924" s="16"/>
      <c r="AF924" s="16"/>
    </row>
    <row r="925" spans="1:32" ht="14.25" hidden="1" customHeight="1" x14ac:dyDescent="0.25">
      <c r="A925" s="78">
        <v>766425852</v>
      </c>
      <c r="B925" s="54" t="s">
        <v>495</v>
      </c>
      <c r="C925" s="53" t="s">
        <v>159</v>
      </c>
      <c r="D925" s="79" t="s">
        <v>159</v>
      </c>
      <c r="E925" s="79" t="s">
        <v>4510</v>
      </c>
      <c r="F925" s="79" t="s">
        <v>4778</v>
      </c>
      <c r="G925" s="79" t="s">
        <v>2645</v>
      </c>
      <c r="H925" s="79">
        <v>76642585</v>
      </c>
      <c r="I925" s="79" t="s">
        <v>4915</v>
      </c>
      <c r="J925" s="79" t="s">
        <v>4445</v>
      </c>
      <c r="L925" s="36"/>
      <c r="M925" s="16"/>
      <c r="N925" s="16"/>
      <c r="O925" s="37"/>
      <c r="P925" s="16"/>
      <c r="Q925" s="16"/>
      <c r="R925" s="36"/>
      <c r="S925" s="16"/>
      <c r="T925" s="36"/>
      <c r="U925" s="16"/>
      <c r="V925" s="16"/>
      <c r="W925" s="36"/>
      <c r="X925" s="36"/>
      <c r="Y925" s="38"/>
      <c r="Z925" s="38"/>
      <c r="AA925" s="39"/>
      <c r="AB925" s="16"/>
      <c r="AC925" s="40"/>
      <c r="AD925" s="16"/>
      <c r="AE925" s="16"/>
      <c r="AF925" s="16"/>
    </row>
    <row r="926" spans="1:32" ht="14.25" hidden="1" customHeight="1" x14ac:dyDescent="0.25">
      <c r="A926" s="78">
        <v>766456863</v>
      </c>
      <c r="B926" s="54" t="s">
        <v>497</v>
      </c>
      <c r="C926" s="53" t="s">
        <v>159</v>
      </c>
      <c r="D926" s="79" t="s">
        <v>159</v>
      </c>
      <c r="E926" s="79" t="s">
        <v>4194</v>
      </c>
      <c r="F926" s="79" t="s">
        <v>4778</v>
      </c>
      <c r="G926" s="79" t="s">
        <v>2660</v>
      </c>
      <c r="H926" s="79">
        <v>76645686</v>
      </c>
      <c r="I926" s="79" t="s">
        <v>4915</v>
      </c>
      <c r="J926" s="79" t="s">
        <v>4445</v>
      </c>
      <c r="L926" s="36"/>
      <c r="M926" s="16"/>
      <c r="N926" s="16"/>
      <c r="O926" s="37"/>
      <c r="P926" s="16"/>
      <c r="Q926" s="16"/>
      <c r="R926" s="36"/>
      <c r="S926" s="16"/>
      <c r="T926" s="36"/>
      <c r="U926" s="16"/>
      <c r="V926" s="16"/>
      <c r="W926" s="36"/>
      <c r="X926" s="36"/>
      <c r="Y926" s="38"/>
      <c r="Z926" s="38"/>
      <c r="AA926" s="39"/>
      <c r="AB926" s="16"/>
      <c r="AC926" s="40"/>
      <c r="AD926" s="16"/>
      <c r="AE926" s="16"/>
      <c r="AF926" s="16"/>
    </row>
    <row r="927" spans="1:32" ht="14.25" hidden="1" customHeight="1" x14ac:dyDescent="0.25">
      <c r="A927" s="78">
        <v>766658113</v>
      </c>
      <c r="B927" s="54" t="s">
        <v>2652</v>
      </c>
      <c r="C927" s="53" t="s">
        <v>159</v>
      </c>
      <c r="D927" s="79" t="s">
        <v>159</v>
      </c>
      <c r="E927" s="79" t="s">
        <v>4391</v>
      </c>
      <c r="F927" s="79" t="s">
        <v>4778</v>
      </c>
      <c r="G927" s="79" t="s">
        <v>2651</v>
      </c>
      <c r="H927" s="79">
        <v>76665811</v>
      </c>
      <c r="I927" s="79" t="s">
        <v>4915</v>
      </c>
      <c r="J927" s="79" t="s">
        <v>4445</v>
      </c>
      <c r="L927" s="36"/>
      <c r="M927" s="16"/>
      <c r="N927" s="16"/>
      <c r="O927" s="37"/>
      <c r="P927" s="16"/>
      <c r="Q927" s="16"/>
      <c r="R927" s="36"/>
      <c r="S927" s="16"/>
      <c r="T927" s="36"/>
      <c r="U927" s="16"/>
      <c r="V927" s="16"/>
      <c r="W927" s="36"/>
      <c r="X927" s="36"/>
      <c r="Y927" s="38"/>
      <c r="Z927" s="38"/>
      <c r="AA927" s="39"/>
      <c r="AB927" s="16"/>
      <c r="AC927" s="40"/>
      <c r="AD927" s="16"/>
      <c r="AE927" s="16"/>
      <c r="AF927" s="16"/>
    </row>
    <row r="928" spans="1:32" ht="14.25" hidden="1" customHeight="1" x14ac:dyDescent="0.25">
      <c r="A928" s="78">
        <v>766951309</v>
      </c>
      <c r="B928" s="54" t="s">
        <v>500</v>
      </c>
      <c r="C928" s="53" t="s">
        <v>159</v>
      </c>
      <c r="D928" s="79" t="s">
        <v>159</v>
      </c>
      <c r="E928" s="79" t="s">
        <v>4178</v>
      </c>
      <c r="F928" s="79" t="s">
        <v>4795</v>
      </c>
      <c r="G928" s="79" t="s">
        <v>2664</v>
      </c>
      <c r="H928" s="79">
        <v>76695130</v>
      </c>
      <c r="I928" s="79" t="s">
        <v>4915</v>
      </c>
      <c r="J928" s="79" t="s">
        <v>4445</v>
      </c>
    </row>
    <row r="929" spans="1:10" ht="14.25" hidden="1" customHeight="1" x14ac:dyDescent="0.25">
      <c r="A929" s="78">
        <v>767012691</v>
      </c>
      <c r="B929" s="54" t="s">
        <v>4572</v>
      </c>
      <c r="C929" s="53" t="s">
        <v>159</v>
      </c>
      <c r="D929" s="79" t="s">
        <v>159</v>
      </c>
      <c r="E929" s="79" t="s">
        <v>4456</v>
      </c>
      <c r="F929" s="79" t="s">
        <v>4778</v>
      </c>
      <c r="G929" s="79" t="s">
        <v>4571</v>
      </c>
      <c r="H929" s="79">
        <v>76701269</v>
      </c>
      <c r="I929" s="79" t="s">
        <v>4915</v>
      </c>
      <c r="J929" s="79" t="s">
        <v>4445</v>
      </c>
    </row>
    <row r="930" spans="1:10" ht="14.25" hidden="1" customHeight="1" x14ac:dyDescent="0.25">
      <c r="A930" s="78">
        <v>767059825</v>
      </c>
      <c r="B930" s="54" t="s">
        <v>2667</v>
      </c>
      <c r="C930" s="53" t="s">
        <v>159</v>
      </c>
      <c r="D930" s="79" t="s">
        <v>159</v>
      </c>
      <c r="E930" s="79" t="s">
        <v>4399</v>
      </c>
      <c r="F930" s="79" t="s">
        <v>4778</v>
      </c>
      <c r="G930" s="79" t="s">
        <v>2666</v>
      </c>
      <c r="H930" s="79">
        <v>76705982</v>
      </c>
      <c r="I930" s="79" t="s">
        <v>4915</v>
      </c>
      <c r="J930" s="79" t="s">
        <v>4445</v>
      </c>
    </row>
    <row r="931" spans="1:10" ht="14.25" hidden="1" customHeight="1" x14ac:dyDescent="0.25">
      <c r="A931" s="78">
        <v>767409354</v>
      </c>
      <c r="B931" s="54" t="s">
        <v>4848</v>
      </c>
      <c r="C931" s="53" t="s">
        <v>159</v>
      </c>
      <c r="D931" s="79" t="s">
        <v>159</v>
      </c>
      <c r="E931" s="79" t="s">
        <v>4495</v>
      </c>
      <c r="F931" s="79" t="s">
        <v>4792</v>
      </c>
      <c r="G931" s="79" t="s">
        <v>3241</v>
      </c>
      <c r="H931" s="79">
        <v>76740935</v>
      </c>
      <c r="I931" s="79" t="s">
        <v>4915</v>
      </c>
      <c r="J931" s="79" t="s">
        <v>4445</v>
      </c>
    </row>
    <row r="932" spans="1:10" ht="14.25" hidden="1" customHeight="1" x14ac:dyDescent="0.25">
      <c r="A932" s="78">
        <v>767461364</v>
      </c>
      <c r="B932" s="54" t="s">
        <v>2688</v>
      </c>
      <c r="C932" s="53" t="s">
        <v>159</v>
      </c>
      <c r="D932" s="79" t="s">
        <v>159</v>
      </c>
      <c r="E932" s="79" t="s">
        <v>4465</v>
      </c>
      <c r="F932" s="79" t="s">
        <v>4778</v>
      </c>
      <c r="G932" s="79" t="s">
        <v>2687</v>
      </c>
      <c r="H932" s="79">
        <v>76746136</v>
      </c>
      <c r="I932" s="79" t="s">
        <v>4915</v>
      </c>
      <c r="J932" s="79" t="s">
        <v>4445</v>
      </c>
    </row>
    <row r="933" spans="1:10" ht="14.25" hidden="1" customHeight="1" x14ac:dyDescent="0.25">
      <c r="A933" s="78">
        <v>767529732</v>
      </c>
      <c r="B933" s="54" t="s">
        <v>2696</v>
      </c>
      <c r="C933" s="53" t="s">
        <v>159</v>
      </c>
      <c r="D933" s="79" t="s">
        <v>159</v>
      </c>
      <c r="E933" s="79" t="s">
        <v>4305</v>
      </c>
      <c r="F933" s="79" t="s">
        <v>4788</v>
      </c>
      <c r="G933" s="79" t="s">
        <v>2695</v>
      </c>
      <c r="H933" s="79">
        <v>76752973</v>
      </c>
      <c r="I933" s="79" t="s">
        <v>4915</v>
      </c>
      <c r="J933" s="79" t="s">
        <v>4445</v>
      </c>
    </row>
    <row r="934" spans="1:10" ht="14.25" hidden="1" customHeight="1" x14ac:dyDescent="0.25">
      <c r="A934" s="78">
        <v>767542968</v>
      </c>
      <c r="B934" s="54" t="s">
        <v>2711</v>
      </c>
      <c r="C934" s="53" t="s">
        <v>159</v>
      </c>
      <c r="D934" s="79" t="s">
        <v>159</v>
      </c>
      <c r="E934" s="79" t="s">
        <v>4287</v>
      </c>
      <c r="F934" s="79" t="s">
        <v>4778</v>
      </c>
      <c r="G934" s="79" t="s">
        <v>2710</v>
      </c>
      <c r="H934" s="79">
        <v>76754296</v>
      </c>
      <c r="I934" s="79" t="s">
        <v>4436</v>
      </c>
      <c r="J934" s="79" t="s">
        <v>4445</v>
      </c>
    </row>
    <row r="935" spans="1:10" ht="14.25" hidden="1" customHeight="1" x14ac:dyDescent="0.25">
      <c r="A935" s="78">
        <v>767586930</v>
      </c>
      <c r="B935" s="54" t="s">
        <v>2704</v>
      </c>
      <c r="C935" s="53" t="s">
        <v>159</v>
      </c>
      <c r="D935" s="79" t="s">
        <v>159</v>
      </c>
      <c r="E935" s="79" t="s">
        <v>4465</v>
      </c>
      <c r="F935" s="79" t="s">
        <v>4778</v>
      </c>
      <c r="G935" s="79" t="s">
        <v>2703</v>
      </c>
      <c r="H935" s="79">
        <v>76758693</v>
      </c>
      <c r="I935" s="79" t="s">
        <v>4915</v>
      </c>
      <c r="J935" s="79" t="s">
        <v>4445</v>
      </c>
    </row>
    <row r="936" spans="1:10" ht="14.25" hidden="1" customHeight="1" x14ac:dyDescent="0.25">
      <c r="A936" s="78">
        <v>767754396</v>
      </c>
      <c r="B936" s="54" t="s">
        <v>504</v>
      </c>
      <c r="C936" s="53" t="s">
        <v>159</v>
      </c>
      <c r="D936" s="79" t="s">
        <v>159</v>
      </c>
      <c r="E936" s="79" t="s">
        <v>4391</v>
      </c>
      <c r="F936" s="79" t="s">
        <v>4778</v>
      </c>
      <c r="G936" s="79" t="s">
        <v>2708</v>
      </c>
      <c r="H936" s="79">
        <v>76775439</v>
      </c>
      <c r="I936" s="79" t="s">
        <v>4915</v>
      </c>
      <c r="J936" s="79" t="s">
        <v>4445</v>
      </c>
    </row>
    <row r="937" spans="1:10" ht="14.25" hidden="1" customHeight="1" x14ac:dyDescent="0.25">
      <c r="A937" s="78">
        <v>767813252</v>
      </c>
      <c r="B937" s="54" t="s">
        <v>4849</v>
      </c>
      <c r="C937" s="53" t="s">
        <v>159</v>
      </c>
      <c r="D937" s="79" t="s">
        <v>159</v>
      </c>
      <c r="E937" s="79" t="s">
        <v>4506</v>
      </c>
      <c r="F937" s="79" t="s">
        <v>4778</v>
      </c>
      <c r="G937" s="79" t="s">
        <v>2712</v>
      </c>
      <c r="H937" s="79">
        <v>76781325</v>
      </c>
      <c r="I937" s="79" t="s">
        <v>4915</v>
      </c>
      <c r="J937" s="79" t="s">
        <v>4445</v>
      </c>
    </row>
    <row r="938" spans="1:10" ht="14.25" hidden="1" customHeight="1" x14ac:dyDescent="0.25">
      <c r="A938" s="78">
        <v>767884176</v>
      </c>
      <c r="B938" s="54" t="s">
        <v>4850</v>
      </c>
      <c r="C938" s="53" t="s">
        <v>159</v>
      </c>
      <c r="D938" s="79" t="s">
        <v>159</v>
      </c>
      <c r="E938" s="79" t="s">
        <v>4551</v>
      </c>
      <c r="F938" s="79" t="s">
        <v>4778</v>
      </c>
      <c r="G938" s="79" t="s">
        <v>2717</v>
      </c>
      <c r="H938" s="79">
        <v>76788417</v>
      </c>
      <c r="I938" s="79" t="s">
        <v>4915</v>
      </c>
      <c r="J938" s="79" t="s">
        <v>4445</v>
      </c>
    </row>
    <row r="939" spans="1:10" ht="14.25" hidden="1" customHeight="1" x14ac:dyDescent="0.25">
      <c r="A939" s="78">
        <v>767892799</v>
      </c>
      <c r="B939" s="54" t="s">
        <v>4851</v>
      </c>
      <c r="C939" s="53" t="s">
        <v>159</v>
      </c>
      <c r="D939" s="79" t="s">
        <v>159</v>
      </c>
      <c r="E939" s="79" t="s">
        <v>4465</v>
      </c>
      <c r="F939" s="79" t="s">
        <v>4778</v>
      </c>
      <c r="G939" s="79" t="s">
        <v>2719</v>
      </c>
      <c r="H939" s="79">
        <v>76789279</v>
      </c>
      <c r="I939" s="79" t="s">
        <v>4915</v>
      </c>
      <c r="J939" s="79" t="s">
        <v>4445</v>
      </c>
    </row>
    <row r="940" spans="1:10" ht="14.25" hidden="1" customHeight="1" x14ac:dyDescent="0.25">
      <c r="A940" s="78">
        <v>767904088</v>
      </c>
      <c r="B940" s="54" t="s">
        <v>4852</v>
      </c>
      <c r="C940" s="53" t="s">
        <v>159</v>
      </c>
      <c r="D940" s="79" t="s">
        <v>159</v>
      </c>
      <c r="E940" s="79" t="s">
        <v>4465</v>
      </c>
      <c r="F940" s="79" t="s">
        <v>4778</v>
      </c>
      <c r="G940" s="79" t="s">
        <v>2721</v>
      </c>
      <c r="H940" s="79">
        <v>76790408</v>
      </c>
      <c r="I940" s="79" t="s">
        <v>4915</v>
      </c>
      <c r="J940" s="79" t="s">
        <v>4445</v>
      </c>
    </row>
    <row r="941" spans="1:10" ht="14.25" hidden="1" customHeight="1" x14ac:dyDescent="0.25">
      <c r="A941" s="78">
        <v>768078661</v>
      </c>
      <c r="B941" s="54" t="s">
        <v>4853</v>
      </c>
      <c r="C941" s="53" t="s">
        <v>159</v>
      </c>
      <c r="D941" s="79" t="s">
        <v>159</v>
      </c>
      <c r="E941" s="79" t="s">
        <v>4465</v>
      </c>
      <c r="F941" s="79" t="s">
        <v>4778</v>
      </c>
      <c r="G941" s="79" t="s">
        <v>2723</v>
      </c>
      <c r="H941" s="79">
        <v>76807866</v>
      </c>
      <c r="I941" s="79" t="s">
        <v>4915</v>
      </c>
      <c r="J941" s="79" t="s">
        <v>4445</v>
      </c>
    </row>
    <row r="942" spans="1:10" ht="14.25" hidden="1" customHeight="1" x14ac:dyDescent="0.25">
      <c r="A942" s="78">
        <v>768101337</v>
      </c>
      <c r="B942" s="54" t="s">
        <v>4574</v>
      </c>
      <c r="C942" s="53" t="s">
        <v>159</v>
      </c>
      <c r="D942" s="79" t="s">
        <v>159</v>
      </c>
      <c r="E942" s="79" t="s">
        <v>4563</v>
      </c>
      <c r="F942" s="79" t="s">
        <v>4788</v>
      </c>
      <c r="G942" s="79" t="s">
        <v>4573</v>
      </c>
      <c r="H942" s="79">
        <v>76810133</v>
      </c>
      <c r="I942" s="79" t="s">
        <v>4915</v>
      </c>
      <c r="J942" s="79" t="s">
        <v>4445</v>
      </c>
    </row>
    <row r="943" spans="1:10" ht="14.25" hidden="1" customHeight="1" x14ac:dyDescent="0.25">
      <c r="A943" s="78">
        <v>768357935</v>
      </c>
      <c r="B943" s="54" t="s">
        <v>2734</v>
      </c>
      <c r="C943" s="53" t="s">
        <v>159</v>
      </c>
      <c r="D943" s="79" t="s">
        <v>159</v>
      </c>
      <c r="E943" s="79" t="s">
        <v>4391</v>
      </c>
      <c r="F943" s="79" t="s">
        <v>4778</v>
      </c>
      <c r="G943" s="79" t="s">
        <v>2733</v>
      </c>
      <c r="H943" s="79">
        <v>76835793</v>
      </c>
      <c r="I943" s="79" t="s">
        <v>4915</v>
      </c>
      <c r="J943" s="79" t="s">
        <v>4445</v>
      </c>
    </row>
    <row r="944" spans="1:10" ht="14.25" hidden="1" customHeight="1" x14ac:dyDescent="0.25">
      <c r="A944" s="78">
        <v>768449252</v>
      </c>
      <c r="B944" s="54" t="s">
        <v>507</v>
      </c>
      <c r="C944" s="53" t="s">
        <v>159</v>
      </c>
      <c r="D944" s="79" t="s">
        <v>159</v>
      </c>
      <c r="E944" s="79" t="s">
        <v>4391</v>
      </c>
      <c r="F944" s="79" t="s">
        <v>4778</v>
      </c>
      <c r="G944" s="79" t="s">
        <v>2738</v>
      </c>
      <c r="H944" s="79">
        <v>76844925</v>
      </c>
      <c r="I944" s="79" t="s">
        <v>4915</v>
      </c>
      <c r="J944" s="79" t="s">
        <v>4445</v>
      </c>
    </row>
    <row r="945" spans="1:10" ht="14.25" hidden="1" customHeight="1" x14ac:dyDescent="0.25">
      <c r="A945" s="78">
        <v>768473536</v>
      </c>
      <c r="B945" s="54" t="s">
        <v>508</v>
      </c>
      <c r="C945" s="53" t="s">
        <v>159</v>
      </c>
      <c r="D945" s="79" t="s">
        <v>159</v>
      </c>
      <c r="E945" s="79" t="s">
        <v>4416</v>
      </c>
      <c r="F945" s="79" t="s">
        <v>4778</v>
      </c>
      <c r="G945" s="79" t="s">
        <v>4099</v>
      </c>
      <c r="H945" s="79">
        <v>76847353</v>
      </c>
      <c r="I945" s="79" t="s">
        <v>4915</v>
      </c>
      <c r="J945" s="79" t="s">
        <v>4445</v>
      </c>
    </row>
    <row r="946" spans="1:10" ht="14.25" hidden="1" customHeight="1" x14ac:dyDescent="0.25">
      <c r="A946" s="78">
        <v>768489920</v>
      </c>
      <c r="B946" s="54" t="s">
        <v>4576</v>
      </c>
      <c r="C946" s="53" t="s">
        <v>159</v>
      </c>
      <c r="D946" s="79" t="s">
        <v>159</v>
      </c>
      <c r="E946" s="79" t="s">
        <v>4272</v>
      </c>
      <c r="F946" s="79" t="s">
        <v>4786</v>
      </c>
      <c r="G946" s="79" t="s">
        <v>4575</v>
      </c>
      <c r="H946" s="79">
        <v>76848992</v>
      </c>
      <c r="I946" s="79" t="s">
        <v>4915</v>
      </c>
      <c r="J946" s="79" t="s">
        <v>4445</v>
      </c>
    </row>
    <row r="947" spans="1:10" ht="14.25" hidden="1" customHeight="1" x14ac:dyDescent="0.25">
      <c r="A947" s="78">
        <v>768557993</v>
      </c>
      <c r="B947" s="54" t="s">
        <v>509</v>
      </c>
      <c r="C947" s="53" t="s">
        <v>159</v>
      </c>
      <c r="D947" s="79" t="s">
        <v>159</v>
      </c>
      <c r="E947" s="79" t="s">
        <v>4168</v>
      </c>
      <c r="F947" s="79" t="s">
        <v>4778</v>
      </c>
      <c r="G947" s="79" t="s">
        <v>2746</v>
      </c>
      <c r="H947" s="79">
        <v>76855799</v>
      </c>
      <c r="I947" s="79" t="s">
        <v>4915</v>
      </c>
      <c r="J947" s="79" t="s">
        <v>4445</v>
      </c>
    </row>
    <row r="948" spans="1:10" ht="14.25" hidden="1" customHeight="1" x14ac:dyDescent="0.25">
      <c r="A948" s="78">
        <v>768658846</v>
      </c>
      <c r="B948" s="54" t="s">
        <v>510</v>
      </c>
      <c r="C948" s="53" t="s">
        <v>159</v>
      </c>
      <c r="D948" s="79" t="s">
        <v>159</v>
      </c>
      <c r="E948" s="79" t="s">
        <v>4391</v>
      </c>
      <c r="F948" s="79" t="s">
        <v>4778</v>
      </c>
      <c r="G948" s="79" t="s">
        <v>2752</v>
      </c>
      <c r="H948" s="79">
        <v>76865884</v>
      </c>
      <c r="I948" s="79" t="s">
        <v>4915</v>
      </c>
      <c r="J948" s="79" t="s">
        <v>4445</v>
      </c>
    </row>
    <row r="949" spans="1:10" ht="14.25" hidden="1" customHeight="1" x14ac:dyDescent="0.25">
      <c r="A949" s="78">
        <v>768893845</v>
      </c>
      <c r="B949" s="54" t="s">
        <v>512</v>
      </c>
      <c r="C949" s="53" t="s">
        <v>159</v>
      </c>
      <c r="D949" s="79" t="s">
        <v>159</v>
      </c>
      <c r="E949" s="79" t="s">
        <v>4273</v>
      </c>
      <c r="F949" s="79" t="s">
        <v>4786</v>
      </c>
      <c r="G949" s="79" t="s">
        <v>2764</v>
      </c>
      <c r="H949" s="79">
        <v>76889384</v>
      </c>
      <c r="I949" s="79" t="s">
        <v>4915</v>
      </c>
      <c r="J949" s="79" t="s">
        <v>4445</v>
      </c>
    </row>
    <row r="950" spans="1:10" ht="14.25" hidden="1" customHeight="1" x14ac:dyDescent="0.25">
      <c r="A950" s="78">
        <v>768913161</v>
      </c>
      <c r="B950" s="54" t="s">
        <v>2770</v>
      </c>
      <c r="C950" s="53" t="s">
        <v>159</v>
      </c>
      <c r="D950" s="79" t="s">
        <v>159</v>
      </c>
      <c r="E950" s="79" t="s">
        <v>4460</v>
      </c>
      <c r="F950" s="79" t="s">
        <v>4786</v>
      </c>
      <c r="G950" s="79" t="s">
        <v>2769</v>
      </c>
      <c r="H950" s="79">
        <v>76891316</v>
      </c>
      <c r="I950" s="79" t="s">
        <v>4915</v>
      </c>
      <c r="J950" s="79" t="s">
        <v>4445</v>
      </c>
    </row>
    <row r="951" spans="1:10" ht="14.25" hidden="1" customHeight="1" x14ac:dyDescent="0.25">
      <c r="A951" s="78">
        <v>769142584</v>
      </c>
      <c r="B951" s="54" t="s">
        <v>4578</v>
      </c>
      <c r="C951" s="53" t="s">
        <v>159</v>
      </c>
      <c r="D951" s="79" t="s">
        <v>159</v>
      </c>
      <c r="E951" s="79" t="s">
        <v>4465</v>
      </c>
      <c r="F951" s="79" t="s">
        <v>4778</v>
      </c>
      <c r="G951" s="79" t="s">
        <v>4577</v>
      </c>
      <c r="H951" s="79">
        <v>76914258</v>
      </c>
      <c r="I951" s="79" t="s">
        <v>4915</v>
      </c>
      <c r="J951" s="79" t="s">
        <v>4445</v>
      </c>
    </row>
    <row r="952" spans="1:10" ht="14.25" hidden="1" customHeight="1" x14ac:dyDescent="0.25">
      <c r="A952" s="78">
        <v>769396942</v>
      </c>
      <c r="B952" s="54" t="s">
        <v>514</v>
      </c>
      <c r="C952" s="53" t="s">
        <v>159</v>
      </c>
      <c r="D952" s="79" t="s">
        <v>159</v>
      </c>
      <c r="E952" s="79" t="s">
        <v>4544</v>
      </c>
      <c r="F952" s="79" t="s">
        <v>4779</v>
      </c>
      <c r="G952" s="79" t="s">
        <v>2778</v>
      </c>
      <c r="H952" s="79">
        <v>76939694</v>
      </c>
      <c r="I952" s="79" t="s">
        <v>4914</v>
      </c>
      <c r="J952" s="79" t="s">
        <v>4445</v>
      </c>
    </row>
    <row r="953" spans="1:10" ht="14.25" hidden="1" customHeight="1" x14ac:dyDescent="0.25">
      <c r="A953" s="78">
        <v>769610235</v>
      </c>
      <c r="B953" s="54" t="s">
        <v>2781</v>
      </c>
      <c r="C953" s="53" t="s">
        <v>159</v>
      </c>
      <c r="D953" s="79" t="s">
        <v>159</v>
      </c>
      <c r="E953" s="79" t="s">
        <v>4245</v>
      </c>
      <c r="F953" s="79" t="s">
        <v>4789</v>
      </c>
      <c r="G953" s="79" t="s">
        <v>2780</v>
      </c>
      <c r="H953" s="79">
        <v>76961023</v>
      </c>
      <c r="I953" s="79" t="s">
        <v>4915</v>
      </c>
      <c r="J953" s="79" t="s">
        <v>4445</v>
      </c>
    </row>
    <row r="954" spans="1:10" ht="14.25" hidden="1" customHeight="1" x14ac:dyDescent="0.25">
      <c r="A954" s="78">
        <v>769798501</v>
      </c>
      <c r="B954" s="54" t="s">
        <v>3886</v>
      </c>
      <c r="C954" s="53" t="s">
        <v>159</v>
      </c>
      <c r="D954" s="79" t="s">
        <v>159</v>
      </c>
      <c r="E954" s="79" t="s">
        <v>4561</v>
      </c>
      <c r="F954" s="79" t="s">
        <v>4778</v>
      </c>
      <c r="G954" s="79" t="s">
        <v>3885</v>
      </c>
      <c r="H954" s="79">
        <v>76979850</v>
      </c>
      <c r="I954" s="79" t="s">
        <v>4915</v>
      </c>
      <c r="J954" s="79" t="s">
        <v>4445</v>
      </c>
    </row>
    <row r="955" spans="1:10" ht="14.25" hidden="1" customHeight="1" x14ac:dyDescent="0.25">
      <c r="A955" s="78">
        <v>769834427</v>
      </c>
      <c r="B955" s="54" t="s">
        <v>2789</v>
      </c>
      <c r="C955" s="53" t="s">
        <v>159</v>
      </c>
      <c r="D955" s="79" t="s">
        <v>159</v>
      </c>
      <c r="E955" s="79" t="s">
        <v>4185</v>
      </c>
      <c r="F955" s="79" t="s">
        <v>4806</v>
      </c>
      <c r="G955" s="79" t="s">
        <v>2788</v>
      </c>
      <c r="H955" s="79">
        <v>76983442</v>
      </c>
      <c r="I955" s="79" t="s">
        <v>4915</v>
      </c>
      <c r="J955" s="79" t="s">
        <v>4445</v>
      </c>
    </row>
    <row r="956" spans="1:10" ht="14.25" hidden="1" customHeight="1" x14ac:dyDescent="0.25">
      <c r="A956" s="78">
        <v>769902112</v>
      </c>
      <c r="B956" s="54" t="s">
        <v>2792</v>
      </c>
      <c r="C956" s="53" t="s">
        <v>159</v>
      </c>
      <c r="D956" s="79" t="s">
        <v>159</v>
      </c>
      <c r="E956" s="79" t="s">
        <v>4465</v>
      </c>
      <c r="F956" s="79" t="s">
        <v>4778</v>
      </c>
      <c r="G956" s="79" t="s">
        <v>2791</v>
      </c>
      <c r="H956" s="79">
        <v>76990211</v>
      </c>
      <c r="I956" s="79" t="s">
        <v>4915</v>
      </c>
      <c r="J956" s="79" t="s">
        <v>4445</v>
      </c>
    </row>
    <row r="957" spans="1:10" ht="14.25" hidden="1" customHeight="1" x14ac:dyDescent="0.25">
      <c r="A957" s="78">
        <v>769957855</v>
      </c>
      <c r="B957" s="54" t="s">
        <v>518</v>
      </c>
      <c r="C957" s="53" t="s">
        <v>159</v>
      </c>
      <c r="D957" s="79" t="s">
        <v>159</v>
      </c>
      <c r="E957" s="79" t="s">
        <v>4272</v>
      </c>
      <c r="F957" s="79" t="s">
        <v>4786</v>
      </c>
      <c r="G957" s="79" t="s">
        <v>2798</v>
      </c>
      <c r="H957" s="79">
        <v>76995785</v>
      </c>
      <c r="I957" s="79" t="s">
        <v>4915</v>
      </c>
      <c r="J957" s="79" t="s">
        <v>4445</v>
      </c>
    </row>
    <row r="958" spans="1:10" ht="14.25" hidden="1" customHeight="1" x14ac:dyDescent="0.25">
      <c r="A958" s="78">
        <v>770085454</v>
      </c>
      <c r="B958" s="54" t="s">
        <v>4854</v>
      </c>
      <c r="C958" s="53" t="s">
        <v>159</v>
      </c>
      <c r="D958" s="79" t="s">
        <v>159</v>
      </c>
      <c r="E958" s="79" t="s">
        <v>4182</v>
      </c>
      <c r="F958" s="79" t="s">
        <v>4796</v>
      </c>
      <c r="G958" s="79" t="s">
        <v>2807</v>
      </c>
      <c r="H958" s="79">
        <v>77008545</v>
      </c>
      <c r="I958" s="79" t="s">
        <v>4915</v>
      </c>
      <c r="J958" s="79" t="s">
        <v>4445</v>
      </c>
    </row>
    <row r="959" spans="1:10" ht="14.25" hidden="1" customHeight="1" x14ac:dyDescent="0.25">
      <c r="A959" s="78">
        <v>770270642</v>
      </c>
      <c r="B959" s="54" t="s">
        <v>2820</v>
      </c>
      <c r="C959" s="53" t="s">
        <v>159</v>
      </c>
      <c r="D959" s="79" t="s">
        <v>159</v>
      </c>
      <c r="E959" s="79" t="s">
        <v>4391</v>
      </c>
      <c r="F959" s="79" t="s">
        <v>4778</v>
      </c>
      <c r="G959" s="79" t="s">
        <v>2819</v>
      </c>
      <c r="H959" s="79">
        <v>77027064</v>
      </c>
      <c r="I959" s="79" t="s">
        <v>4915</v>
      </c>
      <c r="J959" s="79" t="s">
        <v>4445</v>
      </c>
    </row>
    <row r="960" spans="1:10" ht="14.25" hidden="1" customHeight="1" x14ac:dyDescent="0.25">
      <c r="A960" s="78">
        <v>770540283</v>
      </c>
      <c r="B960" s="54" t="s">
        <v>4580</v>
      </c>
      <c r="C960" s="53" t="s">
        <v>159</v>
      </c>
      <c r="D960" s="79" t="s">
        <v>159</v>
      </c>
      <c r="E960" s="79" t="s">
        <v>4465</v>
      </c>
      <c r="F960" s="79" t="s">
        <v>4778</v>
      </c>
      <c r="G960" s="79" t="s">
        <v>4579</v>
      </c>
      <c r="H960" s="79">
        <v>77054028</v>
      </c>
      <c r="I960" s="79" t="s">
        <v>4915</v>
      </c>
      <c r="J960" s="79" t="s">
        <v>4445</v>
      </c>
    </row>
    <row r="961" spans="1:10" ht="14.25" hidden="1" customHeight="1" x14ac:dyDescent="0.25">
      <c r="A961" s="78">
        <v>770834589</v>
      </c>
      <c r="B961" s="54" t="s">
        <v>1082</v>
      </c>
      <c r="C961" s="53" t="s">
        <v>159</v>
      </c>
      <c r="D961" s="79" t="s">
        <v>159</v>
      </c>
      <c r="E961" s="79" t="s">
        <v>4168</v>
      </c>
      <c r="F961" s="79" t="s">
        <v>4778</v>
      </c>
      <c r="G961" s="79" t="s">
        <v>2835</v>
      </c>
      <c r="H961" s="79">
        <v>77083458</v>
      </c>
      <c r="I961" s="79" t="s">
        <v>4915</v>
      </c>
      <c r="J961" s="79" t="s">
        <v>4445</v>
      </c>
    </row>
    <row r="962" spans="1:10" ht="14.25" hidden="1" customHeight="1" x14ac:dyDescent="0.25">
      <c r="A962" s="78">
        <v>770867053</v>
      </c>
      <c r="B962" s="54" t="s">
        <v>2838</v>
      </c>
      <c r="C962" s="53" t="s">
        <v>159</v>
      </c>
      <c r="D962" s="79" t="s">
        <v>159</v>
      </c>
      <c r="E962" s="79" t="s">
        <v>4381</v>
      </c>
      <c r="F962" s="79" t="s">
        <v>4778</v>
      </c>
      <c r="G962" s="79" t="s">
        <v>2837</v>
      </c>
      <c r="H962" s="79">
        <v>77086705</v>
      </c>
      <c r="I962" s="79" t="s">
        <v>4915</v>
      </c>
      <c r="J962" s="79" t="s">
        <v>4445</v>
      </c>
    </row>
    <row r="963" spans="1:10" ht="14.25" hidden="1" customHeight="1" x14ac:dyDescent="0.25">
      <c r="A963" s="78">
        <v>770930960</v>
      </c>
      <c r="B963" s="54" t="s">
        <v>2841</v>
      </c>
      <c r="C963" s="53" t="s">
        <v>159</v>
      </c>
      <c r="D963" s="79" t="s">
        <v>159</v>
      </c>
      <c r="E963" s="79" t="s">
        <v>4490</v>
      </c>
      <c r="F963" s="79" t="s">
        <v>4788</v>
      </c>
      <c r="G963" s="79" t="s">
        <v>2840</v>
      </c>
      <c r="H963" s="79">
        <v>77093096</v>
      </c>
      <c r="I963" s="79" t="s">
        <v>4915</v>
      </c>
      <c r="J963" s="79" t="s">
        <v>4445</v>
      </c>
    </row>
    <row r="964" spans="1:10" ht="14.25" hidden="1" customHeight="1" x14ac:dyDescent="0.25">
      <c r="A964" s="78">
        <v>770940354</v>
      </c>
      <c r="B964" s="54" t="s">
        <v>526</v>
      </c>
      <c r="C964" s="53" t="s">
        <v>159</v>
      </c>
      <c r="D964" s="79" t="s">
        <v>159</v>
      </c>
      <c r="E964" s="79" t="s">
        <v>4168</v>
      </c>
      <c r="F964" s="79" t="s">
        <v>4778</v>
      </c>
      <c r="G964" s="79" t="s">
        <v>2843</v>
      </c>
      <c r="H964" s="79">
        <v>77094035</v>
      </c>
      <c r="I964" s="79" t="s">
        <v>4915</v>
      </c>
      <c r="J964" s="79" t="s">
        <v>4445</v>
      </c>
    </row>
    <row r="965" spans="1:10" ht="14.25" hidden="1" customHeight="1" x14ac:dyDescent="0.25">
      <c r="A965" s="78">
        <v>771015123</v>
      </c>
      <c r="B965" s="54" t="s">
        <v>3777</v>
      </c>
      <c r="C965" s="53" t="s">
        <v>159</v>
      </c>
      <c r="D965" s="79" t="s">
        <v>159</v>
      </c>
      <c r="E965" s="79" t="s">
        <v>4168</v>
      </c>
      <c r="F965" s="79" t="s">
        <v>4778</v>
      </c>
      <c r="G965" s="79" t="s">
        <v>3776</v>
      </c>
      <c r="H965" s="79">
        <v>77101512</v>
      </c>
      <c r="I965" s="79" t="s">
        <v>4915</v>
      </c>
      <c r="J965" s="79" t="s">
        <v>4445</v>
      </c>
    </row>
    <row r="966" spans="1:10" ht="14.25" hidden="1" customHeight="1" x14ac:dyDescent="0.25">
      <c r="A966" s="78">
        <v>771077935</v>
      </c>
      <c r="B966" s="54" t="s">
        <v>2849</v>
      </c>
      <c r="C966" s="53" t="s">
        <v>159</v>
      </c>
      <c r="D966" s="79" t="s">
        <v>159</v>
      </c>
      <c r="E966" s="79" t="s">
        <v>4555</v>
      </c>
      <c r="F966" s="79" t="s">
        <v>4778</v>
      </c>
      <c r="G966" s="79" t="s">
        <v>2848</v>
      </c>
      <c r="H966" s="79">
        <v>77107793</v>
      </c>
      <c r="I966" s="79" t="s">
        <v>4915</v>
      </c>
      <c r="J966" s="79" t="s">
        <v>4445</v>
      </c>
    </row>
    <row r="967" spans="1:10" ht="14.25" hidden="1" customHeight="1" x14ac:dyDescent="0.25">
      <c r="A967" s="78">
        <v>771139620</v>
      </c>
      <c r="B967" s="54" t="s">
        <v>4855</v>
      </c>
      <c r="C967" s="53" t="s">
        <v>159</v>
      </c>
      <c r="D967" s="79" t="s">
        <v>159</v>
      </c>
      <c r="E967" s="79" t="s">
        <v>4470</v>
      </c>
      <c r="F967" s="79" t="s">
        <v>4778</v>
      </c>
      <c r="G967" s="79" t="s">
        <v>2851</v>
      </c>
      <c r="H967" s="79">
        <v>77113962</v>
      </c>
      <c r="I967" s="79" t="s">
        <v>4915</v>
      </c>
      <c r="J967" s="79" t="s">
        <v>4445</v>
      </c>
    </row>
    <row r="968" spans="1:10" ht="14.25" hidden="1" customHeight="1" x14ac:dyDescent="0.25">
      <c r="A968" s="78">
        <v>771264034</v>
      </c>
      <c r="B968" s="54" t="s">
        <v>3340</v>
      </c>
      <c r="C968" s="53" t="s">
        <v>159</v>
      </c>
      <c r="D968" s="79" t="s">
        <v>159</v>
      </c>
      <c r="E968" s="79" t="s">
        <v>4175</v>
      </c>
      <c r="F968" s="79" t="s">
        <v>4788</v>
      </c>
      <c r="G968" s="79" t="s">
        <v>3339</v>
      </c>
      <c r="H968" s="79">
        <v>77126403</v>
      </c>
      <c r="I968" s="79" t="s">
        <v>4915</v>
      </c>
      <c r="J968" s="79" t="s">
        <v>4445</v>
      </c>
    </row>
    <row r="969" spans="1:10" ht="14.25" hidden="1" customHeight="1" x14ac:dyDescent="0.25">
      <c r="A969" s="78">
        <v>771314945</v>
      </c>
      <c r="B969" s="54" t="s">
        <v>527</v>
      </c>
      <c r="C969" s="53" t="s">
        <v>159</v>
      </c>
      <c r="D969" s="79" t="s">
        <v>159</v>
      </c>
      <c r="E969" s="79" t="s">
        <v>4460</v>
      </c>
      <c r="F969" s="79" t="s">
        <v>4786</v>
      </c>
      <c r="G969" s="79" t="s">
        <v>2856</v>
      </c>
      <c r="H969" s="79">
        <v>77131494</v>
      </c>
      <c r="I969" s="79" t="s">
        <v>4915</v>
      </c>
      <c r="J969" s="79" t="s">
        <v>4445</v>
      </c>
    </row>
    <row r="970" spans="1:10" ht="14.25" hidden="1" customHeight="1" x14ac:dyDescent="0.25">
      <c r="A970" s="78">
        <v>771513638</v>
      </c>
      <c r="B970" s="54" t="s">
        <v>532</v>
      </c>
      <c r="C970" s="53" t="s">
        <v>159</v>
      </c>
      <c r="D970" s="79" t="s">
        <v>159</v>
      </c>
      <c r="E970" s="79" t="s">
        <v>4409</v>
      </c>
      <c r="F970" s="79" t="s">
        <v>4778</v>
      </c>
      <c r="G970" s="79" t="s">
        <v>2870</v>
      </c>
      <c r="H970" s="79">
        <v>77151363</v>
      </c>
      <c r="I970" s="79" t="s">
        <v>4915</v>
      </c>
      <c r="J970" s="79" t="s">
        <v>4445</v>
      </c>
    </row>
    <row r="971" spans="1:10" ht="14.25" hidden="1" customHeight="1" x14ac:dyDescent="0.25">
      <c r="A971" s="78">
        <v>771532128</v>
      </c>
      <c r="B971" s="54" t="s">
        <v>4856</v>
      </c>
      <c r="C971" s="53" t="s">
        <v>159</v>
      </c>
      <c r="D971" s="79" t="s">
        <v>159</v>
      </c>
      <c r="E971" s="79" t="s">
        <v>4391</v>
      </c>
      <c r="F971" s="79" t="s">
        <v>4778</v>
      </c>
      <c r="G971" s="79" t="s">
        <v>2872</v>
      </c>
      <c r="H971" s="79">
        <v>77153212</v>
      </c>
      <c r="I971" s="79" t="s">
        <v>4915</v>
      </c>
      <c r="J971" s="79" t="s">
        <v>4445</v>
      </c>
    </row>
    <row r="972" spans="1:10" ht="14.25" hidden="1" customHeight="1" x14ac:dyDescent="0.25">
      <c r="A972" s="78">
        <v>771564356</v>
      </c>
      <c r="B972" s="54" t="s">
        <v>533</v>
      </c>
      <c r="C972" s="53" t="s">
        <v>159</v>
      </c>
      <c r="D972" s="79" t="s">
        <v>159</v>
      </c>
      <c r="E972" s="79" t="s">
        <v>4465</v>
      </c>
      <c r="F972" s="79" t="s">
        <v>4778</v>
      </c>
      <c r="G972" s="79" t="s">
        <v>2877</v>
      </c>
      <c r="H972" s="79">
        <v>77156435</v>
      </c>
      <c r="I972" s="79" t="s">
        <v>4915</v>
      </c>
      <c r="J972" s="79" t="s">
        <v>4445</v>
      </c>
    </row>
    <row r="973" spans="1:10" ht="14.25" hidden="1" customHeight="1" x14ac:dyDescent="0.25">
      <c r="A973" s="78">
        <v>771601715</v>
      </c>
      <c r="B973" s="54" t="s">
        <v>534</v>
      </c>
      <c r="C973" s="53" t="s">
        <v>159</v>
      </c>
      <c r="D973" s="79" t="s">
        <v>159</v>
      </c>
      <c r="E973" s="79" t="s">
        <v>4528</v>
      </c>
      <c r="F973" s="79" t="s">
        <v>4778</v>
      </c>
      <c r="G973" s="79" t="s">
        <v>2879</v>
      </c>
      <c r="H973" s="79">
        <v>77160171</v>
      </c>
      <c r="I973" s="79" t="s">
        <v>4915</v>
      </c>
      <c r="J973" s="79" t="s">
        <v>4445</v>
      </c>
    </row>
    <row r="974" spans="1:10" ht="14.25" hidden="1" customHeight="1" x14ac:dyDescent="0.25">
      <c r="A974" s="78">
        <v>771736238</v>
      </c>
      <c r="B974" s="54" t="s">
        <v>4583</v>
      </c>
      <c r="C974" s="53" t="s">
        <v>159</v>
      </c>
      <c r="D974" s="79" t="s">
        <v>159</v>
      </c>
      <c r="E974" s="79" t="s">
        <v>4465</v>
      </c>
      <c r="F974" s="79" t="s">
        <v>4778</v>
      </c>
      <c r="G974" s="79" t="s">
        <v>4582</v>
      </c>
      <c r="H974" s="79">
        <v>77173623</v>
      </c>
      <c r="I974" s="79" t="s">
        <v>4915</v>
      </c>
      <c r="J974" s="79" t="s">
        <v>4445</v>
      </c>
    </row>
    <row r="975" spans="1:10" ht="14.25" hidden="1" customHeight="1" x14ac:dyDescent="0.25">
      <c r="A975" s="78">
        <v>771784062</v>
      </c>
      <c r="B975" s="54" t="s">
        <v>535</v>
      </c>
      <c r="C975" s="53" t="s">
        <v>159</v>
      </c>
      <c r="D975" s="79" t="s">
        <v>159</v>
      </c>
      <c r="E975" s="79" t="s">
        <v>4182</v>
      </c>
      <c r="F975" s="79" t="s">
        <v>4796</v>
      </c>
      <c r="G975" s="79" t="s">
        <v>2881</v>
      </c>
      <c r="H975" s="79">
        <v>77178406</v>
      </c>
      <c r="I975" s="79" t="s">
        <v>4915</v>
      </c>
      <c r="J975" s="79" t="s">
        <v>4445</v>
      </c>
    </row>
    <row r="976" spans="1:10" ht="14.25" hidden="1" customHeight="1" x14ac:dyDescent="0.25">
      <c r="A976" s="78">
        <v>771873316</v>
      </c>
      <c r="B976" s="54" t="s">
        <v>2892</v>
      </c>
      <c r="C976" s="53" t="s">
        <v>159</v>
      </c>
      <c r="D976" s="79" t="s">
        <v>159</v>
      </c>
      <c r="E976" s="79" t="s">
        <v>4264</v>
      </c>
      <c r="F976" s="79" t="s">
        <v>4791</v>
      </c>
      <c r="G976" s="79" t="s">
        <v>2891</v>
      </c>
      <c r="H976" s="79">
        <v>77187331</v>
      </c>
      <c r="I976" s="79" t="s">
        <v>4915</v>
      </c>
      <c r="J976" s="79" t="s">
        <v>4445</v>
      </c>
    </row>
    <row r="977" spans="1:10" ht="14.25" hidden="1" customHeight="1" x14ac:dyDescent="0.25">
      <c r="A977" s="78">
        <v>771875475</v>
      </c>
      <c r="B977" s="54" t="s">
        <v>538</v>
      </c>
      <c r="C977" s="53" t="s">
        <v>159</v>
      </c>
      <c r="D977" s="79" t="s">
        <v>159</v>
      </c>
      <c r="E977" s="79" t="s">
        <v>4175</v>
      </c>
      <c r="F977" s="79" t="s">
        <v>4788</v>
      </c>
      <c r="G977" s="79" t="s">
        <v>2894</v>
      </c>
      <c r="H977" s="79">
        <v>77187547</v>
      </c>
      <c r="I977" s="79" t="s">
        <v>4915</v>
      </c>
      <c r="J977" s="79" t="s">
        <v>4445</v>
      </c>
    </row>
    <row r="978" spans="1:10" ht="14.25" hidden="1" customHeight="1" x14ac:dyDescent="0.25">
      <c r="A978" s="78">
        <v>771908802</v>
      </c>
      <c r="B978" s="54" t="s">
        <v>2100</v>
      </c>
      <c r="C978" s="53" t="s">
        <v>159</v>
      </c>
      <c r="D978" s="79" t="s">
        <v>159</v>
      </c>
      <c r="E978" s="79" t="s">
        <v>4490</v>
      </c>
      <c r="F978" s="79" t="s">
        <v>4788</v>
      </c>
      <c r="G978" s="79" t="s">
        <v>2901</v>
      </c>
      <c r="H978" s="79">
        <v>77190880</v>
      </c>
      <c r="I978" s="79" t="s">
        <v>4915</v>
      </c>
      <c r="J978" s="79" t="s">
        <v>4445</v>
      </c>
    </row>
    <row r="979" spans="1:10" ht="14.25" hidden="1" customHeight="1" x14ac:dyDescent="0.25">
      <c r="A979" s="78">
        <v>771911862</v>
      </c>
      <c r="B979" s="54" t="s">
        <v>539</v>
      </c>
      <c r="C979" s="53" t="s">
        <v>159</v>
      </c>
      <c r="D979" s="79" t="s">
        <v>159</v>
      </c>
      <c r="E979" s="79" t="s">
        <v>4245</v>
      </c>
      <c r="F979" s="79" t="s">
        <v>4789</v>
      </c>
      <c r="G979" s="79" t="s">
        <v>2902</v>
      </c>
      <c r="H979" s="79">
        <v>77191186</v>
      </c>
      <c r="I979" s="79" t="s">
        <v>4915</v>
      </c>
      <c r="J979" s="79" t="s">
        <v>4445</v>
      </c>
    </row>
    <row r="980" spans="1:10" ht="14.25" hidden="1" customHeight="1" x14ac:dyDescent="0.25">
      <c r="A980" s="78">
        <v>771935117</v>
      </c>
      <c r="B980" s="54" t="s">
        <v>2905</v>
      </c>
      <c r="C980" s="53" t="s">
        <v>159</v>
      </c>
      <c r="D980" s="79" t="s">
        <v>159</v>
      </c>
      <c r="E980" s="79" t="s">
        <v>4218</v>
      </c>
      <c r="F980" s="79" t="s">
        <v>4779</v>
      </c>
      <c r="G980" s="79" t="s">
        <v>2904</v>
      </c>
      <c r="H980" s="79">
        <v>77193511</v>
      </c>
      <c r="I980" s="79" t="s">
        <v>4915</v>
      </c>
      <c r="J980" s="79" t="s">
        <v>4445</v>
      </c>
    </row>
    <row r="981" spans="1:10" ht="14.25" hidden="1" customHeight="1" x14ac:dyDescent="0.25">
      <c r="A981" s="78">
        <v>772221533</v>
      </c>
      <c r="B981" s="54" t="s">
        <v>4857</v>
      </c>
      <c r="C981" s="53" t="s">
        <v>159</v>
      </c>
      <c r="D981" s="79" t="s">
        <v>159</v>
      </c>
      <c r="E981" s="79" t="s">
        <v>4552</v>
      </c>
      <c r="F981" s="79" t="s">
        <v>4778</v>
      </c>
      <c r="G981" s="79" t="s">
        <v>2914</v>
      </c>
      <c r="H981" s="79">
        <v>77222153</v>
      </c>
      <c r="I981" s="79" t="s">
        <v>4915</v>
      </c>
      <c r="J981" s="79" t="s">
        <v>4445</v>
      </c>
    </row>
    <row r="982" spans="1:10" ht="14.25" hidden="1" customHeight="1" x14ac:dyDescent="0.25">
      <c r="A982" s="78">
        <v>772263198</v>
      </c>
      <c r="B982" s="54" t="s">
        <v>2920</v>
      </c>
      <c r="C982" s="53" t="s">
        <v>159</v>
      </c>
      <c r="D982" s="79" t="s">
        <v>159</v>
      </c>
      <c r="E982" s="79" t="s">
        <v>4401</v>
      </c>
      <c r="F982" s="79" t="s">
        <v>4778</v>
      </c>
      <c r="G982" s="79" t="s">
        <v>2919</v>
      </c>
      <c r="H982" s="79">
        <v>77226319</v>
      </c>
      <c r="I982" s="79" t="s">
        <v>4915</v>
      </c>
      <c r="J982" s="79" t="s">
        <v>4445</v>
      </c>
    </row>
    <row r="983" spans="1:10" ht="14.25" hidden="1" customHeight="1" x14ac:dyDescent="0.25">
      <c r="A983" s="78">
        <v>772336489</v>
      </c>
      <c r="B983" s="54" t="s">
        <v>2923</v>
      </c>
      <c r="C983" s="53" t="s">
        <v>159</v>
      </c>
      <c r="D983" s="79" t="s">
        <v>159</v>
      </c>
      <c r="E983" s="79" t="s">
        <v>4200</v>
      </c>
      <c r="F983" s="79" t="s">
        <v>4795</v>
      </c>
      <c r="G983" s="79" t="s">
        <v>2922</v>
      </c>
      <c r="H983" s="79">
        <v>77233648</v>
      </c>
      <c r="I983" s="79" t="s">
        <v>4915</v>
      </c>
      <c r="J983" s="79" t="s">
        <v>4445</v>
      </c>
    </row>
    <row r="984" spans="1:10" ht="14.25" hidden="1" customHeight="1" x14ac:dyDescent="0.25">
      <c r="A984" s="78">
        <v>772638388</v>
      </c>
      <c r="B984" s="54" t="s">
        <v>4585</v>
      </c>
      <c r="C984" s="53" t="s">
        <v>159</v>
      </c>
      <c r="D984" s="79" t="s">
        <v>159</v>
      </c>
      <c r="E984" s="79" t="s">
        <v>4175</v>
      </c>
      <c r="F984" s="79" t="s">
        <v>4788</v>
      </c>
      <c r="G984" s="79" t="s">
        <v>4584</v>
      </c>
      <c r="H984" s="79">
        <v>77263838</v>
      </c>
      <c r="I984" s="79" t="s">
        <v>4915</v>
      </c>
      <c r="J984" s="79" t="s">
        <v>4445</v>
      </c>
    </row>
    <row r="985" spans="1:10" ht="14.25" hidden="1" customHeight="1" x14ac:dyDescent="0.25">
      <c r="A985" s="78">
        <v>772762143</v>
      </c>
      <c r="B985" s="54" t="s">
        <v>542</v>
      </c>
      <c r="C985" s="53" t="s">
        <v>159</v>
      </c>
      <c r="D985" s="79" t="s">
        <v>159</v>
      </c>
      <c r="E985" s="79" t="s">
        <v>4168</v>
      </c>
      <c r="F985" s="79" t="s">
        <v>4778</v>
      </c>
      <c r="G985" s="79" t="s">
        <v>2932</v>
      </c>
      <c r="H985" s="79">
        <v>77276214</v>
      </c>
      <c r="I985" s="79" t="s">
        <v>4915</v>
      </c>
      <c r="J985" s="79" t="s">
        <v>4445</v>
      </c>
    </row>
    <row r="986" spans="1:10" ht="14.25" hidden="1" customHeight="1" x14ac:dyDescent="0.25">
      <c r="A986" s="78">
        <v>772777159</v>
      </c>
      <c r="B986" s="54" t="s">
        <v>543</v>
      </c>
      <c r="C986" s="53" t="s">
        <v>159</v>
      </c>
      <c r="D986" s="79" t="s">
        <v>159</v>
      </c>
      <c r="E986" s="79" t="s">
        <v>4395</v>
      </c>
      <c r="F986" s="79" t="s">
        <v>4778</v>
      </c>
      <c r="G986" s="79" t="s">
        <v>2935</v>
      </c>
      <c r="H986" s="79">
        <v>77277715</v>
      </c>
      <c r="I986" s="79" t="s">
        <v>4915</v>
      </c>
      <c r="J986" s="79" t="s">
        <v>4445</v>
      </c>
    </row>
    <row r="987" spans="1:10" ht="14.25" hidden="1" customHeight="1" x14ac:dyDescent="0.25">
      <c r="A987" s="78">
        <v>772966326</v>
      </c>
      <c r="B987" s="54" t="s">
        <v>544</v>
      </c>
      <c r="C987" s="53" t="s">
        <v>159</v>
      </c>
      <c r="D987" s="79" t="s">
        <v>159</v>
      </c>
      <c r="E987" s="79" t="s">
        <v>4391</v>
      </c>
      <c r="F987" s="79" t="s">
        <v>4778</v>
      </c>
      <c r="G987" s="79" t="s">
        <v>2937</v>
      </c>
      <c r="H987" s="79">
        <v>77296632</v>
      </c>
      <c r="I987" s="79" t="s">
        <v>4915</v>
      </c>
      <c r="J987" s="79" t="s">
        <v>4445</v>
      </c>
    </row>
    <row r="988" spans="1:10" ht="14.25" hidden="1" customHeight="1" x14ac:dyDescent="0.25">
      <c r="A988" s="78">
        <v>773121702</v>
      </c>
      <c r="B988" s="54" t="s">
        <v>3293</v>
      </c>
      <c r="C988" s="53" t="s">
        <v>159</v>
      </c>
      <c r="D988" s="79" t="s">
        <v>159</v>
      </c>
      <c r="E988" s="79" t="s">
        <v>4552</v>
      </c>
      <c r="F988" s="79" t="s">
        <v>4778</v>
      </c>
      <c r="G988" s="79" t="s">
        <v>3292</v>
      </c>
      <c r="H988" s="79">
        <v>77312170</v>
      </c>
      <c r="I988" s="79" t="s">
        <v>4915</v>
      </c>
      <c r="J988" s="79" t="s">
        <v>4445</v>
      </c>
    </row>
    <row r="989" spans="1:10" ht="14.25" hidden="1" customHeight="1" x14ac:dyDescent="0.25">
      <c r="A989" s="78">
        <v>773608377</v>
      </c>
      <c r="B989" s="54" t="s">
        <v>2960</v>
      </c>
      <c r="C989" s="53" t="s">
        <v>159</v>
      </c>
      <c r="D989" s="79" t="s">
        <v>159</v>
      </c>
      <c r="E989" s="79" t="s">
        <v>4245</v>
      </c>
      <c r="F989" s="79" t="s">
        <v>4789</v>
      </c>
      <c r="G989" s="79" t="s">
        <v>2959</v>
      </c>
      <c r="H989" s="79">
        <v>77360837</v>
      </c>
      <c r="I989" s="79" t="s">
        <v>4915</v>
      </c>
      <c r="J989" s="79" t="s">
        <v>4445</v>
      </c>
    </row>
    <row r="990" spans="1:10" ht="14.25" hidden="1" customHeight="1" x14ac:dyDescent="0.25">
      <c r="A990" s="78">
        <v>773625522</v>
      </c>
      <c r="B990" s="54" t="s">
        <v>2963</v>
      </c>
      <c r="C990" s="53" t="s">
        <v>159</v>
      </c>
      <c r="D990" s="79" t="s">
        <v>159</v>
      </c>
      <c r="E990" s="79" t="s">
        <v>4168</v>
      </c>
      <c r="F990" s="79" t="s">
        <v>4778</v>
      </c>
      <c r="G990" s="79" t="s">
        <v>2962</v>
      </c>
      <c r="H990" s="79">
        <v>77362552</v>
      </c>
      <c r="I990" s="79" t="s">
        <v>4915</v>
      </c>
      <c r="J990" s="79" t="s">
        <v>4445</v>
      </c>
    </row>
    <row r="991" spans="1:10" ht="14.25" hidden="1" customHeight="1" x14ac:dyDescent="0.25">
      <c r="A991" s="78">
        <v>773828466</v>
      </c>
      <c r="B991" s="54" t="s">
        <v>3700</v>
      </c>
      <c r="C991" s="53" t="s">
        <v>159</v>
      </c>
      <c r="D991" s="79" t="s">
        <v>159</v>
      </c>
      <c r="E991" s="79" t="s">
        <v>4391</v>
      </c>
      <c r="F991" s="79" t="s">
        <v>4778</v>
      </c>
      <c r="G991" s="79" t="s">
        <v>3699</v>
      </c>
      <c r="H991" s="79">
        <v>77382846</v>
      </c>
      <c r="I991" s="79" t="s">
        <v>4915</v>
      </c>
      <c r="J991" s="79" t="s">
        <v>4445</v>
      </c>
    </row>
    <row r="992" spans="1:10" ht="14.25" hidden="1" customHeight="1" x14ac:dyDescent="0.25">
      <c r="A992" s="78">
        <v>773890455</v>
      </c>
      <c r="B992" s="54" t="s">
        <v>2980</v>
      </c>
      <c r="C992" s="53" t="s">
        <v>159</v>
      </c>
      <c r="D992" s="79" t="s">
        <v>159</v>
      </c>
      <c r="E992" s="79" t="s">
        <v>4460</v>
      </c>
      <c r="F992" s="79" t="s">
        <v>4786</v>
      </c>
      <c r="G992" s="79" t="s">
        <v>2979</v>
      </c>
      <c r="H992" s="79">
        <v>77389045</v>
      </c>
      <c r="I992" s="79" t="s">
        <v>4915</v>
      </c>
      <c r="J992" s="79" t="s">
        <v>4445</v>
      </c>
    </row>
    <row r="993" spans="1:10" ht="14.25" hidden="1" customHeight="1" x14ac:dyDescent="0.25">
      <c r="A993" s="78">
        <v>774020101</v>
      </c>
      <c r="B993" s="54" t="s">
        <v>1078</v>
      </c>
      <c r="C993" s="53" t="s">
        <v>159</v>
      </c>
      <c r="D993" s="79" t="s">
        <v>159</v>
      </c>
      <c r="E993" s="79" t="s">
        <v>4257</v>
      </c>
      <c r="F993" s="79" t="s">
        <v>4791</v>
      </c>
      <c r="G993" s="79" t="s">
        <v>2982</v>
      </c>
      <c r="H993" s="79">
        <v>77402010</v>
      </c>
      <c r="I993" s="79" t="s">
        <v>4915</v>
      </c>
      <c r="J993" s="79" t="s">
        <v>4445</v>
      </c>
    </row>
    <row r="994" spans="1:10" ht="14.25" hidden="1" customHeight="1" x14ac:dyDescent="0.25">
      <c r="A994" s="78">
        <v>774104216</v>
      </c>
      <c r="B994" s="54" t="s">
        <v>549</v>
      </c>
      <c r="C994" s="53" t="s">
        <v>159</v>
      </c>
      <c r="D994" s="79" t="s">
        <v>159</v>
      </c>
      <c r="E994" s="79" t="s">
        <v>4448</v>
      </c>
      <c r="F994" s="79" t="s">
        <v>4778</v>
      </c>
      <c r="G994" s="79" t="s">
        <v>2992</v>
      </c>
      <c r="H994" s="79">
        <v>77410421</v>
      </c>
      <c r="I994" s="79" t="s">
        <v>4915</v>
      </c>
      <c r="J994" s="79" t="s">
        <v>4445</v>
      </c>
    </row>
    <row r="995" spans="1:10" ht="14.25" hidden="1" customHeight="1" x14ac:dyDescent="0.25">
      <c r="A995" s="78">
        <v>774396861</v>
      </c>
      <c r="B995" s="54" t="s">
        <v>3009</v>
      </c>
      <c r="C995" s="53" t="s">
        <v>159</v>
      </c>
      <c r="D995" s="79" t="s">
        <v>159</v>
      </c>
      <c r="E995" s="79" t="s">
        <v>4168</v>
      </c>
      <c r="F995" s="79" t="s">
        <v>4778</v>
      </c>
      <c r="G995" s="79" t="s">
        <v>3008</v>
      </c>
      <c r="H995" s="79">
        <v>77439686</v>
      </c>
      <c r="I995" s="79" t="s">
        <v>4915</v>
      </c>
      <c r="J995" s="79" t="s">
        <v>4445</v>
      </c>
    </row>
    <row r="996" spans="1:10" ht="14.25" hidden="1" customHeight="1" x14ac:dyDescent="0.25">
      <c r="A996" s="78">
        <v>774448799</v>
      </c>
      <c r="B996" s="54" t="s">
        <v>551</v>
      </c>
      <c r="C996" s="53" t="s">
        <v>159</v>
      </c>
      <c r="D996" s="79" t="s">
        <v>159</v>
      </c>
      <c r="E996" s="79" t="s">
        <v>4458</v>
      </c>
      <c r="F996" s="79" t="s">
        <v>4778</v>
      </c>
      <c r="G996" s="79" t="s">
        <v>3014</v>
      </c>
      <c r="H996" s="79">
        <v>77444879</v>
      </c>
      <c r="I996" s="79" t="s">
        <v>4915</v>
      </c>
      <c r="J996" s="79" t="s">
        <v>4445</v>
      </c>
    </row>
    <row r="997" spans="1:10" ht="14.25" hidden="1" customHeight="1" x14ac:dyDescent="0.25">
      <c r="A997" s="78">
        <v>774831975</v>
      </c>
      <c r="B997" s="54" t="s">
        <v>552</v>
      </c>
      <c r="C997" s="53" t="s">
        <v>159</v>
      </c>
      <c r="D997" s="79" t="s">
        <v>159</v>
      </c>
      <c r="E997" s="79" t="s">
        <v>4168</v>
      </c>
      <c r="F997" s="79" t="s">
        <v>4778</v>
      </c>
      <c r="G997" s="79" t="s">
        <v>3016</v>
      </c>
      <c r="H997" s="79">
        <v>77483197</v>
      </c>
      <c r="I997" s="79" t="s">
        <v>4915</v>
      </c>
      <c r="J997" s="79" t="s">
        <v>4445</v>
      </c>
    </row>
    <row r="998" spans="1:10" ht="14.25" hidden="1" customHeight="1" x14ac:dyDescent="0.25">
      <c r="A998" s="78">
        <v>774889191</v>
      </c>
      <c r="B998" s="54" t="s">
        <v>4858</v>
      </c>
      <c r="C998" s="53" t="s">
        <v>159</v>
      </c>
      <c r="D998" s="79" t="s">
        <v>159</v>
      </c>
      <c r="E998" s="79" t="s">
        <v>4168</v>
      </c>
      <c r="F998" s="79" t="s">
        <v>4778</v>
      </c>
      <c r="G998" s="79" t="s">
        <v>3018</v>
      </c>
      <c r="H998" s="79">
        <v>77488919</v>
      </c>
      <c r="I998" s="79" t="s">
        <v>4915</v>
      </c>
      <c r="J998" s="79" t="s">
        <v>4445</v>
      </c>
    </row>
    <row r="999" spans="1:10" ht="14.25" hidden="1" customHeight="1" x14ac:dyDescent="0.25">
      <c r="A999" s="78">
        <v>775013796</v>
      </c>
      <c r="B999" s="54" t="s">
        <v>553</v>
      </c>
      <c r="C999" s="53" t="s">
        <v>159</v>
      </c>
      <c r="D999" s="79" t="s">
        <v>159</v>
      </c>
      <c r="E999" s="79" t="s">
        <v>4250</v>
      </c>
      <c r="F999" s="79" t="s">
        <v>4788</v>
      </c>
      <c r="G999" s="79" t="s">
        <v>3023</v>
      </c>
      <c r="H999" s="79">
        <v>77501379</v>
      </c>
      <c r="I999" s="79" t="s">
        <v>4915</v>
      </c>
      <c r="J999" s="79" t="s">
        <v>4445</v>
      </c>
    </row>
    <row r="1000" spans="1:10" ht="14.25" hidden="1" customHeight="1" x14ac:dyDescent="0.25">
      <c r="A1000" s="78">
        <v>775046813</v>
      </c>
      <c r="B1000" s="54" t="s">
        <v>554</v>
      </c>
      <c r="C1000" s="53" t="s">
        <v>159</v>
      </c>
      <c r="D1000" s="79" t="s">
        <v>159</v>
      </c>
      <c r="E1000" s="79" t="s">
        <v>4168</v>
      </c>
      <c r="F1000" s="79" t="s">
        <v>4778</v>
      </c>
      <c r="G1000" s="79" t="s">
        <v>3025</v>
      </c>
      <c r="H1000" s="79">
        <v>77504681</v>
      </c>
      <c r="I1000" s="79" t="s">
        <v>4915</v>
      </c>
      <c r="J1000" s="79" t="s">
        <v>4445</v>
      </c>
    </row>
    <row r="1001" spans="1:10" ht="14.25" hidden="1" customHeight="1" x14ac:dyDescent="0.25">
      <c r="A1001" s="78">
        <v>775139897</v>
      </c>
      <c r="B1001" s="54" t="s">
        <v>3689</v>
      </c>
      <c r="C1001" s="53" t="s">
        <v>159</v>
      </c>
      <c r="D1001" s="79" t="s">
        <v>159</v>
      </c>
      <c r="E1001" s="79" t="s">
        <v>4175</v>
      </c>
      <c r="F1001" s="79" t="s">
        <v>4788</v>
      </c>
      <c r="G1001" s="79" t="s">
        <v>3688</v>
      </c>
      <c r="H1001" s="79">
        <v>77513989</v>
      </c>
      <c r="I1001" s="79" t="s">
        <v>4915</v>
      </c>
      <c r="J1001" s="79" t="s">
        <v>4445</v>
      </c>
    </row>
    <row r="1002" spans="1:10" ht="14.25" hidden="1" customHeight="1" x14ac:dyDescent="0.25">
      <c r="A1002" s="78">
        <v>775284692</v>
      </c>
      <c r="B1002" s="54" t="s">
        <v>3756</v>
      </c>
      <c r="C1002" s="53" t="s">
        <v>159</v>
      </c>
      <c r="D1002" s="79" t="s">
        <v>159</v>
      </c>
      <c r="E1002" s="79" t="s">
        <v>4170</v>
      </c>
      <c r="F1002" s="79" t="s">
        <v>4798</v>
      </c>
      <c r="G1002" s="79" t="s">
        <v>3755</v>
      </c>
      <c r="H1002" s="79">
        <v>77528469</v>
      </c>
      <c r="I1002" s="79" t="s">
        <v>4915</v>
      </c>
      <c r="J1002" s="79" t="s">
        <v>4445</v>
      </c>
    </row>
    <row r="1003" spans="1:10" ht="14.25" hidden="1" customHeight="1" x14ac:dyDescent="0.25">
      <c r="A1003" s="78">
        <v>775408936</v>
      </c>
      <c r="B1003" s="54" t="s">
        <v>556</v>
      </c>
      <c r="C1003" s="53" t="s">
        <v>159</v>
      </c>
      <c r="D1003" s="79" t="s">
        <v>159</v>
      </c>
      <c r="E1003" s="79" t="s">
        <v>4182</v>
      </c>
      <c r="F1003" s="79" t="s">
        <v>4796</v>
      </c>
      <c r="G1003" s="79" t="s">
        <v>3039</v>
      </c>
      <c r="H1003" s="79">
        <v>77540893</v>
      </c>
      <c r="I1003" s="79" t="s">
        <v>4915</v>
      </c>
      <c r="J1003" s="79" t="s">
        <v>4445</v>
      </c>
    </row>
    <row r="1004" spans="1:10" ht="14.25" hidden="1" customHeight="1" x14ac:dyDescent="0.25">
      <c r="A1004" s="78">
        <v>775462177</v>
      </c>
      <c r="B1004" s="54" t="s">
        <v>3043</v>
      </c>
      <c r="C1004" s="53" t="s">
        <v>159</v>
      </c>
      <c r="D1004" s="79" t="s">
        <v>159</v>
      </c>
      <c r="E1004" s="79" t="s">
        <v>4168</v>
      </c>
      <c r="F1004" s="79" t="s">
        <v>4778</v>
      </c>
      <c r="G1004" s="79" t="s">
        <v>3045</v>
      </c>
      <c r="H1004" s="79">
        <v>77546217</v>
      </c>
      <c r="I1004" s="79" t="s">
        <v>4915</v>
      </c>
      <c r="J1004" s="79" t="s">
        <v>4445</v>
      </c>
    </row>
    <row r="1005" spans="1:10" ht="14.25" hidden="1" customHeight="1" x14ac:dyDescent="0.25">
      <c r="A1005" s="78">
        <v>775822279</v>
      </c>
      <c r="B1005" s="54" t="s">
        <v>3054</v>
      </c>
      <c r="C1005" s="53" t="s">
        <v>159</v>
      </c>
      <c r="D1005" s="79" t="s">
        <v>159</v>
      </c>
      <c r="E1005" s="79" t="s">
        <v>4168</v>
      </c>
      <c r="F1005" s="79" t="s">
        <v>4778</v>
      </c>
      <c r="G1005" s="79" t="s">
        <v>3053</v>
      </c>
      <c r="H1005" s="79">
        <v>77582227</v>
      </c>
      <c r="I1005" s="79" t="s">
        <v>4915</v>
      </c>
      <c r="J1005" s="79" t="s">
        <v>4445</v>
      </c>
    </row>
    <row r="1006" spans="1:10" ht="14.25" hidden="1" customHeight="1" x14ac:dyDescent="0.25">
      <c r="A1006" s="78">
        <v>775875119</v>
      </c>
      <c r="B1006" s="54" t="s">
        <v>3060</v>
      </c>
      <c r="C1006" s="53" t="s">
        <v>159</v>
      </c>
      <c r="D1006" s="79" t="s">
        <v>159</v>
      </c>
      <c r="E1006" s="79" t="s">
        <v>4456</v>
      </c>
      <c r="F1006" s="79" t="s">
        <v>4778</v>
      </c>
      <c r="G1006" s="79" t="s">
        <v>3059</v>
      </c>
      <c r="H1006" s="79">
        <v>77587511</v>
      </c>
      <c r="I1006" s="79" t="s">
        <v>4915</v>
      </c>
      <c r="J1006" s="79" t="s">
        <v>4445</v>
      </c>
    </row>
    <row r="1007" spans="1:10" ht="14.25" hidden="1" customHeight="1" x14ac:dyDescent="0.25">
      <c r="A1007" s="78">
        <v>776195642</v>
      </c>
      <c r="B1007" s="54" t="s">
        <v>4591</v>
      </c>
      <c r="C1007" s="53" t="s">
        <v>159</v>
      </c>
      <c r="D1007" s="79" t="s">
        <v>159</v>
      </c>
      <c r="E1007" s="79" t="s">
        <v>4393</v>
      </c>
      <c r="F1007" s="79" t="s">
        <v>4778</v>
      </c>
      <c r="G1007" s="79" t="s">
        <v>4590</v>
      </c>
      <c r="H1007" s="79">
        <v>77619564</v>
      </c>
      <c r="I1007" s="79" t="s">
        <v>4915</v>
      </c>
      <c r="J1007" s="79" t="s">
        <v>4445</v>
      </c>
    </row>
    <row r="1008" spans="1:10" ht="14.25" hidden="1" customHeight="1" x14ac:dyDescent="0.25">
      <c r="A1008" s="78">
        <v>776286303</v>
      </c>
      <c r="B1008" s="54" t="s">
        <v>4859</v>
      </c>
      <c r="C1008" s="53" t="s">
        <v>159</v>
      </c>
      <c r="D1008" s="79" t="s">
        <v>159</v>
      </c>
      <c r="E1008" s="79" t="s">
        <v>4198</v>
      </c>
      <c r="F1008" s="79" t="s">
        <v>4788</v>
      </c>
      <c r="G1008" s="79" t="s">
        <v>3073</v>
      </c>
      <c r="H1008" s="79">
        <v>77628630</v>
      </c>
      <c r="I1008" s="79" t="s">
        <v>4915</v>
      </c>
      <c r="J1008" s="79" t="s">
        <v>4445</v>
      </c>
    </row>
    <row r="1009" spans="1:10" ht="14.25" hidden="1" customHeight="1" x14ac:dyDescent="0.25">
      <c r="A1009" s="78">
        <v>776495999</v>
      </c>
      <c r="B1009" s="54" t="s">
        <v>3081</v>
      </c>
      <c r="C1009" s="53" t="s">
        <v>159</v>
      </c>
      <c r="D1009" s="79" t="s">
        <v>159</v>
      </c>
      <c r="E1009" s="79" t="s">
        <v>4410</v>
      </c>
      <c r="F1009" s="79" t="s">
        <v>4778</v>
      </c>
      <c r="G1009" s="79" t="s">
        <v>3080</v>
      </c>
      <c r="H1009" s="79">
        <v>77649599</v>
      </c>
      <c r="I1009" s="79" t="s">
        <v>4915</v>
      </c>
      <c r="J1009" s="79" t="s">
        <v>4445</v>
      </c>
    </row>
    <row r="1010" spans="1:10" ht="14.25" hidden="1" customHeight="1" x14ac:dyDescent="0.25">
      <c r="A1010" s="78">
        <v>776531693</v>
      </c>
      <c r="B1010" s="54" t="s">
        <v>563</v>
      </c>
      <c r="C1010" s="53" t="s">
        <v>159</v>
      </c>
      <c r="D1010" s="79" t="s">
        <v>159</v>
      </c>
      <c r="E1010" s="79" t="s">
        <v>4391</v>
      </c>
      <c r="F1010" s="79" t="s">
        <v>4778</v>
      </c>
      <c r="G1010" s="79" t="s">
        <v>3083</v>
      </c>
      <c r="H1010" s="79">
        <v>77653169</v>
      </c>
      <c r="I1010" s="79" t="s">
        <v>4915</v>
      </c>
      <c r="J1010" s="79" t="s">
        <v>4445</v>
      </c>
    </row>
    <row r="1011" spans="1:10" ht="14.25" hidden="1" customHeight="1" x14ac:dyDescent="0.25">
      <c r="A1011" s="78">
        <v>776893218</v>
      </c>
      <c r="B1011" s="54" t="s">
        <v>4593</v>
      </c>
      <c r="C1011" s="53" t="s">
        <v>159</v>
      </c>
      <c r="D1011" s="79" t="s">
        <v>159</v>
      </c>
      <c r="E1011" s="79" t="s">
        <v>4257</v>
      </c>
      <c r="F1011" s="79" t="s">
        <v>4791</v>
      </c>
      <c r="G1011" s="79" t="s">
        <v>4592</v>
      </c>
      <c r="H1011" s="79">
        <v>77689321</v>
      </c>
      <c r="I1011" s="79" t="s">
        <v>4915</v>
      </c>
      <c r="J1011" s="79" t="s">
        <v>4445</v>
      </c>
    </row>
    <row r="1012" spans="1:10" ht="14.25" hidden="1" customHeight="1" x14ac:dyDescent="0.25">
      <c r="A1012" s="78">
        <v>776982598</v>
      </c>
      <c r="B1012" s="54" t="s">
        <v>568</v>
      </c>
      <c r="C1012" s="53" t="s">
        <v>159</v>
      </c>
      <c r="D1012" s="79" t="s">
        <v>159</v>
      </c>
      <c r="E1012" s="79" t="s">
        <v>4391</v>
      </c>
      <c r="F1012" s="79" t="s">
        <v>4778</v>
      </c>
      <c r="G1012" s="79" t="s">
        <v>3254</v>
      </c>
      <c r="H1012" s="79">
        <v>77698259</v>
      </c>
      <c r="I1012" s="79" t="s">
        <v>4915</v>
      </c>
      <c r="J1012" s="79" t="s">
        <v>4445</v>
      </c>
    </row>
    <row r="1013" spans="1:10" ht="14.25" hidden="1" customHeight="1" x14ac:dyDescent="0.25">
      <c r="A1013" s="78">
        <v>777443828</v>
      </c>
      <c r="B1013" s="54" t="s">
        <v>3100</v>
      </c>
      <c r="C1013" s="53" t="s">
        <v>159</v>
      </c>
      <c r="D1013" s="79" t="s">
        <v>159</v>
      </c>
      <c r="E1013" s="79" t="s">
        <v>4391</v>
      </c>
      <c r="F1013" s="79" t="s">
        <v>4778</v>
      </c>
      <c r="G1013" s="79" t="s">
        <v>3099</v>
      </c>
      <c r="H1013" s="79">
        <v>77744382</v>
      </c>
      <c r="I1013" s="79" t="s">
        <v>4915</v>
      </c>
      <c r="J1013" s="79" t="s">
        <v>4445</v>
      </c>
    </row>
    <row r="1014" spans="1:10" ht="14.25" hidden="1" customHeight="1" x14ac:dyDescent="0.25">
      <c r="A1014" s="78">
        <v>777474596</v>
      </c>
      <c r="B1014" s="54" t="s">
        <v>569</v>
      </c>
      <c r="C1014" s="53" t="s">
        <v>159</v>
      </c>
      <c r="D1014" s="79" t="s">
        <v>159</v>
      </c>
      <c r="E1014" s="79" t="s">
        <v>4465</v>
      </c>
      <c r="F1014" s="79" t="s">
        <v>4778</v>
      </c>
      <c r="G1014" s="79" t="s">
        <v>3102</v>
      </c>
      <c r="H1014" s="79">
        <v>77747459</v>
      </c>
      <c r="I1014" s="79" t="s">
        <v>4915</v>
      </c>
      <c r="J1014" s="79" t="s">
        <v>4445</v>
      </c>
    </row>
    <row r="1015" spans="1:10" ht="14.25" hidden="1" customHeight="1" x14ac:dyDescent="0.25">
      <c r="A1015" s="78">
        <v>777514059</v>
      </c>
      <c r="B1015" s="54" t="s">
        <v>4596</v>
      </c>
      <c r="C1015" s="53" t="s">
        <v>159</v>
      </c>
      <c r="D1015" s="79" t="s">
        <v>159</v>
      </c>
      <c r="E1015" s="79" t="s">
        <v>4183</v>
      </c>
      <c r="F1015" s="79" t="s">
        <v>4786</v>
      </c>
      <c r="G1015" s="79" t="s">
        <v>4595</v>
      </c>
      <c r="H1015" s="79">
        <v>77751405</v>
      </c>
      <c r="I1015" s="79" t="s">
        <v>4915</v>
      </c>
      <c r="J1015" s="79" t="s">
        <v>4445</v>
      </c>
    </row>
    <row r="1016" spans="1:10" ht="14.25" hidden="1" customHeight="1" x14ac:dyDescent="0.25">
      <c r="A1016" s="78">
        <v>777767453</v>
      </c>
      <c r="B1016" s="54" t="s">
        <v>571</v>
      </c>
      <c r="C1016" s="53" t="s">
        <v>159</v>
      </c>
      <c r="D1016" s="79" t="s">
        <v>159</v>
      </c>
      <c r="E1016" s="79" t="s">
        <v>4463</v>
      </c>
      <c r="F1016" s="79" t="s">
        <v>4778</v>
      </c>
      <c r="G1016" s="79" t="s">
        <v>3117</v>
      </c>
      <c r="H1016" s="79">
        <v>77776745</v>
      </c>
      <c r="I1016" s="79" t="s">
        <v>4915</v>
      </c>
      <c r="J1016" s="79" t="s">
        <v>4445</v>
      </c>
    </row>
    <row r="1017" spans="1:10" ht="14.25" hidden="1" customHeight="1" x14ac:dyDescent="0.25">
      <c r="A1017" s="78">
        <v>778127342</v>
      </c>
      <c r="B1017" s="54" t="s">
        <v>3131</v>
      </c>
      <c r="C1017" s="53" t="s">
        <v>159</v>
      </c>
      <c r="D1017" s="79" t="s">
        <v>159</v>
      </c>
      <c r="E1017" s="79" t="s">
        <v>4394</v>
      </c>
      <c r="F1017" s="79" t="s">
        <v>4778</v>
      </c>
      <c r="G1017" s="79" t="s">
        <v>3130</v>
      </c>
      <c r="H1017" s="79">
        <v>77812734</v>
      </c>
      <c r="I1017" s="79" t="s">
        <v>4915</v>
      </c>
      <c r="J1017" s="79" t="s">
        <v>4445</v>
      </c>
    </row>
    <row r="1018" spans="1:10" ht="14.25" customHeight="1" x14ac:dyDescent="0.25">
      <c r="A1018" s="78">
        <v>778187922</v>
      </c>
      <c r="B1018" s="54" t="s">
        <v>573</v>
      </c>
      <c r="C1018" s="53" t="s">
        <v>159</v>
      </c>
      <c r="D1018" s="79" t="s">
        <v>159</v>
      </c>
      <c r="E1018" s="79" t="s">
        <v>4181</v>
      </c>
      <c r="F1018" s="79" t="s">
        <v>4801</v>
      </c>
      <c r="G1018" s="79" t="s">
        <v>3135</v>
      </c>
      <c r="H1018" s="79">
        <v>77818792</v>
      </c>
      <c r="I1018" s="79" t="s">
        <v>4915</v>
      </c>
      <c r="J1018" s="79" t="s">
        <v>4445</v>
      </c>
    </row>
    <row r="1019" spans="1:10" ht="14.25" hidden="1" customHeight="1" x14ac:dyDescent="0.25">
      <c r="A1019" s="78">
        <v>778422891</v>
      </c>
      <c r="B1019" s="54" t="s">
        <v>4598</v>
      </c>
      <c r="C1019" s="53" t="s">
        <v>159</v>
      </c>
      <c r="D1019" s="79" t="s">
        <v>159</v>
      </c>
      <c r="E1019" s="79" t="s">
        <v>4460</v>
      </c>
      <c r="F1019" s="79" t="s">
        <v>4786</v>
      </c>
      <c r="G1019" s="79" t="s">
        <v>4597</v>
      </c>
      <c r="H1019" s="79">
        <v>77842289</v>
      </c>
      <c r="I1019" s="79" t="s">
        <v>4915</v>
      </c>
      <c r="J1019" s="79" t="s">
        <v>4445</v>
      </c>
    </row>
    <row r="1020" spans="1:10" ht="14.25" hidden="1" customHeight="1" x14ac:dyDescent="0.25">
      <c r="A1020" s="78">
        <v>778653494</v>
      </c>
      <c r="B1020" s="54" t="s">
        <v>3138</v>
      </c>
      <c r="C1020" s="53" t="s">
        <v>159</v>
      </c>
      <c r="D1020" s="79" t="s">
        <v>159</v>
      </c>
      <c r="E1020" s="79" t="s">
        <v>4175</v>
      </c>
      <c r="F1020" s="79" t="s">
        <v>4788</v>
      </c>
      <c r="G1020" s="79" t="s">
        <v>3137</v>
      </c>
      <c r="H1020" s="79">
        <v>77865349</v>
      </c>
      <c r="I1020" s="79" t="s">
        <v>4915</v>
      </c>
      <c r="J1020" s="79" t="s">
        <v>4445</v>
      </c>
    </row>
    <row r="1021" spans="1:10" ht="14.25" hidden="1" customHeight="1" x14ac:dyDescent="0.25">
      <c r="A1021" s="78">
        <v>778997223</v>
      </c>
      <c r="B1021" s="54" t="s">
        <v>1016</v>
      </c>
      <c r="C1021" s="53" t="s">
        <v>159</v>
      </c>
      <c r="D1021" s="79" t="s">
        <v>159</v>
      </c>
      <c r="E1021" s="79" t="s">
        <v>4552</v>
      </c>
      <c r="F1021" s="79" t="s">
        <v>4778</v>
      </c>
      <c r="G1021" s="79" t="s">
        <v>3145</v>
      </c>
      <c r="H1021" s="79">
        <v>77899722</v>
      </c>
      <c r="I1021" s="79" t="s">
        <v>4915</v>
      </c>
      <c r="J1021" s="79" t="s">
        <v>4445</v>
      </c>
    </row>
    <row r="1022" spans="1:10" ht="14.25" hidden="1" customHeight="1" x14ac:dyDescent="0.25">
      <c r="A1022" s="78">
        <v>779008525</v>
      </c>
      <c r="B1022" s="54" t="s">
        <v>4600</v>
      </c>
      <c r="C1022" s="53" t="s">
        <v>159</v>
      </c>
      <c r="D1022" s="79" t="s">
        <v>159</v>
      </c>
      <c r="E1022" s="79" t="s">
        <v>4401</v>
      </c>
      <c r="F1022" s="79" t="s">
        <v>4778</v>
      </c>
      <c r="G1022" s="79" t="s">
        <v>4599</v>
      </c>
      <c r="H1022" s="79">
        <v>77900852</v>
      </c>
      <c r="I1022" s="79" t="s">
        <v>4915</v>
      </c>
      <c r="J1022" s="79" t="s">
        <v>4445</v>
      </c>
    </row>
    <row r="1023" spans="1:10" ht="14.25" hidden="1" customHeight="1" x14ac:dyDescent="0.25">
      <c r="A1023" s="78">
        <v>779311201</v>
      </c>
      <c r="B1023" s="54" t="s">
        <v>3152</v>
      </c>
      <c r="C1023" s="53" t="s">
        <v>159</v>
      </c>
      <c r="D1023" s="79" t="s">
        <v>159</v>
      </c>
      <c r="E1023" s="79" t="s">
        <v>4410</v>
      </c>
      <c r="F1023" s="79" t="s">
        <v>4778</v>
      </c>
      <c r="G1023" s="79" t="s">
        <v>3151</v>
      </c>
      <c r="H1023" s="79">
        <v>77931120</v>
      </c>
      <c r="I1023" s="79" t="s">
        <v>4915</v>
      </c>
      <c r="J1023" s="79" t="s">
        <v>4445</v>
      </c>
    </row>
    <row r="1024" spans="1:10" ht="14.25" hidden="1" customHeight="1" x14ac:dyDescent="0.25">
      <c r="A1024" s="78">
        <v>779453456</v>
      </c>
      <c r="B1024" s="54" t="s">
        <v>3154</v>
      </c>
      <c r="C1024" s="53" t="s">
        <v>159</v>
      </c>
      <c r="D1024" s="79" t="s">
        <v>159</v>
      </c>
      <c r="E1024" s="79" t="s">
        <v>4409</v>
      </c>
      <c r="F1024" s="79" t="s">
        <v>4778</v>
      </c>
      <c r="G1024" s="79" t="s">
        <v>3153</v>
      </c>
      <c r="H1024" s="79">
        <v>77945345</v>
      </c>
      <c r="I1024" s="79" t="s">
        <v>4915</v>
      </c>
      <c r="J1024" s="79" t="s">
        <v>4445</v>
      </c>
    </row>
    <row r="1025" spans="1:10" ht="14.25" hidden="1" customHeight="1" x14ac:dyDescent="0.25">
      <c r="A1025" s="78">
        <v>779499839</v>
      </c>
      <c r="B1025" s="54" t="s">
        <v>4603</v>
      </c>
      <c r="C1025" s="53" t="s">
        <v>159</v>
      </c>
      <c r="D1025" s="79" t="s">
        <v>159</v>
      </c>
      <c r="E1025" s="79" t="s">
        <v>4465</v>
      </c>
      <c r="F1025" s="79" t="s">
        <v>4778</v>
      </c>
      <c r="G1025" s="79" t="s">
        <v>4602</v>
      </c>
      <c r="H1025" s="79">
        <v>77949983</v>
      </c>
      <c r="I1025" s="79" t="s">
        <v>4915</v>
      </c>
      <c r="J1025" s="79" t="s">
        <v>4445</v>
      </c>
    </row>
    <row r="1026" spans="1:10" ht="14.25" hidden="1" customHeight="1" x14ac:dyDescent="0.25">
      <c r="A1026" s="78">
        <v>779771067</v>
      </c>
      <c r="B1026" s="54" t="s">
        <v>4605</v>
      </c>
      <c r="C1026" s="53" t="s">
        <v>159</v>
      </c>
      <c r="D1026" s="79" t="s">
        <v>159</v>
      </c>
      <c r="E1026" s="79" t="s">
        <v>4416</v>
      </c>
      <c r="F1026" s="79" t="s">
        <v>4778</v>
      </c>
      <c r="G1026" s="79" t="s">
        <v>4604</v>
      </c>
      <c r="H1026" s="79">
        <v>77977106</v>
      </c>
      <c r="I1026" s="79" t="s">
        <v>4915</v>
      </c>
      <c r="J1026" s="79" t="s">
        <v>4445</v>
      </c>
    </row>
    <row r="1027" spans="1:10" ht="14.25" hidden="1" customHeight="1" x14ac:dyDescent="0.25">
      <c r="A1027" s="78">
        <v>780101679</v>
      </c>
      <c r="B1027" s="54" t="s">
        <v>2554</v>
      </c>
      <c r="C1027" s="53" t="s">
        <v>159</v>
      </c>
      <c r="D1027" s="79" t="s">
        <v>159</v>
      </c>
      <c r="E1027" s="79" t="s">
        <v>4557</v>
      </c>
      <c r="F1027" s="79" t="s">
        <v>4778</v>
      </c>
      <c r="G1027" s="79" t="s">
        <v>2553</v>
      </c>
      <c r="H1027" s="79">
        <v>78010167</v>
      </c>
      <c r="I1027" s="79" t="s">
        <v>4915</v>
      </c>
      <c r="J1027" s="79" t="s">
        <v>4445</v>
      </c>
    </row>
    <row r="1028" spans="1:10" ht="14.25" hidden="1" customHeight="1" x14ac:dyDescent="0.25">
      <c r="A1028" s="78">
        <v>780325666</v>
      </c>
      <c r="B1028" s="54" t="s">
        <v>4607</v>
      </c>
      <c r="C1028" s="53" t="s">
        <v>159</v>
      </c>
      <c r="D1028" s="79" t="s">
        <v>159</v>
      </c>
      <c r="E1028" s="79" t="s">
        <v>4528</v>
      </c>
      <c r="F1028" s="79" t="s">
        <v>4778</v>
      </c>
      <c r="G1028" s="79" t="s">
        <v>4606</v>
      </c>
      <c r="H1028" s="79">
        <v>78032566</v>
      </c>
      <c r="I1028" s="79" t="s">
        <v>4915</v>
      </c>
      <c r="J1028" s="79" t="s">
        <v>4445</v>
      </c>
    </row>
    <row r="1029" spans="1:10" ht="14.25" hidden="1" customHeight="1" x14ac:dyDescent="0.25">
      <c r="A1029" s="78">
        <v>780356405</v>
      </c>
      <c r="B1029" s="54" t="s">
        <v>578</v>
      </c>
      <c r="C1029" s="53" t="s">
        <v>159</v>
      </c>
      <c r="D1029" s="79" t="s">
        <v>159</v>
      </c>
      <c r="E1029" s="79" t="s">
        <v>4391</v>
      </c>
      <c r="F1029" s="79" t="s">
        <v>4778</v>
      </c>
      <c r="G1029" s="79" t="s">
        <v>3166</v>
      </c>
      <c r="H1029" s="79">
        <v>78035640</v>
      </c>
      <c r="I1029" s="79" t="s">
        <v>4915</v>
      </c>
      <c r="J1029" s="79" t="s">
        <v>4445</v>
      </c>
    </row>
    <row r="1030" spans="1:10" ht="14.25" hidden="1" customHeight="1" x14ac:dyDescent="0.25">
      <c r="A1030" s="78">
        <v>780839406</v>
      </c>
      <c r="B1030" s="54" t="s">
        <v>580</v>
      </c>
      <c r="C1030" s="53" t="s">
        <v>159</v>
      </c>
      <c r="D1030" s="79" t="s">
        <v>159</v>
      </c>
      <c r="E1030" s="79" t="s">
        <v>4395</v>
      </c>
      <c r="F1030" s="79" t="s">
        <v>4778</v>
      </c>
      <c r="G1030" s="79" t="s">
        <v>3173</v>
      </c>
      <c r="H1030" s="79">
        <v>78083940</v>
      </c>
      <c r="I1030" s="79" t="s">
        <v>4915</v>
      </c>
      <c r="J1030" s="79" t="s">
        <v>4445</v>
      </c>
    </row>
    <row r="1031" spans="1:10" ht="14.25" hidden="1" customHeight="1" x14ac:dyDescent="0.25">
      <c r="A1031" s="78">
        <v>781851302</v>
      </c>
      <c r="B1031" s="54" t="s">
        <v>582</v>
      </c>
      <c r="C1031" s="53" t="s">
        <v>159</v>
      </c>
      <c r="D1031" s="79" t="s">
        <v>159</v>
      </c>
      <c r="E1031" s="79" t="s">
        <v>4292</v>
      </c>
      <c r="F1031" s="79" t="s">
        <v>4784</v>
      </c>
      <c r="G1031" s="79" t="s">
        <v>3176</v>
      </c>
      <c r="H1031" s="79">
        <v>78185130</v>
      </c>
      <c r="I1031" s="79" t="s">
        <v>4915</v>
      </c>
      <c r="J1031" s="79" t="s">
        <v>4445</v>
      </c>
    </row>
    <row r="1032" spans="1:10" ht="14.25" hidden="1" customHeight="1" x14ac:dyDescent="0.25">
      <c r="A1032" s="78">
        <v>782334204</v>
      </c>
      <c r="B1032" s="54" t="s">
        <v>4610</v>
      </c>
      <c r="C1032" s="53" t="s">
        <v>159</v>
      </c>
      <c r="D1032" s="79" t="s">
        <v>159</v>
      </c>
      <c r="E1032" s="79" t="s">
        <v>4391</v>
      </c>
      <c r="F1032" s="79" t="s">
        <v>4778</v>
      </c>
      <c r="G1032" s="79" t="s">
        <v>4609</v>
      </c>
      <c r="H1032" s="79">
        <v>78233420</v>
      </c>
      <c r="I1032" s="79" t="s">
        <v>4915</v>
      </c>
      <c r="J1032" s="79" t="s">
        <v>4445</v>
      </c>
    </row>
    <row r="1033" spans="1:10" ht="14.25" hidden="1" customHeight="1" x14ac:dyDescent="0.25">
      <c r="A1033" s="78">
        <v>785977408</v>
      </c>
      <c r="B1033" s="54" t="s">
        <v>4860</v>
      </c>
      <c r="C1033" s="53" t="s">
        <v>159</v>
      </c>
      <c r="D1033" s="79" t="s">
        <v>159</v>
      </c>
      <c r="E1033" s="79" t="s">
        <v>4391</v>
      </c>
      <c r="F1033" s="79" t="s">
        <v>4778</v>
      </c>
      <c r="G1033" s="79" t="s">
        <v>3184</v>
      </c>
      <c r="H1033" s="79">
        <v>78597740</v>
      </c>
      <c r="I1033" s="79" t="s">
        <v>4915</v>
      </c>
      <c r="J1033" s="79" t="s">
        <v>4445</v>
      </c>
    </row>
    <row r="1034" spans="1:10" ht="14.25" hidden="1" customHeight="1" x14ac:dyDescent="0.25">
      <c r="A1034" s="78">
        <v>786632609</v>
      </c>
      <c r="B1034" s="54" t="s">
        <v>3190</v>
      </c>
      <c r="C1034" s="53" t="s">
        <v>159</v>
      </c>
      <c r="D1034" s="79" t="s">
        <v>159</v>
      </c>
      <c r="E1034" s="79" t="s">
        <v>4175</v>
      </c>
      <c r="F1034" s="79" t="s">
        <v>4788</v>
      </c>
      <c r="G1034" s="79" t="s">
        <v>3189</v>
      </c>
      <c r="H1034" s="79">
        <v>78663260</v>
      </c>
      <c r="I1034" s="79" t="s">
        <v>4915</v>
      </c>
      <c r="J1034" s="79" t="s">
        <v>4445</v>
      </c>
    </row>
    <row r="1035" spans="1:10" ht="14.25" hidden="1" customHeight="1" x14ac:dyDescent="0.25">
      <c r="A1035" s="78">
        <v>797228605</v>
      </c>
      <c r="B1035" s="54" t="s">
        <v>3205</v>
      </c>
      <c r="C1035" s="53" t="s">
        <v>159</v>
      </c>
      <c r="D1035" s="79" t="s">
        <v>159</v>
      </c>
      <c r="E1035" s="79" t="s">
        <v>4557</v>
      </c>
      <c r="F1035" s="79" t="s">
        <v>4778</v>
      </c>
      <c r="G1035" s="79" t="s">
        <v>3204</v>
      </c>
      <c r="H1035" s="79">
        <v>79722860</v>
      </c>
      <c r="I1035" s="79" t="s">
        <v>4915</v>
      </c>
      <c r="J1035" s="79" t="s">
        <v>4445</v>
      </c>
    </row>
    <row r="1036" spans="1:10" ht="14.25" hidden="1" customHeight="1" x14ac:dyDescent="0.25">
      <c r="A1036" s="78">
        <v>798440802</v>
      </c>
      <c r="B1036" s="54" t="s">
        <v>587</v>
      </c>
      <c r="C1036" s="53" t="s">
        <v>159</v>
      </c>
      <c r="D1036" s="79" t="s">
        <v>159</v>
      </c>
      <c r="E1036" s="79" t="s">
        <v>4394</v>
      </c>
      <c r="F1036" s="79" t="s">
        <v>4778</v>
      </c>
      <c r="G1036" s="79" t="s">
        <v>3206</v>
      </c>
      <c r="H1036" s="79">
        <v>79844080</v>
      </c>
      <c r="I1036" s="79" t="s">
        <v>4915</v>
      </c>
      <c r="J1036" s="79" t="s">
        <v>4445</v>
      </c>
    </row>
    <row r="1037" spans="1:10" ht="14.25" hidden="1" customHeight="1" x14ac:dyDescent="0.25">
      <c r="A1037" s="78">
        <v>798956701</v>
      </c>
      <c r="B1037" s="54" t="s">
        <v>589</v>
      </c>
      <c r="C1037" s="53" t="s">
        <v>159</v>
      </c>
      <c r="D1037" s="79" t="s">
        <v>159</v>
      </c>
      <c r="E1037" s="79" t="s">
        <v>4393</v>
      </c>
      <c r="F1037" s="79" t="s">
        <v>4778</v>
      </c>
      <c r="G1037" s="79" t="s">
        <v>3210</v>
      </c>
      <c r="H1037" s="79">
        <v>79895670</v>
      </c>
      <c r="I1037" s="79" t="s">
        <v>4915</v>
      </c>
      <c r="J1037" s="79" t="s">
        <v>4445</v>
      </c>
    </row>
    <row r="1038" spans="1:10" ht="14.25" hidden="1" customHeight="1" x14ac:dyDescent="0.25">
      <c r="A1038" s="78">
        <v>809329003</v>
      </c>
      <c r="B1038" s="54" t="s">
        <v>1065</v>
      </c>
      <c r="C1038" s="53" t="s">
        <v>159</v>
      </c>
      <c r="D1038" s="79" t="s">
        <v>159</v>
      </c>
      <c r="E1038" s="79" t="s">
        <v>4460</v>
      </c>
      <c r="F1038" s="79" t="s">
        <v>4786</v>
      </c>
      <c r="G1038" s="79" t="s">
        <v>3216</v>
      </c>
      <c r="H1038" s="79">
        <v>80932900</v>
      </c>
      <c r="I1038" s="79" t="s">
        <v>4915</v>
      </c>
      <c r="J1038" s="79" t="s">
        <v>4445</v>
      </c>
    </row>
    <row r="1039" spans="1:10" ht="14.25" hidden="1" customHeight="1" x14ac:dyDescent="0.25">
      <c r="A1039" s="78">
        <v>816989000</v>
      </c>
      <c r="B1039" s="54" t="s">
        <v>591</v>
      </c>
      <c r="C1039" s="53" t="s">
        <v>159</v>
      </c>
      <c r="D1039" s="79" t="s">
        <v>159</v>
      </c>
      <c r="E1039" s="79" t="s">
        <v>4168</v>
      </c>
      <c r="F1039" s="79" t="s">
        <v>4778</v>
      </c>
      <c r="G1039" s="79" t="s">
        <v>1629</v>
      </c>
      <c r="H1039" s="79">
        <v>81698900</v>
      </c>
      <c r="I1039" s="79" t="s">
        <v>4915</v>
      </c>
      <c r="J1039" s="79" t="s">
        <v>4445</v>
      </c>
    </row>
    <row r="1040" spans="1:10" ht="14.25" hidden="1" customHeight="1" x14ac:dyDescent="0.25">
      <c r="A1040" s="78">
        <v>821567009</v>
      </c>
      <c r="B1040" s="54" t="s">
        <v>593</v>
      </c>
      <c r="C1040" s="53" t="s">
        <v>159</v>
      </c>
      <c r="D1040" s="79" t="s">
        <v>159</v>
      </c>
      <c r="E1040" s="79" t="s">
        <v>4187</v>
      </c>
      <c r="F1040" s="79" t="s">
        <v>4778</v>
      </c>
      <c r="G1040" s="79" t="s">
        <v>3233</v>
      </c>
      <c r="H1040" s="79">
        <v>82156700</v>
      </c>
      <c r="I1040" s="79" t="s">
        <v>4915</v>
      </c>
      <c r="J1040" s="79" t="s">
        <v>4445</v>
      </c>
    </row>
    <row r="1041" spans="1:10" ht="14.25" hidden="1" customHeight="1" x14ac:dyDescent="0.25">
      <c r="A1041" s="78">
        <v>823695004</v>
      </c>
      <c r="B1041" s="54" t="s">
        <v>594</v>
      </c>
      <c r="C1041" s="53" t="s">
        <v>159</v>
      </c>
      <c r="D1041" s="79" t="s">
        <v>159</v>
      </c>
      <c r="E1041" s="79" t="s">
        <v>4175</v>
      </c>
      <c r="F1041" s="79" t="s">
        <v>4788</v>
      </c>
      <c r="G1041" s="79" t="s">
        <v>3235</v>
      </c>
      <c r="H1041" s="79">
        <v>82369500</v>
      </c>
      <c r="I1041" s="79" t="s">
        <v>4915</v>
      </c>
      <c r="J1041" s="79" t="s">
        <v>4445</v>
      </c>
    </row>
    <row r="1042" spans="1:10" ht="14.25" hidden="1" customHeight="1" x14ac:dyDescent="0.25">
      <c r="A1042" s="78">
        <v>856109003</v>
      </c>
      <c r="B1042" s="54" t="s">
        <v>4861</v>
      </c>
      <c r="C1042" s="53" t="s">
        <v>159</v>
      </c>
      <c r="D1042" s="79" t="s">
        <v>159</v>
      </c>
      <c r="E1042" s="79" t="s">
        <v>4175</v>
      </c>
      <c r="F1042" s="79" t="s">
        <v>4788</v>
      </c>
      <c r="G1042" s="79" t="s">
        <v>3238</v>
      </c>
      <c r="H1042" s="79">
        <v>85610900</v>
      </c>
      <c r="I1042" s="79" t="s">
        <v>4915</v>
      </c>
      <c r="J1042" s="79" t="s">
        <v>4445</v>
      </c>
    </row>
    <row r="1043" spans="1:10" ht="14.25" hidden="1" customHeight="1" x14ac:dyDescent="0.25">
      <c r="A1043" s="78">
        <v>863833000</v>
      </c>
      <c r="B1043" s="54" t="s">
        <v>4862</v>
      </c>
      <c r="C1043" s="53" t="s">
        <v>159</v>
      </c>
      <c r="D1043" s="79" t="s">
        <v>159</v>
      </c>
      <c r="E1043" s="79" t="s">
        <v>4391</v>
      </c>
      <c r="F1043" s="79" t="s">
        <v>4778</v>
      </c>
      <c r="G1043" s="79" t="s">
        <v>3243</v>
      </c>
      <c r="H1043" s="79">
        <v>86383300</v>
      </c>
      <c r="I1043" s="79" t="s">
        <v>4915</v>
      </c>
      <c r="J1043" s="79" t="s">
        <v>4445</v>
      </c>
    </row>
    <row r="1044" spans="1:10" ht="14.25" hidden="1" customHeight="1" x14ac:dyDescent="0.25">
      <c r="A1044" s="78">
        <v>867975004</v>
      </c>
      <c r="B1044" s="54" t="s">
        <v>3674</v>
      </c>
      <c r="C1044" s="53" t="s">
        <v>159</v>
      </c>
      <c r="D1044" s="79" t="s">
        <v>159</v>
      </c>
      <c r="E1044" s="79" t="s">
        <v>4171</v>
      </c>
      <c r="F1044" s="79" t="s">
        <v>4789</v>
      </c>
      <c r="G1044" s="79" t="s">
        <v>3673</v>
      </c>
      <c r="H1044" s="79">
        <v>86797500</v>
      </c>
      <c r="I1044" s="79" t="s">
        <v>4915</v>
      </c>
      <c r="J1044" s="79" t="s">
        <v>4445</v>
      </c>
    </row>
    <row r="1045" spans="1:10" ht="14.25" hidden="1" customHeight="1" x14ac:dyDescent="0.25">
      <c r="A1045" s="78">
        <v>880562002</v>
      </c>
      <c r="B1045" s="54" t="s">
        <v>3250</v>
      </c>
      <c r="C1045" s="53" t="s">
        <v>159</v>
      </c>
      <c r="D1045" s="79" t="s">
        <v>159</v>
      </c>
      <c r="E1045" s="79" t="s">
        <v>4257</v>
      </c>
      <c r="F1045" s="79" t="s">
        <v>4791</v>
      </c>
      <c r="G1045" s="79" t="s">
        <v>3249</v>
      </c>
      <c r="H1045" s="79">
        <v>88056200</v>
      </c>
      <c r="I1045" s="79" t="s">
        <v>4915</v>
      </c>
      <c r="J1045" s="79" t="s">
        <v>4445</v>
      </c>
    </row>
    <row r="1046" spans="1:10" ht="14.25" hidden="1" customHeight="1" x14ac:dyDescent="0.25">
      <c r="A1046" s="78">
        <v>880566008</v>
      </c>
      <c r="B1046" s="54" t="s">
        <v>1050</v>
      </c>
      <c r="C1046" s="53" t="s">
        <v>159</v>
      </c>
      <c r="D1046" s="79" t="s">
        <v>159</v>
      </c>
      <c r="E1046" s="79" t="s">
        <v>4218</v>
      </c>
      <c r="F1046" s="79" t="s">
        <v>4779</v>
      </c>
      <c r="G1046" s="79" t="s">
        <v>4062</v>
      </c>
      <c r="H1046" s="79">
        <v>88056600</v>
      </c>
      <c r="I1046" s="79" t="s">
        <v>4915</v>
      </c>
      <c r="J1046" s="79" t="s">
        <v>4445</v>
      </c>
    </row>
    <row r="1047" spans="1:10" ht="14.25" hidden="1" customHeight="1" x14ac:dyDescent="0.25">
      <c r="A1047" s="78">
        <v>896304003</v>
      </c>
      <c r="B1047" s="54" t="s">
        <v>3463</v>
      </c>
      <c r="C1047" s="53" t="s">
        <v>159</v>
      </c>
      <c r="D1047" s="79" t="s">
        <v>159</v>
      </c>
      <c r="E1047" s="79" t="s">
        <v>4391</v>
      </c>
      <c r="F1047" s="79" t="s">
        <v>4778</v>
      </c>
      <c r="G1047" s="79" t="s">
        <v>3462</v>
      </c>
      <c r="H1047" s="79">
        <v>89630400</v>
      </c>
      <c r="I1047" s="79" t="s">
        <v>4915</v>
      </c>
      <c r="J1047" s="79" t="s">
        <v>4445</v>
      </c>
    </row>
    <row r="1048" spans="1:10" ht="14.25" hidden="1" customHeight="1" x14ac:dyDescent="0.25">
      <c r="A1048" s="78">
        <v>902560009</v>
      </c>
      <c r="B1048" s="54" t="s">
        <v>598</v>
      </c>
      <c r="C1048" s="53" t="s">
        <v>159</v>
      </c>
      <c r="D1048" s="79" t="s">
        <v>159</v>
      </c>
      <c r="E1048" s="79" t="s">
        <v>4458</v>
      </c>
      <c r="F1048" s="79" t="s">
        <v>4778</v>
      </c>
      <c r="G1048" s="79" t="s">
        <v>3263</v>
      </c>
      <c r="H1048" s="79">
        <v>90256000</v>
      </c>
      <c r="I1048" s="79" t="s">
        <v>4914</v>
      </c>
      <c r="J1048" s="79" t="s">
        <v>4445</v>
      </c>
    </row>
    <row r="1049" spans="1:10" ht="14.25" hidden="1" customHeight="1" x14ac:dyDescent="0.25">
      <c r="A1049" s="78">
        <v>915750001</v>
      </c>
      <c r="B1049" s="54" t="s">
        <v>600</v>
      </c>
      <c r="C1049" s="53" t="s">
        <v>159</v>
      </c>
      <c r="D1049" s="79" t="s">
        <v>159</v>
      </c>
      <c r="E1049" s="79" t="s">
        <v>4393</v>
      </c>
      <c r="F1049" s="79" t="s">
        <v>4778</v>
      </c>
      <c r="G1049" s="79" t="s">
        <v>3267</v>
      </c>
      <c r="H1049" s="79">
        <v>91575000</v>
      </c>
      <c r="I1049" s="79" t="s">
        <v>4915</v>
      </c>
      <c r="J1049" s="79" t="s">
        <v>4445</v>
      </c>
    </row>
    <row r="1050" spans="1:10" ht="14.25" hidden="1" customHeight="1" x14ac:dyDescent="0.25">
      <c r="A1050" s="78">
        <v>965333304</v>
      </c>
      <c r="B1050" s="54" t="s">
        <v>601</v>
      </c>
      <c r="C1050" s="53" t="s">
        <v>159</v>
      </c>
      <c r="D1050" s="79" t="s">
        <v>159</v>
      </c>
      <c r="E1050" s="79" t="s">
        <v>4391</v>
      </c>
      <c r="F1050" s="79" t="s">
        <v>4778</v>
      </c>
      <c r="G1050" s="79" t="s">
        <v>3286</v>
      </c>
      <c r="H1050" s="79">
        <v>96533330</v>
      </c>
      <c r="I1050" s="79" t="s">
        <v>4915</v>
      </c>
      <c r="J1050" s="79" t="s">
        <v>4445</v>
      </c>
    </row>
    <row r="1051" spans="1:10" ht="14.25" hidden="1" customHeight="1" x14ac:dyDescent="0.25">
      <c r="A1051" s="78">
        <v>965596305</v>
      </c>
      <c r="B1051" s="54" t="s">
        <v>4046</v>
      </c>
      <c r="C1051" s="53" t="s">
        <v>159</v>
      </c>
      <c r="D1051" s="79" t="s">
        <v>159</v>
      </c>
      <c r="E1051" s="79" t="s">
        <v>4175</v>
      </c>
      <c r="F1051" s="79" t="s">
        <v>4788</v>
      </c>
      <c r="G1051" s="79" t="s">
        <v>4045</v>
      </c>
      <c r="H1051" s="79">
        <v>96559630</v>
      </c>
      <c r="I1051" s="79" t="s">
        <v>4915</v>
      </c>
      <c r="J1051" s="79" t="s">
        <v>4445</v>
      </c>
    </row>
    <row r="1052" spans="1:10" ht="14.25" hidden="1" customHeight="1" x14ac:dyDescent="0.25">
      <c r="A1052" s="78">
        <v>965884009</v>
      </c>
      <c r="B1052" s="54" t="s">
        <v>1029</v>
      </c>
      <c r="C1052" s="53" t="s">
        <v>159</v>
      </c>
      <c r="D1052" s="79" t="s">
        <v>159</v>
      </c>
      <c r="E1052" s="79" t="s">
        <v>4393</v>
      </c>
      <c r="F1052" s="79" t="s">
        <v>4778</v>
      </c>
      <c r="G1052" s="79" t="s">
        <v>2402</v>
      </c>
      <c r="H1052" s="79">
        <v>96588400</v>
      </c>
      <c r="I1052" s="79" t="s">
        <v>4915</v>
      </c>
      <c r="J1052" s="79" t="s">
        <v>4445</v>
      </c>
    </row>
    <row r="1053" spans="1:10" ht="14.25" hidden="1" customHeight="1" x14ac:dyDescent="0.25">
      <c r="A1053" s="78">
        <v>966259507</v>
      </c>
      <c r="B1053" s="54" t="s">
        <v>4863</v>
      </c>
      <c r="C1053" s="53" t="s">
        <v>159</v>
      </c>
      <c r="D1053" s="79" t="s">
        <v>159</v>
      </c>
      <c r="E1053" s="79" t="s">
        <v>4456</v>
      </c>
      <c r="F1053" s="79" t="s">
        <v>4778</v>
      </c>
      <c r="G1053" s="79" t="s">
        <v>3310</v>
      </c>
      <c r="H1053" s="79">
        <v>96625950</v>
      </c>
      <c r="I1053" s="79" t="s">
        <v>4915</v>
      </c>
      <c r="J1053" s="79" t="s">
        <v>4445</v>
      </c>
    </row>
    <row r="1054" spans="1:10" ht="14.25" hidden="1" customHeight="1" x14ac:dyDescent="0.25">
      <c r="A1054" s="78">
        <v>966613505</v>
      </c>
      <c r="B1054" s="54" t="s">
        <v>3313</v>
      </c>
      <c r="C1054" s="53" t="s">
        <v>159</v>
      </c>
      <c r="D1054" s="79" t="s">
        <v>159</v>
      </c>
      <c r="E1054" s="79" t="s">
        <v>4460</v>
      </c>
      <c r="F1054" s="79" t="s">
        <v>4786</v>
      </c>
      <c r="G1054" s="79" t="s">
        <v>3312</v>
      </c>
      <c r="H1054" s="79">
        <v>96661350</v>
      </c>
      <c r="I1054" s="79" t="s">
        <v>4915</v>
      </c>
      <c r="J1054" s="79" t="s">
        <v>4445</v>
      </c>
    </row>
    <row r="1055" spans="1:10" ht="14.25" hidden="1" customHeight="1" x14ac:dyDescent="0.25">
      <c r="A1055" s="78">
        <v>967843806</v>
      </c>
      <c r="B1055" s="54" t="s">
        <v>4070</v>
      </c>
      <c r="C1055" s="53" t="s">
        <v>159</v>
      </c>
      <c r="D1055" s="79" t="s">
        <v>159</v>
      </c>
      <c r="E1055" s="79" t="s">
        <v>4186</v>
      </c>
      <c r="F1055" s="79" t="s">
        <v>4802</v>
      </c>
      <c r="G1055" s="79" t="s">
        <v>4069</v>
      </c>
      <c r="H1055" s="79">
        <v>96784380</v>
      </c>
      <c r="I1055" s="79" t="s">
        <v>4915</v>
      </c>
      <c r="J1055" s="79" t="s">
        <v>4445</v>
      </c>
    </row>
    <row r="1056" spans="1:10" ht="14.25" hidden="1" customHeight="1" x14ac:dyDescent="0.25">
      <c r="A1056" s="78">
        <v>967900400</v>
      </c>
      <c r="B1056" s="54" t="s">
        <v>610</v>
      </c>
      <c r="C1056" s="53" t="s">
        <v>4793</v>
      </c>
      <c r="D1056" s="79" t="s">
        <v>4794</v>
      </c>
      <c r="E1056" s="79" t="s">
        <v>4393</v>
      </c>
      <c r="F1056" s="79" t="s">
        <v>4778</v>
      </c>
      <c r="G1056" s="79" t="s">
        <v>3342</v>
      </c>
      <c r="H1056" s="79">
        <v>96790040</v>
      </c>
      <c r="I1056" s="79" t="s">
        <v>4915</v>
      </c>
      <c r="J1056" s="79" t="s">
        <v>4445</v>
      </c>
    </row>
    <row r="1057" spans="1:10" ht="14.25" hidden="1" customHeight="1" x14ac:dyDescent="0.25">
      <c r="A1057" s="78">
        <v>968859404</v>
      </c>
      <c r="B1057" s="54" t="s">
        <v>134</v>
      </c>
      <c r="C1057" s="53" t="s">
        <v>12</v>
      </c>
      <c r="D1057" s="79" t="s">
        <v>4785</v>
      </c>
      <c r="E1057" s="79" t="s">
        <v>4183</v>
      </c>
      <c r="F1057" s="79" t="s">
        <v>4786</v>
      </c>
      <c r="G1057" s="79" t="s">
        <v>4613</v>
      </c>
      <c r="H1057" s="79">
        <v>96885940</v>
      </c>
      <c r="I1057" s="79" t="s">
        <v>4915</v>
      </c>
      <c r="J1057" s="79" t="s">
        <v>4464</v>
      </c>
    </row>
    <row r="1058" spans="1:10" ht="14.25" hidden="1" customHeight="1" x14ac:dyDescent="0.25">
      <c r="A1058" s="78">
        <v>969636603</v>
      </c>
      <c r="B1058" s="54" t="s">
        <v>136</v>
      </c>
      <c r="C1058" s="53" t="s">
        <v>4757</v>
      </c>
      <c r="D1058" s="79" t="s">
        <v>4787</v>
      </c>
      <c r="E1058" s="79" t="s">
        <v>4175</v>
      </c>
      <c r="F1058" s="79" t="s">
        <v>4788</v>
      </c>
      <c r="G1058" s="79" t="s">
        <v>3260</v>
      </c>
      <c r="H1058" s="79">
        <v>96963660</v>
      </c>
      <c r="I1058" s="79" t="s">
        <v>4914</v>
      </c>
      <c r="J1058" s="79" t="s">
        <v>2372</v>
      </c>
    </row>
    <row r="1059" spans="1:10" ht="14.25" hidden="1" customHeight="1" x14ac:dyDescent="0.25">
      <c r="A1059" s="78">
        <v>995071304</v>
      </c>
      <c r="B1059" s="54" t="s">
        <v>615</v>
      </c>
      <c r="C1059" s="53" t="s">
        <v>159</v>
      </c>
      <c r="D1059" s="79" t="s">
        <v>159</v>
      </c>
      <c r="E1059" s="79" t="s">
        <v>4391</v>
      </c>
      <c r="F1059" s="79" t="s">
        <v>4778</v>
      </c>
      <c r="G1059" s="79" t="s">
        <v>4072</v>
      </c>
      <c r="H1059" s="79">
        <v>99507130</v>
      </c>
      <c r="I1059" s="79" t="s">
        <v>4915</v>
      </c>
      <c r="J1059" s="79" t="s">
        <v>4445</v>
      </c>
    </row>
    <row r="1060" spans="1:10" ht="14.25" hidden="1" customHeight="1" x14ac:dyDescent="0.25">
      <c r="A1060" s="78">
        <v>995458705</v>
      </c>
      <c r="B1060" s="54" t="s">
        <v>3972</v>
      </c>
      <c r="C1060" s="53" t="s">
        <v>159</v>
      </c>
      <c r="D1060" s="79" t="s">
        <v>159</v>
      </c>
      <c r="E1060" s="79" t="s">
        <v>4186</v>
      </c>
      <c r="F1060" s="79" t="s">
        <v>4802</v>
      </c>
      <c r="G1060" s="79" t="s">
        <v>3971</v>
      </c>
      <c r="H1060" s="79">
        <v>99545870</v>
      </c>
      <c r="I1060" s="79" t="s">
        <v>4915</v>
      </c>
      <c r="J1060" s="79" t="s">
        <v>4445</v>
      </c>
    </row>
    <row r="1061" spans="1:10" ht="14.25" hidden="1" customHeight="1" x14ac:dyDescent="0.25">
      <c r="A1061" s="78">
        <v>995696703</v>
      </c>
      <c r="B1061" s="54" t="s">
        <v>3635</v>
      </c>
      <c r="C1061" s="53" t="s">
        <v>159</v>
      </c>
      <c r="D1061" s="79" t="s">
        <v>159</v>
      </c>
      <c r="E1061" s="79" t="s">
        <v>4383</v>
      </c>
      <c r="F1061" s="79" t="s">
        <v>4778</v>
      </c>
      <c r="G1061" s="79" t="s">
        <v>3634</v>
      </c>
      <c r="H1061" s="79">
        <v>99569670</v>
      </c>
      <c r="I1061" s="79" t="s">
        <v>4915</v>
      </c>
      <c r="J1061" s="79" t="s">
        <v>4445</v>
      </c>
    </row>
    <row r="1062" spans="1:10" ht="14.25" hidden="1" customHeight="1" x14ac:dyDescent="0.25">
      <c r="A1062" s="78">
        <v>995931702</v>
      </c>
      <c r="B1062" s="54" t="s">
        <v>619</v>
      </c>
      <c r="C1062" s="53" t="s">
        <v>159</v>
      </c>
      <c r="D1062" s="79" t="s">
        <v>159</v>
      </c>
      <c r="E1062" s="79" t="s">
        <v>4410</v>
      </c>
      <c r="F1062" s="79" t="s">
        <v>4778</v>
      </c>
      <c r="G1062" s="79" t="s">
        <v>3989</v>
      </c>
      <c r="H1062" s="79">
        <v>99593170</v>
      </c>
      <c r="I1062" s="79" t="s">
        <v>4915</v>
      </c>
      <c r="J1062" s="79" t="s">
        <v>4445</v>
      </c>
    </row>
    <row r="1063" spans="1:10" ht="14.25" hidden="1" customHeight="1" x14ac:dyDescent="0.25">
      <c r="A1063" s="78" t="s">
        <v>4763</v>
      </c>
      <c r="B1063" s="54" t="s">
        <v>4024</v>
      </c>
      <c r="C1063" s="53" t="s">
        <v>159</v>
      </c>
      <c r="D1063" s="79" t="s">
        <v>159</v>
      </c>
      <c r="E1063" s="79" t="s">
        <v>4393</v>
      </c>
      <c r="F1063" s="79" t="s">
        <v>4778</v>
      </c>
      <c r="G1063" s="79" t="s">
        <v>4023</v>
      </c>
      <c r="H1063" s="79">
        <v>17777412</v>
      </c>
      <c r="I1063" s="79" t="s">
        <v>4915</v>
      </c>
      <c r="J1063" s="79" t="s">
        <v>4445</v>
      </c>
    </row>
    <row r="1064" spans="1:10" ht="14.25" hidden="1" customHeight="1" x14ac:dyDescent="0.25">
      <c r="A1064" s="78" t="s">
        <v>624</v>
      </c>
      <c r="B1064" s="54" t="s">
        <v>625</v>
      </c>
      <c r="C1064" s="53" t="s">
        <v>159</v>
      </c>
      <c r="D1064" s="79" t="s">
        <v>159</v>
      </c>
      <c r="E1064" s="79" t="s">
        <v>4459</v>
      </c>
      <c r="F1064" s="79" t="s">
        <v>4788</v>
      </c>
      <c r="G1064" s="79" t="s">
        <v>4093</v>
      </c>
      <c r="H1064" s="79">
        <v>61601000</v>
      </c>
      <c r="I1064" s="79" t="s">
        <v>4914</v>
      </c>
      <c r="J1064" s="79" t="s">
        <v>4445</v>
      </c>
    </row>
    <row r="1065" spans="1:10" ht="14.25" hidden="1" customHeight="1" x14ac:dyDescent="0.25">
      <c r="A1065" s="78" t="s">
        <v>640</v>
      </c>
      <c r="B1065" s="54" t="s">
        <v>641</v>
      </c>
      <c r="C1065" s="53" t="s">
        <v>159</v>
      </c>
      <c r="D1065" s="79" t="s">
        <v>159</v>
      </c>
      <c r="E1065" s="79" t="s">
        <v>4488</v>
      </c>
      <c r="F1065" s="79" t="s">
        <v>4784</v>
      </c>
      <c r="G1065" s="79" t="s">
        <v>1262</v>
      </c>
      <c r="H1065" s="79">
        <v>61602311</v>
      </c>
      <c r="I1065" s="79" t="s">
        <v>4914</v>
      </c>
      <c r="J1065" s="79" t="s">
        <v>4445</v>
      </c>
    </row>
    <row r="1066" spans="1:10" ht="14.25" hidden="1" customHeight="1" x14ac:dyDescent="0.25">
      <c r="A1066" s="78" t="s">
        <v>659</v>
      </c>
      <c r="B1066" s="54" t="s">
        <v>660</v>
      </c>
      <c r="C1066" s="53" t="s">
        <v>159</v>
      </c>
      <c r="D1066" s="79" t="s">
        <v>159</v>
      </c>
      <c r="E1066" s="79" t="s">
        <v>4381</v>
      </c>
      <c r="F1066" s="79" t="s">
        <v>4778</v>
      </c>
      <c r="G1066" s="79" t="s">
        <v>1474</v>
      </c>
      <c r="H1066" s="79">
        <v>61608500</v>
      </c>
      <c r="I1066" s="79" t="s">
        <v>4914</v>
      </c>
      <c r="J1066" s="79" t="s">
        <v>4445</v>
      </c>
    </row>
    <row r="1067" spans="1:10" ht="14.25" hidden="1" customHeight="1" x14ac:dyDescent="0.25">
      <c r="A1067" s="78" t="s">
        <v>661</v>
      </c>
      <c r="B1067" s="54" t="s">
        <v>662</v>
      </c>
      <c r="C1067" s="53" t="s">
        <v>159</v>
      </c>
      <c r="D1067" s="79" t="s">
        <v>159</v>
      </c>
      <c r="E1067" s="79" t="s">
        <v>4212</v>
      </c>
      <c r="F1067" s="79" t="s">
        <v>4786</v>
      </c>
      <c r="G1067" s="79" t="s">
        <v>1489</v>
      </c>
      <c r="H1067" s="79">
        <v>61929100</v>
      </c>
      <c r="I1067" s="79" t="s">
        <v>4914</v>
      </c>
      <c r="J1067" s="79" t="s">
        <v>4445</v>
      </c>
    </row>
    <row r="1068" spans="1:10" ht="14.25" hidden="1" customHeight="1" x14ac:dyDescent="0.25">
      <c r="A1068" s="78" t="s">
        <v>666</v>
      </c>
      <c r="B1068" s="54" t="s">
        <v>667</v>
      </c>
      <c r="C1068" s="53" t="s">
        <v>159</v>
      </c>
      <c r="D1068" s="79" t="s">
        <v>159</v>
      </c>
      <c r="E1068" s="79" t="s">
        <v>4391</v>
      </c>
      <c r="F1068" s="79" t="s">
        <v>4778</v>
      </c>
      <c r="G1068" s="79" t="s">
        <v>4135</v>
      </c>
      <c r="H1068" s="79">
        <v>65001975</v>
      </c>
      <c r="I1068" s="79" t="s">
        <v>4915</v>
      </c>
      <c r="J1068" s="79" t="s">
        <v>4445</v>
      </c>
    </row>
    <row r="1069" spans="1:10" ht="14.25" hidden="1" customHeight="1" x14ac:dyDescent="0.25">
      <c r="A1069" s="78" t="s">
        <v>674</v>
      </c>
      <c r="B1069" s="54" t="s">
        <v>675</v>
      </c>
      <c r="C1069" s="53" t="s">
        <v>159</v>
      </c>
      <c r="D1069" s="79" t="s">
        <v>159</v>
      </c>
      <c r="E1069" s="79" t="s">
        <v>4306</v>
      </c>
      <c r="F1069" s="79" t="s">
        <v>4788</v>
      </c>
      <c r="G1069" s="79" t="s">
        <v>2794</v>
      </c>
      <c r="H1069" s="79">
        <v>69050300</v>
      </c>
      <c r="I1069" s="79" t="s">
        <v>4914</v>
      </c>
      <c r="J1069" s="79" t="s">
        <v>4445</v>
      </c>
    </row>
    <row r="1070" spans="1:10" ht="14.25" hidden="1" customHeight="1" x14ac:dyDescent="0.25">
      <c r="A1070" s="78" t="s">
        <v>4764</v>
      </c>
      <c r="B1070" s="54" t="s">
        <v>1680</v>
      </c>
      <c r="C1070" s="53" t="s">
        <v>159</v>
      </c>
      <c r="D1070" s="79" t="s">
        <v>159</v>
      </c>
      <c r="E1070" s="79" t="s">
        <v>4313</v>
      </c>
      <c r="F1070" s="79" t="s">
        <v>4788</v>
      </c>
      <c r="G1070" s="79" t="s">
        <v>1679</v>
      </c>
      <c r="H1070" s="79">
        <v>69060700</v>
      </c>
      <c r="I1070" s="79" t="s">
        <v>4914</v>
      </c>
      <c r="J1070" s="79" t="s">
        <v>4445</v>
      </c>
    </row>
    <row r="1071" spans="1:10" ht="14.25" hidden="1" customHeight="1" x14ac:dyDescent="0.25">
      <c r="A1071" s="78" t="s">
        <v>680</v>
      </c>
      <c r="B1071" s="54" t="s">
        <v>681</v>
      </c>
      <c r="C1071" s="53" t="s">
        <v>159</v>
      </c>
      <c r="D1071" s="79" t="s">
        <v>159</v>
      </c>
      <c r="E1071" s="79" t="s">
        <v>4331</v>
      </c>
      <c r="F1071" s="79" t="s">
        <v>4795</v>
      </c>
      <c r="G1071" s="79" t="s">
        <v>1296</v>
      </c>
      <c r="H1071" s="79">
        <v>69090800</v>
      </c>
      <c r="I1071" s="79" t="s">
        <v>4914</v>
      </c>
      <c r="J1071" s="79" t="s">
        <v>4445</v>
      </c>
    </row>
    <row r="1072" spans="1:10" ht="14.25" hidden="1" customHeight="1" x14ac:dyDescent="0.25">
      <c r="A1072" s="78" t="s">
        <v>4765</v>
      </c>
      <c r="B1072" s="54" t="s">
        <v>1829</v>
      </c>
      <c r="C1072" s="53" t="s">
        <v>159</v>
      </c>
      <c r="D1072" s="79" t="s">
        <v>159</v>
      </c>
      <c r="E1072" s="79" t="s">
        <v>4265</v>
      </c>
      <c r="F1072" s="79" t="s">
        <v>4791</v>
      </c>
      <c r="G1072" s="79" t="s">
        <v>1828</v>
      </c>
      <c r="H1072" s="79">
        <v>69130700</v>
      </c>
      <c r="I1072" s="79" t="s">
        <v>4914</v>
      </c>
      <c r="J1072" s="79" t="s">
        <v>4445</v>
      </c>
    </row>
    <row r="1073" spans="1:10" ht="14.25" hidden="1" customHeight="1" x14ac:dyDescent="0.25">
      <c r="A1073" s="78" t="s">
        <v>908</v>
      </c>
      <c r="B1073" s="54" t="s">
        <v>909</v>
      </c>
      <c r="C1073" s="53" t="s">
        <v>159</v>
      </c>
      <c r="D1073" s="79" t="s">
        <v>159</v>
      </c>
      <c r="E1073" s="79" t="s">
        <v>4275</v>
      </c>
      <c r="F1073" s="79" t="s">
        <v>4786</v>
      </c>
      <c r="G1073" s="79" t="s">
        <v>1616</v>
      </c>
      <c r="H1073" s="79">
        <v>69150901</v>
      </c>
      <c r="I1073" s="79" t="s">
        <v>4914</v>
      </c>
      <c r="J1073" s="79" t="s">
        <v>4445</v>
      </c>
    </row>
    <row r="1074" spans="1:10" ht="14.25" hidden="1" customHeight="1" x14ac:dyDescent="0.25">
      <c r="A1074" s="78" t="s">
        <v>684</v>
      </c>
      <c r="B1074" s="54" t="s">
        <v>685</v>
      </c>
      <c r="C1074" s="53" t="s">
        <v>159</v>
      </c>
      <c r="D1074" s="79" t="s">
        <v>159</v>
      </c>
      <c r="E1074" s="79" t="s">
        <v>4217</v>
      </c>
      <c r="F1074" s="79" t="s">
        <v>4779</v>
      </c>
      <c r="G1074" s="79" t="s">
        <v>1910</v>
      </c>
      <c r="H1074" s="79">
        <v>69180500</v>
      </c>
      <c r="I1074" s="79" t="s">
        <v>4914</v>
      </c>
      <c r="J1074" s="79" t="s">
        <v>4445</v>
      </c>
    </row>
    <row r="1075" spans="1:10" ht="14.25" hidden="1" customHeight="1" x14ac:dyDescent="0.25">
      <c r="A1075" s="78" t="s">
        <v>688</v>
      </c>
      <c r="B1075" s="54" t="s">
        <v>689</v>
      </c>
      <c r="C1075" s="53" t="s">
        <v>159</v>
      </c>
      <c r="D1075" s="79" t="s">
        <v>159</v>
      </c>
      <c r="E1075" s="79" t="s">
        <v>4367</v>
      </c>
      <c r="F1075" s="79" t="s">
        <v>4798</v>
      </c>
      <c r="G1075" s="79" t="s">
        <v>1749</v>
      </c>
      <c r="H1075" s="79">
        <v>69200700</v>
      </c>
      <c r="I1075" s="79" t="s">
        <v>4914</v>
      </c>
      <c r="J1075" s="79" t="s">
        <v>4445</v>
      </c>
    </row>
    <row r="1076" spans="1:10" ht="14.25" hidden="1" customHeight="1" x14ac:dyDescent="0.25">
      <c r="A1076" s="78" t="s">
        <v>917</v>
      </c>
      <c r="B1076" s="54" t="s">
        <v>918</v>
      </c>
      <c r="C1076" s="53" t="s">
        <v>159</v>
      </c>
      <c r="D1076" s="79" t="s">
        <v>159</v>
      </c>
      <c r="E1076" s="79" t="s">
        <v>4226</v>
      </c>
      <c r="F1076" s="79" t="s">
        <v>4784</v>
      </c>
      <c r="G1076" s="79" t="s">
        <v>1982</v>
      </c>
      <c r="H1076" s="79">
        <v>69220302</v>
      </c>
      <c r="I1076" s="79" t="s">
        <v>4914</v>
      </c>
      <c r="J1076" s="79" t="s">
        <v>4445</v>
      </c>
    </row>
    <row r="1077" spans="1:10" ht="14.25" hidden="1" customHeight="1" x14ac:dyDescent="0.25">
      <c r="A1077" s="78" t="s">
        <v>4766</v>
      </c>
      <c r="B1077" s="54" t="s">
        <v>2001</v>
      </c>
      <c r="C1077" s="53" t="s">
        <v>159</v>
      </c>
      <c r="D1077" s="79" t="s">
        <v>159</v>
      </c>
      <c r="E1077" s="79" t="s">
        <v>4243</v>
      </c>
      <c r="F1077" s="79" t="s">
        <v>4803</v>
      </c>
      <c r="G1077" s="79" t="s">
        <v>2000</v>
      </c>
      <c r="H1077" s="79">
        <v>69250500</v>
      </c>
      <c r="I1077" s="79" t="s">
        <v>4914</v>
      </c>
      <c r="J1077" s="79" t="s">
        <v>4445</v>
      </c>
    </row>
    <row r="1078" spans="1:10" ht="14.25" hidden="1" customHeight="1" x14ac:dyDescent="0.25">
      <c r="A1078" s="78" t="s">
        <v>690</v>
      </c>
      <c r="B1078" s="54" t="s">
        <v>691</v>
      </c>
      <c r="C1078" s="53" t="s">
        <v>159</v>
      </c>
      <c r="D1078" s="79" t="s">
        <v>159</v>
      </c>
      <c r="E1078" s="79" t="s">
        <v>4413</v>
      </c>
      <c r="F1078" s="79" t="s">
        <v>4779</v>
      </c>
      <c r="G1078" s="79" t="s">
        <v>1907</v>
      </c>
      <c r="H1078" s="79">
        <v>69265000</v>
      </c>
      <c r="I1078" s="79" t="s">
        <v>4914</v>
      </c>
      <c r="J1078" s="79" t="s">
        <v>4445</v>
      </c>
    </row>
    <row r="1079" spans="1:10" ht="14.25" hidden="1" customHeight="1" x14ac:dyDescent="0.25">
      <c r="A1079" s="78" t="s">
        <v>696</v>
      </c>
      <c r="B1079" s="54" t="s">
        <v>4864</v>
      </c>
      <c r="C1079" s="53" t="s">
        <v>159</v>
      </c>
      <c r="D1079" s="79" t="s">
        <v>159</v>
      </c>
      <c r="E1079" s="79" t="s">
        <v>4395</v>
      </c>
      <c r="F1079" s="79" t="s">
        <v>4778</v>
      </c>
      <c r="G1079" s="79" t="s">
        <v>3208</v>
      </c>
      <c r="H1079" s="79">
        <v>70932800</v>
      </c>
      <c r="I1079" s="79" t="s">
        <v>4914</v>
      </c>
      <c r="J1079" s="79" t="s">
        <v>4445</v>
      </c>
    </row>
    <row r="1080" spans="1:10" ht="14.25" hidden="1" customHeight="1" x14ac:dyDescent="0.25">
      <c r="A1080" s="78" t="s">
        <v>697</v>
      </c>
      <c r="B1080" s="54" t="s">
        <v>698</v>
      </c>
      <c r="C1080" s="53" t="s">
        <v>159</v>
      </c>
      <c r="D1080" s="79" t="s">
        <v>159</v>
      </c>
      <c r="E1080" s="79" t="s">
        <v>4391</v>
      </c>
      <c r="F1080" s="79" t="s">
        <v>4778</v>
      </c>
      <c r="G1080" s="79" t="s">
        <v>2409</v>
      </c>
      <c r="H1080" s="79">
        <v>71500500</v>
      </c>
      <c r="I1080" s="79" t="s">
        <v>4915</v>
      </c>
      <c r="J1080" s="79" t="s">
        <v>4445</v>
      </c>
    </row>
    <row r="1081" spans="1:10" ht="14.25" hidden="1" customHeight="1" x14ac:dyDescent="0.25">
      <c r="A1081" s="78" t="s">
        <v>701</v>
      </c>
      <c r="B1081" s="54" t="s">
        <v>702</v>
      </c>
      <c r="C1081" s="53" t="s">
        <v>159</v>
      </c>
      <c r="D1081" s="79" t="s">
        <v>159</v>
      </c>
      <c r="E1081" s="79" t="s">
        <v>4182</v>
      </c>
      <c r="F1081" s="79" t="s">
        <v>4796</v>
      </c>
      <c r="G1081" s="79" t="s">
        <v>2462</v>
      </c>
      <c r="H1081" s="79">
        <v>76037010</v>
      </c>
      <c r="I1081" s="79" t="s">
        <v>4915</v>
      </c>
      <c r="J1081" s="79" t="s">
        <v>4445</v>
      </c>
    </row>
    <row r="1082" spans="1:10" ht="14.25" hidden="1" customHeight="1" x14ac:dyDescent="0.25">
      <c r="A1082" s="78" t="s">
        <v>4767</v>
      </c>
      <c r="B1082" s="54" t="s">
        <v>3503</v>
      </c>
      <c r="C1082" s="53" t="s">
        <v>159</v>
      </c>
      <c r="D1082" s="79" t="s">
        <v>159</v>
      </c>
      <c r="E1082" s="79" t="s">
        <v>4391</v>
      </c>
      <c r="F1082" s="79" t="s">
        <v>4778</v>
      </c>
      <c r="G1082" s="79" t="s">
        <v>3502</v>
      </c>
      <c r="H1082" s="79">
        <v>76330700</v>
      </c>
      <c r="I1082" s="79" t="s">
        <v>4915</v>
      </c>
      <c r="J1082" s="79" t="s">
        <v>4445</v>
      </c>
    </row>
    <row r="1083" spans="1:10" ht="14.25" hidden="1" customHeight="1" x14ac:dyDescent="0.25">
      <c r="A1083" s="78" t="s">
        <v>708</v>
      </c>
      <c r="B1083" s="54" t="s">
        <v>709</v>
      </c>
      <c r="C1083" s="53" t="s">
        <v>159</v>
      </c>
      <c r="D1083" s="79" t="s">
        <v>159</v>
      </c>
      <c r="E1083" s="79" t="s">
        <v>4395</v>
      </c>
      <c r="F1083" s="79" t="s">
        <v>4778</v>
      </c>
      <c r="G1083" s="79" t="s">
        <v>3960</v>
      </c>
      <c r="H1083" s="79">
        <v>76512686</v>
      </c>
      <c r="I1083" s="79" t="s">
        <v>4915</v>
      </c>
      <c r="J1083" s="79" t="s">
        <v>4445</v>
      </c>
    </row>
    <row r="1084" spans="1:10" ht="14.25" hidden="1" customHeight="1" x14ac:dyDescent="0.25">
      <c r="A1084" s="78" t="s">
        <v>710</v>
      </c>
      <c r="B1084" s="54" t="s">
        <v>4865</v>
      </c>
      <c r="C1084" s="53" t="s">
        <v>159</v>
      </c>
      <c r="D1084" s="79" t="s">
        <v>159</v>
      </c>
      <c r="E1084" s="79" t="s">
        <v>4175</v>
      </c>
      <c r="F1084" s="79" t="s">
        <v>4788</v>
      </c>
      <c r="G1084" s="79" t="s">
        <v>2624</v>
      </c>
      <c r="H1084" s="79">
        <v>76555831</v>
      </c>
      <c r="I1084" s="79" t="s">
        <v>4915</v>
      </c>
      <c r="J1084" s="79" t="s">
        <v>4445</v>
      </c>
    </row>
    <row r="1085" spans="1:10" ht="14.25" hidden="1" customHeight="1" x14ac:dyDescent="0.25">
      <c r="A1085" s="78" t="s">
        <v>4768</v>
      </c>
      <c r="B1085" s="54" t="s">
        <v>4570</v>
      </c>
      <c r="C1085" s="53" t="s">
        <v>159</v>
      </c>
      <c r="D1085" s="79" t="s">
        <v>159</v>
      </c>
      <c r="E1085" s="79" t="s">
        <v>4218</v>
      </c>
      <c r="F1085" s="79" t="s">
        <v>4779</v>
      </c>
      <c r="G1085" s="79" t="s">
        <v>4569</v>
      </c>
      <c r="H1085" s="79">
        <v>76684927</v>
      </c>
      <c r="I1085" s="79" t="s">
        <v>4915</v>
      </c>
      <c r="J1085" s="79" t="s">
        <v>4445</v>
      </c>
    </row>
    <row r="1086" spans="1:10" ht="14.25" hidden="1" customHeight="1" x14ac:dyDescent="0.25">
      <c r="A1086" s="78" t="s">
        <v>4769</v>
      </c>
      <c r="B1086" s="54" t="s">
        <v>2726</v>
      </c>
      <c r="C1086" s="53" t="s">
        <v>159</v>
      </c>
      <c r="D1086" s="79" t="s">
        <v>159</v>
      </c>
      <c r="E1086" s="79" t="s">
        <v>4391</v>
      </c>
      <c r="F1086" s="79" t="s">
        <v>4778</v>
      </c>
      <c r="G1086" s="79" t="s">
        <v>2725</v>
      </c>
      <c r="H1086" s="79">
        <v>76813247</v>
      </c>
      <c r="I1086" s="79" t="s">
        <v>4915</v>
      </c>
      <c r="J1086" s="79" t="s">
        <v>4445</v>
      </c>
    </row>
    <row r="1087" spans="1:10" ht="14.25" hidden="1" customHeight="1" x14ac:dyDescent="0.25">
      <c r="A1087" s="78" t="s">
        <v>717</v>
      </c>
      <c r="B1087" s="54" t="s">
        <v>4866</v>
      </c>
      <c r="C1087" s="53" t="s">
        <v>159</v>
      </c>
      <c r="D1087" s="79" t="s">
        <v>159</v>
      </c>
      <c r="E1087" s="79" t="s">
        <v>4272</v>
      </c>
      <c r="F1087" s="79" t="s">
        <v>4786</v>
      </c>
      <c r="G1087" s="79" t="s">
        <v>2740</v>
      </c>
      <c r="H1087" s="79">
        <v>76850721</v>
      </c>
      <c r="I1087" s="79" t="s">
        <v>4915</v>
      </c>
      <c r="J1087" s="79" t="s">
        <v>4445</v>
      </c>
    </row>
    <row r="1088" spans="1:10" ht="14.25" hidden="1" customHeight="1" x14ac:dyDescent="0.25">
      <c r="A1088" s="78" t="s">
        <v>4770</v>
      </c>
      <c r="B1088" s="54" t="s">
        <v>2750</v>
      </c>
      <c r="C1088" s="53" t="s">
        <v>159</v>
      </c>
      <c r="D1088" s="79" t="s">
        <v>159</v>
      </c>
      <c r="E1088" s="79" t="s">
        <v>4510</v>
      </c>
      <c r="F1088" s="79" t="s">
        <v>4778</v>
      </c>
      <c r="G1088" s="79" t="s">
        <v>2749</v>
      </c>
      <c r="H1088" s="79">
        <v>76865249</v>
      </c>
      <c r="I1088" s="79" t="s">
        <v>4915</v>
      </c>
      <c r="J1088" s="79" t="s">
        <v>4445</v>
      </c>
    </row>
    <row r="1089" spans="1:10" ht="14.25" hidden="1" customHeight="1" x14ac:dyDescent="0.25">
      <c r="A1089" s="78" t="s">
        <v>4771</v>
      </c>
      <c r="B1089" s="54" t="s">
        <v>3365</v>
      </c>
      <c r="C1089" s="53" t="s">
        <v>159</v>
      </c>
      <c r="D1089" s="79" t="s">
        <v>159</v>
      </c>
      <c r="E1089" s="79" t="s">
        <v>4381</v>
      </c>
      <c r="F1089" s="79" t="s">
        <v>4778</v>
      </c>
      <c r="G1089" s="79" t="s">
        <v>3364</v>
      </c>
      <c r="H1089" s="79">
        <v>76882794</v>
      </c>
      <c r="I1089" s="79" t="s">
        <v>4915</v>
      </c>
      <c r="J1089" s="79" t="s">
        <v>4445</v>
      </c>
    </row>
    <row r="1090" spans="1:10" ht="14.25" hidden="1" customHeight="1" x14ac:dyDescent="0.25">
      <c r="A1090" s="78" t="s">
        <v>724</v>
      </c>
      <c r="B1090" s="54" t="s">
        <v>725</v>
      </c>
      <c r="C1090" s="53" t="s">
        <v>159</v>
      </c>
      <c r="D1090" s="79" t="s">
        <v>159</v>
      </c>
      <c r="E1090" s="79" t="s">
        <v>4465</v>
      </c>
      <c r="F1090" s="79" t="s">
        <v>4778</v>
      </c>
      <c r="G1090" s="79" t="s">
        <v>2907</v>
      </c>
      <c r="H1090" s="79">
        <v>77198052</v>
      </c>
      <c r="I1090" s="79" t="s">
        <v>4915</v>
      </c>
      <c r="J1090" s="79" t="s">
        <v>4445</v>
      </c>
    </row>
    <row r="1091" spans="1:10" ht="14.25" hidden="1" customHeight="1" x14ac:dyDescent="0.25">
      <c r="A1091" s="78" t="s">
        <v>726</v>
      </c>
      <c r="B1091" s="54" t="s">
        <v>727</v>
      </c>
      <c r="C1091" s="53" t="s">
        <v>159</v>
      </c>
      <c r="D1091" s="79" t="s">
        <v>159</v>
      </c>
      <c r="E1091" s="79" t="s">
        <v>4528</v>
      </c>
      <c r="F1091" s="79" t="s">
        <v>4778</v>
      </c>
      <c r="G1091" s="79" t="s">
        <v>2925</v>
      </c>
      <c r="H1091" s="79">
        <v>77242437</v>
      </c>
      <c r="I1091" s="79" t="s">
        <v>4915</v>
      </c>
      <c r="J1091" s="79" t="s">
        <v>4445</v>
      </c>
    </row>
    <row r="1092" spans="1:10" ht="14.25" hidden="1" customHeight="1" x14ac:dyDescent="0.25">
      <c r="A1092" s="78" t="s">
        <v>4772</v>
      </c>
      <c r="B1092" s="54" t="s">
        <v>2942</v>
      </c>
      <c r="C1092" s="53" t="s">
        <v>159</v>
      </c>
      <c r="D1092" s="79" t="s">
        <v>159</v>
      </c>
      <c r="E1092" s="79" t="s">
        <v>4391</v>
      </c>
      <c r="F1092" s="79" t="s">
        <v>4778</v>
      </c>
      <c r="G1092" s="79" t="s">
        <v>2941</v>
      </c>
      <c r="H1092" s="79">
        <v>77305553</v>
      </c>
      <c r="I1092" s="79" t="s">
        <v>4915</v>
      </c>
      <c r="J1092" s="79" t="s">
        <v>4445</v>
      </c>
    </row>
    <row r="1093" spans="1:10" ht="14.25" hidden="1" customHeight="1" x14ac:dyDescent="0.25">
      <c r="A1093" s="78" t="s">
        <v>728</v>
      </c>
      <c r="B1093" s="54" t="s">
        <v>729</v>
      </c>
      <c r="C1093" s="53" t="s">
        <v>159</v>
      </c>
      <c r="D1093" s="79" t="s">
        <v>159</v>
      </c>
      <c r="E1093" s="79" t="s">
        <v>4448</v>
      </c>
      <c r="F1093" s="79" t="s">
        <v>4778</v>
      </c>
      <c r="G1093" s="79" t="s">
        <v>2951</v>
      </c>
      <c r="H1093" s="79">
        <v>77339458</v>
      </c>
      <c r="I1093" s="79" t="s">
        <v>4915</v>
      </c>
      <c r="J1093" s="79" t="s">
        <v>4445</v>
      </c>
    </row>
    <row r="1094" spans="1:10" ht="14.25" hidden="1" customHeight="1" x14ac:dyDescent="0.25">
      <c r="A1094" s="78" t="s">
        <v>4773</v>
      </c>
      <c r="B1094" s="54" t="s">
        <v>2966</v>
      </c>
      <c r="C1094" s="53" t="s">
        <v>159</v>
      </c>
      <c r="D1094" s="79" t="s">
        <v>159</v>
      </c>
      <c r="E1094" s="79" t="s">
        <v>4391</v>
      </c>
      <c r="F1094" s="79" t="s">
        <v>4778</v>
      </c>
      <c r="G1094" s="79" t="s">
        <v>2965</v>
      </c>
      <c r="H1094" s="79">
        <v>77368507</v>
      </c>
      <c r="I1094" s="79" t="s">
        <v>4915</v>
      </c>
      <c r="J1094" s="79" t="s">
        <v>4445</v>
      </c>
    </row>
    <row r="1095" spans="1:10" ht="14.25" hidden="1" customHeight="1" x14ac:dyDescent="0.25">
      <c r="A1095" s="78" t="s">
        <v>731</v>
      </c>
      <c r="B1095" s="54" t="s">
        <v>732</v>
      </c>
      <c r="C1095" s="53" t="s">
        <v>159</v>
      </c>
      <c r="D1095" s="79" t="s">
        <v>159</v>
      </c>
      <c r="E1095" s="79" t="s">
        <v>4224</v>
      </c>
      <c r="F1095" s="79" t="s">
        <v>4784</v>
      </c>
      <c r="G1095" s="79" t="s">
        <v>2987</v>
      </c>
      <c r="H1095" s="79">
        <v>77407029</v>
      </c>
      <c r="I1095" s="79" t="s">
        <v>4915</v>
      </c>
      <c r="J1095" s="79" t="s">
        <v>4445</v>
      </c>
    </row>
    <row r="1096" spans="1:10" ht="14.25" hidden="1" customHeight="1" x14ac:dyDescent="0.25">
      <c r="A1096" s="78" t="s">
        <v>4774</v>
      </c>
      <c r="B1096" s="54" t="s">
        <v>4588</v>
      </c>
      <c r="C1096" s="53" t="s">
        <v>159</v>
      </c>
      <c r="D1096" s="79" t="s">
        <v>159</v>
      </c>
      <c r="E1096" s="79" t="s">
        <v>4561</v>
      </c>
      <c r="F1096" s="79" t="s">
        <v>4778</v>
      </c>
      <c r="G1096" s="79" t="s">
        <v>4587</v>
      </c>
      <c r="H1096" s="79">
        <v>77478120</v>
      </c>
      <c r="I1096" s="79" t="s">
        <v>4915</v>
      </c>
      <c r="J1096" s="79" t="s">
        <v>4445</v>
      </c>
    </row>
    <row r="1097" spans="1:10" ht="14.25" hidden="1" customHeight="1" x14ac:dyDescent="0.25">
      <c r="A1097" s="78" t="s">
        <v>4775</v>
      </c>
      <c r="B1097" s="54" t="s">
        <v>1564</v>
      </c>
      <c r="C1097" s="53" t="s">
        <v>159</v>
      </c>
      <c r="D1097" s="79" t="s">
        <v>159</v>
      </c>
      <c r="E1097" s="79" t="s">
        <v>4460</v>
      </c>
      <c r="F1097" s="79" t="s">
        <v>4786</v>
      </c>
      <c r="G1097" s="79" t="s">
        <v>1563</v>
      </c>
      <c r="H1097" s="79">
        <v>77687535</v>
      </c>
      <c r="I1097" s="79" t="s">
        <v>4915</v>
      </c>
      <c r="J1097" s="79" t="s">
        <v>4445</v>
      </c>
    </row>
    <row r="1098" spans="1:10" ht="14.25" hidden="1" customHeight="1" x14ac:dyDescent="0.25">
      <c r="A1098" s="78" t="s">
        <v>739</v>
      </c>
      <c r="B1098" s="54" t="s">
        <v>4867</v>
      </c>
      <c r="C1098" s="53" t="s">
        <v>159</v>
      </c>
      <c r="D1098" s="79" t="s">
        <v>159</v>
      </c>
      <c r="E1098" s="79" t="s">
        <v>4470</v>
      </c>
      <c r="F1098" s="79" t="s">
        <v>4778</v>
      </c>
      <c r="G1098" s="79" t="s">
        <v>3324</v>
      </c>
      <c r="H1098" s="79">
        <v>96757080</v>
      </c>
      <c r="I1098" s="79" t="s">
        <v>4915</v>
      </c>
      <c r="J1098" s="79" t="s">
        <v>4445</v>
      </c>
    </row>
    <row r="1099" spans="1:10" ht="14.25" hidden="1" customHeight="1" x14ac:dyDescent="0.25">
      <c r="A1099" s="78" t="s">
        <v>740</v>
      </c>
      <c r="B1099" s="54" t="s">
        <v>741</v>
      </c>
      <c r="C1099" s="53" t="s">
        <v>159</v>
      </c>
      <c r="D1099" s="79" t="s">
        <v>159</v>
      </c>
      <c r="E1099" s="79" t="s">
        <v>4394</v>
      </c>
      <c r="F1099" s="79" t="s">
        <v>4778</v>
      </c>
      <c r="G1099" s="79" t="s">
        <v>3315</v>
      </c>
      <c r="H1099" s="79">
        <v>96879440</v>
      </c>
      <c r="I1099" s="79" t="s">
        <v>4915</v>
      </c>
      <c r="J1099" s="79" t="s">
        <v>4445</v>
      </c>
    </row>
    <row r="1100" spans="1:10" ht="14.25" hidden="1" customHeight="1" x14ac:dyDescent="0.25">
      <c r="A1100" s="78">
        <v>616023128</v>
      </c>
      <c r="B1100" s="54" t="s">
        <v>889</v>
      </c>
      <c r="C1100" s="53" t="s">
        <v>159</v>
      </c>
      <c r="D1100" s="79" t="s">
        <v>159</v>
      </c>
      <c r="E1100" s="79" t="s">
        <v>4236</v>
      </c>
      <c r="F1100" s="79" t="s">
        <v>4784</v>
      </c>
      <c r="G1100" s="79" t="s">
        <v>1185</v>
      </c>
      <c r="H1100" s="79">
        <v>61602312</v>
      </c>
      <c r="I1100" s="79" t="s">
        <v>4914</v>
      </c>
      <c r="J1100" s="79" t="s">
        <v>4445</v>
      </c>
    </row>
    <row r="1101" spans="1:10" ht="14.25" hidden="1" customHeight="1" x14ac:dyDescent="0.25">
      <c r="A1101" s="78">
        <v>954310000</v>
      </c>
      <c r="B1101" s="54" t="s">
        <v>871</v>
      </c>
      <c r="C1101" s="53" t="s">
        <v>159</v>
      </c>
      <c r="D1101" s="79" t="s">
        <v>159</v>
      </c>
      <c r="E1101" s="79" t="s">
        <v>4182</v>
      </c>
      <c r="F1101" s="79" t="s">
        <v>4796</v>
      </c>
      <c r="G1101" s="79" t="s">
        <v>3281</v>
      </c>
      <c r="H1101" s="79">
        <v>95431000</v>
      </c>
      <c r="I1101" s="79" t="s">
        <v>4915</v>
      </c>
      <c r="J1101" s="79" t="s">
        <v>4445</v>
      </c>
    </row>
    <row r="1102" spans="1:10" ht="14.25" hidden="1" customHeight="1" x14ac:dyDescent="0.25">
      <c r="A1102" s="78">
        <v>690734001</v>
      </c>
      <c r="B1102" s="54" t="s">
        <v>82</v>
      </c>
      <c r="C1102" s="53" t="s">
        <v>4757</v>
      </c>
      <c r="D1102" s="79" t="s">
        <v>4787</v>
      </c>
      <c r="E1102" s="79" t="s">
        <v>4198</v>
      </c>
      <c r="F1102" s="79" t="s">
        <v>4788</v>
      </c>
      <c r="G1102" s="79" t="s">
        <v>1722</v>
      </c>
      <c r="H1102" s="79">
        <v>69073400</v>
      </c>
      <c r="I1102" s="79" t="s">
        <v>4914</v>
      </c>
      <c r="J1102" s="79" t="s">
        <v>2372</v>
      </c>
    </row>
    <row r="1103" spans="1:10" ht="14.25" hidden="1" customHeight="1" x14ac:dyDescent="0.25">
      <c r="A1103" s="78">
        <v>967591904</v>
      </c>
      <c r="B1103" s="54" t="s">
        <v>4868</v>
      </c>
      <c r="C1103" s="53" t="s">
        <v>4793</v>
      </c>
      <c r="D1103" s="79" t="s">
        <v>4794</v>
      </c>
      <c r="E1103" s="79" t="s">
        <v>4394</v>
      </c>
      <c r="F1103" s="79" t="s">
        <v>4778</v>
      </c>
      <c r="G1103" s="79" t="s">
        <v>4869</v>
      </c>
      <c r="H1103" s="79">
        <v>96759190</v>
      </c>
      <c r="I1103" s="79" t="s">
        <v>4915</v>
      </c>
      <c r="J1103" s="79" t="s">
        <v>4445</v>
      </c>
    </row>
    <row r="1104" spans="1:10" ht="14.25" hidden="1" customHeight="1" x14ac:dyDescent="0.25">
      <c r="A1104" s="78">
        <v>611030215</v>
      </c>
      <c r="B1104" s="54" t="s">
        <v>962</v>
      </c>
      <c r="C1104" s="53" t="s">
        <v>159</v>
      </c>
      <c r="D1104" s="79" t="s">
        <v>159</v>
      </c>
      <c r="E1104" s="79" t="s">
        <v>4185</v>
      </c>
      <c r="F1104" s="79" t="s">
        <v>4806</v>
      </c>
      <c r="G1104" s="79" t="s">
        <v>4870</v>
      </c>
      <c r="H1104" s="79">
        <v>61103021</v>
      </c>
      <c r="I1104" s="79" t="s">
        <v>4914</v>
      </c>
      <c r="J1104" s="79" t="s">
        <v>4445</v>
      </c>
    </row>
    <row r="1105" spans="1:10" ht="14.25" hidden="1" customHeight="1" x14ac:dyDescent="0.25">
      <c r="A1105" s="78">
        <v>620008907</v>
      </c>
      <c r="B1105" s="54" t="s">
        <v>964</v>
      </c>
      <c r="C1105" s="53" t="s">
        <v>159</v>
      </c>
      <c r="D1105" s="79" t="s">
        <v>159</v>
      </c>
      <c r="E1105" s="79" t="s">
        <v>4460</v>
      </c>
      <c r="F1105" s="79" t="s">
        <v>4786</v>
      </c>
      <c r="G1105" s="79" t="s">
        <v>4871</v>
      </c>
      <c r="H1105" s="79">
        <v>62000890</v>
      </c>
      <c r="I1105" s="79" t="s">
        <v>4914</v>
      </c>
      <c r="J1105" s="79" t="s">
        <v>4445</v>
      </c>
    </row>
    <row r="1106" spans="1:10" ht="14.25" hidden="1" customHeight="1" x14ac:dyDescent="0.25">
      <c r="A1106" s="78">
        <v>654556504</v>
      </c>
      <c r="B1106" s="54" t="s">
        <v>965</v>
      </c>
      <c r="C1106" s="53" t="s">
        <v>159</v>
      </c>
      <c r="D1106" s="79" t="s">
        <v>159</v>
      </c>
      <c r="E1106" s="79" t="s">
        <v>4182</v>
      </c>
      <c r="F1106" s="79" t="s">
        <v>4796</v>
      </c>
      <c r="G1106" s="79" t="s">
        <v>4872</v>
      </c>
      <c r="H1106" s="79">
        <v>65455650</v>
      </c>
      <c r="I1106" s="79" t="s">
        <v>4914</v>
      </c>
      <c r="J1106" s="79" t="s">
        <v>4445</v>
      </c>
    </row>
    <row r="1107" spans="1:10" ht="14.25" hidden="1" customHeight="1" x14ac:dyDescent="0.25">
      <c r="A1107" s="78">
        <v>692532007</v>
      </c>
      <c r="B1107" s="54" t="s">
        <v>969</v>
      </c>
      <c r="C1107" s="53" t="s">
        <v>159</v>
      </c>
      <c r="D1107" s="79" t="s">
        <v>159</v>
      </c>
      <c r="E1107" s="79" t="s">
        <v>4873</v>
      </c>
      <c r="F1107" s="79" t="s">
        <v>4796</v>
      </c>
      <c r="G1107" s="79" t="s">
        <v>4874</v>
      </c>
      <c r="H1107" s="79">
        <v>69253200</v>
      </c>
      <c r="I1107" s="79" t="s">
        <v>4914</v>
      </c>
      <c r="J1107" s="79" t="s">
        <v>4445</v>
      </c>
    </row>
    <row r="1108" spans="1:10" ht="14.25" hidden="1" customHeight="1" x14ac:dyDescent="0.25">
      <c r="A1108" s="78">
        <v>879129001</v>
      </c>
      <c r="B1108" s="54" t="s">
        <v>972</v>
      </c>
      <c r="C1108" s="53" t="s">
        <v>159</v>
      </c>
      <c r="D1108" s="79" t="s">
        <v>159</v>
      </c>
      <c r="E1108" s="79" t="s">
        <v>4218</v>
      </c>
      <c r="F1108" s="79" t="s">
        <v>4779</v>
      </c>
      <c r="G1108" s="79" t="s">
        <v>4875</v>
      </c>
      <c r="H1108" s="79">
        <v>87912900</v>
      </c>
      <c r="I1108" s="79" t="s">
        <v>4914</v>
      </c>
      <c r="J1108" s="79" t="s">
        <v>4445</v>
      </c>
    </row>
    <row r="1109" spans="1:10" ht="14.25" hidden="1" customHeight="1" x14ac:dyDescent="0.25">
      <c r="A1109" s="78" t="s">
        <v>961</v>
      </c>
      <c r="B1109" s="54" t="s">
        <v>973</v>
      </c>
      <c r="C1109" s="53" t="s">
        <v>159</v>
      </c>
      <c r="D1109" s="79" t="s">
        <v>159</v>
      </c>
      <c r="E1109" s="79" t="s">
        <v>4314</v>
      </c>
      <c r="F1109" s="79" t="s">
        <v>4788</v>
      </c>
      <c r="G1109" s="79" t="s">
        <v>4876</v>
      </c>
      <c r="H1109" s="79">
        <v>61102004</v>
      </c>
      <c r="I1109" s="79" t="s">
        <v>4915</v>
      </c>
      <c r="J1109" s="79" t="s">
        <v>4445</v>
      </c>
    </row>
    <row r="1110" spans="1:10" ht="14.25" hidden="1" customHeight="1" x14ac:dyDescent="0.25">
      <c r="A1110" s="78">
        <v>995240300</v>
      </c>
      <c r="B1110" s="54" t="s">
        <v>1039</v>
      </c>
      <c r="C1110" s="53" t="s">
        <v>159</v>
      </c>
      <c r="D1110" s="79" t="s">
        <v>159</v>
      </c>
      <c r="E1110" s="79" t="s">
        <v>4490</v>
      </c>
      <c r="F1110" s="79" t="s">
        <v>4788</v>
      </c>
      <c r="G1110" s="79" t="s">
        <v>4877</v>
      </c>
      <c r="H1110" s="79">
        <v>99524030</v>
      </c>
      <c r="I1110" s="79" t="s">
        <v>4915</v>
      </c>
      <c r="J1110" s="79" t="s">
        <v>4445</v>
      </c>
    </row>
    <row r="1111" spans="1:10" ht="14.25" hidden="1" customHeight="1" x14ac:dyDescent="0.25">
      <c r="A1111" s="78">
        <v>764898419</v>
      </c>
      <c r="B1111" s="54" t="s">
        <v>1040</v>
      </c>
      <c r="C1111" s="53" t="s">
        <v>159</v>
      </c>
      <c r="D1111" s="79" t="s">
        <v>159</v>
      </c>
      <c r="E1111" s="79" t="s">
        <v>4190</v>
      </c>
      <c r="F1111" s="79" t="s">
        <v>4784</v>
      </c>
      <c r="G1111" s="79" t="s">
        <v>4878</v>
      </c>
      <c r="H1111" s="79">
        <v>76489841</v>
      </c>
      <c r="I1111" s="79" t="s">
        <v>4915</v>
      </c>
      <c r="J1111" s="79" t="s">
        <v>4445</v>
      </c>
    </row>
    <row r="1112" spans="1:10" ht="14.25" hidden="1" customHeight="1" x14ac:dyDescent="0.25">
      <c r="A1112" s="78">
        <v>762977079</v>
      </c>
      <c r="B1112" s="54" t="s">
        <v>1041</v>
      </c>
      <c r="C1112" s="53" t="s">
        <v>159</v>
      </c>
      <c r="D1112" s="79" t="s">
        <v>159</v>
      </c>
      <c r="E1112" s="79" t="s">
        <v>4245</v>
      </c>
      <c r="F1112" s="79" t="s">
        <v>4789</v>
      </c>
      <c r="G1112" s="79" t="s">
        <v>4879</v>
      </c>
      <c r="H1112" s="79">
        <v>76297707</v>
      </c>
      <c r="I1112" s="79" t="s">
        <v>4915</v>
      </c>
      <c r="J1112" s="79" t="s">
        <v>4445</v>
      </c>
    </row>
    <row r="1113" spans="1:10" ht="14.25" hidden="1" customHeight="1" x14ac:dyDescent="0.25">
      <c r="A1113" s="78" t="s">
        <v>1042</v>
      </c>
      <c r="B1113" s="54" t="s">
        <v>570</v>
      </c>
      <c r="C1113" s="53" t="s">
        <v>159</v>
      </c>
      <c r="D1113" s="79" t="s">
        <v>159</v>
      </c>
      <c r="E1113" s="79" t="s">
        <v>4391</v>
      </c>
      <c r="F1113" s="79" t="s">
        <v>4778</v>
      </c>
      <c r="G1113" s="79" t="s">
        <v>4880</v>
      </c>
      <c r="H1113" s="79">
        <v>777492101</v>
      </c>
      <c r="I1113" s="79" t="s">
        <v>4915</v>
      </c>
      <c r="J1113" s="79" t="s">
        <v>4445</v>
      </c>
    </row>
    <row r="1114" spans="1:10" ht="14.25" hidden="1" customHeight="1" x14ac:dyDescent="0.25">
      <c r="A1114" s="78">
        <v>762342960</v>
      </c>
      <c r="B1114" s="54" t="s">
        <v>1043</v>
      </c>
      <c r="C1114" s="53" t="s">
        <v>159</v>
      </c>
      <c r="D1114" s="79" t="s">
        <v>159</v>
      </c>
      <c r="E1114" s="79" t="s">
        <v>4460</v>
      </c>
      <c r="F1114" s="79" t="s">
        <v>4786</v>
      </c>
      <c r="G1114" s="79" t="s">
        <v>4881</v>
      </c>
      <c r="H1114" s="79">
        <v>76234296</v>
      </c>
      <c r="I1114" s="79" t="s">
        <v>4915</v>
      </c>
      <c r="J1114" s="79" t="s">
        <v>4445</v>
      </c>
    </row>
    <row r="1115" spans="1:10" ht="14.25" hidden="1" customHeight="1" x14ac:dyDescent="0.25">
      <c r="A1115" s="78">
        <v>779778207</v>
      </c>
      <c r="B1115" s="54" t="s">
        <v>1044</v>
      </c>
      <c r="C1115" s="53" t="s">
        <v>159</v>
      </c>
      <c r="D1115" s="79" t="s">
        <v>159</v>
      </c>
      <c r="E1115" s="79" t="s">
        <v>4380</v>
      </c>
      <c r="F1115" s="79" t="s">
        <v>4786</v>
      </c>
      <c r="G1115" s="79" t="s">
        <v>4882</v>
      </c>
      <c r="H1115" s="79">
        <v>77977820</v>
      </c>
      <c r="I1115" s="79" t="s">
        <v>4915</v>
      </c>
      <c r="J1115" s="79" t="s">
        <v>4445</v>
      </c>
    </row>
    <row r="1116" spans="1:10" ht="14.25" hidden="1" customHeight="1" x14ac:dyDescent="0.25">
      <c r="A1116" s="78">
        <v>764606418</v>
      </c>
      <c r="B1116" s="54" t="s">
        <v>1045</v>
      </c>
      <c r="C1116" s="53" t="s">
        <v>159</v>
      </c>
      <c r="D1116" s="79" t="s">
        <v>159</v>
      </c>
      <c r="E1116" s="79" t="s">
        <v>4168</v>
      </c>
      <c r="F1116" s="79" t="s">
        <v>4778</v>
      </c>
      <c r="G1116" s="79" t="s">
        <v>4883</v>
      </c>
      <c r="H1116" s="79">
        <v>76460641</v>
      </c>
      <c r="I1116" s="79" t="s">
        <v>4915</v>
      </c>
      <c r="J1116" s="79" t="s">
        <v>4445</v>
      </c>
    </row>
    <row r="1117" spans="1:10" ht="14.25" hidden="1" customHeight="1" x14ac:dyDescent="0.25">
      <c r="A1117" s="78" t="s">
        <v>1046</v>
      </c>
      <c r="B1117" s="54" t="s">
        <v>1047</v>
      </c>
      <c r="C1117" s="53" t="s">
        <v>159</v>
      </c>
      <c r="D1117" s="79" t="s">
        <v>159</v>
      </c>
      <c r="E1117" s="79" t="s">
        <v>4168</v>
      </c>
      <c r="F1117" s="79" t="s">
        <v>4778</v>
      </c>
      <c r="G1117" s="79" t="s">
        <v>4884</v>
      </c>
      <c r="H1117" s="79">
        <v>78464300</v>
      </c>
      <c r="I1117" s="79" t="s">
        <v>4915</v>
      </c>
      <c r="J1117" s="79" t="s">
        <v>4445</v>
      </c>
    </row>
    <row r="1118" spans="1:10" ht="14.25" hidden="1" customHeight="1" x14ac:dyDescent="0.25">
      <c r="A1118" s="78">
        <v>969102803</v>
      </c>
      <c r="B1118" s="54" t="s">
        <v>1048</v>
      </c>
      <c r="C1118" s="53" t="s">
        <v>159</v>
      </c>
      <c r="D1118" s="79" t="s">
        <v>159</v>
      </c>
      <c r="E1118" s="79" t="s">
        <v>4459</v>
      </c>
      <c r="F1118" s="79" t="s">
        <v>4788</v>
      </c>
      <c r="G1118" s="79" t="s">
        <v>3915</v>
      </c>
      <c r="H1118" s="79">
        <v>96910280</v>
      </c>
      <c r="I1118" s="79" t="s">
        <v>4915</v>
      </c>
      <c r="J1118" s="79" t="s">
        <v>4445</v>
      </c>
    </row>
    <row r="1119" spans="1:10" ht="14.25" hidden="1" customHeight="1" x14ac:dyDescent="0.25">
      <c r="A1119" s="78">
        <v>767974698</v>
      </c>
      <c r="B1119" s="54" t="s">
        <v>1052</v>
      </c>
      <c r="C1119" s="53" t="s">
        <v>159</v>
      </c>
      <c r="D1119" s="79" t="s">
        <v>159</v>
      </c>
      <c r="E1119" s="79" t="s">
        <v>4168</v>
      </c>
      <c r="F1119" s="79" t="s">
        <v>4778</v>
      </c>
      <c r="G1119" s="79" t="s">
        <v>4885</v>
      </c>
      <c r="H1119" s="79">
        <v>76797469</v>
      </c>
      <c r="I1119" s="79" t="s">
        <v>4915</v>
      </c>
      <c r="J1119" s="79" t="s">
        <v>4445</v>
      </c>
    </row>
    <row r="1120" spans="1:10" ht="14.25" hidden="1" customHeight="1" x14ac:dyDescent="0.25">
      <c r="A1120" s="78">
        <v>611021275</v>
      </c>
      <c r="B1120" s="54" t="s">
        <v>1053</v>
      </c>
      <c r="C1120" s="53" t="s">
        <v>159</v>
      </c>
      <c r="D1120" s="79" t="s">
        <v>159</v>
      </c>
      <c r="E1120" s="79" t="s">
        <v>4459</v>
      </c>
      <c r="F1120" s="79" t="s">
        <v>4788</v>
      </c>
      <c r="G1120" s="79" t="s">
        <v>4886</v>
      </c>
      <c r="H1120" s="79">
        <v>61102127</v>
      </c>
      <c r="I1120" s="79" t="s">
        <v>4915</v>
      </c>
      <c r="J1120" s="79" t="s">
        <v>4445</v>
      </c>
    </row>
    <row r="1121" spans="1:10" ht="14.25" hidden="1" customHeight="1" x14ac:dyDescent="0.25">
      <c r="A1121" s="78">
        <v>763376826</v>
      </c>
      <c r="B1121" s="54" t="s">
        <v>1054</v>
      </c>
      <c r="C1121" s="53" t="s">
        <v>159</v>
      </c>
      <c r="D1121" s="79" t="s">
        <v>159</v>
      </c>
      <c r="E1121" s="79" t="s">
        <v>4168</v>
      </c>
      <c r="F1121" s="79" t="s">
        <v>4778</v>
      </c>
      <c r="G1121" s="79" t="s">
        <v>4887</v>
      </c>
      <c r="H1121" s="79">
        <v>76337682</v>
      </c>
      <c r="I1121" s="79" t="s">
        <v>4915</v>
      </c>
      <c r="J1121" s="79" t="s">
        <v>4445</v>
      </c>
    </row>
    <row r="1122" spans="1:10" ht="14.25" hidden="1" customHeight="1" x14ac:dyDescent="0.25">
      <c r="A1122" s="78">
        <v>796490608</v>
      </c>
      <c r="B1122" s="54" t="s">
        <v>1055</v>
      </c>
      <c r="C1122" s="53" t="s">
        <v>159</v>
      </c>
      <c r="D1122" s="79" t="s">
        <v>159</v>
      </c>
      <c r="E1122" s="79" t="s">
        <v>4186</v>
      </c>
      <c r="F1122" s="79" t="s">
        <v>4802</v>
      </c>
      <c r="G1122" s="79" t="s">
        <v>4888</v>
      </c>
      <c r="H1122" s="79">
        <v>79649060</v>
      </c>
      <c r="I1122" s="79" t="s">
        <v>4915</v>
      </c>
      <c r="J1122" s="79" t="s">
        <v>4445</v>
      </c>
    </row>
    <row r="1123" spans="1:10" ht="14.25" hidden="1" customHeight="1" x14ac:dyDescent="0.25">
      <c r="A1123" s="78">
        <v>45008673</v>
      </c>
      <c r="B1123" s="54" t="s">
        <v>1057</v>
      </c>
      <c r="C1123" s="53" t="s">
        <v>159</v>
      </c>
      <c r="D1123" s="79" t="s">
        <v>159</v>
      </c>
      <c r="E1123" s="79" t="s">
        <v>4168</v>
      </c>
      <c r="F1123" s="79" t="s">
        <v>4778</v>
      </c>
      <c r="G1123" s="79" t="s">
        <v>4889</v>
      </c>
      <c r="H1123" s="79">
        <v>4500867</v>
      </c>
      <c r="I1123" s="79" t="s">
        <v>4915</v>
      </c>
      <c r="J1123" s="79" t="s">
        <v>4445</v>
      </c>
    </row>
    <row r="1124" spans="1:10" ht="14.25" hidden="1" customHeight="1" x14ac:dyDescent="0.25">
      <c r="A1124" s="78">
        <v>619742001</v>
      </c>
      <c r="B1124" s="54" t="s">
        <v>1058</v>
      </c>
      <c r="C1124" s="53" t="s">
        <v>159</v>
      </c>
      <c r="D1124" s="79" t="s">
        <v>159</v>
      </c>
      <c r="E1124" s="79" t="s">
        <v>4168</v>
      </c>
      <c r="F1124" s="79" t="s">
        <v>4778</v>
      </c>
      <c r="G1124" s="79" t="s">
        <v>4890</v>
      </c>
      <c r="H1124" s="79">
        <v>61974200</v>
      </c>
      <c r="I1124" s="79" t="s">
        <v>4914</v>
      </c>
      <c r="J1124" s="79" t="s">
        <v>4445</v>
      </c>
    </row>
    <row r="1125" spans="1:10" ht="14.25" hidden="1" customHeight="1" x14ac:dyDescent="0.25">
      <c r="A1125" s="78">
        <v>765599164</v>
      </c>
      <c r="B1125" s="54" t="s">
        <v>1059</v>
      </c>
      <c r="C1125" s="53" t="s">
        <v>159</v>
      </c>
      <c r="D1125" s="79" t="s">
        <v>159</v>
      </c>
      <c r="E1125" s="79" t="s">
        <v>4168</v>
      </c>
      <c r="F1125" s="79" t="s">
        <v>4778</v>
      </c>
      <c r="G1125" s="79" t="s">
        <v>4891</v>
      </c>
      <c r="H1125" s="79">
        <v>76559916</v>
      </c>
      <c r="I1125" s="79" t="s">
        <v>4915</v>
      </c>
      <c r="J1125" s="79" t="s">
        <v>4445</v>
      </c>
    </row>
    <row r="1126" spans="1:10" ht="14.25" hidden="1" customHeight="1" x14ac:dyDescent="0.25">
      <c r="A1126" s="78" t="s">
        <v>1060</v>
      </c>
      <c r="B1126" s="54" t="s">
        <v>1061</v>
      </c>
      <c r="C1126" s="53" t="s">
        <v>159</v>
      </c>
      <c r="D1126" s="79" t="s">
        <v>159</v>
      </c>
      <c r="E1126" s="79" t="s">
        <v>4168</v>
      </c>
      <c r="F1126" s="79" t="s">
        <v>4778</v>
      </c>
      <c r="G1126" s="79" t="s">
        <v>4892</v>
      </c>
      <c r="H1126" s="79">
        <v>77849650</v>
      </c>
      <c r="I1126" s="79" t="s">
        <v>4915</v>
      </c>
      <c r="J1126" s="79" t="s">
        <v>4445</v>
      </c>
    </row>
    <row r="1127" spans="1:10" ht="14.25" hidden="1" customHeight="1" x14ac:dyDescent="0.25">
      <c r="A1127" s="78">
        <v>651543983</v>
      </c>
      <c r="B1127" s="54" t="s">
        <v>1062</v>
      </c>
      <c r="C1127" s="53" t="s">
        <v>159</v>
      </c>
      <c r="D1127" s="79" t="s">
        <v>159</v>
      </c>
      <c r="E1127" s="79" t="s">
        <v>4186</v>
      </c>
      <c r="F1127" s="79" t="s">
        <v>4802</v>
      </c>
      <c r="G1127" s="79" t="s">
        <v>4893</v>
      </c>
      <c r="H1127" s="79">
        <v>65154398</v>
      </c>
      <c r="I1127" s="79" t="s">
        <v>4915</v>
      </c>
      <c r="J1127" s="79" t="s">
        <v>4445</v>
      </c>
    </row>
    <row r="1128" spans="1:10" ht="14.25" hidden="1" customHeight="1" x14ac:dyDescent="0.25">
      <c r="A1128" s="78">
        <v>778063905</v>
      </c>
      <c r="B1128" s="54" t="s">
        <v>1063</v>
      </c>
      <c r="C1128" s="53" t="s">
        <v>159</v>
      </c>
      <c r="D1128" s="79" t="s">
        <v>159</v>
      </c>
      <c r="E1128" s="79" t="s">
        <v>4168</v>
      </c>
      <c r="F1128" s="79" t="s">
        <v>4778</v>
      </c>
      <c r="G1128" s="79" t="s">
        <v>4894</v>
      </c>
      <c r="H1128" s="79">
        <v>77806390</v>
      </c>
      <c r="I1128" s="79" t="s">
        <v>4915</v>
      </c>
      <c r="J1128" s="79" t="s">
        <v>4445</v>
      </c>
    </row>
    <row r="1129" spans="1:10" ht="14.25" hidden="1" customHeight="1" x14ac:dyDescent="0.25">
      <c r="A1129" s="78">
        <v>761111132</v>
      </c>
      <c r="B1129" s="54" t="s">
        <v>1064</v>
      </c>
      <c r="C1129" s="53" t="s">
        <v>159</v>
      </c>
      <c r="D1129" s="79" t="s">
        <v>159</v>
      </c>
      <c r="E1129" s="79" t="s">
        <v>4168</v>
      </c>
      <c r="F1129" s="79" t="s">
        <v>4778</v>
      </c>
      <c r="G1129" s="79" t="s">
        <v>4895</v>
      </c>
      <c r="H1129" s="79">
        <v>76111113</v>
      </c>
      <c r="I1129" s="79" t="s">
        <v>4915</v>
      </c>
      <c r="J1129" s="79" t="s">
        <v>4445</v>
      </c>
    </row>
    <row r="1130" spans="1:10" ht="14.25" hidden="1" customHeight="1" x14ac:dyDescent="0.25">
      <c r="A1130" s="78">
        <v>769744002</v>
      </c>
      <c r="B1130" s="54" t="s">
        <v>1066</v>
      </c>
      <c r="C1130" s="53" t="s">
        <v>159</v>
      </c>
      <c r="D1130" s="79" t="s">
        <v>159</v>
      </c>
      <c r="E1130" s="79" t="s">
        <v>4168</v>
      </c>
      <c r="F1130" s="79" t="s">
        <v>4778</v>
      </c>
      <c r="G1130" s="79" t="s">
        <v>4896</v>
      </c>
      <c r="H1130" s="79">
        <v>76974400</v>
      </c>
      <c r="I1130" s="79" t="s">
        <v>4915</v>
      </c>
      <c r="J1130" s="79" t="s">
        <v>4445</v>
      </c>
    </row>
    <row r="1131" spans="1:10" ht="14.25" hidden="1" customHeight="1" x14ac:dyDescent="0.25">
      <c r="A1131" s="78">
        <v>651654114</v>
      </c>
      <c r="B1131" s="54" t="s">
        <v>1067</v>
      </c>
      <c r="C1131" s="53" t="s">
        <v>159</v>
      </c>
      <c r="D1131" s="79" t="s">
        <v>159</v>
      </c>
      <c r="E1131" s="79" t="s">
        <v>4175</v>
      </c>
      <c r="F1131" s="79" t="s">
        <v>4788</v>
      </c>
      <c r="G1131" s="79" t="s">
        <v>4897</v>
      </c>
      <c r="H1131" s="79">
        <v>65165411</v>
      </c>
      <c r="I1131" s="79" t="s">
        <v>4914</v>
      </c>
      <c r="J1131" s="79" t="s">
        <v>4445</v>
      </c>
    </row>
    <row r="1132" spans="1:10" ht="14.25" hidden="1" customHeight="1" x14ac:dyDescent="0.25">
      <c r="A1132" s="78">
        <v>771651240</v>
      </c>
      <c r="B1132" s="54" t="s">
        <v>1068</v>
      </c>
      <c r="C1132" s="53" t="s">
        <v>159</v>
      </c>
      <c r="D1132" s="79" t="s">
        <v>159</v>
      </c>
      <c r="E1132" s="79" t="s">
        <v>4168</v>
      </c>
      <c r="F1132" s="79" t="s">
        <v>4778</v>
      </c>
      <c r="G1132" s="79" t="s">
        <v>4898</v>
      </c>
      <c r="H1132" s="79">
        <v>77165124</v>
      </c>
      <c r="I1132" s="79" t="s">
        <v>4915</v>
      </c>
      <c r="J1132" s="79" t="s">
        <v>4445</v>
      </c>
    </row>
    <row r="1133" spans="1:10" ht="14.25" hidden="1" customHeight="1" x14ac:dyDescent="0.25">
      <c r="A1133" s="78" t="s">
        <v>1070</v>
      </c>
      <c r="B1133" s="54" t="s">
        <v>1071</v>
      </c>
      <c r="C1133" s="53" t="s">
        <v>159</v>
      </c>
      <c r="D1133" s="79" t="s">
        <v>159</v>
      </c>
      <c r="E1133" s="79" t="s">
        <v>4466</v>
      </c>
      <c r="F1133" s="79" t="s">
        <v>4803</v>
      </c>
      <c r="G1133" s="79" t="s">
        <v>4899</v>
      </c>
      <c r="H1133" s="79">
        <v>77326113</v>
      </c>
      <c r="I1133" s="79" t="s">
        <v>4915</v>
      </c>
      <c r="J1133" s="79" t="s">
        <v>4445</v>
      </c>
    </row>
    <row r="1134" spans="1:10" ht="14.25" hidden="1" customHeight="1" x14ac:dyDescent="0.25">
      <c r="A1134" s="78">
        <v>118464397</v>
      </c>
      <c r="B1134" s="54" t="s">
        <v>1072</v>
      </c>
      <c r="C1134" s="53" t="s">
        <v>159</v>
      </c>
      <c r="D1134" s="79" t="s">
        <v>159</v>
      </c>
      <c r="E1134" s="79" t="s">
        <v>4168</v>
      </c>
      <c r="F1134" s="79" t="s">
        <v>4778</v>
      </c>
      <c r="G1134" s="79" t="s">
        <v>4900</v>
      </c>
      <c r="H1134" s="79">
        <v>11846439</v>
      </c>
      <c r="I1134" s="79" t="s">
        <v>4915</v>
      </c>
      <c r="J1134" s="79" t="s">
        <v>4445</v>
      </c>
    </row>
    <row r="1135" spans="1:10" ht="14.25" hidden="1" customHeight="1" x14ac:dyDescent="0.25">
      <c r="A1135" s="78">
        <v>619992806</v>
      </c>
      <c r="B1135" s="54" t="s">
        <v>1073</v>
      </c>
      <c r="C1135" s="53" t="s">
        <v>159</v>
      </c>
      <c r="D1135" s="79" t="s">
        <v>159</v>
      </c>
      <c r="E1135" s="79" t="s">
        <v>4245</v>
      </c>
      <c r="F1135" s="79" t="s">
        <v>4789</v>
      </c>
      <c r="G1135" s="79" t="s">
        <v>4901</v>
      </c>
      <c r="H1135" s="79">
        <v>61999280</v>
      </c>
      <c r="I1135" s="79" t="s">
        <v>4915</v>
      </c>
      <c r="J1135" s="79" t="s">
        <v>4445</v>
      </c>
    </row>
    <row r="1136" spans="1:10" ht="14.25" hidden="1" customHeight="1" x14ac:dyDescent="0.25">
      <c r="A1136" s="78">
        <v>651455669</v>
      </c>
      <c r="B1136" s="54" t="s">
        <v>1074</v>
      </c>
      <c r="C1136" s="53" t="s">
        <v>159</v>
      </c>
      <c r="D1136" s="79" t="s">
        <v>159</v>
      </c>
      <c r="E1136" s="79" t="s">
        <v>4171</v>
      </c>
      <c r="F1136" s="79" t="s">
        <v>4789</v>
      </c>
      <c r="G1136" s="79" t="s">
        <v>4902</v>
      </c>
      <c r="H1136" s="79">
        <v>65145566</v>
      </c>
      <c r="I1136" s="79" t="s">
        <v>4915</v>
      </c>
      <c r="J1136" s="79" t="s">
        <v>4445</v>
      </c>
    </row>
    <row r="1137" spans="1:10" ht="14.25" hidden="1" customHeight="1" x14ac:dyDescent="0.25">
      <c r="A1137" s="78">
        <v>602020002</v>
      </c>
      <c r="B1137" s="54" t="s">
        <v>1075</v>
      </c>
      <c r="C1137" s="53" t="s">
        <v>159</v>
      </c>
      <c r="D1137" s="79" t="s">
        <v>159</v>
      </c>
      <c r="E1137" s="79" t="s">
        <v>4459</v>
      </c>
      <c r="F1137" s="79" t="s">
        <v>4788</v>
      </c>
      <c r="G1137" s="79" t="s">
        <v>4903</v>
      </c>
      <c r="H1137" s="79">
        <v>60202000</v>
      </c>
      <c r="I1137" s="79" t="s">
        <v>4914</v>
      </c>
      <c r="J1137" s="79" t="s">
        <v>4445</v>
      </c>
    </row>
    <row r="1138" spans="1:10" ht="14.25" hidden="1" customHeight="1" x14ac:dyDescent="0.25">
      <c r="A1138" s="78">
        <v>762641380</v>
      </c>
      <c r="B1138" s="54" t="s">
        <v>1076</v>
      </c>
      <c r="C1138" s="53" t="s">
        <v>159</v>
      </c>
      <c r="D1138" s="79" t="s">
        <v>159</v>
      </c>
      <c r="E1138" s="79" t="s">
        <v>4168</v>
      </c>
      <c r="F1138" s="79" t="s">
        <v>4778</v>
      </c>
      <c r="G1138" s="79" t="s">
        <v>4904</v>
      </c>
      <c r="H1138" s="79">
        <v>76264138</v>
      </c>
      <c r="I1138" s="79" t="s">
        <v>4915</v>
      </c>
      <c r="J1138" s="79" t="s">
        <v>4445</v>
      </c>
    </row>
    <row r="1139" spans="1:10" ht="14.25" hidden="1" customHeight="1" x14ac:dyDescent="0.25">
      <c r="A1139" s="78">
        <v>773533776</v>
      </c>
      <c r="B1139" s="54" t="s">
        <v>1077</v>
      </c>
      <c r="C1139" s="53" t="s">
        <v>159</v>
      </c>
      <c r="D1139" s="79" t="s">
        <v>159</v>
      </c>
      <c r="E1139" s="79" t="s">
        <v>4168</v>
      </c>
      <c r="F1139" s="79" t="s">
        <v>4778</v>
      </c>
      <c r="G1139" s="79" t="s">
        <v>4905</v>
      </c>
      <c r="H1139" s="79">
        <v>77353377</v>
      </c>
      <c r="I1139" s="79" t="s">
        <v>4915</v>
      </c>
      <c r="J1139" s="79" t="s">
        <v>4445</v>
      </c>
    </row>
    <row r="1140" spans="1:10" ht="14.25" hidden="1" customHeight="1" x14ac:dyDescent="0.25">
      <c r="A1140" s="78">
        <v>772445202</v>
      </c>
      <c r="B1140" s="54" t="s">
        <v>1079</v>
      </c>
      <c r="C1140" s="53" t="s">
        <v>159</v>
      </c>
      <c r="D1140" s="79" t="s">
        <v>159</v>
      </c>
      <c r="E1140" s="79" t="s">
        <v>4257</v>
      </c>
      <c r="F1140" s="79" t="s">
        <v>4791</v>
      </c>
      <c r="G1140" s="79" t="s">
        <v>4906</v>
      </c>
      <c r="H1140" s="79">
        <v>77244520</v>
      </c>
      <c r="I1140" s="79" t="s">
        <v>4915</v>
      </c>
      <c r="J1140" s="79" t="s">
        <v>4445</v>
      </c>
    </row>
    <row r="1141" spans="1:10" ht="14.25" hidden="1" customHeight="1" x14ac:dyDescent="0.25">
      <c r="A1141" s="78">
        <v>762152606</v>
      </c>
      <c r="B1141" s="54" t="s">
        <v>4747</v>
      </c>
      <c r="C1141" s="53" t="s">
        <v>159</v>
      </c>
      <c r="D1141" s="79" t="s">
        <v>159</v>
      </c>
      <c r="E1141" s="79" t="s">
        <v>4168</v>
      </c>
      <c r="F1141" s="79" t="s">
        <v>4778</v>
      </c>
      <c r="G1141" s="79" t="s">
        <v>2594</v>
      </c>
      <c r="H1141" s="79">
        <v>76215260</v>
      </c>
      <c r="I1141" s="79" t="s">
        <v>4915</v>
      </c>
      <c r="J1141" s="79" t="s">
        <v>4445</v>
      </c>
    </row>
    <row r="1142" spans="1:10" ht="14.25" hidden="1" customHeight="1" x14ac:dyDescent="0.25">
      <c r="A1142" s="78" t="s">
        <v>4748</v>
      </c>
      <c r="B1142" s="54" t="s">
        <v>4749</v>
      </c>
      <c r="C1142" s="53" t="s">
        <v>159</v>
      </c>
      <c r="D1142" s="79" t="s">
        <v>159</v>
      </c>
      <c r="E1142" s="79" t="s">
        <v>4263</v>
      </c>
      <c r="F1142" s="79" t="s">
        <v>4791</v>
      </c>
      <c r="G1142" s="79" t="s">
        <v>4907</v>
      </c>
      <c r="H1142" s="79">
        <v>69120300</v>
      </c>
      <c r="I1142" s="79" t="s">
        <v>4914</v>
      </c>
      <c r="J1142" s="79" t="s">
        <v>4445</v>
      </c>
    </row>
    <row r="1143" spans="1:10" ht="14.25" hidden="1" customHeight="1" x14ac:dyDescent="0.25">
      <c r="A1143" s="78">
        <v>692312007</v>
      </c>
      <c r="B1143" s="54" t="s">
        <v>4751</v>
      </c>
      <c r="C1143" s="53" t="s">
        <v>159</v>
      </c>
      <c r="D1143" s="79" t="s">
        <v>159</v>
      </c>
      <c r="E1143" s="79" t="s">
        <v>4826</v>
      </c>
      <c r="F1143" s="79" t="s">
        <v>4784</v>
      </c>
      <c r="G1143" s="79" t="s">
        <v>4908</v>
      </c>
      <c r="H1143" s="79">
        <v>69231200</v>
      </c>
      <c r="I1143" s="79" t="s">
        <v>4914</v>
      </c>
      <c r="J1143" s="79" t="s">
        <v>4445</v>
      </c>
    </row>
    <row r="1144" spans="1:10" ht="14.25" hidden="1" customHeight="1" x14ac:dyDescent="0.25">
      <c r="A1144" s="78">
        <v>770634911</v>
      </c>
      <c r="B1144" s="54" t="s">
        <v>4752</v>
      </c>
      <c r="C1144" s="53" t="s">
        <v>159</v>
      </c>
      <c r="D1144" s="79" t="s">
        <v>159</v>
      </c>
      <c r="E1144" s="79" t="s">
        <v>4552</v>
      </c>
      <c r="F1144" s="79" t="s">
        <v>4778</v>
      </c>
      <c r="G1144" s="79" t="s">
        <v>4909</v>
      </c>
      <c r="H1144" s="79">
        <v>77063491</v>
      </c>
      <c r="I1144" s="79" t="s">
        <v>4915</v>
      </c>
      <c r="J1144" s="79" t="s">
        <v>4445</v>
      </c>
    </row>
    <row r="1145" spans="1:10" ht="14.25" hidden="1" customHeight="1" x14ac:dyDescent="0.25">
      <c r="A1145" s="78">
        <v>780722045</v>
      </c>
      <c r="B1145" s="54" t="s">
        <v>4753</v>
      </c>
      <c r="C1145" s="53" t="s">
        <v>159</v>
      </c>
      <c r="D1145" s="79" t="s">
        <v>159</v>
      </c>
      <c r="E1145" s="79" t="s">
        <v>4218</v>
      </c>
      <c r="F1145" s="79" t="s">
        <v>4779</v>
      </c>
      <c r="G1145" s="79" t="s">
        <v>4910</v>
      </c>
      <c r="H1145" s="79">
        <v>78072204</v>
      </c>
      <c r="I1145" s="79" t="s">
        <v>4915</v>
      </c>
      <c r="J1145" s="79" t="s">
        <v>4445</v>
      </c>
    </row>
    <row r="1146" spans="1:10" ht="14.25" hidden="1" customHeight="1" x14ac:dyDescent="0.25">
      <c r="A1146" s="78">
        <v>761102370</v>
      </c>
      <c r="B1146" s="54" t="s">
        <v>4754</v>
      </c>
      <c r="C1146" s="53" t="s">
        <v>159</v>
      </c>
      <c r="D1146" s="79" t="s">
        <v>159</v>
      </c>
      <c r="E1146" s="79" t="s">
        <v>4393</v>
      </c>
      <c r="F1146" s="79" t="s">
        <v>4778</v>
      </c>
      <c r="G1146" s="79" t="s">
        <v>4911</v>
      </c>
      <c r="H1146" s="79">
        <v>76110237</v>
      </c>
      <c r="I1146" s="79" t="s">
        <v>4915</v>
      </c>
      <c r="J1146" s="79" t="s">
        <v>4445</v>
      </c>
    </row>
    <row r="1147" spans="1:10" ht="14.25" hidden="1" customHeight="1" x14ac:dyDescent="0.25">
      <c r="A1147" s="78" t="s">
        <v>4755</v>
      </c>
      <c r="B1147" s="54" t="s">
        <v>4756</v>
      </c>
      <c r="C1147" s="53" t="s">
        <v>159</v>
      </c>
      <c r="D1147" s="79" t="s">
        <v>159</v>
      </c>
      <c r="E1147" s="79" t="s">
        <v>4168</v>
      </c>
      <c r="F1147" s="79" t="s">
        <v>4778</v>
      </c>
      <c r="G1147" s="79" t="s">
        <v>4912</v>
      </c>
      <c r="H1147" s="79">
        <v>70990700</v>
      </c>
      <c r="I1147" s="79" t="s">
        <v>4915</v>
      </c>
      <c r="J1147" s="79" t="s">
        <v>4445</v>
      </c>
    </row>
    <row r="1148" spans="1:10" hidden="1" x14ac:dyDescent="0.25">
      <c r="A1148" s="78">
        <v>651911257</v>
      </c>
      <c r="B1148" s="54" t="s">
        <v>4916</v>
      </c>
      <c r="C1148" s="53" t="s">
        <v>159</v>
      </c>
      <c r="D1148" s="53" t="s">
        <v>159</v>
      </c>
      <c r="E1148" s="79" t="s">
        <v>4552</v>
      </c>
      <c r="F1148" s="79" t="s">
        <v>4778</v>
      </c>
      <c r="G1148" s="83" t="str">
        <f>"CN"&amp;Tabla134[[#This Row],[RUT SD]]</f>
        <v>CN65191125</v>
      </c>
      <c r="H1148" s="84" t="str">
        <f>MID(Tabla134[[#This Row],[RUT]],1,LEN(Tabla134[[#This Row],[RUT]])-1)</f>
        <v>65191125</v>
      </c>
      <c r="I1148" s="79" t="s">
        <v>4915</v>
      </c>
      <c r="J1148" s="79" t="s">
        <v>4445</v>
      </c>
    </row>
    <row r="1149" spans="1:10" hidden="1" x14ac:dyDescent="0.25">
      <c r="A1149" s="78">
        <v>124106559</v>
      </c>
      <c r="B1149" s="54" t="s">
        <v>4917</v>
      </c>
      <c r="C1149" s="53" t="s">
        <v>159</v>
      </c>
      <c r="D1149" s="53" t="s">
        <v>159</v>
      </c>
      <c r="E1149" s="83" t="s">
        <v>4463</v>
      </c>
      <c r="F1149" s="79" t="s">
        <v>4778</v>
      </c>
      <c r="G1149" s="83" t="str">
        <f>"CN"&amp;Tabla134[[#This Row],[RUT SD]]</f>
        <v>CN12410655</v>
      </c>
      <c r="H1149" s="84" t="str">
        <f>MID(Tabla134[[#This Row],[RUT]],1,LEN(Tabla134[[#This Row],[RUT]])-1)</f>
        <v>12410655</v>
      </c>
      <c r="I1149" s="79" t="s">
        <v>4915</v>
      </c>
      <c r="J1149" s="79" t="s">
        <v>4445</v>
      </c>
    </row>
  </sheetData>
  <conditionalFormatting sqref="A1">
    <cfRule type="duplicateValues" dxfId="80" priority="14"/>
    <cfRule type="duplicateValues" dxfId="79" priority="15"/>
    <cfRule type="duplicateValues" dxfId="78" priority="16"/>
  </conditionalFormatting>
  <conditionalFormatting sqref="A1:A1048576">
    <cfRule type="duplicateValues" dxfId="77" priority="1"/>
  </conditionalFormatting>
  <conditionalFormatting sqref="A2:A1149">
    <cfRule type="duplicateValues" dxfId="76" priority="6"/>
    <cfRule type="duplicateValues" dxfId="75" priority="8"/>
    <cfRule type="duplicateValues" dxfId="74" priority="9"/>
    <cfRule type="duplicateValues" dxfId="73" priority="10"/>
    <cfRule type="duplicateValues" dxfId="72" priority="11"/>
  </conditionalFormatting>
  <conditionalFormatting sqref="A754:A892">
    <cfRule type="duplicateValues" dxfId="71" priority="12"/>
  </conditionalFormatting>
  <conditionalFormatting sqref="A1103:A1142">
    <cfRule type="duplicateValues" dxfId="70" priority="7"/>
  </conditionalFormatting>
  <conditionalFormatting sqref="A1143:A1147">
    <cfRule type="duplicateValues" dxfId="69" priority="2"/>
    <cfRule type="duplicateValues" dxfId="68" priority="3"/>
    <cfRule type="duplicateValues" dxfId="67" priority="4"/>
    <cfRule type="duplicateValues" dxfId="66" priority="5"/>
  </conditionalFormatting>
  <conditionalFormatting sqref="B1041">
    <cfRule type="duplicateValues" dxfId="65" priority="13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FBFB3-FED1-4756-B462-5294BAB27EC8}">
  <sheetPr>
    <tabColor rgb="FFFF0000"/>
  </sheetPr>
  <dimension ref="A1:AE1541"/>
  <sheetViews>
    <sheetView tabSelected="1" topLeftCell="A188" zoomScale="85" zoomScaleNormal="85" workbookViewId="0">
      <selection activeCell="E229" sqref="E229"/>
    </sheetView>
  </sheetViews>
  <sheetFormatPr baseColWidth="10" defaultColWidth="9.140625" defaultRowHeight="15" x14ac:dyDescent="0.25"/>
  <cols>
    <col min="1" max="1" width="11.28515625" style="27" bestFit="1" customWidth="1"/>
    <col min="2" max="2" width="48.42578125" customWidth="1"/>
    <col min="3" max="3" width="23.5703125" bestFit="1" customWidth="1"/>
    <col min="4" max="4" width="13.28515625" style="131" bestFit="1" customWidth="1"/>
    <col min="5" max="5" width="34" bestFit="1" customWidth="1"/>
    <col min="6" max="6" width="17.42578125" bestFit="1" customWidth="1"/>
    <col min="7" max="7" width="17.42578125" customWidth="1"/>
    <col min="8" max="8" width="13.140625" bestFit="1" customWidth="1"/>
    <col min="9" max="9" width="14.28515625" bestFit="1" customWidth="1"/>
    <col min="10" max="10" width="54.7109375" bestFit="1" customWidth="1"/>
    <col min="11" max="11" width="28.140625" customWidth="1"/>
    <col min="12" max="12" width="12.5703125" bestFit="1" customWidth="1"/>
    <col min="13" max="14" width="10.5703125" bestFit="1" customWidth="1"/>
    <col min="15" max="15" width="42.5703125" customWidth="1"/>
    <col min="17" max="17" width="10" bestFit="1" customWidth="1"/>
    <col min="18" max="18" width="16.140625" bestFit="1" customWidth="1"/>
    <col min="19" max="19" width="16.140625" customWidth="1"/>
  </cols>
  <sheetData>
    <row r="1" spans="1:12" ht="43.5" customHeight="1" x14ac:dyDescent="0.25">
      <c r="A1" s="90" t="s">
        <v>0</v>
      </c>
      <c r="B1" s="82" t="s">
        <v>1</v>
      </c>
      <c r="C1" s="82" t="s">
        <v>4776</v>
      </c>
      <c r="D1" s="130" t="s">
        <v>4777</v>
      </c>
      <c r="E1" s="82" t="s">
        <v>2</v>
      </c>
      <c r="F1" s="82" t="s">
        <v>4781</v>
      </c>
      <c r="G1" s="82" t="s">
        <v>5567</v>
      </c>
      <c r="H1" s="82" t="s">
        <v>4913</v>
      </c>
      <c r="I1" s="82" t="s">
        <v>4759</v>
      </c>
      <c r="J1" s="82" t="s">
        <v>4937</v>
      </c>
    </row>
    <row r="2" spans="1:12" x14ac:dyDescent="0.25">
      <c r="A2" s="133">
        <v>35178651</v>
      </c>
      <c r="B2" s="120" t="s">
        <v>5009</v>
      </c>
      <c r="C2" t="s">
        <v>5428</v>
      </c>
      <c r="D2" s="125">
        <v>13</v>
      </c>
      <c r="E2" t="s">
        <v>4445</v>
      </c>
      <c r="F2" s="123" t="s">
        <v>5129</v>
      </c>
      <c r="G2" s="132"/>
      <c r="H2" t="s">
        <v>5428</v>
      </c>
      <c r="I2" s="124" t="str">
        <f>IF(CARTERA_2026[[#This Row],[RUT]]=774097899,"DIST",_xlfn.XLOOKUP(CARTERA_2026[[#This Row],[VENDEDOR]],dimensiones!$C$21:$C$28,dimensiones!$D$21:$D$28,""))</f>
        <v>ATEL</v>
      </c>
      <c r="J2" s="125" t="str">
        <f>_xlfn.XLOOKUP(CARTERA_2026[[#This Row],[REGION]],dimensiones!C:C,dimensiones!D:D,"")</f>
        <v>Región de Metropolitana de Santiago</v>
      </c>
      <c r="L2" s="136"/>
    </row>
    <row r="3" spans="1:12" x14ac:dyDescent="0.25">
      <c r="A3" s="134">
        <v>37531235</v>
      </c>
      <c r="B3" s="121" t="s">
        <v>5010</v>
      </c>
      <c r="C3" t="s">
        <v>5428</v>
      </c>
      <c r="D3" s="125">
        <v>16</v>
      </c>
      <c r="E3" t="s">
        <v>4445</v>
      </c>
      <c r="F3" s="122" t="s">
        <v>5130</v>
      </c>
      <c r="G3" s="132"/>
      <c r="H3" t="s">
        <v>5428</v>
      </c>
      <c r="I3" s="124" t="str">
        <f>IF(CARTERA_2026[[#This Row],[RUT]]=774097899,"DIST",_xlfn.XLOOKUP(CARTERA_2026[[#This Row],[VENDEDOR]],dimensiones!$C$21:$C$28,dimensiones!$D$21:$D$28,""))</f>
        <v>ATEL</v>
      </c>
      <c r="J3" s="125" t="str">
        <f>_xlfn.XLOOKUP(CARTERA_2026[[#This Row],[REGION]],dimensiones!C:C,dimensiones!D:D,"")</f>
        <v>Región de Ñuble</v>
      </c>
      <c r="L3" s="136"/>
    </row>
    <row r="4" spans="1:12" x14ac:dyDescent="0.25">
      <c r="A4" s="134">
        <v>45008673</v>
      </c>
      <c r="B4" s="121" t="s">
        <v>1057</v>
      </c>
      <c r="C4" t="s">
        <v>4168</v>
      </c>
      <c r="D4" s="125">
        <v>13</v>
      </c>
      <c r="E4" t="s">
        <v>4445</v>
      </c>
      <c r="F4" s="122" t="s">
        <v>4889</v>
      </c>
      <c r="G4" s="132"/>
      <c r="H4" t="s">
        <v>4915</v>
      </c>
      <c r="I4" s="124" t="str">
        <f>IF(CARTERA_2026[[#This Row],[RUT]]=774097899,"DIST",_xlfn.XLOOKUP(CARTERA_2026[[#This Row],[VENDEDOR]],dimensiones!$C$21:$C$28,dimensiones!$D$21:$D$28,""))</f>
        <v>ATEL</v>
      </c>
      <c r="J4" s="125" t="str">
        <f>_xlfn.XLOOKUP(CARTERA_2026[[#This Row],[REGION]],dimensiones!C:C,dimensiones!D:D,"")</f>
        <v>Región de Metropolitana de Santiago</v>
      </c>
      <c r="L4" s="136"/>
    </row>
    <row r="5" spans="1:12" x14ac:dyDescent="0.25">
      <c r="A5" s="134">
        <v>50772888</v>
      </c>
      <c r="B5" s="121" t="s">
        <v>5421</v>
      </c>
      <c r="C5" t="s">
        <v>5428</v>
      </c>
      <c r="D5" s="125">
        <v>13</v>
      </c>
      <c r="E5" t="s">
        <v>4445</v>
      </c>
      <c r="F5" s="122" t="s">
        <v>5131</v>
      </c>
      <c r="G5" s="132"/>
      <c r="H5" t="s">
        <v>5428</v>
      </c>
      <c r="I5" s="124" t="str">
        <f>IF(CARTERA_2026[[#This Row],[RUT]]=774097899,"DIST",_xlfn.XLOOKUP(CARTERA_2026[[#This Row],[VENDEDOR]],dimensiones!$C$21:$C$28,dimensiones!$D$21:$D$28,""))</f>
        <v>ATEL</v>
      </c>
      <c r="J5" s="125" t="str">
        <f>_xlfn.XLOOKUP(CARTERA_2026[[#This Row],[REGION]],dimensiones!C:C,dimensiones!D:D,"")</f>
        <v>Región de Metropolitana de Santiago</v>
      </c>
      <c r="L5" s="136"/>
    </row>
    <row r="6" spans="1:12" x14ac:dyDescent="0.25">
      <c r="A6" s="134">
        <v>53208193</v>
      </c>
      <c r="B6" s="121" t="s">
        <v>5011</v>
      </c>
      <c r="C6" t="s">
        <v>5428</v>
      </c>
      <c r="D6" s="125">
        <v>13</v>
      </c>
      <c r="E6" t="s">
        <v>4445</v>
      </c>
      <c r="F6" s="122" t="s">
        <v>5132</v>
      </c>
      <c r="G6" s="132"/>
      <c r="H6" t="s">
        <v>5428</v>
      </c>
      <c r="I6" s="124" t="str">
        <f>IF(CARTERA_2026[[#This Row],[RUT]]=774097899,"DIST",_xlfn.XLOOKUP(CARTERA_2026[[#This Row],[VENDEDOR]],dimensiones!$C$21:$C$28,dimensiones!$D$21:$D$28,""))</f>
        <v>ATEL</v>
      </c>
      <c r="J6" s="125" t="str">
        <f>_xlfn.XLOOKUP(CARTERA_2026[[#This Row],[REGION]],dimensiones!C:C,dimensiones!D:D,"")</f>
        <v>Región de Metropolitana de Santiago</v>
      </c>
      <c r="L6" s="136"/>
    </row>
    <row r="7" spans="1:12" x14ac:dyDescent="0.25">
      <c r="A7" s="134">
        <v>63890022</v>
      </c>
      <c r="B7" s="121" t="s">
        <v>5012</v>
      </c>
      <c r="C7" t="s">
        <v>5428</v>
      </c>
      <c r="D7" s="125">
        <v>4</v>
      </c>
      <c r="E7" t="s">
        <v>4445</v>
      </c>
      <c r="F7" s="122" t="s">
        <v>5133</v>
      </c>
      <c r="G7" s="132"/>
      <c r="H7" t="s">
        <v>5428</v>
      </c>
      <c r="I7" s="124" t="str">
        <f>IF(CARTERA_2026[[#This Row],[RUT]]=774097899,"DIST",_xlfn.XLOOKUP(CARTERA_2026[[#This Row],[VENDEDOR]],dimensiones!$C$21:$C$28,dimensiones!$D$21:$D$28,""))</f>
        <v>ATEL</v>
      </c>
      <c r="J7" s="125" t="str">
        <f>_xlfn.XLOOKUP(CARTERA_2026[[#This Row],[REGION]],dimensiones!C:C,dimensiones!D:D,"")</f>
        <v>Región de Coquimbo</v>
      </c>
      <c r="L7" s="136"/>
    </row>
    <row r="8" spans="1:12" x14ac:dyDescent="0.25">
      <c r="A8" s="134">
        <v>64127217</v>
      </c>
      <c r="B8" s="121" t="s">
        <v>5013</v>
      </c>
      <c r="C8" t="s">
        <v>5428</v>
      </c>
      <c r="D8" s="125">
        <v>13</v>
      </c>
      <c r="E8" t="s">
        <v>4445</v>
      </c>
      <c r="F8" s="122" t="s">
        <v>5134</v>
      </c>
      <c r="G8" s="132"/>
      <c r="H8" t="s">
        <v>5428</v>
      </c>
      <c r="I8" s="124" t="str">
        <f>IF(CARTERA_2026[[#This Row],[RUT]]=774097899,"DIST",_xlfn.XLOOKUP(CARTERA_2026[[#This Row],[VENDEDOR]],dimensiones!$C$21:$C$28,dimensiones!$D$21:$D$28,""))</f>
        <v>ATEL</v>
      </c>
      <c r="J8" s="125" t="str">
        <f>_xlfn.XLOOKUP(CARTERA_2026[[#This Row],[REGION]],dimensiones!C:C,dimensiones!D:D,"")</f>
        <v>Región de Metropolitana de Santiago</v>
      </c>
      <c r="L8" s="136"/>
    </row>
    <row r="9" spans="1:12" x14ac:dyDescent="0.25">
      <c r="A9" s="134">
        <v>64903209</v>
      </c>
      <c r="B9" s="121" t="s">
        <v>5014</v>
      </c>
      <c r="C9" t="s">
        <v>5428</v>
      </c>
      <c r="D9" s="125">
        <v>13</v>
      </c>
      <c r="E9" t="s">
        <v>4445</v>
      </c>
      <c r="F9" s="122" t="s">
        <v>5135</v>
      </c>
      <c r="G9" s="132"/>
      <c r="H9" t="s">
        <v>5428</v>
      </c>
      <c r="I9" s="124" t="str">
        <f>IF(CARTERA_2026[[#This Row],[RUT]]=774097899,"DIST",_xlfn.XLOOKUP(CARTERA_2026[[#This Row],[VENDEDOR]],dimensiones!$C$21:$C$28,dimensiones!$D$21:$D$28,""))</f>
        <v>ATEL</v>
      </c>
      <c r="J9" s="125" t="str">
        <f>_xlfn.XLOOKUP(CARTERA_2026[[#This Row],[REGION]],dimensiones!C:C,dimensiones!D:D,"")</f>
        <v>Región de Metropolitana de Santiago</v>
      </c>
      <c r="L9" s="136"/>
    </row>
    <row r="10" spans="1:12" x14ac:dyDescent="0.25">
      <c r="A10" s="134">
        <v>73031095</v>
      </c>
      <c r="B10" s="121" t="s">
        <v>5015</v>
      </c>
      <c r="C10" t="s">
        <v>5428</v>
      </c>
      <c r="D10" s="125">
        <v>9</v>
      </c>
      <c r="E10" t="s">
        <v>4445</v>
      </c>
      <c r="F10" s="122" t="s">
        <v>5136</v>
      </c>
      <c r="G10" s="132"/>
      <c r="H10" t="s">
        <v>5428</v>
      </c>
      <c r="I10" s="124" t="str">
        <f>IF(CARTERA_2026[[#This Row],[RUT]]=774097899,"DIST",_xlfn.XLOOKUP(CARTERA_2026[[#This Row],[VENDEDOR]],dimensiones!$C$21:$C$28,dimensiones!$D$21:$D$28,""))</f>
        <v>ATEL</v>
      </c>
      <c r="J10" s="125" t="str">
        <f>_xlfn.XLOOKUP(CARTERA_2026[[#This Row],[REGION]],dimensiones!C:C,dimensiones!D:D,"")</f>
        <v>Región de La Araucanía</v>
      </c>
      <c r="L10" s="136"/>
    </row>
    <row r="11" spans="1:12" x14ac:dyDescent="0.25">
      <c r="A11" s="134">
        <v>79186929</v>
      </c>
      <c r="B11" s="121" t="s">
        <v>5401</v>
      </c>
      <c r="C11" t="s">
        <v>5428</v>
      </c>
      <c r="D11" s="125">
        <v>8</v>
      </c>
      <c r="E11" t="s">
        <v>4445</v>
      </c>
      <c r="F11" s="122" t="s">
        <v>5137</v>
      </c>
      <c r="G11" s="132"/>
      <c r="H11" t="s">
        <v>5428</v>
      </c>
      <c r="I11" s="124" t="str">
        <f>IF(CARTERA_2026[[#This Row],[RUT]]=774097899,"DIST",_xlfn.XLOOKUP(CARTERA_2026[[#This Row],[VENDEDOR]],dimensiones!$C$21:$C$28,dimensiones!$D$21:$D$28,""))</f>
        <v>ATEL</v>
      </c>
      <c r="J11" s="125" t="str">
        <f>_xlfn.XLOOKUP(CARTERA_2026[[#This Row],[REGION]],dimensiones!C:C,dimensiones!D:D,"")</f>
        <v>Región de Biobío</v>
      </c>
      <c r="L11" s="136"/>
    </row>
    <row r="12" spans="1:12" x14ac:dyDescent="0.25">
      <c r="A12" s="134">
        <v>81818320</v>
      </c>
      <c r="B12" s="121" t="s">
        <v>5016</v>
      </c>
      <c r="C12" t="s">
        <v>5428</v>
      </c>
      <c r="D12" s="125">
        <v>14</v>
      </c>
      <c r="E12" t="s">
        <v>4445</v>
      </c>
      <c r="F12" s="122" t="s">
        <v>5138</v>
      </c>
      <c r="G12" s="132"/>
      <c r="H12" t="s">
        <v>5428</v>
      </c>
      <c r="I12" s="124" t="str">
        <f>IF(CARTERA_2026[[#This Row],[RUT]]=774097899,"DIST",_xlfn.XLOOKUP(CARTERA_2026[[#This Row],[VENDEDOR]],dimensiones!$C$21:$C$28,dimensiones!$D$21:$D$28,""))</f>
        <v>ATEL</v>
      </c>
      <c r="J12" s="125" t="str">
        <f>_xlfn.XLOOKUP(CARTERA_2026[[#This Row],[REGION]],dimensiones!C:C,dimensiones!D:D,"")</f>
        <v>Región de Los Ríos</v>
      </c>
      <c r="L12" s="136"/>
    </row>
    <row r="13" spans="1:12" x14ac:dyDescent="0.25">
      <c r="A13" s="134">
        <v>81850291</v>
      </c>
      <c r="B13" s="121" t="s">
        <v>5344</v>
      </c>
      <c r="C13" t="s">
        <v>5428</v>
      </c>
      <c r="D13" s="125">
        <v>16</v>
      </c>
      <c r="E13" t="s">
        <v>4445</v>
      </c>
      <c r="F13" s="122" t="s">
        <v>5139</v>
      </c>
      <c r="G13" s="132"/>
      <c r="H13" t="s">
        <v>5428</v>
      </c>
      <c r="I13" s="124" t="str">
        <f>IF(CARTERA_2026[[#This Row],[RUT]]=774097899,"DIST",_xlfn.XLOOKUP(CARTERA_2026[[#This Row],[VENDEDOR]],dimensiones!$C$21:$C$28,dimensiones!$D$21:$D$28,""))</f>
        <v>ATEL</v>
      </c>
      <c r="J13" s="125" t="str">
        <f>_xlfn.XLOOKUP(CARTERA_2026[[#This Row],[REGION]],dimensiones!C:C,dimensiones!D:D,"")</f>
        <v>Región de Ñuble</v>
      </c>
      <c r="L13" s="136"/>
    </row>
    <row r="14" spans="1:12" x14ac:dyDescent="0.25">
      <c r="A14" s="134">
        <v>81853363</v>
      </c>
      <c r="B14" s="121" t="s">
        <v>5017</v>
      </c>
      <c r="C14" t="s">
        <v>5428</v>
      </c>
      <c r="D14" s="125">
        <v>9</v>
      </c>
      <c r="E14" t="s">
        <v>4445</v>
      </c>
      <c r="F14" s="122" t="s">
        <v>5140</v>
      </c>
      <c r="G14" s="132"/>
      <c r="H14" t="s">
        <v>5428</v>
      </c>
      <c r="I14" s="124" t="str">
        <f>IF(CARTERA_2026[[#This Row],[RUT]]=774097899,"DIST",_xlfn.XLOOKUP(CARTERA_2026[[#This Row],[VENDEDOR]],dimensiones!$C$21:$C$28,dimensiones!$D$21:$D$28,""))</f>
        <v>ATEL</v>
      </c>
      <c r="J14" s="125" t="str">
        <f>_xlfn.XLOOKUP(CARTERA_2026[[#This Row],[REGION]],dimensiones!C:C,dimensiones!D:D,"")</f>
        <v>Región de La Araucanía</v>
      </c>
      <c r="L14" s="136"/>
    </row>
    <row r="15" spans="1:12" x14ac:dyDescent="0.25">
      <c r="A15" s="134">
        <v>88248228</v>
      </c>
      <c r="B15" s="121" t="s">
        <v>5345</v>
      </c>
      <c r="C15" t="s">
        <v>5428</v>
      </c>
      <c r="D15" s="125">
        <v>13</v>
      </c>
      <c r="E15" t="s">
        <v>4445</v>
      </c>
      <c r="F15" s="122" t="s">
        <v>5141</v>
      </c>
      <c r="G15" s="132"/>
      <c r="H15" t="s">
        <v>5428</v>
      </c>
      <c r="I15" s="124" t="str">
        <f>IF(CARTERA_2026[[#This Row],[RUT]]=774097899,"DIST",_xlfn.XLOOKUP(CARTERA_2026[[#This Row],[VENDEDOR]],dimensiones!$C$21:$C$28,dimensiones!$D$21:$D$28,""))</f>
        <v>ATEL</v>
      </c>
      <c r="J15" s="125" t="str">
        <f>_xlfn.XLOOKUP(CARTERA_2026[[#This Row],[REGION]],dimensiones!C:C,dimensiones!D:D,"")</f>
        <v>Región de Metropolitana de Santiago</v>
      </c>
      <c r="L15" s="136"/>
    </row>
    <row r="16" spans="1:12" x14ac:dyDescent="0.25">
      <c r="A16" s="134">
        <v>91511959</v>
      </c>
      <c r="B16" s="121" t="s">
        <v>5018</v>
      </c>
      <c r="C16" t="s">
        <v>5428</v>
      </c>
      <c r="D16" s="125">
        <v>13</v>
      </c>
      <c r="E16" t="s">
        <v>4445</v>
      </c>
      <c r="F16" s="122" t="s">
        <v>5142</v>
      </c>
      <c r="G16" s="132"/>
      <c r="H16" t="s">
        <v>5428</v>
      </c>
      <c r="I16" s="124" t="str">
        <f>IF(CARTERA_2026[[#This Row],[RUT]]=774097899,"DIST",_xlfn.XLOOKUP(CARTERA_2026[[#This Row],[VENDEDOR]],dimensiones!$C$21:$C$28,dimensiones!$D$21:$D$28,""))</f>
        <v>ATEL</v>
      </c>
      <c r="J16" s="125" t="str">
        <f>_xlfn.XLOOKUP(CARTERA_2026[[#This Row],[REGION]],dimensiones!C:C,dimensiones!D:D,"")</f>
        <v>Región de Metropolitana de Santiago</v>
      </c>
      <c r="L16" s="136"/>
    </row>
    <row r="17" spans="1:12" x14ac:dyDescent="0.25">
      <c r="A17" s="134">
        <v>99987308</v>
      </c>
      <c r="B17" s="121" t="s">
        <v>5346</v>
      </c>
      <c r="C17" t="s">
        <v>5428</v>
      </c>
      <c r="D17" s="125">
        <v>16</v>
      </c>
      <c r="E17" t="s">
        <v>4445</v>
      </c>
      <c r="F17" s="122" t="s">
        <v>5143</v>
      </c>
      <c r="G17" s="132"/>
      <c r="H17" t="s">
        <v>5428</v>
      </c>
      <c r="I17" s="124" t="str">
        <f>IF(CARTERA_2026[[#This Row],[RUT]]=774097899,"DIST",_xlfn.XLOOKUP(CARTERA_2026[[#This Row],[VENDEDOR]],dimensiones!$C$21:$C$28,dimensiones!$D$21:$D$28,""))</f>
        <v>ATEL</v>
      </c>
      <c r="J17" s="125" t="str">
        <f>_xlfn.XLOOKUP(CARTERA_2026[[#This Row],[REGION]],dimensiones!C:C,dimensiones!D:D,"")</f>
        <v>Región de Ñuble</v>
      </c>
      <c r="L17" s="136"/>
    </row>
    <row r="18" spans="1:12" x14ac:dyDescent="0.25">
      <c r="A18" s="134">
        <v>105033214</v>
      </c>
      <c r="B18" s="121" t="s">
        <v>5347</v>
      </c>
      <c r="C18" t="s">
        <v>5428</v>
      </c>
      <c r="D18" s="125">
        <v>13</v>
      </c>
      <c r="E18" t="s">
        <v>4445</v>
      </c>
      <c r="F18" s="122" t="s">
        <v>5144</v>
      </c>
      <c r="G18" s="132"/>
      <c r="H18" t="s">
        <v>5428</v>
      </c>
      <c r="I18" s="124" t="str">
        <f>IF(CARTERA_2026[[#This Row],[RUT]]=774097899,"DIST",_xlfn.XLOOKUP(CARTERA_2026[[#This Row],[VENDEDOR]],dimensiones!$C$21:$C$28,dimensiones!$D$21:$D$28,""))</f>
        <v>ATEL</v>
      </c>
      <c r="J18" s="125" t="str">
        <f>_xlfn.XLOOKUP(CARTERA_2026[[#This Row],[REGION]],dimensiones!C:C,dimensiones!D:D,"")</f>
        <v>Región de Metropolitana de Santiago</v>
      </c>
      <c r="L18" s="136"/>
    </row>
    <row r="19" spans="1:12" x14ac:dyDescent="0.25">
      <c r="A19" s="134">
        <v>106711038</v>
      </c>
      <c r="B19" s="121" t="s">
        <v>5348</v>
      </c>
      <c r="C19" t="s">
        <v>5428</v>
      </c>
      <c r="D19" s="125">
        <v>3</v>
      </c>
      <c r="E19" t="s">
        <v>4445</v>
      </c>
      <c r="F19" s="122" t="s">
        <v>5145</v>
      </c>
      <c r="G19" s="132"/>
      <c r="H19" t="s">
        <v>5428</v>
      </c>
      <c r="I19" s="124" t="str">
        <f>IF(CARTERA_2026[[#This Row],[RUT]]=774097899,"DIST",_xlfn.XLOOKUP(CARTERA_2026[[#This Row],[VENDEDOR]],dimensiones!$C$21:$C$28,dimensiones!$D$21:$D$28,""))</f>
        <v>ATEL</v>
      </c>
      <c r="J19" s="125" t="str">
        <f>_xlfn.XLOOKUP(CARTERA_2026[[#This Row],[REGION]],dimensiones!C:C,dimensiones!D:D,"")</f>
        <v>Región de Atacama</v>
      </c>
      <c r="L19" s="136"/>
    </row>
    <row r="20" spans="1:12" x14ac:dyDescent="0.25">
      <c r="A20" s="134">
        <v>118464397</v>
      </c>
      <c r="B20" s="121" t="s">
        <v>1072</v>
      </c>
      <c r="C20" t="s">
        <v>4168</v>
      </c>
      <c r="D20" s="125">
        <v>13</v>
      </c>
      <c r="E20" t="s">
        <v>4445</v>
      </c>
      <c r="F20" s="122" t="s">
        <v>4900</v>
      </c>
      <c r="G20" s="132"/>
      <c r="H20" t="s">
        <v>4915</v>
      </c>
      <c r="I20" s="124" t="str">
        <f>IF(CARTERA_2026[[#This Row],[RUT]]=774097899,"DIST",_xlfn.XLOOKUP(CARTERA_2026[[#This Row],[VENDEDOR]],dimensiones!$C$21:$C$28,dimensiones!$D$21:$D$28,""))</f>
        <v>ATEL</v>
      </c>
      <c r="J20" s="125" t="str">
        <f>_xlfn.XLOOKUP(CARTERA_2026[[#This Row],[REGION]],dimensiones!C:C,dimensiones!D:D,"")</f>
        <v>Región de Metropolitana de Santiago</v>
      </c>
      <c r="L20" s="136"/>
    </row>
    <row r="21" spans="1:12" x14ac:dyDescent="0.25">
      <c r="A21" s="134">
        <v>118726197</v>
      </c>
      <c r="B21" s="121" t="s">
        <v>5349</v>
      </c>
      <c r="C21" t="s">
        <v>5428</v>
      </c>
      <c r="D21" s="125">
        <v>8</v>
      </c>
      <c r="E21" t="s">
        <v>4445</v>
      </c>
      <c r="F21" s="122" t="s">
        <v>5146</v>
      </c>
      <c r="G21" s="132"/>
      <c r="H21" t="s">
        <v>5428</v>
      </c>
      <c r="I21" s="124" t="str">
        <f>IF(CARTERA_2026[[#This Row],[RUT]]=774097899,"DIST",_xlfn.XLOOKUP(CARTERA_2026[[#This Row],[VENDEDOR]],dimensiones!$C$21:$C$28,dimensiones!$D$21:$D$28,""))</f>
        <v>ATEL</v>
      </c>
      <c r="J21" s="125" t="str">
        <f>_xlfn.XLOOKUP(CARTERA_2026[[#This Row],[REGION]],dimensiones!C:C,dimensiones!D:D,"")</f>
        <v>Región de Biobío</v>
      </c>
      <c r="L21" s="136"/>
    </row>
    <row r="22" spans="1:12" x14ac:dyDescent="0.25">
      <c r="A22" s="134">
        <v>121317834</v>
      </c>
      <c r="B22" s="121" t="s">
        <v>5019</v>
      </c>
      <c r="C22" t="s">
        <v>5428</v>
      </c>
      <c r="D22" s="125">
        <v>13</v>
      </c>
      <c r="E22" t="s">
        <v>4445</v>
      </c>
      <c r="F22" s="122" t="s">
        <v>5147</v>
      </c>
      <c r="G22" s="132"/>
      <c r="H22" t="s">
        <v>5428</v>
      </c>
      <c r="I22" s="124" t="str">
        <f>IF(CARTERA_2026[[#This Row],[RUT]]=774097899,"DIST",_xlfn.XLOOKUP(CARTERA_2026[[#This Row],[VENDEDOR]],dimensiones!$C$21:$C$28,dimensiones!$D$21:$D$28,""))</f>
        <v>ATEL</v>
      </c>
      <c r="J22" s="125" t="str">
        <f>_xlfn.XLOOKUP(CARTERA_2026[[#This Row],[REGION]],dimensiones!C:C,dimensiones!D:D,"")</f>
        <v>Región de Metropolitana de Santiago</v>
      </c>
      <c r="L22" s="136"/>
    </row>
    <row r="23" spans="1:12" x14ac:dyDescent="0.25">
      <c r="A23" s="134">
        <v>122836576</v>
      </c>
      <c r="B23" s="121" t="s">
        <v>5020</v>
      </c>
      <c r="C23" t="s">
        <v>5428</v>
      </c>
      <c r="D23" s="125">
        <v>13</v>
      </c>
      <c r="E23" t="s">
        <v>4445</v>
      </c>
      <c r="F23" s="122" t="s">
        <v>5148</v>
      </c>
      <c r="G23" s="132"/>
      <c r="H23" t="s">
        <v>5428</v>
      </c>
      <c r="I23" s="124" t="str">
        <f>IF(CARTERA_2026[[#This Row],[RUT]]=774097899,"DIST",_xlfn.XLOOKUP(CARTERA_2026[[#This Row],[VENDEDOR]],dimensiones!$C$21:$C$28,dimensiones!$D$21:$D$28,""))</f>
        <v>ATEL</v>
      </c>
      <c r="J23" s="125" t="str">
        <f>_xlfn.XLOOKUP(CARTERA_2026[[#This Row],[REGION]],dimensiones!C:C,dimensiones!D:D,"")</f>
        <v>Región de Metropolitana de Santiago</v>
      </c>
      <c r="L23" s="136"/>
    </row>
    <row r="24" spans="1:12" x14ac:dyDescent="0.25">
      <c r="A24" s="134">
        <v>150855403</v>
      </c>
      <c r="B24" s="121" t="s">
        <v>5350</v>
      </c>
      <c r="C24" t="s">
        <v>5428</v>
      </c>
      <c r="D24" s="125">
        <v>5</v>
      </c>
      <c r="E24" t="s">
        <v>4445</v>
      </c>
      <c r="F24" s="122" t="s">
        <v>5150</v>
      </c>
      <c r="G24" s="132"/>
      <c r="H24" t="s">
        <v>5428</v>
      </c>
      <c r="I24" s="124" t="str">
        <f>IF(CARTERA_2026[[#This Row],[RUT]]=774097899,"DIST",_xlfn.XLOOKUP(CARTERA_2026[[#This Row],[VENDEDOR]],dimensiones!$C$21:$C$28,dimensiones!$D$21:$D$28,""))</f>
        <v>ATEL</v>
      </c>
      <c r="J24" s="125" t="str">
        <f>_xlfn.XLOOKUP(CARTERA_2026[[#This Row],[REGION]],dimensiones!C:C,dimensiones!D:D,"")</f>
        <v>Región de Valparaíso</v>
      </c>
      <c r="L24" s="136"/>
    </row>
    <row r="25" spans="1:12" x14ac:dyDescent="0.25">
      <c r="A25" s="134">
        <v>161447579</v>
      </c>
      <c r="B25" s="121" t="s">
        <v>5351</v>
      </c>
      <c r="C25" t="s">
        <v>5428</v>
      </c>
      <c r="D25" s="125">
        <v>13</v>
      </c>
      <c r="E25" t="s">
        <v>4445</v>
      </c>
      <c r="F25" s="122" t="s">
        <v>5151</v>
      </c>
      <c r="G25" s="132"/>
      <c r="H25" t="s">
        <v>5428</v>
      </c>
      <c r="I25" s="124" t="str">
        <f>IF(CARTERA_2026[[#This Row],[RUT]]=774097899,"DIST",_xlfn.XLOOKUP(CARTERA_2026[[#This Row],[VENDEDOR]],dimensiones!$C$21:$C$28,dimensiones!$D$21:$D$28,""))</f>
        <v>ATEL</v>
      </c>
      <c r="J25" s="125" t="str">
        <f>_xlfn.XLOOKUP(CARTERA_2026[[#This Row],[REGION]],dimensiones!C:C,dimensiones!D:D,"")</f>
        <v>Región de Metropolitana de Santiago</v>
      </c>
      <c r="L25" s="136"/>
    </row>
    <row r="26" spans="1:12" x14ac:dyDescent="0.25">
      <c r="A26" s="134">
        <v>165289676</v>
      </c>
      <c r="B26" s="121" t="s">
        <v>5352</v>
      </c>
      <c r="C26" t="s">
        <v>5428</v>
      </c>
      <c r="D26" s="125">
        <v>6</v>
      </c>
      <c r="E26" t="s">
        <v>4445</v>
      </c>
      <c r="F26" s="122" t="s">
        <v>5152</v>
      </c>
      <c r="G26" s="132"/>
      <c r="H26" t="s">
        <v>5428</v>
      </c>
      <c r="I26" s="124" t="str">
        <f>IF(CARTERA_2026[[#This Row],[RUT]]=774097899,"DIST",_xlfn.XLOOKUP(CARTERA_2026[[#This Row],[VENDEDOR]],dimensiones!$C$21:$C$28,dimensiones!$D$21:$D$28,""))</f>
        <v>ATEL</v>
      </c>
      <c r="J26" s="125" t="str">
        <f>_xlfn.XLOOKUP(CARTERA_2026[[#This Row],[REGION]],dimensiones!C:C,dimensiones!D:D,"")</f>
        <v>Región de Libertador General Bernardo O'Higgins</v>
      </c>
      <c r="L26" s="136"/>
    </row>
    <row r="27" spans="1:12" x14ac:dyDescent="0.25">
      <c r="A27" s="134">
        <v>173054734</v>
      </c>
      <c r="B27" s="121" t="s">
        <v>5353</v>
      </c>
      <c r="C27" t="s">
        <v>5428</v>
      </c>
      <c r="D27" s="125">
        <v>13</v>
      </c>
      <c r="E27" t="s">
        <v>4445</v>
      </c>
      <c r="F27" s="122" t="s">
        <v>5153</v>
      </c>
      <c r="G27" s="132"/>
      <c r="H27" t="s">
        <v>5428</v>
      </c>
      <c r="I27" s="124" t="str">
        <f>IF(CARTERA_2026[[#This Row],[RUT]]=774097899,"DIST",_xlfn.XLOOKUP(CARTERA_2026[[#This Row],[VENDEDOR]],dimensiones!$C$21:$C$28,dimensiones!$D$21:$D$28,""))</f>
        <v>ATEL</v>
      </c>
      <c r="J27" s="125" t="str">
        <f>_xlfn.XLOOKUP(CARTERA_2026[[#This Row],[REGION]],dimensiones!C:C,dimensiones!D:D,"")</f>
        <v>Región de Metropolitana de Santiago</v>
      </c>
      <c r="L27" s="136"/>
    </row>
    <row r="28" spans="1:12" x14ac:dyDescent="0.25">
      <c r="A28" s="134">
        <v>176056827</v>
      </c>
      <c r="B28" s="121" t="s">
        <v>5410</v>
      </c>
      <c r="C28" t="s">
        <v>5428</v>
      </c>
      <c r="D28" s="125">
        <v>8</v>
      </c>
      <c r="E28" t="s">
        <v>4445</v>
      </c>
      <c r="F28" s="122" t="s">
        <v>5154</v>
      </c>
      <c r="G28" s="132"/>
      <c r="H28" t="s">
        <v>5428</v>
      </c>
      <c r="I28" s="124" t="str">
        <f>IF(CARTERA_2026[[#This Row],[RUT]]=774097899,"DIST",_xlfn.XLOOKUP(CARTERA_2026[[#This Row],[VENDEDOR]],dimensiones!$C$21:$C$28,dimensiones!$D$21:$D$28,""))</f>
        <v>ATEL</v>
      </c>
      <c r="J28" s="125" t="str">
        <f>_xlfn.XLOOKUP(CARTERA_2026[[#This Row],[REGION]],dimensiones!C:C,dimensiones!D:D,"")</f>
        <v>Región de Biobío</v>
      </c>
      <c r="L28" s="136"/>
    </row>
    <row r="29" spans="1:12" x14ac:dyDescent="0.25">
      <c r="A29" s="134">
        <v>176445467</v>
      </c>
      <c r="B29" s="121" t="s">
        <v>5354</v>
      </c>
      <c r="C29" t="s">
        <v>5428</v>
      </c>
      <c r="D29" s="125">
        <v>13</v>
      </c>
      <c r="E29" t="s">
        <v>4445</v>
      </c>
      <c r="F29" s="122" t="s">
        <v>5155</v>
      </c>
      <c r="G29" s="132"/>
      <c r="H29" t="s">
        <v>5428</v>
      </c>
      <c r="I29" s="124" t="str">
        <f>IF(CARTERA_2026[[#This Row],[RUT]]=774097899,"DIST",_xlfn.XLOOKUP(CARTERA_2026[[#This Row],[VENDEDOR]],dimensiones!$C$21:$C$28,dimensiones!$D$21:$D$28,""))</f>
        <v>ATEL</v>
      </c>
      <c r="J29" s="125" t="str">
        <f>_xlfn.XLOOKUP(CARTERA_2026[[#This Row],[REGION]],dimensiones!C:C,dimensiones!D:D,"")</f>
        <v>Región de Metropolitana de Santiago</v>
      </c>
      <c r="L29" s="136"/>
    </row>
    <row r="30" spans="1:12" x14ac:dyDescent="0.25">
      <c r="A30" s="134">
        <v>180567933</v>
      </c>
      <c r="B30" s="121" t="s">
        <v>5355</v>
      </c>
      <c r="C30" t="s">
        <v>5428</v>
      </c>
      <c r="D30" s="125">
        <v>13</v>
      </c>
      <c r="E30" t="s">
        <v>4445</v>
      </c>
      <c r="F30" s="122" t="s">
        <v>5156</v>
      </c>
      <c r="G30" s="132"/>
      <c r="H30" t="s">
        <v>5428</v>
      </c>
      <c r="I30" s="124" t="str">
        <f>IF(CARTERA_2026[[#This Row],[RUT]]=774097899,"DIST",_xlfn.XLOOKUP(CARTERA_2026[[#This Row],[VENDEDOR]],dimensiones!$C$21:$C$28,dimensiones!$D$21:$D$28,""))</f>
        <v>ATEL</v>
      </c>
      <c r="J30" s="125" t="str">
        <f>_xlfn.XLOOKUP(CARTERA_2026[[#This Row],[REGION]],dimensiones!C:C,dimensiones!D:D,"")</f>
        <v>Región de Metropolitana de Santiago</v>
      </c>
      <c r="L30" s="136"/>
    </row>
    <row r="31" spans="1:12" x14ac:dyDescent="0.25">
      <c r="A31" s="134">
        <v>188563619</v>
      </c>
      <c r="B31" s="121" t="s">
        <v>5411</v>
      </c>
      <c r="C31" t="s">
        <v>5428</v>
      </c>
      <c r="D31" s="125">
        <v>3</v>
      </c>
      <c r="E31" t="s">
        <v>4445</v>
      </c>
      <c r="F31" s="122" t="s">
        <v>5157</v>
      </c>
      <c r="G31" s="132"/>
      <c r="H31" t="s">
        <v>5428</v>
      </c>
      <c r="I31" s="124" t="str">
        <f>IF(CARTERA_2026[[#This Row],[RUT]]=774097899,"DIST",_xlfn.XLOOKUP(CARTERA_2026[[#This Row],[VENDEDOR]],dimensiones!$C$21:$C$28,dimensiones!$D$21:$D$28,""))</f>
        <v>ATEL</v>
      </c>
      <c r="J31" s="125" t="str">
        <f>_xlfn.XLOOKUP(CARTERA_2026[[#This Row],[REGION]],dimensiones!C:C,dimensiones!D:D,"")</f>
        <v>Región de Atacama</v>
      </c>
      <c r="L31" s="136"/>
    </row>
    <row r="32" spans="1:12" x14ac:dyDescent="0.25">
      <c r="A32" s="134">
        <v>236451461</v>
      </c>
      <c r="B32" s="121" t="s">
        <v>5022</v>
      </c>
      <c r="C32" t="s">
        <v>5428</v>
      </c>
      <c r="D32" s="125">
        <v>13</v>
      </c>
      <c r="E32" t="s">
        <v>4445</v>
      </c>
      <c r="F32" s="122" t="s">
        <v>5158</v>
      </c>
      <c r="G32" s="132"/>
      <c r="H32" t="s">
        <v>5428</v>
      </c>
      <c r="I32" s="124" t="str">
        <f>IF(CARTERA_2026[[#This Row],[RUT]]=774097899,"DIST",_xlfn.XLOOKUP(CARTERA_2026[[#This Row],[VENDEDOR]],dimensiones!$C$21:$C$28,dimensiones!$D$21:$D$28,""))</f>
        <v>ATEL</v>
      </c>
      <c r="J32" s="125" t="str">
        <f>_xlfn.XLOOKUP(CARTERA_2026[[#This Row],[REGION]],dimensiones!C:C,dimensiones!D:D,"")</f>
        <v>Región de Metropolitana de Santiago</v>
      </c>
      <c r="L32" s="136"/>
    </row>
    <row r="33" spans="1:12" x14ac:dyDescent="0.25">
      <c r="A33" s="134">
        <v>259526361</v>
      </c>
      <c r="B33" s="121" t="s">
        <v>5356</v>
      </c>
      <c r="C33" t="s">
        <v>5428</v>
      </c>
      <c r="D33" s="125">
        <v>13</v>
      </c>
      <c r="E33" t="s">
        <v>4445</v>
      </c>
      <c r="F33" s="122" t="s">
        <v>5159</v>
      </c>
      <c r="G33" s="132"/>
      <c r="H33" t="s">
        <v>5428</v>
      </c>
      <c r="I33" s="124" t="str">
        <f>IF(CARTERA_2026[[#This Row],[RUT]]=774097899,"DIST",_xlfn.XLOOKUP(CARTERA_2026[[#This Row],[VENDEDOR]],dimensiones!$C$21:$C$28,dimensiones!$D$21:$D$28,""))</f>
        <v>ATEL</v>
      </c>
      <c r="J33" s="125" t="str">
        <f>_xlfn.XLOOKUP(CARTERA_2026[[#This Row],[REGION]],dimensiones!C:C,dimensiones!D:D,"")</f>
        <v>Región de Metropolitana de Santiago</v>
      </c>
      <c r="L33" s="136"/>
    </row>
    <row r="34" spans="1:12" x14ac:dyDescent="0.25">
      <c r="A34" s="134">
        <v>590772909</v>
      </c>
      <c r="B34" s="121" t="s">
        <v>5023</v>
      </c>
      <c r="C34" t="s">
        <v>5428</v>
      </c>
      <c r="D34" s="125">
        <v>13</v>
      </c>
      <c r="E34" t="s">
        <v>4445</v>
      </c>
      <c r="F34" s="122" t="s">
        <v>5160</v>
      </c>
      <c r="G34" s="132"/>
      <c r="H34" t="s">
        <v>5428</v>
      </c>
      <c r="I34" s="124" t="str">
        <f>IF(CARTERA_2026[[#This Row],[RUT]]=774097899,"DIST",_xlfn.XLOOKUP(CARTERA_2026[[#This Row],[VENDEDOR]],dimensiones!$C$21:$C$28,dimensiones!$D$21:$D$28,""))</f>
        <v>ATEL</v>
      </c>
      <c r="J34" s="125" t="str">
        <f>_xlfn.XLOOKUP(CARTERA_2026[[#This Row],[REGION]],dimensiones!C:C,dimensiones!D:D,"")</f>
        <v>Región de Metropolitana de Santiago</v>
      </c>
      <c r="L34" s="136"/>
    </row>
    <row r="35" spans="1:12" x14ac:dyDescent="0.25">
      <c r="A35" s="134">
        <v>601030004</v>
      </c>
      <c r="B35" s="121" t="s">
        <v>5024</v>
      </c>
      <c r="C35" t="s">
        <v>5428</v>
      </c>
      <c r="D35" s="125">
        <v>13</v>
      </c>
      <c r="E35" t="s">
        <v>4445</v>
      </c>
      <c r="F35" s="122" t="s">
        <v>5161</v>
      </c>
      <c r="G35" s="132"/>
      <c r="H35" t="s">
        <v>5428</v>
      </c>
      <c r="I35" s="124" t="str">
        <f>IF(CARTERA_2026[[#This Row],[RUT]]=774097899,"DIST",_xlfn.XLOOKUP(CARTERA_2026[[#This Row],[VENDEDOR]],dimensiones!$C$21:$C$28,dimensiones!$D$21:$D$28,""))</f>
        <v>ATEL</v>
      </c>
      <c r="J35" s="125" t="str">
        <f>_xlfn.XLOOKUP(CARTERA_2026[[#This Row],[REGION]],dimensiones!C:C,dimensiones!D:D,"")</f>
        <v>Región de Metropolitana de Santiago</v>
      </c>
      <c r="L35" s="136"/>
    </row>
    <row r="36" spans="1:12" x14ac:dyDescent="0.25">
      <c r="A36" s="134">
        <v>602020002</v>
      </c>
      <c r="B36" s="121" t="s">
        <v>1075</v>
      </c>
      <c r="C36" t="s">
        <v>4459</v>
      </c>
      <c r="D36" s="125">
        <v>5</v>
      </c>
      <c r="E36" t="s">
        <v>4445</v>
      </c>
      <c r="F36" s="122" t="s">
        <v>4903</v>
      </c>
      <c r="G36" s="132"/>
      <c r="H36" t="s">
        <v>4957</v>
      </c>
      <c r="I36" s="124" t="str">
        <f>IF(CARTERA_2026[[#This Row],[RUT]]=774097899,"DIST",_xlfn.XLOOKUP(CARTERA_2026[[#This Row],[VENDEDOR]],dimensiones!$C$21:$C$28,dimensiones!$D$21:$D$28,""))</f>
        <v>ATEL</v>
      </c>
      <c r="J36" s="125" t="str">
        <f>_xlfn.XLOOKUP(CARTERA_2026[[#This Row],[REGION]],dimensiones!C:C,dimensiones!D:D,"")</f>
        <v>Región de Valparaíso</v>
      </c>
      <c r="L36" s="136"/>
    </row>
    <row r="37" spans="1:12" x14ac:dyDescent="0.25">
      <c r="A37" s="134">
        <v>605060005</v>
      </c>
      <c r="B37" s="121" t="s">
        <v>5025</v>
      </c>
      <c r="C37" t="s">
        <v>5428</v>
      </c>
      <c r="D37" s="125">
        <v>10</v>
      </c>
      <c r="E37" t="s">
        <v>4445</v>
      </c>
      <c r="F37" s="122" t="s">
        <v>5162</v>
      </c>
      <c r="G37" s="132"/>
      <c r="H37" t="s">
        <v>5428</v>
      </c>
      <c r="I37" s="124" t="str">
        <f>IF(CARTERA_2026[[#This Row],[RUT]]=774097899,"DIST",_xlfn.XLOOKUP(CARTERA_2026[[#This Row],[VENDEDOR]],dimensiones!$C$21:$C$28,dimensiones!$D$21:$D$28,""))</f>
        <v>ATEL</v>
      </c>
      <c r="J37" s="125" t="str">
        <f>_xlfn.XLOOKUP(CARTERA_2026[[#This Row],[REGION]],dimensiones!C:C,dimensiones!D:D,"")</f>
        <v>Región de Los Lagos</v>
      </c>
      <c r="L37" s="136"/>
    </row>
    <row r="38" spans="1:12" x14ac:dyDescent="0.25">
      <c r="A38" s="134">
        <v>605060129</v>
      </c>
      <c r="B38" s="121" t="s">
        <v>5026</v>
      </c>
      <c r="C38" t="s">
        <v>5428</v>
      </c>
      <c r="D38" s="125">
        <v>13</v>
      </c>
      <c r="E38" t="s">
        <v>4445</v>
      </c>
      <c r="F38" s="122" t="s">
        <v>5163</v>
      </c>
      <c r="G38" s="132"/>
      <c r="H38" t="s">
        <v>5428</v>
      </c>
      <c r="I38" s="124" t="str">
        <f>IF(CARTERA_2026[[#This Row],[RUT]]=774097899,"DIST",_xlfn.XLOOKUP(CARTERA_2026[[#This Row],[VENDEDOR]],dimensiones!$C$21:$C$28,dimensiones!$D$21:$D$28,""))</f>
        <v>ATEL</v>
      </c>
      <c r="J38" s="125" t="str">
        <f>_xlfn.XLOOKUP(CARTERA_2026[[#This Row],[REGION]],dimensiones!C:C,dimensiones!D:D,"")</f>
        <v>Región de Metropolitana de Santiago</v>
      </c>
      <c r="L38" s="136"/>
    </row>
    <row r="39" spans="1:12" x14ac:dyDescent="0.25">
      <c r="A39" s="134">
        <v>605111300</v>
      </c>
      <c r="B39" s="121" t="s">
        <v>5357</v>
      </c>
      <c r="C39" t="s">
        <v>5428</v>
      </c>
      <c r="D39" s="125">
        <v>13</v>
      </c>
      <c r="E39" t="s">
        <v>4445</v>
      </c>
      <c r="F39" s="122" t="s">
        <v>5164</v>
      </c>
      <c r="G39" s="132"/>
      <c r="H39" t="s">
        <v>5428</v>
      </c>
      <c r="I39" s="124" t="str">
        <f>IF(CARTERA_2026[[#This Row],[RUT]]=774097899,"DIST",_xlfn.XLOOKUP(CARTERA_2026[[#This Row],[VENDEDOR]],dimensiones!$C$21:$C$28,dimensiones!$D$21:$D$28,""))</f>
        <v>ATEL</v>
      </c>
      <c r="J39" s="125" t="str">
        <f>_xlfn.XLOOKUP(CARTERA_2026[[#This Row],[REGION]],dimensiones!C:C,dimensiones!D:D,"")</f>
        <v>Región de Metropolitana de Santiago</v>
      </c>
      <c r="L39" s="136"/>
    </row>
    <row r="40" spans="1:12" x14ac:dyDescent="0.25">
      <c r="A40" s="134">
        <v>609020636</v>
      </c>
      <c r="B40" s="121" t="s">
        <v>343</v>
      </c>
      <c r="C40" t="s">
        <v>5428</v>
      </c>
      <c r="D40" s="125">
        <v>7</v>
      </c>
      <c r="E40" t="s">
        <v>4445</v>
      </c>
      <c r="F40" s="122" t="s">
        <v>5165</v>
      </c>
      <c r="G40" s="132"/>
      <c r="H40" t="s">
        <v>5428</v>
      </c>
      <c r="I40" s="124" t="str">
        <f>IF(CARTERA_2026[[#This Row],[RUT]]=774097899,"DIST",_xlfn.XLOOKUP(CARTERA_2026[[#This Row],[VENDEDOR]],dimensiones!$C$21:$C$28,dimensiones!$D$21:$D$28,""))</f>
        <v>ATEL</v>
      </c>
      <c r="J40" s="125" t="str">
        <f>_xlfn.XLOOKUP(CARTERA_2026[[#This Row],[REGION]],dimensiones!C:C,dimensiones!D:D,"")</f>
        <v>Región de Maule</v>
      </c>
      <c r="L40" s="136"/>
    </row>
    <row r="41" spans="1:12" x14ac:dyDescent="0.25">
      <c r="A41" s="134">
        <v>609050004</v>
      </c>
      <c r="B41" s="121" t="s">
        <v>5027</v>
      </c>
      <c r="C41" t="s">
        <v>5428</v>
      </c>
      <c r="D41" s="125">
        <v>4</v>
      </c>
      <c r="E41" t="s">
        <v>4445</v>
      </c>
      <c r="F41" s="122" t="s">
        <v>5166</v>
      </c>
      <c r="G41" s="132"/>
      <c r="H41" t="s">
        <v>5428</v>
      </c>
      <c r="I41" s="124" t="str">
        <f>IF(CARTERA_2026[[#This Row],[RUT]]=774097899,"DIST",_xlfn.XLOOKUP(CARTERA_2026[[#This Row],[VENDEDOR]],dimensiones!$C$21:$C$28,dimensiones!$D$21:$D$28,""))</f>
        <v>ATEL</v>
      </c>
      <c r="J41" s="125" t="str">
        <f>_xlfn.XLOOKUP(CARTERA_2026[[#This Row],[REGION]],dimensiones!C:C,dimensiones!D:D,"")</f>
        <v>Región de Coquimbo</v>
      </c>
      <c r="L41" s="136"/>
    </row>
    <row r="42" spans="1:12" x14ac:dyDescent="0.25">
      <c r="A42" s="134">
        <v>609100478</v>
      </c>
      <c r="B42" s="121" t="s">
        <v>5028</v>
      </c>
      <c r="C42" t="s">
        <v>5428</v>
      </c>
      <c r="D42" s="125">
        <v>13</v>
      </c>
      <c r="E42" t="s">
        <v>4445</v>
      </c>
      <c r="F42" s="122" t="s">
        <v>5167</v>
      </c>
      <c r="G42" s="132"/>
      <c r="H42" t="s">
        <v>5428</v>
      </c>
      <c r="I42" s="124" t="str">
        <f>IF(CARTERA_2026[[#This Row],[RUT]]=774097899,"DIST",_xlfn.XLOOKUP(CARTERA_2026[[#This Row],[VENDEDOR]],dimensiones!$C$21:$C$28,dimensiones!$D$21:$D$28,""))</f>
        <v>ATEL</v>
      </c>
      <c r="J42" s="125" t="str">
        <f>_xlfn.XLOOKUP(CARTERA_2026[[#This Row],[REGION]],dimensiones!C:C,dimensiones!D:D,"")</f>
        <v>Región de Metropolitana de Santiago</v>
      </c>
      <c r="L42" s="136"/>
    </row>
    <row r="43" spans="1:12" x14ac:dyDescent="0.25">
      <c r="A43" s="134">
        <v>609110066</v>
      </c>
      <c r="B43" s="121" t="s">
        <v>5029</v>
      </c>
      <c r="C43" t="s">
        <v>5428</v>
      </c>
      <c r="D43" s="125">
        <v>8</v>
      </c>
      <c r="E43" t="s">
        <v>4445</v>
      </c>
      <c r="F43" s="122" t="s">
        <v>5168</v>
      </c>
      <c r="G43" s="132"/>
      <c r="H43" t="s">
        <v>5428</v>
      </c>
      <c r="I43" s="124" t="str">
        <f>IF(CARTERA_2026[[#This Row],[RUT]]=774097899,"DIST",_xlfn.XLOOKUP(CARTERA_2026[[#This Row],[VENDEDOR]],dimensiones!$C$21:$C$28,dimensiones!$D$21:$D$28,""))</f>
        <v>ATEL</v>
      </c>
      <c r="J43" s="125" t="str">
        <f>_xlfn.XLOOKUP(CARTERA_2026[[#This Row],[REGION]],dimensiones!C:C,dimensiones!D:D,"")</f>
        <v>Región de Biobío</v>
      </c>
      <c r="L43" s="136"/>
    </row>
    <row r="44" spans="1:12" x14ac:dyDescent="0.25">
      <c r="A44" s="134">
        <v>610040071</v>
      </c>
      <c r="B44" s="121" t="s">
        <v>5412</v>
      </c>
      <c r="C44" t="s">
        <v>5428</v>
      </c>
      <c r="D44" s="125">
        <v>2</v>
      </c>
      <c r="E44" t="s">
        <v>4445</v>
      </c>
      <c r="F44" s="122" t="s">
        <v>5169</v>
      </c>
      <c r="G44" s="132"/>
      <c r="H44" t="s">
        <v>5428</v>
      </c>
      <c r="I44" s="124" t="str">
        <f>IF(CARTERA_2026[[#This Row],[RUT]]=774097899,"DIST",_xlfn.XLOOKUP(CARTERA_2026[[#This Row],[VENDEDOR]],dimensiones!$C$21:$C$28,dimensiones!$D$21:$D$28,""))</f>
        <v>ATEL</v>
      </c>
      <c r="J44" s="125" t="str">
        <f>_xlfn.XLOOKUP(CARTERA_2026[[#This Row],[REGION]],dimensiones!C:C,dimensiones!D:D,"")</f>
        <v>Región de Antofagasta</v>
      </c>
      <c r="L44" s="136"/>
    </row>
    <row r="45" spans="1:12" x14ac:dyDescent="0.25">
      <c r="A45" s="134">
        <v>610040519</v>
      </c>
      <c r="B45" s="121" t="s">
        <v>5030</v>
      </c>
      <c r="C45" t="s">
        <v>5428</v>
      </c>
      <c r="D45" s="125">
        <v>7</v>
      </c>
      <c r="E45" t="s">
        <v>4445</v>
      </c>
      <c r="F45" s="122" t="s">
        <v>5171</v>
      </c>
      <c r="G45" s="132"/>
      <c r="H45" t="s">
        <v>5428</v>
      </c>
      <c r="I45" s="124" t="str">
        <f>IF(CARTERA_2026[[#This Row],[RUT]]=774097899,"DIST",_xlfn.XLOOKUP(CARTERA_2026[[#This Row],[VENDEDOR]],dimensiones!$C$21:$C$28,dimensiones!$D$21:$D$28,""))</f>
        <v>ATEL</v>
      </c>
      <c r="J45" s="125" t="str">
        <f>_xlfn.XLOOKUP(CARTERA_2026[[#This Row],[REGION]],dimensiones!C:C,dimensiones!D:D,"")</f>
        <v>Región de Maule</v>
      </c>
      <c r="L45" s="136"/>
    </row>
    <row r="46" spans="1:12" x14ac:dyDescent="0.25">
      <c r="A46" s="134">
        <v>611010176</v>
      </c>
      <c r="B46" s="121" t="s">
        <v>5358</v>
      </c>
      <c r="C46" t="s">
        <v>5428</v>
      </c>
      <c r="D46" s="125">
        <v>13</v>
      </c>
      <c r="E46" t="s">
        <v>4445</v>
      </c>
      <c r="F46" s="122" t="s">
        <v>5173</v>
      </c>
      <c r="G46" s="132"/>
      <c r="H46" t="s">
        <v>5428</v>
      </c>
      <c r="I46" s="124" t="str">
        <f>IF(CARTERA_2026[[#This Row],[RUT]]=774097899,"DIST",_xlfn.XLOOKUP(CARTERA_2026[[#This Row],[VENDEDOR]],dimensiones!$C$21:$C$28,dimensiones!$D$21:$D$28,""))</f>
        <v>ATEL</v>
      </c>
      <c r="J46" s="125" t="str">
        <f>_xlfn.XLOOKUP(CARTERA_2026[[#This Row],[REGION]],dimensiones!C:C,dimensiones!D:D,"")</f>
        <v>Región de Metropolitana de Santiago</v>
      </c>
      <c r="L46" s="136"/>
    </row>
    <row r="47" spans="1:12" x14ac:dyDescent="0.25">
      <c r="A47" s="134">
        <v>611021275</v>
      </c>
      <c r="B47" s="121" t="s">
        <v>1053</v>
      </c>
      <c r="C47" t="s">
        <v>4459</v>
      </c>
      <c r="D47" s="125">
        <v>5</v>
      </c>
      <c r="E47" t="s">
        <v>4445</v>
      </c>
      <c r="F47" s="122" t="s">
        <v>4886</v>
      </c>
      <c r="G47" s="132"/>
      <c r="H47" t="s">
        <v>4915</v>
      </c>
      <c r="I47" s="124" t="str">
        <f>IF(CARTERA_2026[[#This Row],[RUT]]=774097899,"DIST",_xlfn.XLOOKUP(CARTERA_2026[[#This Row],[VENDEDOR]],dimensiones!$C$21:$C$28,dimensiones!$D$21:$D$28,""))</f>
        <v>ATEL</v>
      </c>
      <c r="J47" s="125" t="str">
        <f>_xlfn.XLOOKUP(CARTERA_2026[[#This Row],[REGION]],dimensiones!C:C,dimensiones!D:D,"")</f>
        <v>Región de Valparaíso</v>
      </c>
      <c r="L47" s="136"/>
    </row>
    <row r="48" spans="1:12" x14ac:dyDescent="0.25">
      <c r="A48" s="134">
        <v>611030207</v>
      </c>
      <c r="B48" s="121" t="s">
        <v>5393</v>
      </c>
      <c r="C48" t="s">
        <v>5428</v>
      </c>
      <c r="D48" s="125">
        <v>10</v>
      </c>
      <c r="E48" t="s">
        <v>4445</v>
      </c>
      <c r="F48" s="122" t="s">
        <v>5174</v>
      </c>
      <c r="G48" s="132"/>
      <c r="H48" t="s">
        <v>5428</v>
      </c>
      <c r="I48" s="124" t="str">
        <f>IF(CARTERA_2026[[#This Row],[RUT]]=774097899,"DIST",_xlfn.XLOOKUP(CARTERA_2026[[#This Row],[VENDEDOR]],dimensiones!$C$21:$C$28,dimensiones!$D$21:$D$28,""))</f>
        <v>ATEL</v>
      </c>
      <c r="J48" s="125" t="str">
        <f>_xlfn.XLOOKUP(CARTERA_2026[[#This Row],[REGION]],dimensiones!C:C,dimensiones!D:D,"")</f>
        <v>Región de Los Lagos</v>
      </c>
      <c r="L48" s="136"/>
    </row>
    <row r="49" spans="1:12" x14ac:dyDescent="0.25">
      <c r="A49" s="134">
        <v>611030215</v>
      </c>
      <c r="B49" s="121" t="s">
        <v>5394</v>
      </c>
      <c r="C49" t="s">
        <v>4185</v>
      </c>
      <c r="D49" s="125" t="s">
        <v>5428</v>
      </c>
      <c r="E49" t="s">
        <v>4445</v>
      </c>
      <c r="F49" s="122" t="s">
        <v>4870</v>
      </c>
      <c r="G49" s="132"/>
      <c r="H49" t="s">
        <v>4957</v>
      </c>
      <c r="I49" s="124" t="str">
        <f>IF(CARTERA_2026[[#This Row],[RUT]]=774097899,"DIST",_xlfn.XLOOKUP(CARTERA_2026[[#This Row],[VENDEDOR]],dimensiones!$C$21:$C$28,dimensiones!$D$21:$D$28,""))</f>
        <v>ATEL</v>
      </c>
      <c r="J49" s="125" t="str">
        <f>_xlfn.XLOOKUP(CARTERA_2026[[#This Row],[REGION]],dimensiones!C:C,dimensiones!D:D,"")</f>
        <v/>
      </c>
      <c r="L49" s="136"/>
    </row>
    <row r="50" spans="1:12" x14ac:dyDescent="0.25">
      <c r="A50" s="134">
        <v>611030223</v>
      </c>
      <c r="B50" s="121" t="s">
        <v>5402</v>
      </c>
      <c r="C50" t="s">
        <v>5428</v>
      </c>
      <c r="D50" s="125">
        <v>5</v>
      </c>
      <c r="E50" t="s">
        <v>4445</v>
      </c>
      <c r="F50" s="122" t="s">
        <v>5175</v>
      </c>
      <c r="G50" s="132"/>
      <c r="H50" t="s">
        <v>5428</v>
      </c>
      <c r="I50" s="124" t="str">
        <f>IF(CARTERA_2026[[#This Row],[RUT]]=774097899,"DIST",_xlfn.XLOOKUP(CARTERA_2026[[#This Row],[VENDEDOR]],dimensiones!$C$21:$C$28,dimensiones!$D$21:$D$28,""))</f>
        <v>ATEL</v>
      </c>
      <c r="J50" s="125" t="str">
        <f>_xlfn.XLOOKUP(CARTERA_2026[[#This Row],[REGION]],dimensiones!C:C,dimensiones!D:D,"")</f>
        <v>Región de Valparaíso</v>
      </c>
      <c r="L50" s="136"/>
    </row>
    <row r="51" spans="1:12" x14ac:dyDescent="0.25">
      <c r="A51" s="134">
        <v>611030231</v>
      </c>
      <c r="B51" s="121" t="s">
        <v>5359</v>
      </c>
      <c r="C51" t="s">
        <v>5428</v>
      </c>
      <c r="D51" s="125">
        <v>1</v>
      </c>
      <c r="E51" t="s">
        <v>4445</v>
      </c>
      <c r="F51" s="122" t="s">
        <v>5176</v>
      </c>
      <c r="G51" s="132"/>
      <c r="H51" t="s">
        <v>5428</v>
      </c>
      <c r="I51" s="124" t="str">
        <f>IF(CARTERA_2026[[#This Row],[RUT]]=774097899,"DIST",_xlfn.XLOOKUP(CARTERA_2026[[#This Row],[VENDEDOR]],dimensiones!$C$21:$C$28,dimensiones!$D$21:$D$28,""))</f>
        <v>ATEL</v>
      </c>
      <c r="J51" s="125" t="str">
        <f>_xlfn.XLOOKUP(CARTERA_2026[[#This Row],[REGION]],dimensiones!C:C,dimensiones!D:D,"")</f>
        <v>Región de Tarapacá</v>
      </c>
      <c r="L51" s="136"/>
    </row>
    <row r="52" spans="1:12" x14ac:dyDescent="0.25">
      <c r="A52" s="134">
        <v>611030320</v>
      </c>
      <c r="B52" s="121" t="s">
        <v>5031</v>
      </c>
      <c r="C52" t="s">
        <v>5428</v>
      </c>
      <c r="D52" s="125">
        <v>13</v>
      </c>
      <c r="E52" t="s">
        <v>4445</v>
      </c>
      <c r="F52" s="122" t="s">
        <v>5177</v>
      </c>
      <c r="G52" s="132"/>
      <c r="H52" t="s">
        <v>5428</v>
      </c>
      <c r="I52" s="124" t="str">
        <f>IF(CARTERA_2026[[#This Row],[RUT]]=774097899,"DIST",_xlfn.XLOOKUP(CARTERA_2026[[#This Row],[VENDEDOR]],dimensiones!$C$21:$C$28,dimensiones!$D$21:$D$28,""))</f>
        <v>ATEL</v>
      </c>
      <c r="J52" s="125" t="str">
        <f>_xlfn.XLOOKUP(CARTERA_2026[[#This Row],[REGION]],dimensiones!C:C,dimensiones!D:D,"")</f>
        <v>Región de Metropolitana de Santiago</v>
      </c>
      <c r="L52" s="136"/>
    </row>
    <row r="53" spans="1:12" x14ac:dyDescent="0.25">
      <c r="A53" s="134">
        <v>611090005</v>
      </c>
      <c r="B53" s="121" t="s">
        <v>5178</v>
      </c>
      <c r="C53" t="s">
        <v>5428</v>
      </c>
      <c r="D53" s="125">
        <v>13</v>
      </c>
      <c r="E53" t="s">
        <v>4445</v>
      </c>
      <c r="F53" s="122" t="s">
        <v>5179</v>
      </c>
      <c r="G53" s="132"/>
      <c r="H53" t="s">
        <v>5428</v>
      </c>
      <c r="I53" s="124" t="str">
        <f>IF(CARTERA_2026[[#This Row],[RUT]]=774097899,"DIST",_xlfn.XLOOKUP(CARTERA_2026[[#This Row],[VENDEDOR]],dimensiones!$C$21:$C$28,dimensiones!$D$21:$D$28,""))</f>
        <v>ATEL</v>
      </c>
      <c r="J53" s="125" t="str">
        <f>_xlfn.XLOOKUP(CARTERA_2026[[#This Row],[REGION]],dimensiones!C:C,dimensiones!D:D,"")</f>
        <v>Región de Metropolitana de Santiago</v>
      </c>
      <c r="L53" s="136"/>
    </row>
    <row r="54" spans="1:12" x14ac:dyDescent="0.25">
      <c r="A54" s="134">
        <v>612020000</v>
      </c>
      <c r="B54" s="121" t="s">
        <v>5032</v>
      </c>
      <c r="C54" t="s">
        <v>5428</v>
      </c>
      <c r="D54" s="125">
        <v>13</v>
      </c>
      <c r="E54" t="s">
        <v>4445</v>
      </c>
      <c r="F54" s="122" t="s">
        <v>5180</v>
      </c>
      <c r="G54" s="132"/>
      <c r="H54" t="s">
        <v>5428</v>
      </c>
      <c r="I54" s="124" t="str">
        <f>IF(CARTERA_2026[[#This Row],[RUT]]=774097899,"DIST",_xlfn.XLOOKUP(CARTERA_2026[[#This Row],[VENDEDOR]],dimensiones!$C$21:$C$28,dimensiones!$D$21:$D$28,""))</f>
        <v>ATEL</v>
      </c>
      <c r="J54" s="125" t="str">
        <f>_xlfn.XLOOKUP(CARTERA_2026[[#This Row],[REGION]],dimensiones!C:C,dimensiones!D:D,"")</f>
        <v>Región de Metropolitana de Santiago</v>
      </c>
      <c r="L54" s="136"/>
    </row>
    <row r="55" spans="1:12" x14ac:dyDescent="0.25">
      <c r="A55" s="134">
        <v>615330000</v>
      </c>
      <c r="B55" s="121" t="s">
        <v>5033</v>
      </c>
      <c r="C55" t="s">
        <v>5428</v>
      </c>
      <c r="D55" s="125">
        <v>13</v>
      </c>
      <c r="E55" t="s">
        <v>4445</v>
      </c>
      <c r="F55" s="122" t="s">
        <v>5181</v>
      </c>
      <c r="G55" s="132"/>
      <c r="H55" t="s">
        <v>5428</v>
      </c>
      <c r="I55" s="124" t="str">
        <f>IF(CARTERA_2026[[#This Row],[RUT]]=774097899,"DIST",_xlfn.XLOOKUP(CARTERA_2026[[#This Row],[VENDEDOR]],dimensiones!$C$21:$C$28,dimensiones!$D$21:$D$28,""))</f>
        <v>ATEL</v>
      </c>
      <c r="J55" s="125" t="str">
        <f>_xlfn.XLOOKUP(CARTERA_2026[[#This Row],[REGION]],dimensiones!C:C,dimensiones!D:D,"")</f>
        <v>Región de Metropolitana de Santiago</v>
      </c>
      <c r="L55" s="136"/>
    </row>
    <row r="56" spans="1:12" x14ac:dyDescent="0.25">
      <c r="A56" s="134">
        <v>616050001</v>
      </c>
      <c r="B56" s="121" t="s">
        <v>5034</v>
      </c>
      <c r="C56" t="s">
        <v>5428</v>
      </c>
      <c r="D56" s="125">
        <v>13</v>
      </c>
      <c r="E56" t="s">
        <v>4445</v>
      </c>
      <c r="F56" s="122" t="s">
        <v>5182</v>
      </c>
      <c r="G56" s="132"/>
      <c r="H56" t="s">
        <v>5428</v>
      </c>
      <c r="I56" s="124" t="str">
        <f>IF(CARTERA_2026[[#This Row],[RUT]]=774097899,"DIST",_xlfn.XLOOKUP(CARTERA_2026[[#This Row],[VENDEDOR]],dimensiones!$C$21:$C$28,dimensiones!$D$21:$D$28,""))</f>
        <v>ATEL</v>
      </c>
      <c r="J56" s="125" t="str">
        <f>_xlfn.XLOOKUP(CARTERA_2026[[#This Row],[REGION]],dimensiones!C:C,dimensiones!D:D,"")</f>
        <v>Región de Metropolitana de Santiago</v>
      </c>
      <c r="L56" s="136"/>
    </row>
    <row r="57" spans="1:12" x14ac:dyDescent="0.25">
      <c r="A57" s="134">
        <v>616074008</v>
      </c>
      <c r="B57" s="121" t="s">
        <v>5403</v>
      </c>
      <c r="C57" t="s">
        <v>5428</v>
      </c>
      <c r="D57" s="125">
        <v>9</v>
      </c>
      <c r="E57" t="s">
        <v>4445</v>
      </c>
      <c r="F57" s="122" t="s">
        <v>5184</v>
      </c>
      <c r="G57" s="132"/>
      <c r="H57" t="s">
        <v>5428</v>
      </c>
      <c r="I57" s="124" t="str">
        <f>IF(CARTERA_2026[[#This Row],[RUT]]=774097899,"DIST",_xlfn.XLOOKUP(CARTERA_2026[[#This Row],[VENDEDOR]],dimensiones!$C$21:$C$28,dimensiones!$D$21:$D$28,""))</f>
        <v>ATEL</v>
      </c>
      <c r="J57" s="125" t="str">
        <f>_xlfn.XLOOKUP(CARTERA_2026[[#This Row],[REGION]],dimensiones!C:C,dimensiones!D:D,"")</f>
        <v>Región de La Araucanía</v>
      </c>
      <c r="L57" s="136"/>
    </row>
    <row r="58" spans="1:12" x14ac:dyDescent="0.25">
      <c r="A58" s="134">
        <v>616080008</v>
      </c>
      <c r="B58" s="121" t="s">
        <v>5035</v>
      </c>
      <c r="C58" t="s">
        <v>5428</v>
      </c>
      <c r="D58" s="125">
        <v>13</v>
      </c>
      <c r="E58" t="s">
        <v>4445</v>
      </c>
      <c r="F58" s="122" t="s">
        <v>5185</v>
      </c>
      <c r="G58" s="132"/>
      <c r="H58" t="s">
        <v>5428</v>
      </c>
      <c r="I58" s="124" t="str">
        <f>IF(CARTERA_2026[[#This Row],[RUT]]=774097899,"DIST",_xlfn.XLOOKUP(CARTERA_2026[[#This Row],[VENDEDOR]],dimensiones!$C$21:$C$28,dimensiones!$D$21:$D$28,""))</f>
        <v>ATEL</v>
      </c>
      <c r="J58" s="125" t="str">
        <f>_xlfn.XLOOKUP(CARTERA_2026[[#This Row],[REGION]],dimensiones!C:C,dimensiones!D:D,"")</f>
        <v>Región de Metropolitana de Santiago</v>
      </c>
      <c r="L58" s="136"/>
    </row>
    <row r="59" spans="1:12" x14ac:dyDescent="0.25">
      <c r="A59" s="134">
        <v>618210006</v>
      </c>
      <c r="B59" s="121" t="s">
        <v>5360</v>
      </c>
      <c r="C59" t="s">
        <v>5428</v>
      </c>
      <c r="D59" s="125">
        <v>9</v>
      </c>
      <c r="E59" t="s">
        <v>4445</v>
      </c>
      <c r="F59" s="122" t="s">
        <v>5186</v>
      </c>
      <c r="G59" s="132"/>
      <c r="H59" t="s">
        <v>5428</v>
      </c>
      <c r="I59" s="124" t="str">
        <f>IF(CARTERA_2026[[#This Row],[RUT]]=774097899,"DIST",_xlfn.XLOOKUP(CARTERA_2026[[#This Row],[VENDEDOR]],dimensiones!$C$21:$C$28,dimensiones!$D$21:$D$28,""))</f>
        <v>ATEL</v>
      </c>
      <c r="J59" s="125" t="str">
        <f>_xlfn.XLOOKUP(CARTERA_2026[[#This Row],[REGION]],dimensiones!C:C,dimensiones!D:D,"")</f>
        <v>Región de La Araucanía</v>
      </c>
      <c r="L59" s="136"/>
    </row>
    <row r="60" spans="1:12" x14ac:dyDescent="0.25">
      <c r="A60" s="134">
        <v>619232003</v>
      </c>
      <c r="B60" s="121" t="s">
        <v>5036</v>
      </c>
      <c r="C60" t="s">
        <v>5428</v>
      </c>
      <c r="D60" s="125">
        <v>13</v>
      </c>
      <c r="E60" t="s">
        <v>4445</v>
      </c>
      <c r="F60" s="122" t="s">
        <v>5187</v>
      </c>
      <c r="G60" s="132"/>
      <c r="H60" t="s">
        <v>5428</v>
      </c>
      <c r="I60" s="124" t="str">
        <f>IF(CARTERA_2026[[#This Row],[RUT]]=774097899,"DIST",_xlfn.XLOOKUP(CARTERA_2026[[#This Row],[VENDEDOR]],dimensiones!$C$21:$C$28,dimensiones!$D$21:$D$28,""))</f>
        <v>ATEL</v>
      </c>
      <c r="J60" s="125" t="str">
        <f>_xlfn.XLOOKUP(CARTERA_2026[[#This Row],[REGION]],dimensiones!C:C,dimensiones!D:D,"")</f>
        <v>Región de Metropolitana de Santiago</v>
      </c>
      <c r="L60" s="136"/>
    </row>
    <row r="61" spans="1:12" x14ac:dyDescent="0.25">
      <c r="A61" s="134">
        <v>619551001</v>
      </c>
      <c r="B61" s="121" t="s">
        <v>5037</v>
      </c>
      <c r="C61" t="s">
        <v>5428</v>
      </c>
      <c r="D61" s="125">
        <v>9</v>
      </c>
      <c r="E61" t="s">
        <v>4445</v>
      </c>
      <c r="F61" s="122" t="s">
        <v>5188</v>
      </c>
      <c r="G61" s="132"/>
      <c r="H61" t="s">
        <v>5428</v>
      </c>
      <c r="I61" s="124" t="str">
        <f>IF(CARTERA_2026[[#This Row],[RUT]]=774097899,"DIST",_xlfn.XLOOKUP(CARTERA_2026[[#This Row],[VENDEDOR]],dimensiones!$C$21:$C$28,dimensiones!$D$21:$D$28,""))</f>
        <v>ATEL</v>
      </c>
      <c r="J61" s="125" t="str">
        <f>_xlfn.XLOOKUP(CARTERA_2026[[#This Row],[REGION]],dimensiones!C:C,dimensiones!D:D,"")</f>
        <v>Región de La Araucanía</v>
      </c>
      <c r="L61" s="136"/>
    </row>
    <row r="62" spans="1:12" x14ac:dyDescent="0.25">
      <c r="A62" s="134">
        <v>619674006</v>
      </c>
      <c r="B62" s="121" t="s">
        <v>5038</v>
      </c>
      <c r="C62" t="s">
        <v>5428</v>
      </c>
      <c r="D62" s="125">
        <v>8</v>
      </c>
      <c r="E62" t="s">
        <v>4445</v>
      </c>
      <c r="F62" s="122" t="s">
        <v>5189</v>
      </c>
      <c r="G62" s="132"/>
      <c r="H62" t="s">
        <v>5428</v>
      </c>
      <c r="I62" s="124" t="str">
        <f>IF(CARTERA_2026[[#This Row],[RUT]]=774097899,"DIST",_xlfn.XLOOKUP(CARTERA_2026[[#This Row],[VENDEDOR]],dimensiones!$C$21:$C$28,dimensiones!$D$21:$D$28,""))</f>
        <v>ATEL</v>
      </c>
      <c r="J62" s="125" t="str">
        <f>_xlfn.XLOOKUP(CARTERA_2026[[#This Row],[REGION]],dimensiones!C:C,dimensiones!D:D,"")</f>
        <v>Región de Biobío</v>
      </c>
      <c r="L62" s="136"/>
    </row>
    <row r="63" spans="1:12" x14ac:dyDescent="0.25">
      <c r="A63" s="134">
        <v>619745000</v>
      </c>
      <c r="B63" s="121" t="s">
        <v>5190</v>
      </c>
      <c r="C63" t="s">
        <v>5428</v>
      </c>
      <c r="D63" s="125">
        <v>11</v>
      </c>
      <c r="E63" t="s">
        <v>4445</v>
      </c>
      <c r="F63" s="122" t="s">
        <v>5191</v>
      </c>
      <c r="G63" s="132"/>
      <c r="H63" t="s">
        <v>5428</v>
      </c>
      <c r="I63" s="124" t="str">
        <f>IF(CARTERA_2026[[#This Row],[RUT]]=774097899,"DIST",_xlfn.XLOOKUP(CARTERA_2026[[#This Row],[VENDEDOR]],dimensiones!$C$21:$C$28,dimensiones!$D$21:$D$28,""))</f>
        <v>ATEL</v>
      </c>
      <c r="J63" s="125" t="str">
        <f>_xlfn.XLOOKUP(CARTERA_2026[[#This Row],[REGION]],dimensiones!C:C,dimensiones!D:D,"")</f>
        <v>Región de Aysén del General Carlos Ibáñez del Campo</v>
      </c>
      <c r="L63" s="136"/>
    </row>
    <row r="64" spans="1:12" x14ac:dyDescent="0.25">
      <c r="A64" s="134">
        <v>619747003</v>
      </c>
      <c r="B64" s="121" t="s">
        <v>5192</v>
      </c>
      <c r="C64" t="s">
        <v>5428</v>
      </c>
      <c r="D64" s="125">
        <v>11</v>
      </c>
      <c r="E64" t="s">
        <v>4445</v>
      </c>
      <c r="F64" s="122" t="s">
        <v>5193</v>
      </c>
      <c r="G64" s="132"/>
      <c r="H64" t="s">
        <v>5428</v>
      </c>
      <c r="I64" s="124" t="str">
        <f>IF(CARTERA_2026[[#This Row],[RUT]]=774097899,"DIST",_xlfn.XLOOKUP(CARTERA_2026[[#This Row],[VENDEDOR]],dimensiones!$C$21:$C$28,dimensiones!$D$21:$D$28,""))</f>
        <v>ATEL</v>
      </c>
      <c r="J64" s="125" t="str">
        <f>_xlfn.XLOOKUP(CARTERA_2026[[#This Row],[REGION]],dimensiones!C:C,dimensiones!D:D,"")</f>
        <v>Región de Aysén del General Carlos Ibáñez del Campo</v>
      </c>
      <c r="L64" s="136"/>
    </row>
    <row r="65" spans="1:12" x14ac:dyDescent="0.25">
      <c r="A65" s="134">
        <v>619802608</v>
      </c>
      <c r="B65" s="121" t="s">
        <v>5039</v>
      </c>
      <c r="C65" t="s">
        <v>5428</v>
      </c>
      <c r="D65" s="125">
        <v>13</v>
      </c>
      <c r="E65" t="s">
        <v>4445</v>
      </c>
      <c r="F65" s="122" t="s">
        <v>5194</v>
      </c>
      <c r="G65" s="132"/>
      <c r="H65" t="s">
        <v>5428</v>
      </c>
      <c r="I65" s="124" t="str">
        <f>IF(CARTERA_2026[[#This Row],[RUT]]=774097899,"DIST",_xlfn.XLOOKUP(CARTERA_2026[[#This Row],[VENDEDOR]],dimensiones!$C$21:$C$28,dimensiones!$D$21:$D$28,""))</f>
        <v>ATEL</v>
      </c>
      <c r="J65" s="125" t="str">
        <f>_xlfn.XLOOKUP(CARTERA_2026[[#This Row],[REGION]],dimensiones!C:C,dimensiones!D:D,"")</f>
        <v>Región de Metropolitana de Santiago</v>
      </c>
      <c r="L65" s="136"/>
    </row>
    <row r="66" spans="1:12" x14ac:dyDescent="0.25">
      <c r="A66" s="134">
        <v>619808207</v>
      </c>
      <c r="B66" s="121" t="s">
        <v>5404</v>
      </c>
      <c r="C66" t="s">
        <v>5428</v>
      </c>
      <c r="D66" s="125">
        <v>13</v>
      </c>
      <c r="E66" t="s">
        <v>4445</v>
      </c>
      <c r="F66" s="122" t="s">
        <v>5195</v>
      </c>
      <c r="G66" s="132"/>
      <c r="H66" t="s">
        <v>5428</v>
      </c>
      <c r="I66" s="124" t="str">
        <f>IF(CARTERA_2026[[#This Row],[RUT]]=774097899,"DIST",_xlfn.XLOOKUP(CARTERA_2026[[#This Row],[VENDEDOR]],dimensiones!$C$21:$C$28,dimensiones!$D$21:$D$28,""))</f>
        <v>ATEL</v>
      </c>
      <c r="J66" s="125" t="str">
        <f>_xlfn.XLOOKUP(CARTERA_2026[[#This Row],[REGION]],dimensiones!C:C,dimensiones!D:D,"")</f>
        <v>Región de Metropolitana de Santiago</v>
      </c>
      <c r="L66" s="136"/>
    </row>
    <row r="67" spans="1:12" x14ac:dyDescent="0.25">
      <c r="A67" s="134">
        <v>619991303</v>
      </c>
      <c r="B67" s="121" t="s">
        <v>5040</v>
      </c>
      <c r="C67" t="s">
        <v>5428</v>
      </c>
      <c r="D67" s="125">
        <v>13</v>
      </c>
      <c r="E67" t="s">
        <v>4445</v>
      </c>
      <c r="F67" s="122" t="s">
        <v>5196</v>
      </c>
      <c r="G67" s="132"/>
      <c r="H67" t="s">
        <v>5428</v>
      </c>
      <c r="I67" s="124" t="str">
        <f>IF(CARTERA_2026[[#This Row],[RUT]]=774097899,"DIST",_xlfn.XLOOKUP(CARTERA_2026[[#This Row],[VENDEDOR]],dimensiones!$C$21:$C$28,dimensiones!$D$21:$D$28,""))</f>
        <v>ATEL</v>
      </c>
      <c r="J67" s="125" t="str">
        <f>_xlfn.XLOOKUP(CARTERA_2026[[#This Row],[REGION]],dimensiones!C:C,dimensiones!D:D,"")</f>
        <v>Región de Metropolitana de Santiago</v>
      </c>
      <c r="L67" s="136"/>
    </row>
    <row r="68" spans="1:12" x14ac:dyDescent="0.25">
      <c r="A68" s="134">
        <v>619991605</v>
      </c>
      <c r="B68" s="121" t="s">
        <v>1058</v>
      </c>
      <c r="C68" t="s">
        <v>5428</v>
      </c>
      <c r="D68" s="125">
        <v>1</v>
      </c>
      <c r="E68" t="s">
        <v>4445</v>
      </c>
      <c r="F68" s="122" t="s">
        <v>5197</v>
      </c>
      <c r="G68" s="132"/>
      <c r="H68" t="s">
        <v>5428</v>
      </c>
      <c r="I68" s="124" t="str">
        <f>IF(CARTERA_2026[[#This Row],[RUT]]=774097899,"DIST",_xlfn.XLOOKUP(CARTERA_2026[[#This Row],[VENDEDOR]],dimensiones!$C$21:$C$28,dimensiones!$D$21:$D$28,""))</f>
        <v>ATEL</v>
      </c>
      <c r="J68" s="125" t="str">
        <f>_xlfn.XLOOKUP(CARTERA_2026[[#This Row],[REGION]],dimensiones!C:C,dimensiones!D:D,"")</f>
        <v>Región de Tarapacá</v>
      </c>
      <c r="L68" s="136"/>
    </row>
    <row r="69" spans="1:12" x14ac:dyDescent="0.25">
      <c r="A69" s="134">
        <v>619992806</v>
      </c>
      <c r="B69" s="121" t="s">
        <v>1073</v>
      </c>
      <c r="C69" t="s">
        <v>4245</v>
      </c>
      <c r="D69" s="125">
        <v>4</v>
      </c>
      <c r="E69" t="s">
        <v>4445</v>
      </c>
      <c r="F69" s="122" t="s">
        <v>4901</v>
      </c>
      <c r="G69" s="132"/>
      <c r="H69" t="s">
        <v>4915</v>
      </c>
      <c r="I69" s="124" t="str">
        <f>IF(CARTERA_2026[[#This Row],[RUT]]=774097899,"DIST",_xlfn.XLOOKUP(CARTERA_2026[[#This Row],[VENDEDOR]],dimensiones!$C$21:$C$28,dimensiones!$D$21:$D$28,""))</f>
        <v>ATEL</v>
      </c>
      <c r="J69" s="125" t="str">
        <f>_xlfn.XLOOKUP(CARTERA_2026[[#This Row],[REGION]],dimensiones!C:C,dimensiones!D:D,"")</f>
        <v>Región de Coquimbo</v>
      </c>
      <c r="L69" s="136"/>
    </row>
    <row r="70" spans="1:12" x14ac:dyDescent="0.25">
      <c r="A70" s="134">
        <v>619993306</v>
      </c>
      <c r="B70" s="121" t="s">
        <v>5422</v>
      </c>
      <c r="C70" t="s">
        <v>5428</v>
      </c>
      <c r="D70" s="125">
        <v>3</v>
      </c>
      <c r="E70" t="s">
        <v>4445</v>
      </c>
      <c r="F70" s="122" t="s">
        <v>5198</v>
      </c>
      <c r="G70" s="132"/>
      <c r="H70" t="s">
        <v>5428</v>
      </c>
      <c r="I70" s="124" t="str">
        <f>IF(CARTERA_2026[[#This Row],[RUT]]=774097899,"DIST",_xlfn.XLOOKUP(CARTERA_2026[[#This Row],[VENDEDOR]],dimensiones!$C$21:$C$28,dimensiones!$D$21:$D$28,""))</f>
        <v>ATEL</v>
      </c>
      <c r="J70" s="125" t="str">
        <f>_xlfn.XLOOKUP(CARTERA_2026[[#This Row],[REGION]],dimensiones!C:C,dimensiones!D:D,"")</f>
        <v>Región de Atacama</v>
      </c>
      <c r="L70" s="136"/>
    </row>
    <row r="71" spans="1:12" x14ac:dyDescent="0.25">
      <c r="A71" s="134">
        <v>620008001</v>
      </c>
      <c r="B71" s="121" t="s">
        <v>5041</v>
      </c>
      <c r="C71" t="s">
        <v>5428</v>
      </c>
      <c r="D71" s="125">
        <v>10</v>
      </c>
      <c r="E71" t="s">
        <v>4445</v>
      </c>
      <c r="F71" s="122" t="s">
        <v>5199</v>
      </c>
      <c r="G71" s="132"/>
      <c r="H71" t="s">
        <v>5428</v>
      </c>
      <c r="I71" s="124" t="str">
        <f>IF(CARTERA_2026[[#This Row],[RUT]]=774097899,"DIST",_xlfn.XLOOKUP(CARTERA_2026[[#This Row],[VENDEDOR]],dimensiones!$C$21:$C$28,dimensiones!$D$21:$D$28,""))</f>
        <v>ATEL</v>
      </c>
      <c r="J71" s="125" t="str">
        <f>_xlfn.XLOOKUP(CARTERA_2026[[#This Row],[REGION]],dimensiones!C:C,dimensiones!D:D,"")</f>
        <v>Región de Los Lagos</v>
      </c>
      <c r="L71" s="136"/>
    </row>
    <row r="72" spans="1:12" x14ac:dyDescent="0.25">
      <c r="A72" s="134">
        <v>620008907</v>
      </c>
      <c r="B72" s="121" t="s">
        <v>5414</v>
      </c>
      <c r="C72" t="s">
        <v>4460</v>
      </c>
      <c r="D72" s="125" t="s">
        <v>5428</v>
      </c>
      <c r="E72" t="s">
        <v>4445</v>
      </c>
      <c r="F72" s="122" t="s">
        <v>4871</v>
      </c>
      <c r="G72" s="132"/>
      <c r="H72" t="s">
        <v>4957</v>
      </c>
      <c r="I72" s="124" t="str">
        <f>IF(CARTERA_2026[[#This Row],[RUT]]=774097899,"DIST",_xlfn.XLOOKUP(CARTERA_2026[[#This Row],[VENDEDOR]],dimensiones!$C$21:$C$28,dimensiones!$D$21:$D$28,""))</f>
        <v>ATEL</v>
      </c>
      <c r="J72" s="125" t="str">
        <f>_xlfn.XLOOKUP(CARTERA_2026[[#This Row],[REGION]],dimensiones!C:C,dimensiones!D:D,"")</f>
        <v/>
      </c>
      <c r="L72" s="136"/>
    </row>
    <row r="73" spans="1:12" x14ac:dyDescent="0.25">
      <c r="A73" s="134">
        <v>650778332</v>
      </c>
      <c r="B73" s="121" t="s">
        <v>5042</v>
      </c>
      <c r="C73" t="s">
        <v>5428</v>
      </c>
      <c r="D73" s="125">
        <v>9</v>
      </c>
      <c r="E73" t="s">
        <v>4445</v>
      </c>
      <c r="F73" s="122" t="s">
        <v>5200</v>
      </c>
      <c r="G73" s="132"/>
      <c r="H73" t="s">
        <v>5428</v>
      </c>
      <c r="I73" s="124" t="str">
        <f>IF(CARTERA_2026[[#This Row],[RUT]]=774097899,"DIST",_xlfn.XLOOKUP(CARTERA_2026[[#This Row],[VENDEDOR]],dimensiones!$C$21:$C$28,dimensiones!$D$21:$D$28,""))</f>
        <v>ATEL</v>
      </c>
      <c r="J73" s="125" t="str">
        <f>_xlfn.XLOOKUP(CARTERA_2026[[#This Row],[REGION]],dimensiones!C:C,dimensiones!D:D,"")</f>
        <v>Región de La Araucanía</v>
      </c>
      <c r="L73" s="136"/>
    </row>
    <row r="74" spans="1:12" x14ac:dyDescent="0.25">
      <c r="A74" s="134">
        <v>651429811</v>
      </c>
      <c r="B74" s="121" t="s">
        <v>5201</v>
      </c>
      <c r="C74" t="s">
        <v>5428</v>
      </c>
      <c r="D74" s="125">
        <v>13</v>
      </c>
      <c r="E74" t="s">
        <v>4445</v>
      </c>
      <c r="F74" s="122" t="s">
        <v>5202</v>
      </c>
      <c r="G74" s="132"/>
      <c r="H74" t="s">
        <v>5428</v>
      </c>
      <c r="I74" s="124" t="str">
        <f>IF(CARTERA_2026[[#This Row],[RUT]]=774097899,"DIST",_xlfn.XLOOKUP(CARTERA_2026[[#This Row],[VENDEDOR]],dimensiones!$C$21:$C$28,dimensiones!$D$21:$D$28,""))</f>
        <v>ATEL</v>
      </c>
      <c r="J74" s="125" t="str">
        <f>_xlfn.XLOOKUP(CARTERA_2026[[#This Row],[REGION]],dimensiones!C:C,dimensiones!D:D,"")</f>
        <v>Región de Metropolitana de Santiago</v>
      </c>
      <c r="L74" s="136"/>
    </row>
    <row r="75" spans="1:12" x14ac:dyDescent="0.25">
      <c r="A75" s="134">
        <v>651455669</v>
      </c>
      <c r="B75" s="121" t="s">
        <v>1074</v>
      </c>
      <c r="C75" t="s">
        <v>4171</v>
      </c>
      <c r="D75" s="125">
        <v>4</v>
      </c>
      <c r="E75" t="s">
        <v>4445</v>
      </c>
      <c r="F75" s="122" t="s">
        <v>4902</v>
      </c>
      <c r="G75" s="132"/>
      <c r="H75" t="s">
        <v>4915</v>
      </c>
      <c r="I75" s="124" t="str">
        <f>IF(CARTERA_2026[[#This Row],[RUT]]=774097899,"DIST",_xlfn.XLOOKUP(CARTERA_2026[[#This Row],[VENDEDOR]],dimensiones!$C$21:$C$28,dimensiones!$D$21:$D$28,""))</f>
        <v>ATEL</v>
      </c>
      <c r="J75" s="125" t="str">
        <f>_xlfn.XLOOKUP(CARTERA_2026[[#This Row],[REGION]],dimensiones!C:C,dimensiones!D:D,"")</f>
        <v>Región de Coquimbo</v>
      </c>
      <c r="L75" s="136"/>
    </row>
    <row r="76" spans="1:12" x14ac:dyDescent="0.25">
      <c r="A76" s="134">
        <v>651536049</v>
      </c>
      <c r="B76" s="121" t="s">
        <v>5415</v>
      </c>
      <c r="C76" t="s">
        <v>5428</v>
      </c>
      <c r="D76" s="125">
        <v>8</v>
      </c>
      <c r="E76" t="s">
        <v>4445</v>
      </c>
      <c r="F76" s="122" t="s">
        <v>5203</v>
      </c>
      <c r="G76" s="132"/>
      <c r="H76" t="s">
        <v>5428</v>
      </c>
      <c r="I76" s="124" t="str">
        <f>IF(CARTERA_2026[[#This Row],[RUT]]=774097899,"DIST",_xlfn.XLOOKUP(CARTERA_2026[[#This Row],[VENDEDOR]],dimensiones!$C$21:$C$28,dimensiones!$D$21:$D$28,""))</f>
        <v>ATEL</v>
      </c>
      <c r="J76" s="125" t="str">
        <f>_xlfn.XLOOKUP(CARTERA_2026[[#This Row],[REGION]],dimensiones!C:C,dimensiones!D:D,"")</f>
        <v>Región de Biobío</v>
      </c>
      <c r="L76" s="136"/>
    </row>
    <row r="77" spans="1:12" x14ac:dyDescent="0.25">
      <c r="A77" s="134">
        <v>651543983</v>
      </c>
      <c r="B77" s="121" t="s">
        <v>1062</v>
      </c>
      <c r="C77" t="s">
        <v>4186</v>
      </c>
      <c r="D77" s="125">
        <v>1</v>
      </c>
      <c r="E77" t="s">
        <v>4445</v>
      </c>
      <c r="F77" s="122" t="s">
        <v>4893</v>
      </c>
      <c r="G77" s="132"/>
      <c r="H77" t="s">
        <v>4915</v>
      </c>
      <c r="I77" s="124" t="str">
        <f>IF(CARTERA_2026[[#This Row],[RUT]]=774097899,"DIST",_xlfn.XLOOKUP(CARTERA_2026[[#This Row],[VENDEDOR]],dimensiones!$C$21:$C$28,dimensiones!$D$21:$D$28,""))</f>
        <v>ATEL</v>
      </c>
      <c r="J77" s="125" t="str">
        <f>_xlfn.XLOOKUP(CARTERA_2026[[#This Row],[REGION]],dimensiones!C:C,dimensiones!D:D,"")</f>
        <v>Región de Tarapacá</v>
      </c>
      <c r="L77" s="136"/>
    </row>
    <row r="78" spans="1:12" x14ac:dyDescent="0.25">
      <c r="A78" s="134">
        <v>651643511</v>
      </c>
      <c r="B78" s="121" t="s">
        <v>5423</v>
      </c>
      <c r="C78" t="s">
        <v>5428</v>
      </c>
      <c r="D78" s="125">
        <v>15</v>
      </c>
      <c r="E78" t="s">
        <v>4445</v>
      </c>
      <c r="F78" s="122" t="s">
        <v>5204</v>
      </c>
      <c r="G78" s="132"/>
      <c r="H78" t="s">
        <v>5428</v>
      </c>
      <c r="I78" s="124" t="str">
        <f>IF(CARTERA_2026[[#This Row],[RUT]]=774097899,"DIST",_xlfn.XLOOKUP(CARTERA_2026[[#This Row],[VENDEDOR]],dimensiones!$C$21:$C$28,dimensiones!$D$21:$D$28,""))</f>
        <v>ATEL</v>
      </c>
      <c r="J78" s="125" t="str">
        <f>_xlfn.XLOOKUP(CARTERA_2026[[#This Row],[REGION]],dimensiones!C:C,dimensiones!D:D,"")</f>
        <v>Región de Arica y Parinacota</v>
      </c>
      <c r="L78" s="136"/>
    </row>
    <row r="79" spans="1:12" x14ac:dyDescent="0.25">
      <c r="A79" s="134">
        <v>651654114</v>
      </c>
      <c r="B79" s="121" t="s">
        <v>1067</v>
      </c>
      <c r="C79" t="s">
        <v>4175</v>
      </c>
      <c r="D79" s="125">
        <v>5</v>
      </c>
      <c r="E79" t="s">
        <v>4445</v>
      </c>
      <c r="F79" s="122" t="s">
        <v>4897</v>
      </c>
      <c r="G79" s="132"/>
      <c r="H79" t="s">
        <v>4957</v>
      </c>
      <c r="I79" s="124" t="str">
        <f>IF(CARTERA_2026[[#This Row],[RUT]]=774097899,"DIST",_xlfn.XLOOKUP(CARTERA_2026[[#This Row],[VENDEDOR]],dimensiones!$C$21:$C$28,dimensiones!$D$21:$D$28,""))</f>
        <v>ATEL</v>
      </c>
      <c r="J79" s="125" t="str">
        <f>_xlfn.XLOOKUP(CARTERA_2026[[#This Row],[REGION]],dimensiones!C:C,dimensiones!D:D,"")</f>
        <v>Región de Valparaíso</v>
      </c>
      <c r="L79" s="136"/>
    </row>
    <row r="80" spans="1:12" x14ac:dyDescent="0.25">
      <c r="A80" s="134">
        <v>654556504</v>
      </c>
      <c r="B80" s="121" t="s">
        <v>1058</v>
      </c>
      <c r="C80" t="s">
        <v>4182</v>
      </c>
      <c r="D80" s="125" t="s">
        <v>5428</v>
      </c>
      <c r="E80" t="s">
        <v>4445</v>
      </c>
      <c r="F80" s="122" t="s">
        <v>4872</v>
      </c>
      <c r="G80" s="132"/>
      <c r="H80" t="s">
        <v>4957</v>
      </c>
      <c r="I80" s="124" t="str">
        <f>IF(CARTERA_2026[[#This Row],[RUT]]=774097899,"DIST",_xlfn.XLOOKUP(CARTERA_2026[[#This Row],[VENDEDOR]],dimensiones!$C$21:$C$28,dimensiones!$D$21:$D$28,""))</f>
        <v>ATEL</v>
      </c>
      <c r="J80" s="125" t="str">
        <f>_xlfn.XLOOKUP(CARTERA_2026[[#This Row],[REGION]],dimensiones!C:C,dimensiones!D:D,"")</f>
        <v/>
      </c>
      <c r="L80" s="136"/>
    </row>
    <row r="81" spans="1:12" x14ac:dyDescent="0.25">
      <c r="A81" s="134">
        <v>655525408</v>
      </c>
      <c r="B81" s="121" t="s">
        <v>5361</v>
      </c>
      <c r="C81" t="s">
        <v>5428</v>
      </c>
      <c r="D81" s="125">
        <v>5</v>
      </c>
      <c r="E81" t="s">
        <v>4445</v>
      </c>
      <c r="F81" s="122" t="s">
        <v>5205</v>
      </c>
      <c r="G81" s="132"/>
      <c r="H81" t="s">
        <v>5428</v>
      </c>
      <c r="I81" s="124" t="str">
        <f>IF(CARTERA_2026[[#This Row],[RUT]]=774097899,"DIST",_xlfn.XLOOKUP(CARTERA_2026[[#This Row],[VENDEDOR]],dimensiones!$C$21:$C$28,dimensiones!$D$21:$D$28,""))</f>
        <v>ATEL</v>
      </c>
      <c r="J81" s="125" t="str">
        <f>_xlfn.XLOOKUP(CARTERA_2026[[#This Row],[REGION]],dimensiones!C:C,dimensiones!D:D,"")</f>
        <v>Región de Valparaíso</v>
      </c>
      <c r="L81" s="136"/>
    </row>
    <row r="82" spans="1:12" x14ac:dyDescent="0.25">
      <c r="A82" s="134">
        <v>690702002</v>
      </c>
      <c r="B82" s="121" t="s">
        <v>5043</v>
      </c>
      <c r="C82" t="s">
        <v>5428</v>
      </c>
      <c r="D82" s="125">
        <v>13</v>
      </c>
      <c r="E82" t="s">
        <v>4445</v>
      </c>
      <c r="F82" s="122" t="s">
        <v>5206</v>
      </c>
      <c r="G82" s="132"/>
      <c r="H82" t="s">
        <v>5428</v>
      </c>
      <c r="I82" s="124" t="str">
        <f>IF(CARTERA_2026[[#This Row],[RUT]]=774097899,"DIST",_xlfn.XLOOKUP(CARTERA_2026[[#This Row],[VENDEDOR]],dimensiones!$C$21:$C$28,dimensiones!$D$21:$D$28,""))</f>
        <v>ATEL</v>
      </c>
      <c r="J82" s="125" t="str">
        <f>_xlfn.XLOOKUP(CARTERA_2026[[#This Row],[REGION]],dimensiones!C:C,dimensiones!D:D,"")</f>
        <v>Región de Metropolitana de Santiago</v>
      </c>
      <c r="L82" s="136"/>
    </row>
    <row r="83" spans="1:12" x14ac:dyDescent="0.25">
      <c r="A83" s="134">
        <v>690703009</v>
      </c>
      <c r="B83" s="121" t="s">
        <v>5044</v>
      </c>
      <c r="C83" t="s">
        <v>5428</v>
      </c>
      <c r="D83" s="125">
        <v>13</v>
      </c>
      <c r="E83" t="s">
        <v>4445</v>
      </c>
      <c r="F83" s="122" t="s">
        <v>5207</v>
      </c>
      <c r="G83" s="132"/>
      <c r="H83" t="s">
        <v>5428</v>
      </c>
      <c r="I83" s="124" t="str">
        <f>IF(CARTERA_2026[[#This Row],[RUT]]=774097899,"DIST",_xlfn.XLOOKUP(CARTERA_2026[[#This Row],[VENDEDOR]],dimensiones!$C$21:$C$28,dimensiones!$D$21:$D$28,""))</f>
        <v>ATEL</v>
      </c>
      <c r="J83" s="125" t="str">
        <f>_xlfn.XLOOKUP(CARTERA_2026[[#This Row],[REGION]],dimensiones!C:C,dimensiones!D:D,"")</f>
        <v>Región de Metropolitana de Santiago</v>
      </c>
      <c r="L83" s="136"/>
    </row>
    <row r="84" spans="1:12" x14ac:dyDescent="0.25">
      <c r="A84" s="134">
        <v>690711001</v>
      </c>
      <c r="B84" s="121" t="s">
        <v>5045</v>
      </c>
      <c r="C84" t="s">
        <v>5428</v>
      </c>
      <c r="D84" s="125">
        <v>13</v>
      </c>
      <c r="E84" t="s">
        <v>4445</v>
      </c>
      <c r="F84" s="122" t="s">
        <v>5208</v>
      </c>
      <c r="G84" s="132"/>
      <c r="H84" t="s">
        <v>5428</v>
      </c>
      <c r="I84" s="124" t="str">
        <f>IF(CARTERA_2026[[#This Row],[RUT]]=774097899,"DIST",_xlfn.XLOOKUP(CARTERA_2026[[#This Row],[VENDEDOR]],dimensiones!$C$21:$C$28,dimensiones!$D$21:$D$28,""))</f>
        <v>ATEL</v>
      </c>
      <c r="J84" s="125" t="str">
        <f>_xlfn.XLOOKUP(CARTERA_2026[[#This Row],[REGION]],dimensiones!C:C,dimensiones!D:D,"")</f>
        <v>Región de Metropolitana de Santiago</v>
      </c>
      <c r="L84" s="136"/>
    </row>
    <row r="85" spans="1:12" x14ac:dyDescent="0.25">
      <c r="A85" s="134">
        <v>690718014</v>
      </c>
      <c r="B85" s="121" t="s">
        <v>5209</v>
      </c>
      <c r="C85" t="s">
        <v>5428</v>
      </c>
      <c r="D85" s="125">
        <v>13</v>
      </c>
      <c r="E85" t="s">
        <v>4445</v>
      </c>
      <c r="F85" s="122" t="s">
        <v>5210</v>
      </c>
      <c r="G85" s="132"/>
      <c r="H85" t="s">
        <v>5428</v>
      </c>
      <c r="I85" s="124" t="str">
        <f>IF(CARTERA_2026[[#This Row],[RUT]]=774097899,"DIST",_xlfn.XLOOKUP(CARTERA_2026[[#This Row],[VENDEDOR]],dimensiones!$C$21:$C$28,dimensiones!$D$21:$D$28,""))</f>
        <v>ATEL</v>
      </c>
      <c r="J85" s="125" t="str">
        <f>_xlfn.XLOOKUP(CARTERA_2026[[#This Row],[REGION]],dimensiones!C:C,dimensiones!D:D,"")</f>
        <v>Región de Metropolitana de Santiago</v>
      </c>
      <c r="L85" s="136"/>
    </row>
    <row r="86" spans="1:12" x14ac:dyDescent="0.25">
      <c r="A86" s="134">
        <v>690729008</v>
      </c>
      <c r="B86" s="121" t="s">
        <v>5046</v>
      </c>
      <c r="C86" t="s">
        <v>5428</v>
      </c>
      <c r="D86" s="125">
        <v>13</v>
      </c>
      <c r="E86" t="s">
        <v>4445</v>
      </c>
      <c r="F86" s="122" t="s">
        <v>5211</v>
      </c>
      <c r="G86" s="132"/>
      <c r="H86" t="s">
        <v>5428</v>
      </c>
      <c r="I86" s="124" t="str">
        <f>IF(CARTERA_2026[[#This Row],[RUT]]=774097899,"DIST",_xlfn.XLOOKUP(CARTERA_2026[[#This Row],[VENDEDOR]],dimensiones!$C$21:$C$28,dimensiones!$D$21:$D$28,""))</f>
        <v>ATEL</v>
      </c>
      <c r="J86" s="125" t="str">
        <f>_xlfn.XLOOKUP(CARTERA_2026[[#This Row],[REGION]],dimensiones!C:C,dimensiones!D:D,"")</f>
        <v>Región de Metropolitana de Santiago</v>
      </c>
      <c r="L86" s="136"/>
    </row>
    <row r="87" spans="1:12" x14ac:dyDescent="0.25">
      <c r="A87" s="134">
        <v>690739003</v>
      </c>
      <c r="B87" s="121" t="s">
        <v>5405</v>
      </c>
      <c r="C87" t="s">
        <v>5428</v>
      </c>
      <c r="D87" s="125">
        <v>13</v>
      </c>
      <c r="E87" t="s">
        <v>4445</v>
      </c>
      <c r="F87" s="122" t="s">
        <v>5212</v>
      </c>
      <c r="G87" s="132"/>
      <c r="H87" t="s">
        <v>5428</v>
      </c>
      <c r="I87" s="124" t="str">
        <f>IF(CARTERA_2026[[#This Row],[RUT]]=774097899,"DIST",_xlfn.XLOOKUP(CARTERA_2026[[#This Row],[VENDEDOR]],dimensiones!$C$21:$C$28,dimensiones!$D$21:$D$28,""))</f>
        <v>ATEL</v>
      </c>
      <c r="J87" s="125" t="str">
        <f>_xlfn.XLOOKUP(CARTERA_2026[[#This Row],[REGION]],dimensiones!C:C,dimensiones!D:D,"")</f>
        <v>Región de Metropolitana de Santiago</v>
      </c>
      <c r="L87" s="136"/>
    </row>
    <row r="88" spans="1:12" x14ac:dyDescent="0.25">
      <c r="A88" s="134">
        <v>690803003</v>
      </c>
      <c r="B88" s="121" t="s">
        <v>5047</v>
      </c>
      <c r="C88" t="s">
        <v>5428</v>
      </c>
      <c r="D88" s="125">
        <v>6</v>
      </c>
      <c r="E88" t="s">
        <v>4445</v>
      </c>
      <c r="F88" s="122" t="s">
        <v>5213</v>
      </c>
      <c r="G88" s="132"/>
      <c r="H88" t="s">
        <v>5428</v>
      </c>
      <c r="I88" s="124" t="str">
        <f>IF(CARTERA_2026[[#This Row],[RUT]]=774097899,"DIST",_xlfn.XLOOKUP(CARTERA_2026[[#This Row],[VENDEDOR]],dimensiones!$C$21:$C$28,dimensiones!$D$21:$D$28,""))</f>
        <v>ATEL</v>
      </c>
      <c r="J88" s="125" t="str">
        <f>_xlfn.XLOOKUP(CARTERA_2026[[#This Row],[REGION]],dimensiones!C:C,dimensiones!D:D,"")</f>
        <v>Región de Libertador General Bernardo O'Higgins</v>
      </c>
      <c r="L88" s="136"/>
    </row>
    <row r="89" spans="1:12" x14ac:dyDescent="0.25">
      <c r="A89" s="134">
        <v>690912015</v>
      </c>
      <c r="B89" s="121" t="s">
        <v>327</v>
      </c>
      <c r="C89" t="s">
        <v>5428</v>
      </c>
      <c r="D89" s="125">
        <v>6</v>
      </c>
      <c r="E89" t="s">
        <v>4445</v>
      </c>
      <c r="F89" s="122" t="s">
        <v>5214</v>
      </c>
      <c r="G89" s="132"/>
      <c r="H89" t="s">
        <v>5428</v>
      </c>
      <c r="I89" s="124" t="str">
        <f>IF(CARTERA_2026[[#This Row],[RUT]]=774097899,"DIST",_xlfn.XLOOKUP(CARTERA_2026[[#This Row],[VENDEDOR]],dimensiones!$C$21:$C$28,dimensiones!$D$21:$D$28,""))</f>
        <v>ATEL</v>
      </c>
      <c r="J89" s="125" t="str">
        <f>_xlfn.XLOOKUP(CARTERA_2026[[#This Row],[REGION]],dimensiones!C:C,dimensiones!D:D,"")</f>
        <v>Región de Libertador General Bernardo O'Higgins</v>
      </c>
      <c r="L89" s="136"/>
    </row>
    <row r="90" spans="1:12" x14ac:dyDescent="0.25">
      <c r="A90" s="134">
        <v>691407004</v>
      </c>
      <c r="B90" s="121" t="s">
        <v>5048</v>
      </c>
      <c r="C90" t="s">
        <v>5428</v>
      </c>
      <c r="D90" s="125">
        <v>8</v>
      </c>
      <c r="E90" t="s">
        <v>4445</v>
      </c>
      <c r="F90" s="122" t="s">
        <v>5215</v>
      </c>
      <c r="G90" s="132"/>
      <c r="H90" t="s">
        <v>5428</v>
      </c>
      <c r="I90" s="124" t="str">
        <f>IF(CARTERA_2026[[#This Row],[RUT]]=774097899,"DIST",_xlfn.XLOOKUP(CARTERA_2026[[#This Row],[VENDEDOR]],dimensiones!$C$21:$C$28,dimensiones!$D$21:$D$28,""))</f>
        <v>ATEL</v>
      </c>
      <c r="J90" s="125" t="str">
        <f>_xlfn.XLOOKUP(CARTERA_2026[[#This Row],[REGION]],dimensiones!C:C,dimensiones!D:D,"")</f>
        <v>Región de Biobío</v>
      </c>
      <c r="L90" s="136"/>
    </row>
    <row r="91" spans="1:12" x14ac:dyDescent="0.25">
      <c r="A91" s="134">
        <v>691408000</v>
      </c>
      <c r="B91" s="121" t="s">
        <v>5362</v>
      </c>
      <c r="C91" t="s">
        <v>5428</v>
      </c>
      <c r="D91" s="125">
        <v>16</v>
      </c>
      <c r="E91" t="s">
        <v>4445</v>
      </c>
      <c r="F91" s="122" t="s">
        <v>5216</v>
      </c>
      <c r="G91" s="132"/>
      <c r="H91" t="s">
        <v>5428</v>
      </c>
      <c r="I91" s="124" t="str">
        <f>IF(CARTERA_2026[[#This Row],[RUT]]=774097899,"DIST",_xlfn.XLOOKUP(CARTERA_2026[[#This Row],[VENDEDOR]],dimensiones!$C$21:$C$28,dimensiones!$D$21:$D$28,""))</f>
        <v>ATEL</v>
      </c>
      <c r="J91" s="125" t="str">
        <f>_xlfn.XLOOKUP(CARTERA_2026[[#This Row],[REGION]],dimensiones!C:C,dimensiones!D:D,"")</f>
        <v>Región de Ñuble</v>
      </c>
      <c r="L91" s="136"/>
    </row>
    <row r="92" spans="1:12" x14ac:dyDescent="0.25">
      <c r="A92" s="134">
        <v>691511022</v>
      </c>
      <c r="B92" s="121" t="s">
        <v>5363</v>
      </c>
      <c r="C92" t="s">
        <v>5428</v>
      </c>
      <c r="D92" s="125">
        <v>8</v>
      </c>
      <c r="E92" t="s">
        <v>4445</v>
      </c>
      <c r="F92" s="122" t="s">
        <v>5217</v>
      </c>
      <c r="G92" s="132"/>
      <c r="H92" t="s">
        <v>5428</v>
      </c>
      <c r="I92" s="124" t="str">
        <f>IF(CARTERA_2026[[#This Row],[RUT]]=774097899,"DIST",_xlfn.XLOOKUP(CARTERA_2026[[#This Row],[VENDEDOR]],dimensiones!$C$21:$C$28,dimensiones!$D$21:$D$28,""))</f>
        <v>ATEL</v>
      </c>
      <c r="J92" s="125" t="str">
        <f>_xlfn.XLOOKUP(CARTERA_2026[[#This Row],[REGION]],dimensiones!C:C,dimensiones!D:D,"")</f>
        <v>Región de Biobío</v>
      </c>
      <c r="L92" s="136"/>
    </row>
    <row r="93" spans="1:12" x14ac:dyDescent="0.25">
      <c r="A93" s="134">
        <v>691702006</v>
      </c>
      <c r="B93" s="121" t="s">
        <v>5364</v>
      </c>
      <c r="C93" t="s">
        <v>5428</v>
      </c>
      <c r="D93" s="125">
        <v>8</v>
      </c>
      <c r="E93" t="s">
        <v>4445</v>
      </c>
      <c r="F93" s="122" t="s">
        <v>5218</v>
      </c>
      <c r="G93" s="132"/>
      <c r="H93" t="s">
        <v>5428</v>
      </c>
      <c r="I93" s="124" t="str">
        <f>IF(CARTERA_2026[[#This Row],[RUT]]=774097899,"DIST",_xlfn.XLOOKUP(CARTERA_2026[[#This Row],[VENDEDOR]],dimensiones!$C$21:$C$28,dimensiones!$D$21:$D$28,""))</f>
        <v>ATEL</v>
      </c>
      <c r="J93" s="125" t="str">
        <f>_xlfn.XLOOKUP(CARTERA_2026[[#This Row],[REGION]],dimensiones!C:C,dimensiones!D:D,"")</f>
        <v>Región de Biobío</v>
      </c>
      <c r="L93" s="136"/>
    </row>
    <row r="94" spans="1:12" x14ac:dyDescent="0.25">
      <c r="A94" s="134">
        <v>691802000</v>
      </c>
      <c r="B94" s="121" t="s">
        <v>5049</v>
      </c>
      <c r="C94" t="s">
        <v>5428</v>
      </c>
      <c r="D94" s="125">
        <v>9</v>
      </c>
      <c r="E94" t="s">
        <v>4445</v>
      </c>
      <c r="F94" s="122" t="s">
        <v>5219</v>
      </c>
      <c r="G94" s="132"/>
      <c r="H94" t="s">
        <v>5428</v>
      </c>
      <c r="I94" s="124" t="str">
        <f>IF(CARTERA_2026[[#This Row],[RUT]]=774097899,"DIST",_xlfn.XLOOKUP(CARTERA_2026[[#This Row],[VENDEDOR]],dimensiones!$C$21:$C$28,dimensiones!$D$21:$D$28,""))</f>
        <v>ATEL</v>
      </c>
      <c r="J94" s="125" t="str">
        <f>_xlfn.XLOOKUP(CARTERA_2026[[#This Row],[REGION]],dimensiones!C:C,dimensiones!D:D,"")</f>
        <v>Región de La Araucanía</v>
      </c>
      <c r="L94" s="136"/>
    </row>
    <row r="95" spans="1:12" x14ac:dyDescent="0.25">
      <c r="A95" s="134">
        <v>692403002</v>
      </c>
      <c r="B95" s="121" t="s">
        <v>5051</v>
      </c>
      <c r="C95" t="s">
        <v>5428</v>
      </c>
      <c r="D95" s="125">
        <v>11</v>
      </c>
      <c r="E95" t="s">
        <v>4445</v>
      </c>
      <c r="F95" s="122" t="s">
        <v>5221</v>
      </c>
      <c r="G95" s="132"/>
      <c r="H95" t="s">
        <v>5428</v>
      </c>
      <c r="I95" s="124" t="str">
        <f>IF(CARTERA_2026[[#This Row],[RUT]]=774097899,"DIST",_xlfn.XLOOKUP(CARTERA_2026[[#This Row],[VENDEDOR]],dimensiones!$C$21:$C$28,dimensiones!$D$21:$D$28,""))</f>
        <v>ATEL</v>
      </c>
      <c r="J95" s="125" t="str">
        <f>_xlfn.XLOOKUP(CARTERA_2026[[#This Row],[REGION]],dimensiones!C:C,dimensiones!D:D,"")</f>
        <v>Región de Aysén del General Carlos Ibáñez del Campo</v>
      </c>
      <c r="L95" s="136"/>
    </row>
    <row r="96" spans="1:12" x14ac:dyDescent="0.25">
      <c r="A96" s="134">
        <v>692532007</v>
      </c>
      <c r="B96" s="121" t="s">
        <v>5365</v>
      </c>
      <c r="C96" t="s">
        <v>4873</v>
      </c>
      <c r="D96" s="125" t="s">
        <v>5428</v>
      </c>
      <c r="E96" t="s">
        <v>4445</v>
      </c>
      <c r="F96" s="122" t="s">
        <v>4874</v>
      </c>
      <c r="G96" s="132"/>
      <c r="H96" t="s">
        <v>4957</v>
      </c>
      <c r="I96" s="124" t="str">
        <f>IF(CARTERA_2026[[#This Row],[RUT]]=774097899,"DIST",_xlfn.XLOOKUP(CARTERA_2026[[#This Row],[VENDEDOR]],dimensiones!$C$21:$C$28,dimensiones!$D$21:$D$28,""))</f>
        <v>ATEL</v>
      </c>
      <c r="J96" s="125" t="str">
        <f>_xlfn.XLOOKUP(CARTERA_2026[[#This Row],[REGION]],dimensiones!C:C,dimensiones!D:D,"")</f>
        <v/>
      </c>
      <c r="L96" s="136"/>
    </row>
    <row r="97" spans="1:12" x14ac:dyDescent="0.25">
      <c r="A97" s="134">
        <v>707291001</v>
      </c>
      <c r="B97" s="121" t="s">
        <v>5052</v>
      </c>
      <c r="C97" t="s">
        <v>5428</v>
      </c>
      <c r="D97" s="125">
        <v>13</v>
      </c>
      <c r="E97" t="s">
        <v>4445</v>
      </c>
      <c r="F97" s="122" t="s">
        <v>5222</v>
      </c>
      <c r="G97" s="132"/>
      <c r="H97" t="s">
        <v>5428</v>
      </c>
      <c r="I97" s="124" t="str">
        <f>IF(CARTERA_2026[[#This Row],[RUT]]=774097899,"DIST",_xlfn.XLOOKUP(CARTERA_2026[[#This Row],[VENDEDOR]],dimensiones!$C$21:$C$28,dimensiones!$D$21:$D$28,""))</f>
        <v>ATEL</v>
      </c>
      <c r="J97" s="125" t="str">
        <f>_xlfn.XLOOKUP(CARTERA_2026[[#This Row],[REGION]],dimensiones!C:C,dimensiones!D:D,"")</f>
        <v>Región de Metropolitana de Santiago</v>
      </c>
      <c r="L97" s="136"/>
    </row>
    <row r="98" spans="1:12" x14ac:dyDescent="0.25">
      <c r="A98" s="134">
        <v>707721006</v>
      </c>
      <c r="B98" s="121" t="s">
        <v>5053</v>
      </c>
      <c r="C98" t="s">
        <v>5428</v>
      </c>
      <c r="D98" s="125">
        <v>10</v>
      </c>
      <c r="E98" t="s">
        <v>4445</v>
      </c>
      <c r="F98" s="122" t="s">
        <v>5223</v>
      </c>
      <c r="G98" s="132"/>
      <c r="H98" t="s">
        <v>5428</v>
      </c>
      <c r="I98" s="124" t="str">
        <f>IF(CARTERA_2026[[#This Row],[RUT]]=774097899,"DIST",_xlfn.XLOOKUP(CARTERA_2026[[#This Row],[VENDEDOR]],dimensiones!$C$21:$C$28,dimensiones!$D$21:$D$28,""))</f>
        <v>ATEL</v>
      </c>
      <c r="J98" s="125" t="str">
        <f>_xlfn.XLOOKUP(CARTERA_2026[[#This Row],[REGION]],dimensiones!C:C,dimensiones!D:D,"")</f>
        <v>Región de Los Lagos</v>
      </c>
      <c r="L98" s="136"/>
    </row>
    <row r="99" spans="1:12" x14ac:dyDescent="0.25">
      <c r="A99" s="134">
        <v>712367008</v>
      </c>
      <c r="B99" s="121" t="s">
        <v>5054</v>
      </c>
      <c r="C99" t="s">
        <v>5428</v>
      </c>
      <c r="D99" s="125">
        <v>3</v>
      </c>
      <c r="E99" t="s">
        <v>4445</v>
      </c>
      <c r="F99" s="122" t="s">
        <v>5224</v>
      </c>
      <c r="G99" s="132"/>
      <c r="H99" t="s">
        <v>5428</v>
      </c>
      <c r="I99" s="124" t="str">
        <f>IF(CARTERA_2026[[#This Row],[RUT]]=774097899,"DIST",_xlfn.XLOOKUP(CARTERA_2026[[#This Row],[VENDEDOR]],dimensiones!$C$21:$C$28,dimensiones!$D$21:$D$28,""))</f>
        <v>ATEL</v>
      </c>
      <c r="J99" s="125" t="str">
        <f>_xlfn.XLOOKUP(CARTERA_2026[[#This Row],[REGION]],dimensiones!C:C,dimensiones!D:D,"")</f>
        <v>Región de Atacama</v>
      </c>
      <c r="L99" s="136"/>
    </row>
    <row r="100" spans="1:12" x14ac:dyDescent="0.25">
      <c r="A100" s="134">
        <v>713098000</v>
      </c>
      <c r="B100" s="121" t="s">
        <v>5424</v>
      </c>
      <c r="C100" t="s">
        <v>5428</v>
      </c>
      <c r="D100" s="125">
        <v>13</v>
      </c>
      <c r="E100" t="s">
        <v>4445</v>
      </c>
      <c r="F100" s="122" t="s">
        <v>5225</v>
      </c>
      <c r="G100" s="132"/>
      <c r="H100" t="s">
        <v>5428</v>
      </c>
      <c r="I100" s="124" t="str">
        <f>IF(CARTERA_2026[[#This Row],[RUT]]=774097899,"DIST",_xlfn.XLOOKUP(CARTERA_2026[[#This Row],[VENDEDOR]],dimensiones!$C$21:$C$28,dimensiones!$D$21:$D$28,""))</f>
        <v>ATEL</v>
      </c>
      <c r="J100" s="125" t="str">
        <f>_xlfn.XLOOKUP(CARTERA_2026[[#This Row],[REGION]],dimensiones!C:C,dimensiones!D:D,"")</f>
        <v>Región de Metropolitana de Santiago</v>
      </c>
      <c r="L100" s="136"/>
    </row>
    <row r="101" spans="1:12" x14ac:dyDescent="0.25">
      <c r="A101" s="134">
        <v>723960002</v>
      </c>
      <c r="B101" s="121" t="s">
        <v>5226</v>
      </c>
      <c r="C101" t="s">
        <v>5428</v>
      </c>
      <c r="D101" s="125">
        <v>9</v>
      </c>
      <c r="E101" t="s">
        <v>4445</v>
      </c>
      <c r="F101" s="122" t="s">
        <v>5227</v>
      </c>
      <c r="G101" s="132"/>
      <c r="H101" t="s">
        <v>5428</v>
      </c>
      <c r="I101" s="124" t="str">
        <f>IF(CARTERA_2026[[#This Row],[RUT]]=774097899,"DIST",_xlfn.XLOOKUP(CARTERA_2026[[#This Row],[VENDEDOR]],dimensiones!$C$21:$C$28,dimensiones!$D$21:$D$28,""))</f>
        <v>ATEL</v>
      </c>
      <c r="J101" s="125" t="str">
        <f>_xlfn.XLOOKUP(CARTERA_2026[[#This Row],[REGION]],dimensiones!C:C,dimensiones!D:D,"")</f>
        <v>Región de La Araucanía</v>
      </c>
      <c r="L101" s="136"/>
    </row>
    <row r="102" spans="1:12" x14ac:dyDescent="0.25">
      <c r="A102" s="134">
        <v>739238005</v>
      </c>
      <c r="B102" s="121" t="s">
        <v>5406</v>
      </c>
      <c r="C102" t="s">
        <v>5428</v>
      </c>
      <c r="D102" s="125">
        <v>8</v>
      </c>
      <c r="E102" t="s">
        <v>4445</v>
      </c>
      <c r="F102" s="122" t="s">
        <v>5228</v>
      </c>
      <c r="G102" s="132"/>
      <c r="H102" t="s">
        <v>5428</v>
      </c>
      <c r="I102" s="124" t="str">
        <f>IF(CARTERA_2026[[#This Row],[RUT]]=774097899,"DIST",_xlfn.XLOOKUP(CARTERA_2026[[#This Row],[VENDEDOR]],dimensiones!$C$21:$C$28,dimensiones!$D$21:$D$28,""))</f>
        <v>ATEL</v>
      </c>
      <c r="J102" s="125" t="str">
        <f>_xlfn.XLOOKUP(CARTERA_2026[[#This Row],[REGION]],dimensiones!C:C,dimensiones!D:D,"")</f>
        <v>Región de Biobío</v>
      </c>
      <c r="L102" s="136"/>
    </row>
    <row r="103" spans="1:12" x14ac:dyDescent="0.25">
      <c r="A103" s="134">
        <v>748229000</v>
      </c>
      <c r="B103" s="121" t="s">
        <v>5416</v>
      </c>
      <c r="C103" t="s">
        <v>5428</v>
      </c>
      <c r="D103" s="125">
        <v>4</v>
      </c>
      <c r="E103" t="s">
        <v>4445</v>
      </c>
      <c r="F103" s="122" t="s">
        <v>5229</v>
      </c>
      <c r="G103" s="132"/>
      <c r="H103" t="s">
        <v>5428</v>
      </c>
      <c r="I103" s="124" t="str">
        <f>IF(CARTERA_2026[[#This Row],[RUT]]=774097899,"DIST",_xlfn.XLOOKUP(CARTERA_2026[[#This Row],[VENDEDOR]],dimensiones!$C$21:$C$28,dimensiones!$D$21:$D$28,""))</f>
        <v>ATEL</v>
      </c>
      <c r="J103" s="125" t="str">
        <f>_xlfn.XLOOKUP(CARTERA_2026[[#This Row],[REGION]],dimensiones!C:C,dimensiones!D:D,"")</f>
        <v>Región de Coquimbo</v>
      </c>
      <c r="L103" s="136"/>
    </row>
    <row r="104" spans="1:12" x14ac:dyDescent="0.25">
      <c r="A104" s="134">
        <v>760163058</v>
      </c>
      <c r="B104" s="121" t="s">
        <v>5055</v>
      </c>
      <c r="C104" t="s">
        <v>5428</v>
      </c>
      <c r="D104" s="125">
        <v>16</v>
      </c>
      <c r="E104" t="s">
        <v>4445</v>
      </c>
      <c r="F104" s="122" t="s">
        <v>5230</v>
      </c>
      <c r="G104" s="132"/>
      <c r="H104" t="s">
        <v>5428</v>
      </c>
      <c r="I104" s="124" t="str">
        <f>IF(CARTERA_2026[[#This Row],[RUT]]=774097899,"DIST",_xlfn.XLOOKUP(CARTERA_2026[[#This Row],[VENDEDOR]],dimensiones!$C$21:$C$28,dimensiones!$D$21:$D$28,""))</f>
        <v>ATEL</v>
      </c>
      <c r="J104" s="125" t="str">
        <f>_xlfn.XLOOKUP(CARTERA_2026[[#This Row],[REGION]],dimensiones!C:C,dimensiones!D:D,"")</f>
        <v>Región de Ñuble</v>
      </c>
      <c r="L104" s="136"/>
    </row>
    <row r="105" spans="1:12" x14ac:dyDescent="0.25">
      <c r="A105" s="134">
        <v>760286885</v>
      </c>
      <c r="B105" s="121" t="s">
        <v>5056</v>
      </c>
      <c r="C105" t="s">
        <v>5428</v>
      </c>
      <c r="D105" s="125">
        <v>13</v>
      </c>
      <c r="E105" t="s">
        <v>4445</v>
      </c>
      <c r="F105" s="122" t="s">
        <v>5231</v>
      </c>
      <c r="G105" s="132"/>
      <c r="H105" t="s">
        <v>5428</v>
      </c>
      <c r="I105" s="124" t="str">
        <f>IF(CARTERA_2026[[#This Row],[RUT]]=774097899,"DIST",_xlfn.XLOOKUP(CARTERA_2026[[#This Row],[VENDEDOR]],dimensiones!$C$21:$C$28,dimensiones!$D$21:$D$28,""))</f>
        <v>ATEL</v>
      </c>
      <c r="J105" s="125" t="str">
        <f>_xlfn.XLOOKUP(CARTERA_2026[[#This Row],[REGION]],dimensiones!C:C,dimensiones!D:D,"")</f>
        <v>Región de Metropolitana de Santiago</v>
      </c>
      <c r="L105" s="136"/>
    </row>
    <row r="106" spans="1:12" x14ac:dyDescent="0.25">
      <c r="A106" s="134">
        <v>760449598</v>
      </c>
      <c r="B106" s="121" t="s">
        <v>5057</v>
      </c>
      <c r="C106" t="s">
        <v>5428</v>
      </c>
      <c r="D106" s="125">
        <v>13</v>
      </c>
      <c r="E106" t="s">
        <v>4445</v>
      </c>
      <c r="F106" s="122" t="s">
        <v>5232</v>
      </c>
      <c r="G106" s="132"/>
      <c r="H106" t="s">
        <v>5428</v>
      </c>
      <c r="I106" s="124" t="str">
        <f>IF(CARTERA_2026[[#This Row],[RUT]]=774097899,"DIST",_xlfn.XLOOKUP(CARTERA_2026[[#This Row],[VENDEDOR]],dimensiones!$C$21:$C$28,dimensiones!$D$21:$D$28,""))</f>
        <v>ATEL</v>
      </c>
      <c r="J106" s="125" t="str">
        <f>_xlfn.XLOOKUP(CARTERA_2026[[#This Row],[REGION]],dimensiones!C:C,dimensiones!D:D,"")</f>
        <v>Región de Metropolitana de Santiago</v>
      </c>
      <c r="L106" s="136"/>
    </row>
    <row r="107" spans="1:12" x14ac:dyDescent="0.25">
      <c r="A107" s="134">
        <v>760700339</v>
      </c>
      <c r="B107" s="121" t="s">
        <v>5058</v>
      </c>
      <c r="C107" t="s">
        <v>5428</v>
      </c>
      <c r="D107" s="125">
        <v>13</v>
      </c>
      <c r="E107" t="s">
        <v>4445</v>
      </c>
      <c r="F107" s="122" t="s">
        <v>5233</v>
      </c>
      <c r="G107" s="132"/>
      <c r="H107" t="s">
        <v>5428</v>
      </c>
      <c r="I107" s="124" t="str">
        <f>IF(CARTERA_2026[[#This Row],[RUT]]=774097899,"DIST",_xlfn.XLOOKUP(CARTERA_2026[[#This Row],[VENDEDOR]],dimensiones!$C$21:$C$28,dimensiones!$D$21:$D$28,""))</f>
        <v>ATEL</v>
      </c>
      <c r="J107" s="125" t="str">
        <f>_xlfn.XLOOKUP(CARTERA_2026[[#This Row],[REGION]],dimensiones!C:C,dimensiones!D:D,"")</f>
        <v>Región de Metropolitana de Santiago</v>
      </c>
      <c r="L107" s="136"/>
    </row>
    <row r="108" spans="1:12" x14ac:dyDescent="0.25">
      <c r="A108" s="134">
        <v>760742163</v>
      </c>
      <c r="B108" s="121" t="s">
        <v>5395</v>
      </c>
      <c r="C108" t="s">
        <v>5428</v>
      </c>
      <c r="D108" s="125">
        <v>4</v>
      </c>
      <c r="E108" t="s">
        <v>4445</v>
      </c>
      <c r="F108" s="122" t="s">
        <v>5234</v>
      </c>
      <c r="G108" s="132"/>
      <c r="H108" t="s">
        <v>5428</v>
      </c>
      <c r="I108" s="124" t="str">
        <f>IF(CARTERA_2026[[#This Row],[RUT]]=774097899,"DIST",_xlfn.XLOOKUP(CARTERA_2026[[#This Row],[VENDEDOR]],dimensiones!$C$21:$C$28,dimensiones!$D$21:$D$28,""))</f>
        <v>ATEL</v>
      </c>
      <c r="J108" s="125" t="str">
        <f>_xlfn.XLOOKUP(CARTERA_2026[[#This Row],[REGION]],dimensiones!C:C,dimensiones!D:D,"")</f>
        <v>Región de Coquimbo</v>
      </c>
      <c r="L108" s="136"/>
    </row>
    <row r="109" spans="1:12" x14ac:dyDescent="0.25">
      <c r="A109" s="134">
        <v>760892963</v>
      </c>
      <c r="B109" s="121" t="s">
        <v>5366</v>
      </c>
      <c r="C109" t="s">
        <v>5428</v>
      </c>
      <c r="D109" s="125">
        <v>13</v>
      </c>
      <c r="E109" t="s">
        <v>4445</v>
      </c>
      <c r="F109" s="122" t="s">
        <v>5235</v>
      </c>
      <c r="G109" s="132"/>
      <c r="H109" t="s">
        <v>5428</v>
      </c>
      <c r="I109" s="124" t="str">
        <f>IF(CARTERA_2026[[#This Row],[RUT]]=774097899,"DIST",_xlfn.XLOOKUP(CARTERA_2026[[#This Row],[VENDEDOR]],dimensiones!$C$21:$C$28,dimensiones!$D$21:$D$28,""))</f>
        <v>ATEL</v>
      </c>
      <c r="J109" s="125" t="str">
        <f>_xlfn.XLOOKUP(CARTERA_2026[[#This Row],[REGION]],dimensiones!C:C,dimensiones!D:D,"")</f>
        <v>Región de Metropolitana de Santiago</v>
      </c>
      <c r="L109" s="136"/>
    </row>
    <row r="110" spans="1:12" x14ac:dyDescent="0.25">
      <c r="A110" s="134">
        <v>761108093</v>
      </c>
      <c r="B110" s="121" t="s">
        <v>5059</v>
      </c>
      <c r="C110" t="s">
        <v>5428</v>
      </c>
      <c r="D110" s="125">
        <v>13</v>
      </c>
      <c r="E110" t="s">
        <v>4445</v>
      </c>
      <c r="F110" s="122" t="s">
        <v>5236</v>
      </c>
      <c r="G110" s="132"/>
      <c r="H110" t="s">
        <v>5428</v>
      </c>
      <c r="I110" s="124" t="str">
        <f>IF(CARTERA_2026[[#This Row],[RUT]]=774097899,"DIST",_xlfn.XLOOKUP(CARTERA_2026[[#This Row],[VENDEDOR]],dimensiones!$C$21:$C$28,dimensiones!$D$21:$D$28,""))</f>
        <v>ATEL</v>
      </c>
      <c r="J110" s="125" t="str">
        <f>_xlfn.XLOOKUP(CARTERA_2026[[#This Row],[REGION]],dimensiones!C:C,dimensiones!D:D,"")</f>
        <v>Región de Metropolitana de Santiago</v>
      </c>
      <c r="L110" s="136"/>
    </row>
    <row r="111" spans="1:12" x14ac:dyDescent="0.25">
      <c r="A111" s="134">
        <v>761108921</v>
      </c>
      <c r="B111" s="121" t="s">
        <v>5425</v>
      </c>
      <c r="C111" t="s">
        <v>5428</v>
      </c>
      <c r="D111" s="125">
        <v>13</v>
      </c>
      <c r="E111" t="s">
        <v>4445</v>
      </c>
      <c r="F111" s="122" t="s">
        <v>5237</v>
      </c>
      <c r="G111" s="132"/>
      <c r="H111" t="s">
        <v>5428</v>
      </c>
      <c r="I111" s="124" t="str">
        <f>IF(CARTERA_2026[[#This Row],[RUT]]=774097899,"DIST",_xlfn.XLOOKUP(CARTERA_2026[[#This Row],[VENDEDOR]],dimensiones!$C$21:$C$28,dimensiones!$D$21:$D$28,""))</f>
        <v>ATEL</v>
      </c>
      <c r="J111" s="125" t="str">
        <f>_xlfn.XLOOKUP(CARTERA_2026[[#This Row],[REGION]],dimensiones!C:C,dimensiones!D:D,"")</f>
        <v>Región de Metropolitana de Santiago</v>
      </c>
      <c r="L111" s="136"/>
    </row>
    <row r="112" spans="1:12" x14ac:dyDescent="0.25">
      <c r="A112" s="134">
        <v>761111132</v>
      </c>
      <c r="B112" s="121" t="s">
        <v>1064</v>
      </c>
      <c r="C112" t="s">
        <v>4168</v>
      </c>
      <c r="D112" s="125">
        <v>13</v>
      </c>
      <c r="E112" t="s">
        <v>4445</v>
      </c>
      <c r="F112" s="122" t="s">
        <v>4895</v>
      </c>
      <c r="G112" s="132"/>
      <c r="H112" t="s">
        <v>4915</v>
      </c>
      <c r="I112" s="124" t="str">
        <f>IF(CARTERA_2026[[#This Row],[RUT]]=774097899,"DIST",_xlfn.XLOOKUP(CARTERA_2026[[#This Row],[VENDEDOR]],dimensiones!$C$21:$C$28,dimensiones!$D$21:$D$28,""))</f>
        <v>ATEL</v>
      </c>
      <c r="J112" s="125" t="str">
        <f>_xlfn.XLOOKUP(CARTERA_2026[[#This Row],[REGION]],dimensiones!C:C,dimensiones!D:D,"")</f>
        <v>Región de Metropolitana de Santiago</v>
      </c>
      <c r="L112" s="136"/>
    </row>
    <row r="113" spans="1:12" x14ac:dyDescent="0.25">
      <c r="A113" s="134">
        <v>761162209</v>
      </c>
      <c r="B113" s="121" t="s">
        <v>5407</v>
      </c>
      <c r="C113" t="s">
        <v>5428</v>
      </c>
      <c r="D113" s="125">
        <v>10</v>
      </c>
      <c r="E113" t="s">
        <v>4445</v>
      </c>
      <c r="F113" s="122" t="s">
        <v>5238</v>
      </c>
      <c r="G113" s="132"/>
      <c r="H113" t="s">
        <v>5428</v>
      </c>
      <c r="I113" s="124" t="str">
        <f>IF(CARTERA_2026[[#This Row],[RUT]]=774097899,"DIST",_xlfn.XLOOKUP(CARTERA_2026[[#This Row],[VENDEDOR]],dimensiones!$C$21:$C$28,dimensiones!$D$21:$D$28,""))</f>
        <v>ATEL</v>
      </c>
      <c r="J113" s="125" t="str">
        <f>_xlfn.XLOOKUP(CARTERA_2026[[#This Row],[REGION]],dimensiones!C:C,dimensiones!D:D,"")</f>
        <v>Región de Los Lagos</v>
      </c>
      <c r="L113" s="136"/>
    </row>
    <row r="114" spans="1:12" x14ac:dyDescent="0.25">
      <c r="A114" s="134">
        <v>761175971</v>
      </c>
      <c r="B114" s="121" t="s">
        <v>5060</v>
      </c>
      <c r="C114" t="s">
        <v>5428</v>
      </c>
      <c r="D114" s="125">
        <v>5</v>
      </c>
      <c r="E114" t="s">
        <v>4445</v>
      </c>
      <c r="F114" s="122" t="s">
        <v>5239</v>
      </c>
      <c r="G114" s="132"/>
      <c r="H114" t="s">
        <v>5428</v>
      </c>
      <c r="I114" s="124" t="str">
        <f>IF(CARTERA_2026[[#This Row],[RUT]]=774097899,"DIST",_xlfn.XLOOKUP(CARTERA_2026[[#This Row],[VENDEDOR]],dimensiones!$C$21:$C$28,dimensiones!$D$21:$D$28,""))</f>
        <v>ATEL</v>
      </c>
      <c r="J114" s="125" t="str">
        <f>_xlfn.XLOOKUP(CARTERA_2026[[#This Row],[REGION]],dimensiones!C:C,dimensiones!D:D,"")</f>
        <v>Región de Valparaíso</v>
      </c>
      <c r="L114" s="136"/>
    </row>
    <row r="115" spans="1:12" x14ac:dyDescent="0.25">
      <c r="A115" s="134">
        <v>761180045</v>
      </c>
      <c r="B115" s="121" t="s">
        <v>5061</v>
      </c>
      <c r="C115" t="s">
        <v>5428</v>
      </c>
      <c r="D115" s="125">
        <v>8</v>
      </c>
      <c r="E115" t="s">
        <v>4445</v>
      </c>
      <c r="F115" s="122" t="s">
        <v>5240</v>
      </c>
      <c r="G115" s="132"/>
      <c r="H115" t="s">
        <v>5428</v>
      </c>
      <c r="I115" s="124" t="str">
        <f>IF(CARTERA_2026[[#This Row],[RUT]]=774097899,"DIST",_xlfn.XLOOKUP(CARTERA_2026[[#This Row],[VENDEDOR]],dimensiones!$C$21:$C$28,dimensiones!$D$21:$D$28,""))</f>
        <v>ATEL</v>
      </c>
      <c r="J115" s="125" t="str">
        <f>_xlfn.XLOOKUP(CARTERA_2026[[#This Row],[REGION]],dimensiones!C:C,dimensiones!D:D,"")</f>
        <v>Región de Biobío</v>
      </c>
      <c r="L115" s="136"/>
    </row>
    <row r="116" spans="1:12" x14ac:dyDescent="0.25">
      <c r="A116" s="134">
        <v>761188925</v>
      </c>
      <c r="B116" s="121" t="s">
        <v>5367</v>
      </c>
      <c r="C116" t="s">
        <v>5428</v>
      </c>
      <c r="D116" s="125">
        <v>13</v>
      </c>
      <c r="E116" t="s">
        <v>4445</v>
      </c>
      <c r="F116" s="122" t="s">
        <v>5241</v>
      </c>
      <c r="G116" s="132"/>
      <c r="H116" t="s">
        <v>5428</v>
      </c>
      <c r="I116" s="124" t="str">
        <f>IF(CARTERA_2026[[#This Row],[RUT]]=774097899,"DIST",_xlfn.XLOOKUP(CARTERA_2026[[#This Row],[VENDEDOR]],dimensiones!$C$21:$C$28,dimensiones!$D$21:$D$28,""))</f>
        <v>ATEL</v>
      </c>
      <c r="J116" s="125" t="str">
        <f>_xlfn.XLOOKUP(CARTERA_2026[[#This Row],[REGION]],dimensiones!C:C,dimensiones!D:D,"")</f>
        <v>Región de Metropolitana de Santiago</v>
      </c>
      <c r="L116" s="136"/>
    </row>
    <row r="117" spans="1:12" x14ac:dyDescent="0.25">
      <c r="A117" s="134">
        <v>761473662</v>
      </c>
      <c r="B117" s="121" t="s">
        <v>5062</v>
      </c>
      <c r="C117" t="s">
        <v>5428</v>
      </c>
      <c r="D117" s="125">
        <v>2</v>
      </c>
      <c r="E117" t="s">
        <v>4445</v>
      </c>
      <c r="F117" s="122" t="s">
        <v>5242</v>
      </c>
      <c r="G117" s="132"/>
      <c r="H117" t="s">
        <v>5428</v>
      </c>
      <c r="I117" s="124" t="str">
        <f>IF(CARTERA_2026[[#This Row],[RUT]]=774097899,"DIST",_xlfn.XLOOKUP(CARTERA_2026[[#This Row],[VENDEDOR]],dimensiones!$C$21:$C$28,dimensiones!$D$21:$D$28,""))</f>
        <v>ATEL</v>
      </c>
      <c r="J117" s="125" t="str">
        <f>_xlfn.XLOOKUP(CARTERA_2026[[#This Row],[REGION]],dimensiones!C:C,dimensiones!D:D,"")</f>
        <v>Región de Antofagasta</v>
      </c>
      <c r="L117" s="136"/>
    </row>
    <row r="118" spans="1:12" x14ac:dyDescent="0.25">
      <c r="A118" s="134">
        <v>761705016</v>
      </c>
      <c r="B118" s="121" t="s">
        <v>5064</v>
      </c>
      <c r="C118" t="s">
        <v>5428</v>
      </c>
      <c r="D118" s="125">
        <v>13</v>
      </c>
      <c r="E118" t="s">
        <v>4445</v>
      </c>
      <c r="F118" s="122" t="s">
        <v>5244</v>
      </c>
      <c r="G118" s="132"/>
      <c r="H118" t="s">
        <v>5428</v>
      </c>
      <c r="I118" s="124" t="str">
        <f>IF(CARTERA_2026[[#This Row],[RUT]]=774097899,"DIST",_xlfn.XLOOKUP(CARTERA_2026[[#This Row],[VENDEDOR]],dimensiones!$C$21:$C$28,dimensiones!$D$21:$D$28,""))</f>
        <v>ATEL</v>
      </c>
      <c r="J118" s="125" t="str">
        <f>_xlfn.XLOOKUP(CARTERA_2026[[#This Row],[REGION]],dimensiones!C:C,dimensiones!D:D,"")</f>
        <v>Región de Metropolitana de Santiago</v>
      </c>
      <c r="L118" s="136"/>
    </row>
    <row r="119" spans="1:12" x14ac:dyDescent="0.25">
      <c r="A119" s="134">
        <v>761792075</v>
      </c>
      <c r="B119" s="121" t="s">
        <v>5065</v>
      </c>
      <c r="C119" t="s">
        <v>5428</v>
      </c>
      <c r="D119" s="125">
        <v>13</v>
      </c>
      <c r="E119" t="s">
        <v>4445</v>
      </c>
      <c r="F119" s="122" t="s">
        <v>5245</v>
      </c>
      <c r="G119" s="132"/>
      <c r="H119" t="s">
        <v>5428</v>
      </c>
      <c r="I119" s="124" t="str">
        <f>IF(CARTERA_2026[[#This Row],[RUT]]=774097899,"DIST",_xlfn.XLOOKUP(CARTERA_2026[[#This Row],[VENDEDOR]],dimensiones!$C$21:$C$28,dimensiones!$D$21:$D$28,""))</f>
        <v>ATEL</v>
      </c>
      <c r="J119" s="125" t="str">
        <f>_xlfn.XLOOKUP(CARTERA_2026[[#This Row],[REGION]],dimensiones!C:C,dimensiones!D:D,"")</f>
        <v>Región de Metropolitana de Santiago</v>
      </c>
      <c r="L119" s="136"/>
    </row>
    <row r="120" spans="1:12" x14ac:dyDescent="0.25">
      <c r="A120" s="134">
        <v>761838210</v>
      </c>
      <c r="B120" s="121" t="s">
        <v>5246</v>
      </c>
      <c r="C120" t="s">
        <v>5428</v>
      </c>
      <c r="D120" s="125">
        <v>13</v>
      </c>
      <c r="E120" t="s">
        <v>4445</v>
      </c>
      <c r="F120" s="122" t="s">
        <v>5247</v>
      </c>
      <c r="G120" s="132"/>
      <c r="H120" t="s">
        <v>5428</v>
      </c>
      <c r="I120" s="124" t="str">
        <f>IF(CARTERA_2026[[#This Row],[RUT]]=774097899,"DIST",_xlfn.XLOOKUP(CARTERA_2026[[#This Row],[VENDEDOR]],dimensiones!$C$21:$C$28,dimensiones!$D$21:$D$28,""))</f>
        <v>ATEL</v>
      </c>
      <c r="J120" s="125" t="str">
        <f>_xlfn.XLOOKUP(CARTERA_2026[[#This Row],[REGION]],dimensiones!C:C,dimensiones!D:D,"")</f>
        <v>Región de Metropolitana de Santiago</v>
      </c>
      <c r="L120" s="136"/>
    </row>
    <row r="121" spans="1:12" x14ac:dyDescent="0.25">
      <c r="A121" s="134">
        <v>761946684</v>
      </c>
      <c r="B121" s="121" t="s">
        <v>5066</v>
      </c>
      <c r="C121" t="s">
        <v>5428</v>
      </c>
      <c r="D121" s="125">
        <v>13</v>
      </c>
      <c r="E121" t="s">
        <v>4445</v>
      </c>
      <c r="F121" s="122" t="s">
        <v>5248</v>
      </c>
      <c r="G121" s="132"/>
      <c r="H121" t="s">
        <v>5428</v>
      </c>
      <c r="I121" s="124" t="str">
        <f>IF(CARTERA_2026[[#This Row],[RUT]]=774097899,"DIST",_xlfn.XLOOKUP(CARTERA_2026[[#This Row],[VENDEDOR]],dimensiones!$C$21:$C$28,dimensiones!$D$21:$D$28,""))</f>
        <v>ATEL</v>
      </c>
      <c r="J121" s="125" t="str">
        <f>_xlfn.XLOOKUP(CARTERA_2026[[#This Row],[REGION]],dimensiones!C:C,dimensiones!D:D,"")</f>
        <v>Región de Metropolitana de Santiago</v>
      </c>
      <c r="L121" s="136"/>
    </row>
    <row r="122" spans="1:12" x14ac:dyDescent="0.25">
      <c r="A122" s="134">
        <v>762177617</v>
      </c>
      <c r="B122" s="121" t="s">
        <v>5067</v>
      </c>
      <c r="C122" t="s">
        <v>5428</v>
      </c>
      <c r="D122" s="125">
        <v>13</v>
      </c>
      <c r="E122" t="s">
        <v>4445</v>
      </c>
      <c r="F122" s="122" t="s">
        <v>5249</v>
      </c>
      <c r="G122" s="132"/>
      <c r="H122" t="s">
        <v>5428</v>
      </c>
      <c r="I122" s="124" t="str">
        <f>IF(CARTERA_2026[[#This Row],[RUT]]=774097899,"DIST",_xlfn.XLOOKUP(CARTERA_2026[[#This Row],[VENDEDOR]],dimensiones!$C$21:$C$28,dimensiones!$D$21:$D$28,""))</f>
        <v>ATEL</v>
      </c>
      <c r="J122" s="125" t="str">
        <f>_xlfn.XLOOKUP(CARTERA_2026[[#This Row],[REGION]],dimensiones!C:C,dimensiones!D:D,"")</f>
        <v>Región de Metropolitana de Santiago</v>
      </c>
      <c r="L122" s="136"/>
    </row>
    <row r="123" spans="1:12" x14ac:dyDescent="0.25">
      <c r="A123" s="134">
        <v>762177684</v>
      </c>
      <c r="B123" s="121" t="s">
        <v>111</v>
      </c>
      <c r="C123" t="s">
        <v>4168</v>
      </c>
      <c r="D123" s="125">
        <v>13</v>
      </c>
      <c r="E123" t="s">
        <v>4453</v>
      </c>
      <c r="F123" s="122" t="s">
        <v>4839</v>
      </c>
      <c r="G123" s="132"/>
      <c r="H123" t="s">
        <v>4915</v>
      </c>
      <c r="I123" s="124" t="str">
        <f>IF(CARTERA_2026[[#This Row],[RUT]]=774097899,"DIST",_xlfn.XLOOKUP(CARTERA_2026[[#This Row],[VENDEDOR]],dimensiones!$C$21:$C$28,dimensiones!$D$21:$D$28,""))</f>
        <v>SANT2</v>
      </c>
      <c r="J123" s="125" t="str">
        <f>_xlfn.XLOOKUP(CARTERA_2026[[#This Row],[REGION]],dimensiones!C:C,dimensiones!D:D,"")</f>
        <v>Región de Metropolitana de Santiago</v>
      </c>
      <c r="L123" s="136"/>
    </row>
    <row r="124" spans="1:12" x14ac:dyDescent="0.25">
      <c r="A124" s="134">
        <v>762342960</v>
      </c>
      <c r="B124" s="121" t="s">
        <v>1043</v>
      </c>
      <c r="C124" t="s">
        <v>4460</v>
      </c>
      <c r="D124" s="125">
        <v>8</v>
      </c>
      <c r="E124" t="s">
        <v>4445</v>
      </c>
      <c r="F124" s="122" t="s">
        <v>4881</v>
      </c>
      <c r="G124" s="132"/>
      <c r="H124" t="s">
        <v>4915</v>
      </c>
      <c r="I124" s="124" t="str">
        <f>IF(CARTERA_2026[[#This Row],[RUT]]=774097899,"DIST",_xlfn.XLOOKUP(CARTERA_2026[[#This Row],[VENDEDOR]],dimensiones!$C$21:$C$28,dimensiones!$D$21:$D$28,""))</f>
        <v>ATEL</v>
      </c>
      <c r="J124" s="125" t="str">
        <f>_xlfn.XLOOKUP(CARTERA_2026[[#This Row],[REGION]],dimensiones!C:C,dimensiones!D:D,"")</f>
        <v>Región de Biobío</v>
      </c>
      <c r="L124" s="136"/>
    </row>
    <row r="125" spans="1:12" x14ac:dyDescent="0.25">
      <c r="A125" s="134">
        <v>762418037</v>
      </c>
      <c r="B125" s="121" t="s">
        <v>5368</v>
      </c>
      <c r="C125" t="s">
        <v>5428</v>
      </c>
      <c r="D125" s="125">
        <v>13</v>
      </c>
      <c r="E125" t="s">
        <v>4445</v>
      </c>
      <c r="F125" s="122" t="s">
        <v>5251</v>
      </c>
      <c r="G125" s="132"/>
      <c r="H125" t="s">
        <v>5428</v>
      </c>
      <c r="I125" s="124" t="str">
        <f>IF(CARTERA_2026[[#This Row],[RUT]]=774097899,"DIST",_xlfn.XLOOKUP(CARTERA_2026[[#This Row],[VENDEDOR]],dimensiones!$C$21:$C$28,dimensiones!$D$21:$D$28,""))</f>
        <v>ATEL</v>
      </c>
      <c r="J125" s="125" t="str">
        <f>_xlfn.XLOOKUP(CARTERA_2026[[#This Row],[REGION]],dimensiones!C:C,dimensiones!D:D,"")</f>
        <v>Región de Metropolitana de Santiago</v>
      </c>
      <c r="L125" s="136"/>
    </row>
    <row r="126" spans="1:12" x14ac:dyDescent="0.25">
      <c r="A126" s="134">
        <v>762514869</v>
      </c>
      <c r="B126" s="121" t="s">
        <v>5068</v>
      </c>
      <c r="C126" t="s">
        <v>5428</v>
      </c>
      <c r="D126" s="125">
        <v>5</v>
      </c>
      <c r="E126" t="s">
        <v>4445</v>
      </c>
      <c r="F126" s="122" t="s">
        <v>5252</v>
      </c>
      <c r="G126" s="132"/>
      <c r="H126" t="s">
        <v>5428</v>
      </c>
      <c r="I126" s="124" t="str">
        <f>IF(CARTERA_2026[[#This Row],[RUT]]=774097899,"DIST",_xlfn.XLOOKUP(CARTERA_2026[[#This Row],[VENDEDOR]],dimensiones!$C$21:$C$28,dimensiones!$D$21:$D$28,""))</f>
        <v>ATEL</v>
      </c>
      <c r="J126" s="125" t="str">
        <f>_xlfn.XLOOKUP(CARTERA_2026[[#This Row],[REGION]],dimensiones!C:C,dimensiones!D:D,"")</f>
        <v>Región de Valparaíso</v>
      </c>
      <c r="L126" s="136"/>
    </row>
    <row r="127" spans="1:12" x14ac:dyDescent="0.25">
      <c r="A127" s="134">
        <v>762641380</v>
      </c>
      <c r="B127" s="121" t="s">
        <v>1076</v>
      </c>
      <c r="C127" t="s">
        <v>4168</v>
      </c>
      <c r="D127" s="125">
        <v>13</v>
      </c>
      <c r="E127" t="s">
        <v>4445</v>
      </c>
      <c r="F127" s="122" t="s">
        <v>4904</v>
      </c>
      <c r="G127" s="132"/>
      <c r="H127" t="s">
        <v>4915</v>
      </c>
      <c r="I127" s="124" t="str">
        <f>IF(CARTERA_2026[[#This Row],[RUT]]=774097899,"DIST",_xlfn.XLOOKUP(CARTERA_2026[[#This Row],[VENDEDOR]],dimensiones!$C$21:$C$28,dimensiones!$D$21:$D$28,""))</f>
        <v>ATEL</v>
      </c>
      <c r="J127" s="125" t="str">
        <f>_xlfn.XLOOKUP(CARTERA_2026[[#This Row],[REGION]],dimensiones!C:C,dimensiones!D:D,"")</f>
        <v>Región de Metropolitana de Santiago</v>
      </c>
      <c r="L127" s="136"/>
    </row>
    <row r="128" spans="1:12" x14ac:dyDescent="0.25">
      <c r="A128" s="134">
        <v>762977079</v>
      </c>
      <c r="B128" s="121" t="s">
        <v>1041</v>
      </c>
      <c r="C128" t="s">
        <v>4245</v>
      </c>
      <c r="D128" s="125">
        <v>4</v>
      </c>
      <c r="E128" t="s">
        <v>4445</v>
      </c>
      <c r="F128" s="122" t="s">
        <v>4879</v>
      </c>
      <c r="G128" s="132"/>
      <c r="H128" t="s">
        <v>4915</v>
      </c>
      <c r="I128" s="124" t="str">
        <f>IF(CARTERA_2026[[#This Row],[RUT]]=774097899,"DIST",_xlfn.XLOOKUP(CARTERA_2026[[#This Row],[VENDEDOR]],dimensiones!$C$21:$C$28,dimensiones!$D$21:$D$28,""))</f>
        <v>ATEL</v>
      </c>
      <c r="J128" s="125" t="str">
        <f>_xlfn.XLOOKUP(CARTERA_2026[[#This Row],[REGION]],dimensiones!C:C,dimensiones!D:D,"")</f>
        <v>Región de Coquimbo</v>
      </c>
      <c r="L128" s="136"/>
    </row>
    <row r="129" spans="1:12" x14ac:dyDescent="0.25">
      <c r="A129" s="134">
        <v>763212823</v>
      </c>
      <c r="B129" s="121" t="s">
        <v>5369</v>
      </c>
      <c r="C129" t="s">
        <v>5428</v>
      </c>
      <c r="D129" s="125">
        <v>13</v>
      </c>
      <c r="E129" t="s">
        <v>4445</v>
      </c>
      <c r="F129" s="122" t="s">
        <v>5253</v>
      </c>
      <c r="G129" s="132"/>
      <c r="H129" t="s">
        <v>5428</v>
      </c>
      <c r="I129" s="124" t="str">
        <f>IF(CARTERA_2026[[#This Row],[RUT]]=774097899,"DIST",_xlfn.XLOOKUP(CARTERA_2026[[#This Row],[VENDEDOR]],dimensiones!$C$21:$C$28,dimensiones!$D$21:$D$28,""))</f>
        <v>ATEL</v>
      </c>
      <c r="J129" s="125" t="str">
        <f>_xlfn.XLOOKUP(CARTERA_2026[[#This Row],[REGION]],dimensiones!C:C,dimensiones!D:D,"")</f>
        <v>Región de Metropolitana de Santiago</v>
      </c>
      <c r="L129" s="136"/>
    </row>
    <row r="130" spans="1:12" x14ac:dyDescent="0.25">
      <c r="A130" s="134">
        <v>763299031</v>
      </c>
      <c r="B130" s="121" t="s">
        <v>5370</v>
      </c>
      <c r="C130" t="s">
        <v>5428</v>
      </c>
      <c r="D130" s="125">
        <v>13</v>
      </c>
      <c r="E130" t="s">
        <v>4445</v>
      </c>
      <c r="F130" s="122" t="s">
        <v>5254</v>
      </c>
      <c r="G130" s="132"/>
      <c r="H130" t="s">
        <v>5428</v>
      </c>
      <c r="I130" s="124" t="str">
        <f>IF(CARTERA_2026[[#This Row],[RUT]]=774097899,"DIST",_xlfn.XLOOKUP(CARTERA_2026[[#This Row],[VENDEDOR]],dimensiones!$C$21:$C$28,dimensiones!$D$21:$D$28,""))</f>
        <v>ATEL</v>
      </c>
      <c r="J130" s="125" t="str">
        <f>_xlfn.XLOOKUP(CARTERA_2026[[#This Row],[REGION]],dimensiones!C:C,dimensiones!D:D,"")</f>
        <v>Región de Metropolitana de Santiago</v>
      </c>
      <c r="L130" s="136"/>
    </row>
    <row r="131" spans="1:12" x14ac:dyDescent="0.25">
      <c r="A131" s="134">
        <v>763331431</v>
      </c>
      <c r="B131" s="121" t="s">
        <v>5069</v>
      </c>
      <c r="C131" t="s">
        <v>5428</v>
      </c>
      <c r="D131" s="125">
        <v>13</v>
      </c>
      <c r="E131" t="s">
        <v>4445</v>
      </c>
      <c r="F131" s="122" t="s">
        <v>5255</v>
      </c>
      <c r="G131" s="132"/>
      <c r="H131" t="s">
        <v>5428</v>
      </c>
      <c r="I131" s="124" t="str">
        <f>IF(CARTERA_2026[[#This Row],[RUT]]=774097899,"DIST",_xlfn.XLOOKUP(CARTERA_2026[[#This Row],[VENDEDOR]],dimensiones!$C$21:$C$28,dimensiones!$D$21:$D$28,""))</f>
        <v>ATEL</v>
      </c>
      <c r="J131" s="125" t="str">
        <f>_xlfn.XLOOKUP(CARTERA_2026[[#This Row],[REGION]],dimensiones!C:C,dimensiones!D:D,"")</f>
        <v>Región de Metropolitana de Santiago</v>
      </c>
      <c r="L131" s="136"/>
    </row>
    <row r="132" spans="1:12" x14ac:dyDescent="0.25">
      <c r="A132" s="134">
        <v>763376826</v>
      </c>
      <c r="B132" s="121" t="s">
        <v>1054</v>
      </c>
      <c r="C132" t="s">
        <v>4168</v>
      </c>
      <c r="D132" s="125">
        <v>13</v>
      </c>
      <c r="E132" t="s">
        <v>4445</v>
      </c>
      <c r="F132" s="122" t="s">
        <v>4887</v>
      </c>
      <c r="G132" s="132"/>
      <c r="H132" t="s">
        <v>4915</v>
      </c>
      <c r="I132" s="124" t="str">
        <f>IF(CARTERA_2026[[#This Row],[RUT]]=774097899,"DIST",_xlfn.XLOOKUP(CARTERA_2026[[#This Row],[VENDEDOR]],dimensiones!$C$21:$C$28,dimensiones!$D$21:$D$28,""))</f>
        <v>ATEL</v>
      </c>
      <c r="J132" s="125" t="str">
        <f>_xlfn.XLOOKUP(CARTERA_2026[[#This Row],[REGION]],dimensiones!C:C,dimensiones!D:D,"")</f>
        <v>Región de Metropolitana de Santiago</v>
      </c>
      <c r="L132" s="136"/>
    </row>
    <row r="133" spans="1:12" x14ac:dyDescent="0.25">
      <c r="A133" s="134">
        <v>763421570</v>
      </c>
      <c r="B133" s="121" t="s">
        <v>5371</v>
      </c>
      <c r="C133" t="s">
        <v>5428</v>
      </c>
      <c r="D133" s="125">
        <v>13</v>
      </c>
      <c r="E133" t="s">
        <v>4445</v>
      </c>
      <c r="F133" s="122" t="s">
        <v>5256</v>
      </c>
      <c r="G133" s="132"/>
      <c r="H133" t="s">
        <v>5428</v>
      </c>
      <c r="I133" s="124" t="str">
        <f>IF(CARTERA_2026[[#This Row],[RUT]]=774097899,"DIST",_xlfn.XLOOKUP(CARTERA_2026[[#This Row],[VENDEDOR]],dimensiones!$C$21:$C$28,dimensiones!$D$21:$D$28,""))</f>
        <v>ATEL</v>
      </c>
      <c r="J133" s="125" t="str">
        <f>_xlfn.XLOOKUP(CARTERA_2026[[#This Row],[REGION]],dimensiones!C:C,dimensiones!D:D,"")</f>
        <v>Región de Metropolitana de Santiago</v>
      </c>
      <c r="L133" s="136"/>
    </row>
    <row r="134" spans="1:12" x14ac:dyDescent="0.25">
      <c r="A134" s="134">
        <v>763764737</v>
      </c>
      <c r="B134" s="121" t="s">
        <v>5372</v>
      </c>
      <c r="C134" t="s">
        <v>5428</v>
      </c>
      <c r="D134" s="125">
        <v>13</v>
      </c>
      <c r="E134" t="s">
        <v>4445</v>
      </c>
      <c r="F134" s="122" t="s">
        <v>5257</v>
      </c>
      <c r="G134" s="132"/>
      <c r="H134" t="s">
        <v>5428</v>
      </c>
      <c r="I134" s="124" t="str">
        <f>IF(CARTERA_2026[[#This Row],[RUT]]=774097899,"DIST",_xlfn.XLOOKUP(CARTERA_2026[[#This Row],[VENDEDOR]],dimensiones!$C$21:$C$28,dimensiones!$D$21:$D$28,""))</f>
        <v>ATEL</v>
      </c>
      <c r="J134" s="125" t="str">
        <f>_xlfn.XLOOKUP(CARTERA_2026[[#This Row],[REGION]],dimensiones!C:C,dimensiones!D:D,"")</f>
        <v>Región de Metropolitana de Santiago</v>
      </c>
      <c r="L134" s="136"/>
    </row>
    <row r="135" spans="1:12" x14ac:dyDescent="0.25">
      <c r="A135" s="134">
        <v>763864448</v>
      </c>
      <c r="B135" s="121" t="s">
        <v>5070</v>
      </c>
      <c r="C135" t="s">
        <v>5428</v>
      </c>
      <c r="D135" s="125">
        <v>13</v>
      </c>
      <c r="E135" t="s">
        <v>4445</v>
      </c>
      <c r="F135" s="122" t="s">
        <v>5258</v>
      </c>
      <c r="G135" s="132"/>
      <c r="H135" t="s">
        <v>5428</v>
      </c>
      <c r="I135" s="124" t="str">
        <f>IF(CARTERA_2026[[#This Row],[RUT]]=774097899,"DIST",_xlfn.XLOOKUP(CARTERA_2026[[#This Row],[VENDEDOR]],dimensiones!$C$21:$C$28,dimensiones!$D$21:$D$28,""))</f>
        <v>ATEL</v>
      </c>
      <c r="J135" s="125" t="str">
        <f>_xlfn.XLOOKUP(CARTERA_2026[[#This Row],[REGION]],dimensiones!C:C,dimensiones!D:D,"")</f>
        <v>Región de Metropolitana de Santiago</v>
      </c>
      <c r="L135" s="136"/>
    </row>
    <row r="136" spans="1:12" x14ac:dyDescent="0.25">
      <c r="A136" s="134">
        <v>763877973</v>
      </c>
      <c r="B136" s="121" t="s">
        <v>5259</v>
      </c>
      <c r="C136" t="s">
        <v>5428</v>
      </c>
      <c r="D136" s="125">
        <v>13</v>
      </c>
      <c r="E136" t="s">
        <v>4445</v>
      </c>
      <c r="F136" s="122" t="s">
        <v>5260</v>
      </c>
      <c r="G136" s="132"/>
      <c r="H136" t="s">
        <v>5428</v>
      </c>
      <c r="I136" s="124" t="str">
        <f>IF(CARTERA_2026[[#This Row],[RUT]]=774097899,"DIST",_xlfn.XLOOKUP(CARTERA_2026[[#This Row],[VENDEDOR]],dimensiones!$C$21:$C$28,dimensiones!$D$21:$D$28,""))</f>
        <v>ATEL</v>
      </c>
      <c r="J136" s="125" t="str">
        <f>_xlfn.XLOOKUP(CARTERA_2026[[#This Row],[REGION]],dimensiones!C:C,dimensiones!D:D,"")</f>
        <v>Región de Metropolitana de Santiago</v>
      </c>
      <c r="L136" s="136"/>
    </row>
    <row r="137" spans="1:12" x14ac:dyDescent="0.25">
      <c r="A137" s="134">
        <v>763995356</v>
      </c>
      <c r="B137" s="121" t="s">
        <v>5071</v>
      </c>
      <c r="C137" t="s">
        <v>5428</v>
      </c>
      <c r="D137" s="125">
        <v>9</v>
      </c>
      <c r="E137" t="s">
        <v>4445</v>
      </c>
      <c r="F137" s="122" t="s">
        <v>5261</v>
      </c>
      <c r="G137" s="132"/>
      <c r="H137" t="s">
        <v>5428</v>
      </c>
      <c r="I137" s="124" t="str">
        <f>IF(CARTERA_2026[[#This Row],[RUT]]=774097899,"DIST",_xlfn.XLOOKUP(CARTERA_2026[[#This Row],[VENDEDOR]],dimensiones!$C$21:$C$28,dimensiones!$D$21:$D$28,""))</f>
        <v>ATEL</v>
      </c>
      <c r="J137" s="125" t="str">
        <f>_xlfn.XLOOKUP(CARTERA_2026[[#This Row],[REGION]],dimensiones!C:C,dimensiones!D:D,"")</f>
        <v>Región de La Araucanía</v>
      </c>
      <c r="L137" s="136"/>
    </row>
    <row r="138" spans="1:12" x14ac:dyDescent="0.25">
      <c r="A138" s="134">
        <v>764080793</v>
      </c>
      <c r="B138" s="121" t="s">
        <v>5072</v>
      </c>
      <c r="C138" t="s">
        <v>5428</v>
      </c>
      <c r="D138" s="125">
        <v>8</v>
      </c>
      <c r="E138" t="s">
        <v>4445</v>
      </c>
      <c r="F138" s="122" t="s">
        <v>5262</v>
      </c>
      <c r="G138" s="132"/>
      <c r="H138" t="s">
        <v>5428</v>
      </c>
      <c r="I138" s="124" t="str">
        <f>IF(CARTERA_2026[[#This Row],[RUT]]=774097899,"DIST",_xlfn.XLOOKUP(CARTERA_2026[[#This Row],[VENDEDOR]],dimensiones!$C$21:$C$28,dimensiones!$D$21:$D$28,""))</f>
        <v>ATEL</v>
      </c>
      <c r="J138" s="125" t="str">
        <f>_xlfn.XLOOKUP(CARTERA_2026[[#This Row],[REGION]],dimensiones!C:C,dimensiones!D:D,"")</f>
        <v>Región de Biobío</v>
      </c>
      <c r="L138" s="136"/>
    </row>
    <row r="139" spans="1:12" x14ac:dyDescent="0.25">
      <c r="A139" s="134">
        <v>764490266</v>
      </c>
      <c r="B139" s="121" t="s">
        <v>5073</v>
      </c>
      <c r="C139" t="s">
        <v>5428</v>
      </c>
      <c r="D139" s="125">
        <v>8</v>
      </c>
      <c r="E139" t="s">
        <v>4445</v>
      </c>
      <c r="F139" s="122" t="s">
        <v>5263</v>
      </c>
      <c r="G139" s="132"/>
      <c r="H139" t="s">
        <v>5428</v>
      </c>
      <c r="I139" s="124" t="str">
        <f>IF(CARTERA_2026[[#This Row],[RUT]]=774097899,"DIST",_xlfn.XLOOKUP(CARTERA_2026[[#This Row],[VENDEDOR]],dimensiones!$C$21:$C$28,dimensiones!$D$21:$D$28,""))</f>
        <v>ATEL</v>
      </c>
      <c r="J139" s="125" t="str">
        <f>_xlfn.XLOOKUP(CARTERA_2026[[#This Row],[REGION]],dimensiones!C:C,dimensiones!D:D,"")</f>
        <v>Región de Biobío</v>
      </c>
      <c r="L139" s="136"/>
    </row>
    <row r="140" spans="1:12" x14ac:dyDescent="0.25">
      <c r="A140" s="134">
        <v>764511271</v>
      </c>
      <c r="B140" s="121" t="s">
        <v>5074</v>
      </c>
      <c r="C140" t="s">
        <v>5428</v>
      </c>
      <c r="D140" s="125">
        <v>13</v>
      </c>
      <c r="E140" t="s">
        <v>4445</v>
      </c>
      <c r="F140" s="122" t="s">
        <v>5264</v>
      </c>
      <c r="G140" s="132"/>
      <c r="H140" t="s">
        <v>5428</v>
      </c>
      <c r="I140" s="124" t="str">
        <f>IF(CARTERA_2026[[#This Row],[RUT]]=774097899,"DIST",_xlfn.XLOOKUP(CARTERA_2026[[#This Row],[VENDEDOR]],dimensiones!$C$21:$C$28,dimensiones!$D$21:$D$28,""))</f>
        <v>ATEL</v>
      </c>
      <c r="J140" s="125" t="str">
        <f>_xlfn.XLOOKUP(CARTERA_2026[[#This Row],[REGION]],dimensiones!C:C,dimensiones!D:D,"")</f>
        <v>Región de Metropolitana de Santiago</v>
      </c>
      <c r="L140" s="136"/>
    </row>
    <row r="141" spans="1:12" x14ac:dyDescent="0.25">
      <c r="A141" s="134">
        <v>764606418</v>
      </c>
      <c r="B141" s="121" t="s">
        <v>1045</v>
      </c>
      <c r="C141" t="s">
        <v>4168</v>
      </c>
      <c r="D141" s="125">
        <v>13</v>
      </c>
      <c r="E141" t="s">
        <v>4445</v>
      </c>
      <c r="F141" s="122" t="s">
        <v>4883</v>
      </c>
      <c r="G141" s="132"/>
      <c r="H141" t="s">
        <v>4915</v>
      </c>
      <c r="I141" s="124" t="str">
        <f>IF(CARTERA_2026[[#This Row],[RUT]]=774097899,"DIST",_xlfn.XLOOKUP(CARTERA_2026[[#This Row],[VENDEDOR]],dimensiones!$C$21:$C$28,dimensiones!$D$21:$D$28,""))</f>
        <v>ATEL</v>
      </c>
      <c r="J141" s="125" t="str">
        <f>_xlfn.XLOOKUP(CARTERA_2026[[#This Row],[REGION]],dimensiones!C:C,dimensiones!D:D,"")</f>
        <v>Región de Metropolitana de Santiago</v>
      </c>
      <c r="L141" s="136"/>
    </row>
    <row r="142" spans="1:12" x14ac:dyDescent="0.25">
      <c r="A142" s="134">
        <v>764626567</v>
      </c>
      <c r="B142" s="121" t="s">
        <v>5373</v>
      </c>
      <c r="C142" t="s">
        <v>5428</v>
      </c>
      <c r="D142" s="125">
        <v>13</v>
      </c>
      <c r="E142" t="s">
        <v>4445</v>
      </c>
      <c r="F142" s="122" t="s">
        <v>5265</v>
      </c>
      <c r="G142" s="132"/>
      <c r="H142" t="s">
        <v>5428</v>
      </c>
      <c r="I142" s="124" t="str">
        <f>IF(CARTERA_2026[[#This Row],[RUT]]=774097899,"DIST",_xlfn.XLOOKUP(CARTERA_2026[[#This Row],[VENDEDOR]],dimensiones!$C$21:$C$28,dimensiones!$D$21:$D$28,""))</f>
        <v>ATEL</v>
      </c>
      <c r="J142" s="125" t="str">
        <f>_xlfn.XLOOKUP(CARTERA_2026[[#This Row],[REGION]],dimensiones!C:C,dimensiones!D:D,"")</f>
        <v>Región de Metropolitana de Santiago</v>
      </c>
      <c r="L142" s="136"/>
    </row>
    <row r="143" spans="1:12" x14ac:dyDescent="0.25">
      <c r="A143" s="134">
        <v>764686985</v>
      </c>
      <c r="B143" s="121" t="s">
        <v>5374</v>
      </c>
      <c r="C143" t="s">
        <v>5428</v>
      </c>
      <c r="D143" s="125">
        <v>10</v>
      </c>
      <c r="E143" t="s">
        <v>4445</v>
      </c>
      <c r="F143" s="122" t="s">
        <v>5266</v>
      </c>
      <c r="G143" s="132"/>
      <c r="H143" t="s">
        <v>5428</v>
      </c>
      <c r="I143" s="124" t="str">
        <f>IF(CARTERA_2026[[#This Row],[RUT]]=774097899,"DIST",_xlfn.XLOOKUP(CARTERA_2026[[#This Row],[VENDEDOR]],dimensiones!$C$21:$C$28,dimensiones!$D$21:$D$28,""))</f>
        <v>ATEL</v>
      </c>
      <c r="J143" s="125" t="str">
        <f>_xlfn.XLOOKUP(CARTERA_2026[[#This Row],[REGION]],dimensiones!C:C,dimensiones!D:D,"")</f>
        <v>Región de Los Lagos</v>
      </c>
      <c r="L143" s="136"/>
    </row>
    <row r="144" spans="1:12" x14ac:dyDescent="0.25">
      <c r="A144" s="134">
        <v>764762304</v>
      </c>
      <c r="B144" s="121" t="s">
        <v>5375</v>
      </c>
      <c r="C144" t="s">
        <v>5428</v>
      </c>
      <c r="D144" s="125">
        <v>5</v>
      </c>
      <c r="E144" t="s">
        <v>4445</v>
      </c>
      <c r="F144" s="122" t="s">
        <v>5267</v>
      </c>
      <c r="G144" s="132"/>
      <c r="H144" t="s">
        <v>5428</v>
      </c>
      <c r="I144" s="124" t="str">
        <f>IF(CARTERA_2026[[#This Row],[RUT]]=774097899,"DIST",_xlfn.XLOOKUP(CARTERA_2026[[#This Row],[VENDEDOR]],dimensiones!$C$21:$C$28,dimensiones!$D$21:$D$28,""))</f>
        <v>ATEL</v>
      </c>
      <c r="J144" s="125" t="str">
        <f>_xlfn.XLOOKUP(CARTERA_2026[[#This Row],[REGION]],dimensiones!C:C,dimensiones!D:D,"")</f>
        <v>Región de Valparaíso</v>
      </c>
      <c r="L144" s="136"/>
    </row>
    <row r="145" spans="1:12" x14ac:dyDescent="0.25">
      <c r="A145" s="134">
        <v>765400708</v>
      </c>
      <c r="B145" s="121" t="s">
        <v>5075</v>
      </c>
      <c r="C145" t="s">
        <v>5428</v>
      </c>
      <c r="D145" s="125">
        <v>13</v>
      </c>
      <c r="E145" t="s">
        <v>4445</v>
      </c>
      <c r="F145" s="122" t="s">
        <v>5268</v>
      </c>
      <c r="G145" s="132"/>
      <c r="H145" t="s">
        <v>5428</v>
      </c>
      <c r="I145" s="124" t="str">
        <f>IF(CARTERA_2026[[#This Row],[RUT]]=774097899,"DIST",_xlfn.XLOOKUP(CARTERA_2026[[#This Row],[VENDEDOR]],dimensiones!$C$21:$C$28,dimensiones!$D$21:$D$28,""))</f>
        <v>ATEL</v>
      </c>
      <c r="J145" s="125" t="str">
        <f>_xlfn.XLOOKUP(CARTERA_2026[[#This Row],[REGION]],dimensiones!C:C,dimensiones!D:D,"")</f>
        <v>Región de Metropolitana de Santiago</v>
      </c>
      <c r="L145" s="136"/>
    </row>
    <row r="146" spans="1:12" x14ac:dyDescent="0.25">
      <c r="A146" s="134">
        <v>765447607</v>
      </c>
      <c r="B146" s="121" t="s">
        <v>5076</v>
      </c>
      <c r="C146" t="s">
        <v>5428</v>
      </c>
      <c r="D146" s="125">
        <v>13</v>
      </c>
      <c r="E146" t="s">
        <v>4445</v>
      </c>
      <c r="F146" s="122" t="s">
        <v>5269</v>
      </c>
      <c r="G146" s="132"/>
      <c r="H146" t="s">
        <v>5428</v>
      </c>
      <c r="I146" s="124" t="str">
        <f>IF(CARTERA_2026[[#This Row],[RUT]]=774097899,"DIST",_xlfn.XLOOKUP(CARTERA_2026[[#This Row],[VENDEDOR]],dimensiones!$C$21:$C$28,dimensiones!$D$21:$D$28,""))</f>
        <v>ATEL</v>
      </c>
      <c r="J146" s="125" t="str">
        <f>_xlfn.XLOOKUP(CARTERA_2026[[#This Row],[REGION]],dimensiones!C:C,dimensiones!D:D,"")</f>
        <v>Región de Metropolitana de Santiago</v>
      </c>
      <c r="L146" s="136"/>
    </row>
    <row r="147" spans="1:12" x14ac:dyDescent="0.25">
      <c r="A147" s="134">
        <v>765483379</v>
      </c>
      <c r="B147" s="121" t="s">
        <v>5426</v>
      </c>
      <c r="C147" t="s">
        <v>5428</v>
      </c>
      <c r="D147" s="125">
        <v>13</v>
      </c>
      <c r="E147" t="s">
        <v>4445</v>
      </c>
      <c r="F147" s="122" t="s">
        <v>5270</v>
      </c>
      <c r="G147" s="132"/>
      <c r="H147" t="s">
        <v>5428</v>
      </c>
      <c r="I147" s="124" t="str">
        <f>IF(CARTERA_2026[[#This Row],[RUT]]=774097899,"DIST",_xlfn.XLOOKUP(CARTERA_2026[[#This Row],[VENDEDOR]],dimensiones!$C$21:$C$28,dimensiones!$D$21:$D$28,""))</f>
        <v>ATEL</v>
      </c>
      <c r="J147" s="125" t="str">
        <f>_xlfn.XLOOKUP(CARTERA_2026[[#This Row],[REGION]],dimensiones!C:C,dimensiones!D:D,"")</f>
        <v>Región de Metropolitana de Santiago</v>
      </c>
      <c r="L147" s="136"/>
    </row>
    <row r="148" spans="1:12" x14ac:dyDescent="0.25">
      <c r="A148" s="134">
        <v>765599164</v>
      </c>
      <c r="B148" s="121" t="s">
        <v>1059</v>
      </c>
      <c r="C148" t="s">
        <v>4168</v>
      </c>
      <c r="D148" s="125">
        <v>13</v>
      </c>
      <c r="E148" t="s">
        <v>4445</v>
      </c>
      <c r="F148" s="122" t="s">
        <v>4891</v>
      </c>
      <c r="G148" s="132"/>
      <c r="H148" t="s">
        <v>4915</v>
      </c>
      <c r="I148" s="124" t="str">
        <f>IF(CARTERA_2026[[#This Row],[RUT]]=774097899,"DIST",_xlfn.XLOOKUP(CARTERA_2026[[#This Row],[VENDEDOR]],dimensiones!$C$21:$C$28,dimensiones!$D$21:$D$28,""))</f>
        <v>ATEL</v>
      </c>
      <c r="J148" s="125" t="str">
        <f>_xlfn.XLOOKUP(CARTERA_2026[[#This Row],[REGION]],dimensiones!C:C,dimensiones!D:D,"")</f>
        <v>Región de Metropolitana de Santiago</v>
      </c>
      <c r="L148" s="136"/>
    </row>
    <row r="149" spans="1:12" x14ac:dyDescent="0.25">
      <c r="A149" s="134">
        <v>765678382</v>
      </c>
      <c r="B149" s="121" t="s">
        <v>5077</v>
      </c>
      <c r="C149" t="s">
        <v>5428</v>
      </c>
      <c r="D149" s="125">
        <v>13</v>
      </c>
      <c r="E149" t="s">
        <v>4445</v>
      </c>
      <c r="F149" s="122" t="s">
        <v>5271</v>
      </c>
      <c r="G149" s="132"/>
      <c r="H149" t="s">
        <v>5428</v>
      </c>
      <c r="I149" s="124" t="str">
        <f>IF(CARTERA_2026[[#This Row],[RUT]]=774097899,"DIST",_xlfn.XLOOKUP(CARTERA_2026[[#This Row],[VENDEDOR]],dimensiones!$C$21:$C$28,dimensiones!$D$21:$D$28,""))</f>
        <v>ATEL</v>
      </c>
      <c r="J149" s="125" t="str">
        <f>_xlfn.XLOOKUP(CARTERA_2026[[#This Row],[REGION]],dimensiones!C:C,dimensiones!D:D,"")</f>
        <v>Región de Metropolitana de Santiago</v>
      </c>
      <c r="L149" s="136"/>
    </row>
    <row r="150" spans="1:12" x14ac:dyDescent="0.25">
      <c r="A150" s="134">
        <v>765763266</v>
      </c>
      <c r="B150" s="121" t="s">
        <v>5078</v>
      </c>
      <c r="C150" t="s">
        <v>5428</v>
      </c>
      <c r="D150" s="125">
        <v>5</v>
      </c>
      <c r="E150" t="s">
        <v>4445</v>
      </c>
      <c r="F150" s="122" t="s">
        <v>5272</v>
      </c>
      <c r="G150" s="132"/>
      <c r="H150" t="s">
        <v>5428</v>
      </c>
      <c r="I150" s="124" t="str">
        <f>IF(CARTERA_2026[[#This Row],[RUT]]=774097899,"DIST",_xlfn.XLOOKUP(CARTERA_2026[[#This Row],[VENDEDOR]],dimensiones!$C$21:$C$28,dimensiones!$D$21:$D$28,""))</f>
        <v>ATEL</v>
      </c>
      <c r="J150" s="125" t="str">
        <f>_xlfn.XLOOKUP(CARTERA_2026[[#This Row],[REGION]],dimensiones!C:C,dimensiones!D:D,"")</f>
        <v>Región de Valparaíso</v>
      </c>
      <c r="L150" s="136"/>
    </row>
    <row r="151" spans="1:12" x14ac:dyDescent="0.25">
      <c r="A151" s="134">
        <v>766064469</v>
      </c>
      <c r="B151" s="121" t="s">
        <v>5376</v>
      </c>
      <c r="C151" t="s">
        <v>5428</v>
      </c>
      <c r="D151" s="125">
        <v>13</v>
      </c>
      <c r="E151" t="s">
        <v>4445</v>
      </c>
      <c r="F151" s="122" t="s">
        <v>5273</v>
      </c>
      <c r="G151" s="132"/>
      <c r="H151" t="s">
        <v>5428</v>
      </c>
      <c r="I151" s="124" t="str">
        <f>IF(CARTERA_2026[[#This Row],[RUT]]=774097899,"DIST",_xlfn.XLOOKUP(CARTERA_2026[[#This Row],[VENDEDOR]],dimensiones!$C$21:$C$28,dimensiones!$D$21:$D$28,""))</f>
        <v>ATEL</v>
      </c>
      <c r="J151" s="125" t="str">
        <f>_xlfn.XLOOKUP(CARTERA_2026[[#This Row],[REGION]],dimensiones!C:C,dimensiones!D:D,"")</f>
        <v>Región de Metropolitana de Santiago</v>
      </c>
      <c r="L151" s="136"/>
    </row>
    <row r="152" spans="1:12" x14ac:dyDescent="0.25">
      <c r="A152" s="134">
        <v>766296009</v>
      </c>
      <c r="B152" s="121" t="s">
        <v>5079</v>
      </c>
      <c r="C152" t="s">
        <v>5428</v>
      </c>
      <c r="D152" s="125">
        <v>13</v>
      </c>
      <c r="E152" t="s">
        <v>4445</v>
      </c>
      <c r="F152" s="122" t="s">
        <v>5274</v>
      </c>
      <c r="G152" s="132"/>
      <c r="H152" t="s">
        <v>5428</v>
      </c>
      <c r="I152" s="124" t="str">
        <f>IF(CARTERA_2026[[#This Row],[RUT]]=774097899,"DIST",_xlfn.XLOOKUP(CARTERA_2026[[#This Row],[VENDEDOR]],dimensiones!$C$21:$C$28,dimensiones!$D$21:$D$28,""))</f>
        <v>ATEL</v>
      </c>
      <c r="J152" s="125" t="str">
        <f>_xlfn.XLOOKUP(CARTERA_2026[[#This Row],[REGION]],dimensiones!C:C,dimensiones!D:D,"")</f>
        <v>Región de Metropolitana de Santiago</v>
      </c>
      <c r="L152" s="136"/>
    </row>
    <row r="153" spans="1:12" x14ac:dyDescent="0.25">
      <c r="A153" s="134">
        <v>766658105</v>
      </c>
      <c r="B153" s="121" t="s">
        <v>5080</v>
      </c>
      <c r="C153" t="s">
        <v>5428</v>
      </c>
      <c r="D153" s="125">
        <v>13</v>
      </c>
      <c r="E153" t="s">
        <v>4445</v>
      </c>
      <c r="F153" s="122" t="s">
        <v>5275</v>
      </c>
      <c r="G153" s="132"/>
      <c r="H153" t="s">
        <v>5428</v>
      </c>
      <c r="I153" s="124" t="str">
        <f>IF(CARTERA_2026[[#This Row],[RUT]]=774097899,"DIST",_xlfn.XLOOKUP(CARTERA_2026[[#This Row],[VENDEDOR]],dimensiones!$C$21:$C$28,dimensiones!$D$21:$D$28,""))</f>
        <v>ATEL</v>
      </c>
      <c r="J153" s="125" t="str">
        <f>_xlfn.XLOOKUP(CARTERA_2026[[#This Row],[REGION]],dimensiones!C:C,dimensiones!D:D,"")</f>
        <v>Región de Metropolitana de Santiago</v>
      </c>
      <c r="L153" s="136"/>
    </row>
    <row r="154" spans="1:12" x14ac:dyDescent="0.25">
      <c r="A154" s="134">
        <v>767118570</v>
      </c>
      <c r="B154" s="121" t="s">
        <v>5081</v>
      </c>
      <c r="C154" t="s">
        <v>5428</v>
      </c>
      <c r="D154" s="125">
        <v>13</v>
      </c>
      <c r="E154" t="s">
        <v>4445</v>
      </c>
      <c r="F154" s="122" t="s">
        <v>5276</v>
      </c>
      <c r="G154" s="132"/>
      <c r="H154" t="s">
        <v>5428</v>
      </c>
      <c r="I154" s="124" t="str">
        <f>IF(CARTERA_2026[[#This Row],[RUT]]=774097899,"DIST",_xlfn.XLOOKUP(CARTERA_2026[[#This Row],[VENDEDOR]],dimensiones!$C$21:$C$28,dimensiones!$D$21:$D$28,""))</f>
        <v>ATEL</v>
      </c>
      <c r="J154" s="125" t="str">
        <f>_xlfn.XLOOKUP(CARTERA_2026[[#This Row],[REGION]],dimensiones!C:C,dimensiones!D:D,"")</f>
        <v>Región de Metropolitana de Santiago</v>
      </c>
      <c r="L154" s="136"/>
    </row>
    <row r="155" spans="1:12" x14ac:dyDescent="0.25">
      <c r="A155" s="134">
        <v>767198884</v>
      </c>
      <c r="B155" s="121" t="s">
        <v>5082</v>
      </c>
      <c r="C155" t="s">
        <v>5428</v>
      </c>
      <c r="D155" s="125">
        <v>13</v>
      </c>
      <c r="E155" t="s">
        <v>4445</v>
      </c>
      <c r="F155" s="122" t="s">
        <v>5277</v>
      </c>
      <c r="G155" s="132"/>
      <c r="H155" t="s">
        <v>5428</v>
      </c>
      <c r="I155" s="124" t="str">
        <f>IF(CARTERA_2026[[#This Row],[RUT]]=774097899,"DIST",_xlfn.XLOOKUP(CARTERA_2026[[#This Row],[VENDEDOR]],dimensiones!$C$21:$C$28,dimensiones!$D$21:$D$28,""))</f>
        <v>ATEL</v>
      </c>
      <c r="J155" s="125" t="str">
        <f>_xlfn.XLOOKUP(CARTERA_2026[[#This Row],[REGION]],dimensiones!C:C,dimensiones!D:D,"")</f>
        <v>Región de Metropolitana de Santiago</v>
      </c>
      <c r="L155" s="136"/>
    </row>
    <row r="156" spans="1:12" x14ac:dyDescent="0.25">
      <c r="A156" s="134">
        <v>767316712</v>
      </c>
      <c r="B156" s="121" t="s">
        <v>5377</v>
      </c>
      <c r="C156" t="s">
        <v>5428</v>
      </c>
      <c r="D156" s="125">
        <v>9</v>
      </c>
      <c r="E156" t="s">
        <v>4445</v>
      </c>
      <c r="F156" s="122" t="s">
        <v>5278</v>
      </c>
      <c r="G156" s="132"/>
      <c r="H156" t="s">
        <v>5428</v>
      </c>
      <c r="I156" s="124" t="str">
        <f>IF(CARTERA_2026[[#This Row],[RUT]]=774097899,"DIST",_xlfn.XLOOKUP(CARTERA_2026[[#This Row],[VENDEDOR]],dimensiones!$C$21:$C$28,dimensiones!$D$21:$D$28,""))</f>
        <v>ATEL</v>
      </c>
      <c r="J156" s="125" t="str">
        <f>_xlfn.XLOOKUP(CARTERA_2026[[#This Row],[REGION]],dimensiones!C:C,dimensiones!D:D,"")</f>
        <v>Región de La Araucanía</v>
      </c>
      <c r="L156" s="136"/>
    </row>
    <row r="157" spans="1:12" x14ac:dyDescent="0.25">
      <c r="A157" s="134">
        <v>767476132</v>
      </c>
      <c r="B157" s="121" t="s">
        <v>5083</v>
      </c>
      <c r="C157" t="s">
        <v>5428</v>
      </c>
      <c r="D157" s="125">
        <v>13</v>
      </c>
      <c r="E157" t="s">
        <v>4445</v>
      </c>
      <c r="F157" s="122" t="s">
        <v>5279</v>
      </c>
      <c r="G157" s="132"/>
      <c r="H157" t="s">
        <v>5428</v>
      </c>
      <c r="I157" s="124" t="str">
        <f>IF(CARTERA_2026[[#This Row],[RUT]]=774097899,"DIST",_xlfn.XLOOKUP(CARTERA_2026[[#This Row],[VENDEDOR]],dimensiones!$C$21:$C$28,dimensiones!$D$21:$D$28,""))</f>
        <v>ATEL</v>
      </c>
      <c r="J157" s="125" t="str">
        <f>_xlfn.XLOOKUP(CARTERA_2026[[#This Row],[REGION]],dimensiones!C:C,dimensiones!D:D,"")</f>
        <v>Región de Metropolitana de Santiago</v>
      </c>
      <c r="L157" s="136"/>
    </row>
    <row r="158" spans="1:12" x14ac:dyDescent="0.25">
      <c r="A158" s="134">
        <v>767632304</v>
      </c>
      <c r="B158" s="121" t="s">
        <v>5378</v>
      </c>
      <c r="C158" t="s">
        <v>5428</v>
      </c>
      <c r="D158" s="125">
        <v>13</v>
      </c>
      <c r="E158" t="s">
        <v>4445</v>
      </c>
      <c r="F158" s="122" t="s">
        <v>5280</v>
      </c>
      <c r="G158" s="132"/>
      <c r="H158" t="s">
        <v>5428</v>
      </c>
      <c r="I158" s="124" t="str">
        <f>IF(CARTERA_2026[[#This Row],[RUT]]=774097899,"DIST",_xlfn.XLOOKUP(CARTERA_2026[[#This Row],[VENDEDOR]],dimensiones!$C$21:$C$28,dimensiones!$D$21:$D$28,""))</f>
        <v>ATEL</v>
      </c>
      <c r="J158" s="125" t="str">
        <f>_xlfn.XLOOKUP(CARTERA_2026[[#This Row],[REGION]],dimensiones!C:C,dimensiones!D:D,"")</f>
        <v>Región de Metropolitana de Santiago</v>
      </c>
      <c r="L158" s="136"/>
    </row>
    <row r="159" spans="1:12" x14ac:dyDescent="0.25">
      <c r="A159" s="134">
        <v>767974698</v>
      </c>
      <c r="B159" s="121" t="s">
        <v>1052</v>
      </c>
      <c r="C159" t="s">
        <v>4168</v>
      </c>
      <c r="D159" s="125">
        <v>13</v>
      </c>
      <c r="E159" t="s">
        <v>4445</v>
      </c>
      <c r="F159" s="122" t="s">
        <v>4885</v>
      </c>
      <c r="G159" s="132"/>
      <c r="H159" t="s">
        <v>4915</v>
      </c>
      <c r="I159" s="124" t="str">
        <f>IF(CARTERA_2026[[#This Row],[RUT]]=774097899,"DIST",_xlfn.XLOOKUP(CARTERA_2026[[#This Row],[VENDEDOR]],dimensiones!$C$21:$C$28,dimensiones!$D$21:$D$28,""))</f>
        <v>ATEL</v>
      </c>
      <c r="J159" s="125" t="str">
        <f>_xlfn.XLOOKUP(CARTERA_2026[[#This Row],[REGION]],dimensiones!C:C,dimensiones!D:D,"")</f>
        <v>Región de Metropolitana de Santiago</v>
      </c>
      <c r="L159" s="136"/>
    </row>
    <row r="160" spans="1:12" x14ac:dyDescent="0.25">
      <c r="A160" s="134">
        <v>768109060</v>
      </c>
      <c r="B160" s="121" t="s">
        <v>5084</v>
      </c>
      <c r="C160" t="s">
        <v>5428</v>
      </c>
      <c r="D160" s="125">
        <v>13</v>
      </c>
      <c r="E160" t="s">
        <v>4445</v>
      </c>
      <c r="F160" s="122" t="s">
        <v>5281</v>
      </c>
      <c r="G160" s="132"/>
      <c r="H160" t="s">
        <v>5428</v>
      </c>
      <c r="I160" s="124" t="str">
        <f>IF(CARTERA_2026[[#This Row],[RUT]]=774097899,"DIST",_xlfn.XLOOKUP(CARTERA_2026[[#This Row],[VENDEDOR]],dimensiones!$C$21:$C$28,dimensiones!$D$21:$D$28,""))</f>
        <v>ATEL</v>
      </c>
      <c r="J160" s="125" t="str">
        <f>_xlfn.XLOOKUP(CARTERA_2026[[#This Row],[REGION]],dimensiones!C:C,dimensiones!D:D,"")</f>
        <v>Región de Metropolitana de Santiago</v>
      </c>
      <c r="L160" s="136"/>
    </row>
    <row r="161" spans="1:12" x14ac:dyDescent="0.25">
      <c r="A161" s="134">
        <v>768300909</v>
      </c>
      <c r="B161" s="121" t="s">
        <v>5085</v>
      </c>
      <c r="C161" t="s">
        <v>5428</v>
      </c>
      <c r="D161" s="125">
        <v>13</v>
      </c>
      <c r="E161" t="s">
        <v>4445</v>
      </c>
      <c r="F161" s="122" t="s">
        <v>5282</v>
      </c>
      <c r="G161" s="132"/>
      <c r="H161" t="s">
        <v>5428</v>
      </c>
      <c r="I161" s="124" t="str">
        <f>IF(CARTERA_2026[[#This Row],[RUT]]=774097899,"DIST",_xlfn.XLOOKUP(CARTERA_2026[[#This Row],[VENDEDOR]],dimensiones!$C$21:$C$28,dimensiones!$D$21:$D$28,""))</f>
        <v>ATEL</v>
      </c>
      <c r="J161" s="125" t="str">
        <f>_xlfn.XLOOKUP(CARTERA_2026[[#This Row],[REGION]],dimensiones!C:C,dimensiones!D:D,"")</f>
        <v>Región de Metropolitana de Santiago</v>
      </c>
      <c r="L161" s="136"/>
    </row>
    <row r="162" spans="1:12" x14ac:dyDescent="0.25">
      <c r="A162" s="134">
        <v>768516073</v>
      </c>
      <c r="B162" s="121" t="s">
        <v>5086</v>
      </c>
      <c r="C162" t="s">
        <v>5428</v>
      </c>
      <c r="D162" s="125">
        <v>13</v>
      </c>
      <c r="E162" t="s">
        <v>4445</v>
      </c>
      <c r="F162" s="122" t="s">
        <v>5283</v>
      </c>
      <c r="G162" s="132"/>
      <c r="H162" t="s">
        <v>5428</v>
      </c>
      <c r="I162" s="124" t="str">
        <f>IF(CARTERA_2026[[#This Row],[RUT]]=774097899,"DIST",_xlfn.XLOOKUP(CARTERA_2026[[#This Row],[VENDEDOR]],dimensiones!$C$21:$C$28,dimensiones!$D$21:$D$28,""))</f>
        <v>ATEL</v>
      </c>
      <c r="J162" s="125" t="str">
        <f>_xlfn.XLOOKUP(CARTERA_2026[[#This Row],[REGION]],dimensiones!C:C,dimensiones!D:D,"")</f>
        <v>Región de Metropolitana de Santiago</v>
      </c>
      <c r="L162" s="136"/>
    </row>
    <row r="163" spans="1:12" x14ac:dyDescent="0.25">
      <c r="A163" s="134">
        <v>768577706</v>
      </c>
      <c r="B163" s="121" t="s">
        <v>5396</v>
      </c>
      <c r="C163" t="s">
        <v>5428</v>
      </c>
      <c r="D163" s="125">
        <v>4</v>
      </c>
      <c r="E163" t="s">
        <v>4445</v>
      </c>
      <c r="F163" s="122" t="s">
        <v>5284</v>
      </c>
      <c r="G163" s="132"/>
      <c r="H163" t="s">
        <v>5428</v>
      </c>
      <c r="I163" s="124" t="str">
        <f>IF(CARTERA_2026[[#This Row],[RUT]]=774097899,"DIST",_xlfn.XLOOKUP(CARTERA_2026[[#This Row],[VENDEDOR]],dimensiones!$C$21:$C$28,dimensiones!$D$21:$D$28,""))</f>
        <v>ATEL</v>
      </c>
      <c r="J163" s="125" t="str">
        <f>_xlfn.XLOOKUP(CARTERA_2026[[#This Row],[REGION]],dimensiones!C:C,dimensiones!D:D,"")</f>
        <v>Región de Coquimbo</v>
      </c>
      <c r="L163" s="136"/>
    </row>
    <row r="164" spans="1:12" x14ac:dyDescent="0.25">
      <c r="A164" s="134">
        <v>768679355</v>
      </c>
      <c r="B164" s="121" t="s">
        <v>5087</v>
      </c>
      <c r="C164" t="s">
        <v>5428</v>
      </c>
      <c r="D164" s="125">
        <v>9</v>
      </c>
      <c r="E164" t="s">
        <v>4445</v>
      </c>
      <c r="F164" s="122" t="s">
        <v>5285</v>
      </c>
      <c r="G164" s="132"/>
      <c r="H164" t="s">
        <v>5428</v>
      </c>
      <c r="I164" s="124" t="str">
        <f>IF(CARTERA_2026[[#This Row],[RUT]]=774097899,"DIST",_xlfn.XLOOKUP(CARTERA_2026[[#This Row],[VENDEDOR]],dimensiones!$C$21:$C$28,dimensiones!$D$21:$D$28,""))</f>
        <v>ATEL</v>
      </c>
      <c r="J164" s="125" t="str">
        <f>_xlfn.XLOOKUP(CARTERA_2026[[#This Row],[REGION]],dimensiones!C:C,dimensiones!D:D,"")</f>
        <v>Región de La Araucanía</v>
      </c>
      <c r="L164" s="136"/>
    </row>
    <row r="165" spans="1:12" x14ac:dyDescent="0.25">
      <c r="A165" s="134">
        <v>768687951</v>
      </c>
      <c r="B165" s="121" t="s">
        <v>5088</v>
      </c>
      <c r="C165" t="s">
        <v>5428</v>
      </c>
      <c r="D165" s="125">
        <v>13</v>
      </c>
      <c r="E165" t="s">
        <v>4445</v>
      </c>
      <c r="F165" s="122" t="s">
        <v>5286</v>
      </c>
      <c r="G165" s="132"/>
      <c r="H165" t="s">
        <v>5428</v>
      </c>
      <c r="I165" s="124" t="str">
        <f>IF(CARTERA_2026[[#This Row],[RUT]]=774097899,"DIST",_xlfn.XLOOKUP(CARTERA_2026[[#This Row],[VENDEDOR]],dimensiones!$C$21:$C$28,dimensiones!$D$21:$D$28,""))</f>
        <v>ATEL</v>
      </c>
      <c r="J165" s="125" t="str">
        <f>_xlfn.XLOOKUP(CARTERA_2026[[#This Row],[REGION]],dimensiones!C:C,dimensiones!D:D,"")</f>
        <v>Región de Metropolitana de Santiago</v>
      </c>
      <c r="L165" s="136"/>
    </row>
    <row r="166" spans="1:12" x14ac:dyDescent="0.25">
      <c r="A166" s="134">
        <v>768711755</v>
      </c>
      <c r="B166" s="121" t="s">
        <v>5379</v>
      </c>
      <c r="C166" t="s">
        <v>5428</v>
      </c>
      <c r="D166" s="125">
        <v>13</v>
      </c>
      <c r="E166" t="s">
        <v>4445</v>
      </c>
      <c r="F166" s="122" t="s">
        <v>5287</v>
      </c>
      <c r="G166" s="132"/>
      <c r="H166" t="s">
        <v>5428</v>
      </c>
      <c r="I166" s="124" t="str">
        <f>IF(CARTERA_2026[[#This Row],[RUT]]=774097899,"DIST",_xlfn.XLOOKUP(CARTERA_2026[[#This Row],[VENDEDOR]],dimensiones!$C$21:$C$28,dimensiones!$D$21:$D$28,""))</f>
        <v>ATEL</v>
      </c>
      <c r="J166" s="125" t="str">
        <f>_xlfn.XLOOKUP(CARTERA_2026[[#This Row],[REGION]],dimensiones!C:C,dimensiones!D:D,"")</f>
        <v>Región de Metropolitana de Santiago</v>
      </c>
      <c r="L166" s="136"/>
    </row>
    <row r="167" spans="1:12" x14ac:dyDescent="0.25">
      <c r="A167" s="134">
        <v>768975094</v>
      </c>
      <c r="B167" s="121" t="s">
        <v>5397</v>
      </c>
      <c r="C167" t="s">
        <v>5428</v>
      </c>
      <c r="D167" s="125">
        <v>13</v>
      </c>
      <c r="E167" t="s">
        <v>4445</v>
      </c>
      <c r="F167" s="122" t="s">
        <v>5288</v>
      </c>
      <c r="G167" s="132"/>
      <c r="H167" t="s">
        <v>5428</v>
      </c>
      <c r="I167" s="124" t="str">
        <f>IF(CARTERA_2026[[#This Row],[RUT]]=774097899,"DIST",_xlfn.XLOOKUP(CARTERA_2026[[#This Row],[VENDEDOR]],dimensiones!$C$21:$C$28,dimensiones!$D$21:$D$28,""))</f>
        <v>ATEL</v>
      </c>
      <c r="J167" s="125" t="str">
        <f>_xlfn.XLOOKUP(CARTERA_2026[[#This Row],[REGION]],dimensiones!C:C,dimensiones!D:D,"")</f>
        <v>Región de Metropolitana de Santiago</v>
      </c>
      <c r="L167" s="136"/>
    </row>
    <row r="168" spans="1:12" x14ac:dyDescent="0.25">
      <c r="A168" s="134">
        <v>769476288</v>
      </c>
      <c r="B168" s="121" t="s">
        <v>5380</v>
      </c>
      <c r="C168" t="s">
        <v>5428</v>
      </c>
      <c r="D168" s="125">
        <v>4</v>
      </c>
      <c r="E168" t="s">
        <v>4445</v>
      </c>
      <c r="F168" s="122" t="s">
        <v>5289</v>
      </c>
      <c r="G168" s="132"/>
      <c r="H168" t="s">
        <v>5428</v>
      </c>
      <c r="I168" s="124" t="str">
        <f>IF(CARTERA_2026[[#This Row],[RUT]]=774097899,"DIST",_xlfn.XLOOKUP(CARTERA_2026[[#This Row],[VENDEDOR]],dimensiones!$C$21:$C$28,dimensiones!$D$21:$D$28,""))</f>
        <v>ATEL</v>
      </c>
      <c r="J168" s="125" t="str">
        <f>_xlfn.XLOOKUP(CARTERA_2026[[#This Row],[REGION]],dimensiones!C:C,dimensiones!D:D,"")</f>
        <v>Región de Coquimbo</v>
      </c>
      <c r="L168" s="136"/>
    </row>
    <row r="169" spans="1:12" x14ac:dyDescent="0.25">
      <c r="A169" s="134">
        <v>769744002</v>
      </c>
      <c r="B169" s="121" t="s">
        <v>1066</v>
      </c>
      <c r="C169" t="s">
        <v>4168</v>
      </c>
      <c r="D169" s="125">
        <v>13</v>
      </c>
      <c r="E169" t="s">
        <v>4445</v>
      </c>
      <c r="F169" s="122" t="s">
        <v>4896</v>
      </c>
      <c r="G169" s="132"/>
      <c r="H169" t="s">
        <v>4915</v>
      </c>
      <c r="I169" s="124" t="str">
        <f>IF(CARTERA_2026[[#This Row],[RUT]]=774097899,"DIST",_xlfn.XLOOKUP(CARTERA_2026[[#This Row],[VENDEDOR]],dimensiones!$C$21:$C$28,dimensiones!$D$21:$D$28,""))</f>
        <v>ATEL</v>
      </c>
      <c r="J169" s="125" t="str">
        <f>_xlfn.XLOOKUP(CARTERA_2026[[#This Row],[REGION]],dimensiones!C:C,dimensiones!D:D,"")</f>
        <v>Región de Metropolitana de Santiago</v>
      </c>
      <c r="L169" s="136"/>
    </row>
    <row r="170" spans="1:12" x14ac:dyDescent="0.25">
      <c r="A170" s="134">
        <v>769754547</v>
      </c>
      <c r="B170" s="121" t="s">
        <v>5089</v>
      </c>
      <c r="C170" t="s">
        <v>5428</v>
      </c>
      <c r="D170" s="125">
        <v>13</v>
      </c>
      <c r="E170" t="s">
        <v>4445</v>
      </c>
      <c r="F170" s="122" t="s">
        <v>5290</v>
      </c>
      <c r="G170" s="132"/>
      <c r="H170" t="s">
        <v>5428</v>
      </c>
      <c r="I170" s="124" t="str">
        <f>IF(CARTERA_2026[[#This Row],[RUT]]=774097899,"DIST",_xlfn.XLOOKUP(CARTERA_2026[[#This Row],[VENDEDOR]],dimensiones!$C$21:$C$28,dimensiones!$D$21:$D$28,""))</f>
        <v>ATEL</v>
      </c>
      <c r="J170" s="125" t="str">
        <f>_xlfn.XLOOKUP(CARTERA_2026[[#This Row],[REGION]],dimensiones!C:C,dimensiones!D:D,"")</f>
        <v>Región de Metropolitana de Santiago</v>
      </c>
      <c r="L170" s="136"/>
    </row>
    <row r="171" spans="1:12" x14ac:dyDescent="0.25">
      <c r="A171" s="134">
        <v>769845755</v>
      </c>
      <c r="B171" s="121" t="s">
        <v>5090</v>
      </c>
      <c r="C171" t="s">
        <v>5428</v>
      </c>
      <c r="D171" s="125">
        <v>13</v>
      </c>
      <c r="E171" t="s">
        <v>4445</v>
      </c>
      <c r="F171" s="122" t="s">
        <v>5291</v>
      </c>
      <c r="G171" s="132"/>
      <c r="H171" t="s">
        <v>5428</v>
      </c>
      <c r="I171" s="124" t="str">
        <f>IF(CARTERA_2026[[#This Row],[RUT]]=774097899,"DIST",_xlfn.XLOOKUP(CARTERA_2026[[#This Row],[VENDEDOR]],dimensiones!$C$21:$C$28,dimensiones!$D$21:$D$28,""))</f>
        <v>ATEL</v>
      </c>
      <c r="J171" s="125" t="str">
        <f>_xlfn.XLOOKUP(CARTERA_2026[[#This Row],[REGION]],dimensiones!C:C,dimensiones!D:D,"")</f>
        <v>Región de Metropolitana de Santiago</v>
      </c>
      <c r="L171" s="136"/>
    </row>
    <row r="172" spans="1:12" x14ac:dyDescent="0.25">
      <c r="A172" s="134">
        <v>769987819</v>
      </c>
      <c r="B172" s="121" t="s">
        <v>5381</v>
      </c>
      <c r="C172" t="s">
        <v>5428</v>
      </c>
      <c r="D172" s="125">
        <v>5</v>
      </c>
      <c r="E172" t="s">
        <v>4445</v>
      </c>
      <c r="F172" s="122" t="s">
        <v>5292</v>
      </c>
      <c r="G172" s="132"/>
      <c r="H172" t="s">
        <v>5428</v>
      </c>
      <c r="I172" s="124" t="str">
        <f>IF(CARTERA_2026[[#This Row],[RUT]]=774097899,"DIST",_xlfn.XLOOKUP(CARTERA_2026[[#This Row],[VENDEDOR]],dimensiones!$C$21:$C$28,dimensiones!$D$21:$D$28,""))</f>
        <v>ATEL</v>
      </c>
      <c r="J172" s="125" t="str">
        <f>_xlfn.XLOOKUP(CARTERA_2026[[#This Row],[REGION]],dimensiones!C:C,dimensiones!D:D,"")</f>
        <v>Región de Valparaíso</v>
      </c>
      <c r="L172" s="136"/>
    </row>
    <row r="173" spans="1:12" x14ac:dyDescent="0.25">
      <c r="A173" s="134">
        <v>770205891</v>
      </c>
      <c r="B173" s="121" t="s">
        <v>5091</v>
      </c>
      <c r="C173" t="s">
        <v>5428</v>
      </c>
      <c r="D173" s="125">
        <v>13</v>
      </c>
      <c r="E173" t="s">
        <v>4445</v>
      </c>
      <c r="F173" s="122" t="s">
        <v>5293</v>
      </c>
      <c r="G173" s="132"/>
      <c r="H173" t="s">
        <v>5428</v>
      </c>
      <c r="I173" s="124" t="str">
        <f>IF(CARTERA_2026[[#This Row],[RUT]]=774097899,"DIST",_xlfn.XLOOKUP(CARTERA_2026[[#This Row],[VENDEDOR]],dimensiones!$C$21:$C$28,dimensiones!$D$21:$D$28,""))</f>
        <v>ATEL</v>
      </c>
      <c r="J173" s="125" t="str">
        <f>_xlfn.XLOOKUP(CARTERA_2026[[#This Row],[REGION]],dimensiones!C:C,dimensiones!D:D,"")</f>
        <v>Región de Metropolitana de Santiago</v>
      </c>
      <c r="L173" s="136"/>
    </row>
    <row r="174" spans="1:12" x14ac:dyDescent="0.25">
      <c r="A174" s="134">
        <v>770376599</v>
      </c>
      <c r="B174" s="121" t="s">
        <v>5398</v>
      </c>
      <c r="C174" t="s">
        <v>5428</v>
      </c>
      <c r="D174" s="125">
        <v>6</v>
      </c>
      <c r="E174" t="s">
        <v>4445</v>
      </c>
      <c r="F174" s="122" t="s">
        <v>5294</v>
      </c>
      <c r="G174" s="132"/>
      <c r="H174" t="s">
        <v>5428</v>
      </c>
      <c r="I174" s="124" t="str">
        <f>IF(CARTERA_2026[[#This Row],[RUT]]=774097899,"DIST",_xlfn.XLOOKUP(CARTERA_2026[[#This Row],[VENDEDOR]],dimensiones!$C$21:$C$28,dimensiones!$D$21:$D$28,""))</f>
        <v>ATEL</v>
      </c>
      <c r="J174" s="125" t="str">
        <f>_xlfn.XLOOKUP(CARTERA_2026[[#This Row],[REGION]],dimensiones!C:C,dimensiones!D:D,"")</f>
        <v>Región de Libertador General Bernardo O'Higgins</v>
      </c>
      <c r="L174" s="136"/>
    </row>
    <row r="175" spans="1:12" x14ac:dyDescent="0.25">
      <c r="A175" s="134">
        <v>770754194</v>
      </c>
      <c r="B175" s="121" t="s">
        <v>5399</v>
      </c>
      <c r="C175" t="s">
        <v>5428</v>
      </c>
      <c r="D175" s="125">
        <v>13</v>
      </c>
      <c r="E175" t="s">
        <v>4445</v>
      </c>
      <c r="F175" s="122" t="s">
        <v>5295</v>
      </c>
      <c r="G175" s="132"/>
      <c r="H175" t="s">
        <v>5428</v>
      </c>
      <c r="I175" s="124" t="str">
        <f>IF(CARTERA_2026[[#This Row],[RUT]]=774097899,"DIST",_xlfn.XLOOKUP(CARTERA_2026[[#This Row],[VENDEDOR]],dimensiones!$C$21:$C$28,dimensiones!$D$21:$D$28,""))</f>
        <v>ATEL</v>
      </c>
      <c r="J175" s="125" t="str">
        <f>_xlfn.XLOOKUP(CARTERA_2026[[#This Row],[REGION]],dimensiones!C:C,dimensiones!D:D,"")</f>
        <v>Región de Metropolitana de Santiago</v>
      </c>
      <c r="L175" s="136"/>
    </row>
    <row r="176" spans="1:12" x14ac:dyDescent="0.25">
      <c r="A176" s="134">
        <v>770887895</v>
      </c>
      <c r="B176" s="121" t="s">
        <v>5092</v>
      </c>
      <c r="C176" t="s">
        <v>5428</v>
      </c>
      <c r="D176" s="125">
        <v>13</v>
      </c>
      <c r="E176" t="s">
        <v>4445</v>
      </c>
      <c r="F176" s="122" t="s">
        <v>5296</v>
      </c>
      <c r="G176" s="132"/>
      <c r="H176" t="s">
        <v>5428</v>
      </c>
      <c r="I176" s="124" t="str">
        <f>IF(CARTERA_2026[[#This Row],[RUT]]=774097899,"DIST",_xlfn.XLOOKUP(CARTERA_2026[[#This Row],[VENDEDOR]],dimensiones!$C$21:$C$28,dimensiones!$D$21:$D$28,""))</f>
        <v>ATEL</v>
      </c>
      <c r="J176" s="125" t="str">
        <f>_xlfn.XLOOKUP(CARTERA_2026[[#This Row],[REGION]],dimensiones!C:C,dimensiones!D:D,"")</f>
        <v>Región de Metropolitana de Santiago</v>
      </c>
      <c r="L176" s="136"/>
    </row>
    <row r="177" spans="1:12" x14ac:dyDescent="0.25">
      <c r="A177" s="134">
        <v>770982111</v>
      </c>
      <c r="B177" s="121" t="s">
        <v>5297</v>
      </c>
      <c r="C177" t="s">
        <v>5428</v>
      </c>
      <c r="D177" s="125">
        <v>5</v>
      </c>
      <c r="E177" t="s">
        <v>4445</v>
      </c>
      <c r="F177" s="122" t="s">
        <v>5298</v>
      </c>
      <c r="G177" s="132"/>
      <c r="H177" t="s">
        <v>5428</v>
      </c>
      <c r="I177" s="124" t="str">
        <f>IF(CARTERA_2026[[#This Row],[RUT]]=774097899,"DIST",_xlfn.XLOOKUP(CARTERA_2026[[#This Row],[VENDEDOR]],dimensiones!$C$21:$C$28,dimensiones!$D$21:$D$28,""))</f>
        <v>ATEL</v>
      </c>
      <c r="J177" s="125" t="str">
        <f>_xlfn.XLOOKUP(CARTERA_2026[[#This Row],[REGION]],dimensiones!C:C,dimensiones!D:D,"")</f>
        <v>Región de Valparaíso</v>
      </c>
      <c r="L177" s="136"/>
    </row>
    <row r="178" spans="1:12" x14ac:dyDescent="0.25">
      <c r="A178" s="134">
        <v>771112684</v>
      </c>
      <c r="B178" s="121" t="s">
        <v>5093</v>
      </c>
      <c r="C178" t="s">
        <v>5428</v>
      </c>
      <c r="D178" s="125">
        <v>13</v>
      </c>
      <c r="E178" t="s">
        <v>4445</v>
      </c>
      <c r="F178" s="122" t="s">
        <v>5299</v>
      </c>
      <c r="G178" s="132"/>
      <c r="H178" t="s">
        <v>5428</v>
      </c>
      <c r="I178" s="124" t="str">
        <f>IF(CARTERA_2026[[#This Row],[RUT]]=774097899,"DIST",_xlfn.XLOOKUP(CARTERA_2026[[#This Row],[VENDEDOR]],dimensiones!$C$21:$C$28,dimensiones!$D$21:$D$28,""))</f>
        <v>ATEL</v>
      </c>
      <c r="J178" s="125" t="str">
        <f>_xlfn.XLOOKUP(CARTERA_2026[[#This Row],[REGION]],dimensiones!C:C,dimensiones!D:D,"")</f>
        <v>Región de Metropolitana de Santiago</v>
      </c>
      <c r="L178" s="136"/>
    </row>
    <row r="179" spans="1:12" x14ac:dyDescent="0.25">
      <c r="A179" s="134">
        <v>771138918</v>
      </c>
      <c r="B179" s="121" t="s">
        <v>5094</v>
      </c>
      <c r="C179" t="s">
        <v>5428</v>
      </c>
      <c r="D179" s="125">
        <v>8</v>
      </c>
      <c r="E179" t="s">
        <v>4445</v>
      </c>
      <c r="F179" s="122" t="s">
        <v>5300</v>
      </c>
      <c r="G179" s="132"/>
      <c r="H179" t="s">
        <v>5428</v>
      </c>
      <c r="I179" s="124" t="str">
        <f>IF(CARTERA_2026[[#This Row],[RUT]]=774097899,"DIST",_xlfn.XLOOKUP(CARTERA_2026[[#This Row],[VENDEDOR]],dimensiones!$C$21:$C$28,dimensiones!$D$21:$D$28,""))</f>
        <v>ATEL</v>
      </c>
      <c r="J179" s="125" t="str">
        <f>_xlfn.XLOOKUP(CARTERA_2026[[#This Row],[REGION]],dimensiones!C:C,dimensiones!D:D,"")</f>
        <v>Región de Biobío</v>
      </c>
      <c r="L179" s="136"/>
    </row>
    <row r="180" spans="1:12" x14ac:dyDescent="0.25">
      <c r="A180" s="134">
        <v>771165818</v>
      </c>
      <c r="B180" s="121" t="s">
        <v>5095</v>
      </c>
      <c r="C180" t="s">
        <v>5428</v>
      </c>
      <c r="D180" s="125">
        <v>13</v>
      </c>
      <c r="E180" t="s">
        <v>4445</v>
      </c>
      <c r="F180" s="122" t="s">
        <v>5301</v>
      </c>
      <c r="G180" s="132"/>
      <c r="H180" t="s">
        <v>5428</v>
      </c>
      <c r="I180" s="124" t="str">
        <f>IF(CARTERA_2026[[#This Row],[RUT]]=774097899,"DIST",_xlfn.XLOOKUP(CARTERA_2026[[#This Row],[VENDEDOR]],dimensiones!$C$21:$C$28,dimensiones!$D$21:$D$28,""))</f>
        <v>ATEL</v>
      </c>
      <c r="J180" s="125" t="str">
        <f>_xlfn.XLOOKUP(CARTERA_2026[[#This Row],[REGION]],dimensiones!C:C,dimensiones!D:D,"")</f>
        <v>Región de Metropolitana de Santiago</v>
      </c>
      <c r="L180" s="136"/>
    </row>
    <row r="181" spans="1:12" x14ac:dyDescent="0.25">
      <c r="A181" s="134">
        <v>771374085</v>
      </c>
      <c r="B181" s="121" t="s">
        <v>5382</v>
      </c>
      <c r="C181" t="s">
        <v>5428</v>
      </c>
      <c r="D181" s="125">
        <v>13</v>
      </c>
      <c r="E181" t="s">
        <v>4445</v>
      </c>
      <c r="F181" s="122" t="s">
        <v>5302</v>
      </c>
      <c r="G181" s="132"/>
      <c r="H181" t="s">
        <v>5428</v>
      </c>
      <c r="I181" s="124" t="str">
        <f>IF(CARTERA_2026[[#This Row],[RUT]]=774097899,"DIST",_xlfn.XLOOKUP(CARTERA_2026[[#This Row],[VENDEDOR]],dimensiones!$C$21:$C$28,dimensiones!$D$21:$D$28,""))</f>
        <v>ATEL</v>
      </c>
      <c r="J181" s="125" t="str">
        <f>_xlfn.XLOOKUP(CARTERA_2026[[#This Row],[REGION]],dimensiones!C:C,dimensiones!D:D,"")</f>
        <v>Región de Metropolitana de Santiago</v>
      </c>
      <c r="L181" s="136"/>
    </row>
    <row r="182" spans="1:12" x14ac:dyDescent="0.25">
      <c r="A182" s="134">
        <v>771651240</v>
      </c>
      <c r="B182" s="121" t="s">
        <v>1068</v>
      </c>
      <c r="C182" t="s">
        <v>4168</v>
      </c>
      <c r="D182" s="125">
        <v>13</v>
      </c>
      <c r="E182" t="s">
        <v>4445</v>
      </c>
      <c r="F182" s="122" t="s">
        <v>4898</v>
      </c>
      <c r="G182" s="132"/>
      <c r="H182" t="s">
        <v>4915</v>
      </c>
      <c r="I182" s="124" t="str">
        <f>IF(CARTERA_2026[[#This Row],[RUT]]=774097899,"DIST",_xlfn.XLOOKUP(CARTERA_2026[[#This Row],[VENDEDOR]],dimensiones!$C$21:$C$28,dimensiones!$D$21:$D$28,""))</f>
        <v>ATEL</v>
      </c>
      <c r="J182" s="125" t="str">
        <f>_xlfn.XLOOKUP(CARTERA_2026[[#This Row],[REGION]],dimensiones!C:C,dimensiones!D:D,"")</f>
        <v>Región de Metropolitana de Santiago</v>
      </c>
      <c r="L182" s="136"/>
    </row>
    <row r="183" spans="1:12" x14ac:dyDescent="0.25">
      <c r="A183" s="134">
        <v>771831087</v>
      </c>
      <c r="B183" s="121" t="s">
        <v>5096</v>
      </c>
      <c r="C183" t="s">
        <v>5428</v>
      </c>
      <c r="D183" s="125">
        <v>10</v>
      </c>
      <c r="E183" t="s">
        <v>4445</v>
      </c>
      <c r="F183" s="122" t="s">
        <v>5303</v>
      </c>
      <c r="G183" s="132"/>
      <c r="H183" t="s">
        <v>5428</v>
      </c>
      <c r="I183" s="124" t="str">
        <f>IF(CARTERA_2026[[#This Row],[RUT]]=774097899,"DIST",_xlfn.XLOOKUP(CARTERA_2026[[#This Row],[VENDEDOR]],dimensiones!$C$21:$C$28,dimensiones!$D$21:$D$28,""))</f>
        <v>ATEL</v>
      </c>
      <c r="J183" s="125" t="str">
        <f>_xlfn.XLOOKUP(CARTERA_2026[[#This Row],[REGION]],dimensiones!C:C,dimensiones!D:D,"")</f>
        <v>Región de Los Lagos</v>
      </c>
      <c r="L183" s="136"/>
    </row>
    <row r="184" spans="1:12" x14ac:dyDescent="0.25">
      <c r="A184" s="134">
        <v>772016581</v>
      </c>
      <c r="B184" s="121" t="s">
        <v>5383</v>
      </c>
      <c r="C184" t="s">
        <v>5428</v>
      </c>
      <c r="D184" s="125">
        <v>13</v>
      </c>
      <c r="E184" t="s">
        <v>4445</v>
      </c>
      <c r="F184" s="122" t="s">
        <v>5304</v>
      </c>
      <c r="G184" s="132"/>
      <c r="H184" t="s">
        <v>5428</v>
      </c>
      <c r="I184" s="124" t="str">
        <f>IF(CARTERA_2026[[#This Row],[RUT]]=774097899,"DIST",_xlfn.XLOOKUP(CARTERA_2026[[#This Row],[VENDEDOR]],dimensiones!$C$21:$C$28,dimensiones!$D$21:$D$28,""))</f>
        <v>ATEL</v>
      </c>
      <c r="J184" s="125" t="str">
        <f>_xlfn.XLOOKUP(CARTERA_2026[[#This Row],[REGION]],dimensiones!C:C,dimensiones!D:D,"")</f>
        <v>Región de Metropolitana de Santiago</v>
      </c>
      <c r="L184" s="136"/>
    </row>
    <row r="185" spans="1:12" x14ac:dyDescent="0.25">
      <c r="A185" s="134">
        <v>772217226</v>
      </c>
      <c r="B185" s="121" t="s">
        <v>5384</v>
      </c>
      <c r="C185" t="s">
        <v>5428</v>
      </c>
      <c r="D185" s="125">
        <v>13</v>
      </c>
      <c r="E185" t="s">
        <v>4445</v>
      </c>
      <c r="F185" s="122" t="s">
        <v>5305</v>
      </c>
      <c r="G185" s="132"/>
      <c r="H185" t="s">
        <v>5428</v>
      </c>
      <c r="I185" s="124" t="str">
        <f>IF(CARTERA_2026[[#This Row],[RUT]]=774097899,"DIST",_xlfn.XLOOKUP(CARTERA_2026[[#This Row],[VENDEDOR]],dimensiones!$C$21:$C$28,dimensiones!$D$21:$D$28,""))</f>
        <v>ATEL</v>
      </c>
      <c r="J185" s="125" t="str">
        <f>_xlfn.XLOOKUP(CARTERA_2026[[#This Row],[REGION]],dimensiones!C:C,dimensiones!D:D,"")</f>
        <v>Región de Metropolitana de Santiago</v>
      </c>
      <c r="L185" s="136"/>
    </row>
    <row r="186" spans="1:12" x14ac:dyDescent="0.25">
      <c r="A186" s="134">
        <v>772311370</v>
      </c>
      <c r="B186" s="121" t="s">
        <v>5400</v>
      </c>
      <c r="C186" t="s">
        <v>5428</v>
      </c>
      <c r="D186" s="125">
        <v>13</v>
      </c>
      <c r="E186" t="s">
        <v>4445</v>
      </c>
      <c r="F186" s="122" t="s">
        <v>5306</v>
      </c>
      <c r="G186" s="132"/>
      <c r="H186" t="s">
        <v>5428</v>
      </c>
      <c r="I186" s="124" t="str">
        <f>IF(CARTERA_2026[[#This Row],[RUT]]=774097899,"DIST",_xlfn.XLOOKUP(CARTERA_2026[[#This Row],[VENDEDOR]],dimensiones!$C$21:$C$28,dimensiones!$D$21:$D$28,""))</f>
        <v>ATEL</v>
      </c>
      <c r="J186" s="125" t="str">
        <f>_xlfn.XLOOKUP(CARTERA_2026[[#This Row],[REGION]],dimensiones!C:C,dimensiones!D:D,"")</f>
        <v>Región de Metropolitana de Santiago</v>
      </c>
      <c r="L186" s="136"/>
    </row>
    <row r="187" spans="1:12" x14ac:dyDescent="0.25">
      <c r="A187" s="134">
        <v>772445202</v>
      </c>
      <c r="B187" s="121" t="s">
        <v>1079</v>
      </c>
      <c r="C187" t="s">
        <v>4257</v>
      </c>
      <c r="D187" s="125">
        <v>7</v>
      </c>
      <c r="E187" t="s">
        <v>4445</v>
      </c>
      <c r="F187" s="122" t="s">
        <v>4906</v>
      </c>
      <c r="G187" s="132"/>
      <c r="H187" t="s">
        <v>4915</v>
      </c>
      <c r="I187" s="124" t="str">
        <f>IF(CARTERA_2026[[#This Row],[RUT]]=774097899,"DIST",_xlfn.XLOOKUP(CARTERA_2026[[#This Row],[VENDEDOR]],dimensiones!$C$21:$C$28,dimensiones!$D$21:$D$28,""))</f>
        <v>ATEL</v>
      </c>
      <c r="J187" s="125" t="str">
        <f>_xlfn.XLOOKUP(CARTERA_2026[[#This Row],[REGION]],dimensiones!C:C,dimensiones!D:D,"")</f>
        <v>Región de Maule</v>
      </c>
      <c r="L187" s="136"/>
    </row>
    <row r="188" spans="1:12" x14ac:dyDescent="0.25">
      <c r="A188" s="134">
        <v>772446365</v>
      </c>
      <c r="B188" s="121" t="s">
        <v>5417</v>
      </c>
      <c r="C188" t="s">
        <v>5428</v>
      </c>
      <c r="D188" s="125">
        <v>8</v>
      </c>
      <c r="E188" t="s">
        <v>4445</v>
      </c>
      <c r="F188" s="122" t="s">
        <v>5307</v>
      </c>
      <c r="G188" s="132"/>
      <c r="H188" t="s">
        <v>5428</v>
      </c>
      <c r="I188" s="124" t="str">
        <f>IF(CARTERA_2026[[#This Row],[RUT]]=774097899,"DIST",_xlfn.XLOOKUP(CARTERA_2026[[#This Row],[VENDEDOR]],dimensiones!$C$21:$C$28,dimensiones!$D$21:$D$28,""))</f>
        <v>ATEL</v>
      </c>
      <c r="J188" s="125" t="str">
        <f>_xlfn.XLOOKUP(CARTERA_2026[[#This Row],[REGION]],dimensiones!C:C,dimensiones!D:D,"")</f>
        <v>Región de Biobío</v>
      </c>
      <c r="L188" s="136"/>
    </row>
    <row r="189" spans="1:12" x14ac:dyDescent="0.25">
      <c r="A189" s="134">
        <v>772478410</v>
      </c>
      <c r="B189" s="121" t="s">
        <v>5385</v>
      </c>
      <c r="C189" t="s">
        <v>5428</v>
      </c>
      <c r="D189" s="125">
        <v>13</v>
      </c>
      <c r="E189" t="s">
        <v>4445</v>
      </c>
      <c r="F189" s="122" t="s">
        <v>5308</v>
      </c>
      <c r="G189" s="132"/>
      <c r="H189" t="s">
        <v>5428</v>
      </c>
      <c r="I189" s="124" t="str">
        <f>IF(CARTERA_2026[[#This Row],[RUT]]=774097899,"DIST",_xlfn.XLOOKUP(CARTERA_2026[[#This Row],[VENDEDOR]],dimensiones!$C$21:$C$28,dimensiones!$D$21:$D$28,""))</f>
        <v>ATEL</v>
      </c>
      <c r="J189" s="125" t="str">
        <f>_xlfn.XLOOKUP(CARTERA_2026[[#This Row],[REGION]],dimensiones!C:C,dimensiones!D:D,"")</f>
        <v>Región de Metropolitana de Santiago</v>
      </c>
      <c r="L189" s="136"/>
    </row>
    <row r="190" spans="1:12" x14ac:dyDescent="0.25">
      <c r="A190" s="134">
        <v>772505736</v>
      </c>
      <c r="B190" s="121" t="s">
        <v>5097</v>
      </c>
      <c r="C190" t="s">
        <v>5428</v>
      </c>
      <c r="D190" s="125">
        <v>5</v>
      </c>
      <c r="E190" t="s">
        <v>4445</v>
      </c>
      <c r="F190" s="122" t="s">
        <v>5309</v>
      </c>
      <c r="G190" s="132"/>
      <c r="H190" t="s">
        <v>5428</v>
      </c>
      <c r="I190" s="124" t="str">
        <f>IF(CARTERA_2026[[#This Row],[RUT]]=774097899,"DIST",_xlfn.XLOOKUP(CARTERA_2026[[#This Row],[VENDEDOR]],dimensiones!$C$21:$C$28,dimensiones!$D$21:$D$28,""))</f>
        <v>ATEL</v>
      </c>
      <c r="J190" s="125" t="str">
        <f>_xlfn.XLOOKUP(CARTERA_2026[[#This Row],[REGION]],dimensiones!C:C,dimensiones!D:D,"")</f>
        <v>Región de Valparaíso</v>
      </c>
      <c r="L190" s="136"/>
    </row>
    <row r="191" spans="1:12" x14ac:dyDescent="0.25">
      <c r="A191" s="134">
        <v>772537298</v>
      </c>
      <c r="B191" s="121" t="s">
        <v>5386</v>
      </c>
      <c r="C191" t="s">
        <v>5428</v>
      </c>
      <c r="D191" s="125">
        <v>10</v>
      </c>
      <c r="E191" t="s">
        <v>4445</v>
      </c>
      <c r="F191" s="122" t="s">
        <v>5310</v>
      </c>
      <c r="G191" s="132"/>
      <c r="H191" t="s">
        <v>5428</v>
      </c>
      <c r="I191" s="124" t="str">
        <f>IF(CARTERA_2026[[#This Row],[RUT]]=774097899,"DIST",_xlfn.XLOOKUP(CARTERA_2026[[#This Row],[VENDEDOR]],dimensiones!$C$21:$C$28,dimensiones!$D$21:$D$28,""))</f>
        <v>ATEL</v>
      </c>
      <c r="J191" s="125" t="str">
        <f>_xlfn.XLOOKUP(CARTERA_2026[[#This Row],[REGION]],dimensiones!C:C,dimensiones!D:D,"")</f>
        <v>Región de Los Lagos</v>
      </c>
      <c r="L191" s="136"/>
    </row>
    <row r="192" spans="1:12" x14ac:dyDescent="0.25">
      <c r="A192" s="134">
        <v>772694997</v>
      </c>
      <c r="B192" s="121" t="s">
        <v>5418</v>
      </c>
      <c r="C192" t="s">
        <v>5428</v>
      </c>
      <c r="D192" s="125">
        <v>8</v>
      </c>
      <c r="E192" t="s">
        <v>4445</v>
      </c>
      <c r="F192" s="122" t="s">
        <v>5311</v>
      </c>
      <c r="G192" s="132"/>
      <c r="H192" t="s">
        <v>5428</v>
      </c>
      <c r="I192" s="124" t="str">
        <f>IF(CARTERA_2026[[#This Row],[RUT]]=774097899,"DIST",_xlfn.XLOOKUP(CARTERA_2026[[#This Row],[VENDEDOR]],dimensiones!$C$21:$C$28,dimensiones!$D$21:$D$28,""))</f>
        <v>ATEL</v>
      </c>
      <c r="J192" s="125" t="str">
        <f>_xlfn.XLOOKUP(CARTERA_2026[[#This Row],[REGION]],dimensiones!C:C,dimensiones!D:D,"")</f>
        <v>Región de Biobío</v>
      </c>
      <c r="L192" s="136"/>
    </row>
    <row r="193" spans="1:12" x14ac:dyDescent="0.25">
      <c r="A193" s="134">
        <v>774668365</v>
      </c>
      <c r="B193" s="121" t="s">
        <v>5098</v>
      </c>
      <c r="C193" t="s">
        <v>5428</v>
      </c>
      <c r="D193" s="125">
        <v>13</v>
      </c>
      <c r="E193" t="s">
        <v>4445</v>
      </c>
      <c r="F193" s="122" t="s">
        <v>5312</v>
      </c>
      <c r="G193" s="132"/>
      <c r="H193" t="s">
        <v>5428</v>
      </c>
      <c r="I193" s="124" t="str">
        <f>IF(CARTERA_2026[[#This Row],[RUT]]=774097899,"DIST",_xlfn.XLOOKUP(CARTERA_2026[[#This Row],[VENDEDOR]],dimensiones!$C$21:$C$28,dimensiones!$D$21:$D$28,""))</f>
        <v>ATEL</v>
      </c>
      <c r="J193" s="125" t="str">
        <f>_xlfn.XLOOKUP(CARTERA_2026[[#This Row],[REGION]],dimensiones!C:C,dimensiones!D:D,"")</f>
        <v>Región de Metropolitana de Santiago</v>
      </c>
      <c r="L193" s="136"/>
    </row>
    <row r="194" spans="1:12" x14ac:dyDescent="0.25">
      <c r="A194" s="134">
        <v>774903151</v>
      </c>
      <c r="B194" s="121" t="s">
        <v>5099</v>
      </c>
      <c r="C194" t="s">
        <v>5428</v>
      </c>
      <c r="D194" s="125">
        <v>16</v>
      </c>
      <c r="E194" t="s">
        <v>4445</v>
      </c>
      <c r="F194" s="122" t="s">
        <v>5313</v>
      </c>
      <c r="G194" s="132"/>
      <c r="H194" t="s">
        <v>5428</v>
      </c>
      <c r="I194" s="124" t="str">
        <f>IF(CARTERA_2026[[#This Row],[RUT]]=774097899,"DIST",_xlfn.XLOOKUP(CARTERA_2026[[#This Row],[VENDEDOR]],dimensiones!$C$21:$C$28,dimensiones!$D$21:$D$28,""))</f>
        <v>ATEL</v>
      </c>
      <c r="J194" s="125" t="str">
        <f>_xlfn.XLOOKUP(CARTERA_2026[[#This Row],[REGION]],dimensiones!C:C,dimensiones!D:D,"")</f>
        <v>Región de Ñuble</v>
      </c>
      <c r="L194" s="136"/>
    </row>
    <row r="195" spans="1:12" x14ac:dyDescent="0.25">
      <c r="A195" s="134">
        <v>776634700</v>
      </c>
      <c r="B195" s="121" t="s">
        <v>5387</v>
      </c>
      <c r="C195" t="s">
        <v>5428</v>
      </c>
      <c r="D195" s="125">
        <v>7</v>
      </c>
      <c r="E195" t="s">
        <v>4445</v>
      </c>
      <c r="F195" s="122" t="s">
        <v>5314</v>
      </c>
      <c r="G195" s="132"/>
      <c r="H195" t="s">
        <v>5428</v>
      </c>
      <c r="I195" s="124" t="str">
        <f>IF(CARTERA_2026[[#This Row],[RUT]]=774097899,"DIST",_xlfn.XLOOKUP(CARTERA_2026[[#This Row],[VENDEDOR]],dimensiones!$C$21:$C$28,dimensiones!$D$21:$D$28,""))</f>
        <v>ATEL</v>
      </c>
      <c r="J195" s="125" t="str">
        <f>_xlfn.XLOOKUP(CARTERA_2026[[#This Row],[REGION]],dimensiones!C:C,dimensiones!D:D,"")</f>
        <v>Región de Maule</v>
      </c>
      <c r="L195" s="136"/>
    </row>
    <row r="196" spans="1:12" x14ac:dyDescent="0.25">
      <c r="A196" s="134">
        <v>777043803</v>
      </c>
      <c r="B196" s="121" t="s">
        <v>5100</v>
      </c>
      <c r="C196" t="s">
        <v>5428</v>
      </c>
      <c r="D196" s="125">
        <v>8</v>
      </c>
      <c r="E196" t="s">
        <v>4445</v>
      </c>
      <c r="F196" s="122" t="s">
        <v>5315</v>
      </c>
      <c r="G196" s="132"/>
      <c r="H196" t="s">
        <v>5428</v>
      </c>
      <c r="I196" s="124" t="str">
        <f>IF(CARTERA_2026[[#This Row],[RUT]]=774097899,"DIST",_xlfn.XLOOKUP(CARTERA_2026[[#This Row],[VENDEDOR]],dimensiones!$C$21:$C$28,dimensiones!$D$21:$D$28,""))</f>
        <v>ATEL</v>
      </c>
      <c r="J196" s="125" t="str">
        <f>_xlfn.XLOOKUP(CARTERA_2026[[#This Row],[REGION]],dimensiones!C:C,dimensiones!D:D,"")</f>
        <v>Región de Biobío</v>
      </c>
      <c r="L196" s="136"/>
    </row>
    <row r="197" spans="1:12" x14ac:dyDescent="0.25">
      <c r="A197" s="134">
        <v>778063905</v>
      </c>
      <c r="B197" s="121" t="s">
        <v>1063</v>
      </c>
      <c r="C197" t="s">
        <v>4168</v>
      </c>
      <c r="D197" s="125">
        <v>13</v>
      </c>
      <c r="E197" t="s">
        <v>4445</v>
      </c>
      <c r="F197" s="122" t="s">
        <v>4894</v>
      </c>
      <c r="G197" s="132"/>
      <c r="H197" t="s">
        <v>4915</v>
      </c>
      <c r="I197" s="124" t="str">
        <f>IF(CARTERA_2026[[#This Row],[RUT]]=774097899,"DIST",_xlfn.XLOOKUP(CARTERA_2026[[#This Row],[VENDEDOR]],dimensiones!$C$21:$C$28,dimensiones!$D$21:$D$28,""))</f>
        <v>ATEL</v>
      </c>
      <c r="J197" s="125" t="str">
        <f>_xlfn.XLOOKUP(CARTERA_2026[[#This Row],[REGION]],dimensiones!C:C,dimensiones!D:D,"")</f>
        <v>Región de Metropolitana de Santiago</v>
      </c>
      <c r="L197" s="136"/>
    </row>
    <row r="198" spans="1:12" x14ac:dyDescent="0.25">
      <c r="A198" s="134">
        <v>778667703</v>
      </c>
      <c r="B198" s="121" t="s">
        <v>5101</v>
      </c>
      <c r="C198" t="s">
        <v>5428</v>
      </c>
      <c r="D198" s="125">
        <v>13</v>
      </c>
      <c r="E198" t="s">
        <v>4445</v>
      </c>
      <c r="F198" s="122" t="s">
        <v>5316</v>
      </c>
      <c r="G198" s="132"/>
      <c r="H198" t="s">
        <v>5428</v>
      </c>
      <c r="I198" s="124" t="str">
        <f>IF(CARTERA_2026[[#This Row],[RUT]]=774097899,"DIST",_xlfn.XLOOKUP(CARTERA_2026[[#This Row],[VENDEDOR]],dimensiones!$C$21:$C$28,dimensiones!$D$21:$D$28,""))</f>
        <v>ATEL</v>
      </c>
      <c r="J198" s="125" t="str">
        <f>_xlfn.XLOOKUP(CARTERA_2026[[#This Row],[REGION]],dimensiones!C:C,dimensiones!D:D,"")</f>
        <v>Región de Metropolitana de Santiago</v>
      </c>
      <c r="L198" s="136"/>
    </row>
    <row r="199" spans="1:12" x14ac:dyDescent="0.25">
      <c r="A199" s="134">
        <v>779778207</v>
      </c>
      <c r="B199" s="121" t="s">
        <v>1044</v>
      </c>
      <c r="C199" t="s">
        <v>4380</v>
      </c>
      <c r="D199" s="125">
        <v>8</v>
      </c>
      <c r="E199" t="s">
        <v>4445</v>
      </c>
      <c r="F199" s="122" t="s">
        <v>4882</v>
      </c>
      <c r="G199" s="132"/>
      <c r="H199" t="s">
        <v>4915</v>
      </c>
      <c r="I199" s="124" t="str">
        <f>IF(CARTERA_2026[[#This Row],[RUT]]=774097899,"DIST",_xlfn.XLOOKUP(CARTERA_2026[[#This Row],[VENDEDOR]],dimensiones!$C$21:$C$28,dimensiones!$D$21:$D$28,""))</f>
        <v>ATEL</v>
      </c>
      <c r="J199" s="125" t="str">
        <f>_xlfn.XLOOKUP(CARTERA_2026[[#This Row],[REGION]],dimensiones!C:C,dimensiones!D:D,"")</f>
        <v>Región de Biobío</v>
      </c>
      <c r="L199" s="136"/>
    </row>
    <row r="200" spans="1:12" x14ac:dyDescent="0.25">
      <c r="A200" s="134">
        <v>785913906</v>
      </c>
      <c r="B200" s="121" t="s">
        <v>5102</v>
      </c>
      <c r="C200" t="s">
        <v>5428</v>
      </c>
      <c r="D200" s="125">
        <v>8</v>
      </c>
      <c r="E200" t="s">
        <v>4445</v>
      </c>
      <c r="F200" s="122" t="s">
        <v>5317</v>
      </c>
      <c r="G200" s="132"/>
      <c r="H200" t="s">
        <v>5428</v>
      </c>
      <c r="I200" s="124" t="str">
        <f>IF(CARTERA_2026[[#This Row],[RUT]]=774097899,"DIST",_xlfn.XLOOKUP(CARTERA_2026[[#This Row],[VENDEDOR]],dimensiones!$C$21:$C$28,dimensiones!$D$21:$D$28,""))</f>
        <v>ATEL</v>
      </c>
      <c r="J200" s="125" t="str">
        <f>_xlfn.XLOOKUP(CARTERA_2026[[#This Row],[REGION]],dimensiones!C:C,dimensiones!D:D,"")</f>
        <v>Región de Biobío</v>
      </c>
      <c r="L200" s="136"/>
    </row>
    <row r="201" spans="1:12" x14ac:dyDescent="0.25">
      <c r="A201" s="134">
        <v>789927200</v>
      </c>
      <c r="B201" s="121" t="s">
        <v>5388</v>
      </c>
      <c r="C201" t="s">
        <v>5428</v>
      </c>
      <c r="D201" s="125">
        <v>5</v>
      </c>
      <c r="E201" t="s">
        <v>4445</v>
      </c>
      <c r="F201" s="122" t="s">
        <v>5318</v>
      </c>
      <c r="G201" s="132"/>
      <c r="H201" t="s">
        <v>5428</v>
      </c>
      <c r="I201" s="124" t="str">
        <f>IF(CARTERA_2026[[#This Row],[RUT]]=774097899,"DIST",_xlfn.XLOOKUP(CARTERA_2026[[#This Row],[VENDEDOR]],dimensiones!$C$21:$C$28,dimensiones!$D$21:$D$28,""))</f>
        <v>ATEL</v>
      </c>
      <c r="J201" s="125" t="str">
        <f>_xlfn.XLOOKUP(CARTERA_2026[[#This Row],[REGION]],dimensiones!C:C,dimensiones!D:D,"")</f>
        <v>Región de Valparaíso</v>
      </c>
      <c r="L201" s="136"/>
    </row>
    <row r="202" spans="1:12" x14ac:dyDescent="0.25">
      <c r="A202" s="134">
        <v>796490608</v>
      </c>
      <c r="B202" s="121" t="s">
        <v>1055</v>
      </c>
      <c r="C202" t="s">
        <v>4186</v>
      </c>
      <c r="D202" s="125">
        <v>1</v>
      </c>
      <c r="E202" t="s">
        <v>4445</v>
      </c>
      <c r="F202" s="122" t="s">
        <v>4888</v>
      </c>
      <c r="G202" s="132"/>
      <c r="H202" t="s">
        <v>4915</v>
      </c>
      <c r="I202" s="124" t="str">
        <f>IF(CARTERA_2026[[#This Row],[RUT]]=774097899,"DIST",_xlfn.XLOOKUP(CARTERA_2026[[#This Row],[VENDEDOR]],dimensiones!$C$21:$C$28,dimensiones!$D$21:$D$28,""))</f>
        <v>ATEL</v>
      </c>
      <c r="J202" s="125" t="str">
        <f>_xlfn.XLOOKUP(CARTERA_2026[[#This Row],[REGION]],dimensiones!C:C,dimensiones!D:D,"")</f>
        <v>Región de Tarapacá</v>
      </c>
      <c r="L202" s="136"/>
    </row>
    <row r="203" spans="1:12" x14ac:dyDescent="0.25">
      <c r="A203" s="134">
        <v>821048001</v>
      </c>
      <c r="B203" s="121" t="s">
        <v>5320</v>
      </c>
      <c r="C203" t="s">
        <v>5428</v>
      </c>
      <c r="D203" s="125">
        <v>7</v>
      </c>
      <c r="E203" t="s">
        <v>4445</v>
      </c>
      <c r="F203" s="122" t="s">
        <v>5321</v>
      </c>
      <c r="G203" s="132"/>
      <c r="H203" t="s">
        <v>5428</v>
      </c>
      <c r="I203" s="124" t="str">
        <f>IF(CARTERA_2026[[#This Row],[RUT]]=774097899,"DIST",_xlfn.XLOOKUP(CARTERA_2026[[#This Row],[VENDEDOR]],dimensiones!$C$21:$C$28,dimensiones!$D$21:$D$28,""))</f>
        <v>ATEL</v>
      </c>
      <c r="J203" s="125" t="str">
        <f>_xlfn.XLOOKUP(CARTERA_2026[[#This Row],[REGION]],dimensiones!C:C,dimensiones!D:D,"")</f>
        <v>Región de Maule</v>
      </c>
      <c r="L203" s="136"/>
    </row>
    <row r="204" spans="1:12" x14ac:dyDescent="0.25">
      <c r="A204" s="134">
        <v>939150005</v>
      </c>
      <c r="B204" s="121" t="s">
        <v>5103</v>
      </c>
      <c r="C204" t="s">
        <v>5428</v>
      </c>
      <c r="D204" s="125">
        <v>13</v>
      </c>
      <c r="E204" t="s">
        <v>4445</v>
      </c>
      <c r="F204" s="122" t="s">
        <v>5324</v>
      </c>
      <c r="G204" s="132"/>
      <c r="H204" t="s">
        <v>5428</v>
      </c>
      <c r="I204" s="124" t="str">
        <f>IF(CARTERA_2026[[#This Row],[RUT]]=774097899,"DIST",_xlfn.XLOOKUP(CARTERA_2026[[#This Row],[VENDEDOR]],dimensiones!$C$21:$C$28,dimensiones!$D$21:$D$28,""))</f>
        <v>ATEL</v>
      </c>
      <c r="J204" s="125" t="str">
        <f>_xlfn.XLOOKUP(CARTERA_2026[[#This Row],[REGION]],dimensiones!C:C,dimensiones!D:D,"")</f>
        <v>Región de Metropolitana de Santiago</v>
      </c>
      <c r="L204" s="136"/>
    </row>
    <row r="205" spans="1:12" x14ac:dyDescent="0.25">
      <c r="A205" s="134">
        <v>945440007</v>
      </c>
      <c r="B205" s="121" t="s">
        <v>3807</v>
      </c>
      <c r="C205" t="s">
        <v>5428</v>
      </c>
      <c r="D205" s="125">
        <v>13</v>
      </c>
      <c r="E205" t="s">
        <v>4445</v>
      </c>
      <c r="F205" s="122" t="s">
        <v>5325</v>
      </c>
      <c r="G205" s="132"/>
      <c r="H205" t="s">
        <v>5428</v>
      </c>
      <c r="I205" s="124" t="str">
        <f>IF(CARTERA_2026[[#This Row],[RUT]]=774097899,"DIST",_xlfn.XLOOKUP(CARTERA_2026[[#This Row],[VENDEDOR]],dimensiones!$C$21:$C$28,dimensiones!$D$21:$D$28,""))</f>
        <v>ATEL</v>
      </c>
      <c r="J205" s="125" t="str">
        <f>_xlfn.XLOOKUP(CARTERA_2026[[#This Row],[REGION]],dimensiones!C:C,dimensiones!D:D,"")</f>
        <v>Región de Metropolitana de Santiago</v>
      </c>
      <c r="L205" s="136"/>
    </row>
    <row r="206" spans="1:12" x14ac:dyDescent="0.25">
      <c r="A206" s="134">
        <v>967591904</v>
      </c>
      <c r="B206" s="121" t="s">
        <v>4868</v>
      </c>
      <c r="C206" t="s">
        <v>5428</v>
      </c>
      <c r="D206" s="125">
        <v>13</v>
      </c>
      <c r="E206" s="88" t="s">
        <v>5729</v>
      </c>
      <c r="F206" s="122" t="s">
        <v>4869</v>
      </c>
      <c r="G206" s="132"/>
      <c r="H206" t="s">
        <v>5428</v>
      </c>
      <c r="I206" s="124" t="str">
        <f>IF(CARTERA_2026[[#This Row],[RUT]]=774097899,"DIST",_xlfn.XLOOKUP(CARTERA_2026[[#This Row],[VENDEDOR]],dimensiones!$C$21:$C$28,dimensiones!$D$21:$D$28,""))</f>
        <v>SANT3</v>
      </c>
      <c r="J206" s="125" t="str">
        <f>_xlfn.XLOOKUP(CARTERA_2026[[#This Row],[REGION]],dimensiones!C:C,dimensiones!D:D,"")</f>
        <v>Región de Metropolitana de Santiago</v>
      </c>
      <c r="L206" s="136"/>
    </row>
    <row r="207" spans="1:12" x14ac:dyDescent="0.25">
      <c r="A207" s="134">
        <v>968030906</v>
      </c>
      <c r="B207" s="121" t="s">
        <v>5389</v>
      </c>
      <c r="C207" t="s">
        <v>5428</v>
      </c>
      <c r="D207" s="125">
        <v>8</v>
      </c>
      <c r="E207" t="s">
        <v>4445</v>
      </c>
      <c r="F207" s="122" t="s">
        <v>5326</v>
      </c>
      <c r="G207" s="132"/>
      <c r="H207" t="s">
        <v>5428</v>
      </c>
      <c r="I207" s="124" t="str">
        <f>IF(CARTERA_2026[[#This Row],[RUT]]=774097899,"DIST",_xlfn.XLOOKUP(CARTERA_2026[[#This Row],[VENDEDOR]],dimensiones!$C$21:$C$28,dimensiones!$D$21:$D$28,""))</f>
        <v>ATEL</v>
      </c>
      <c r="J207" s="125" t="str">
        <f>_xlfn.XLOOKUP(CARTERA_2026[[#This Row],[REGION]],dimensiones!C:C,dimensiones!D:D,"")</f>
        <v>Región de Biobío</v>
      </c>
      <c r="L207" s="136"/>
    </row>
    <row r="208" spans="1:12" x14ac:dyDescent="0.25">
      <c r="A208" s="134">
        <v>968037900</v>
      </c>
      <c r="B208" s="121" t="s">
        <v>5104</v>
      </c>
      <c r="C208" t="s">
        <v>5428</v>
      </c>
      <c r="D208" s="125">
        <v>13</v>
      </c>
      <c r="E208" t="s">
        <v>4445</v>
      </c>
      <c r="F208" s="122" t="s">
        <v>5327</v>
      </c>
      <c r="G208" s="132"/>
      <c r="H208" t="s">
        <v>5428</v>
      </c>
      <c r="I208" s="124" t="str">
        <f>IF(CARTERA_2026[[#This Row],[RUT]]=774097899,"DIST",_xlfn.XLOOKUP(CARTERA_2026[[#This Row],[VENDEDOR]],dimensiones!$C$21:$C$28,dimensiones!$D$21:$D$28,""))</f>
        <v>ATEL</v>
      </c>
      <c r="J208" s="125" t="str">
        <f>_xlfn.XLOOKUP(CARTERA_2026[[#This Row],[REGION]],dimensiones!C:C,dimensiones!D:D,"")</f>
        <v>Región de Metropolitana de Santiago</v>
      </c>
      <c r="L208" s="136"/>
    </row>
    <row r="209" spans="1:12" x14ac:dyDescent="0.25">
      <c r="A209" s="134">
        <v>995240300</v>
      </c>
      <c r="B209" s="121" t="s">
        <v>1039</v>
      </c>
      <c r="C209" t="s">
        <v>4490</v>
      </c>
      <c r="D209" s="125">
        <v>5</v>
      </c>
      <c r="E209" t="s">
        <v>4445</v>
      </c>
      <c r="F209" s="122" t="s">
        <v>4877</v>
      </c>
      <c r="G209" s="132"/>
      <c r="H209" t="s">
        <v>4915</v>
      </c>
      <c r="I209" s="124" t="str">
        <f>IF(CARTERA_2026[[#This Row],[RUT]]=774097899,"DIST",_xlfn.XLOOKUP(CARTERA_2026[[#This Row],[VENDEDOR]],dimensiones!$C$21:$C$28,dimensiones!$D$21:$D$28,""))</f>
        <v>ATEL</v>
      </c>
      <c r="J209" s="125" t="str">
        <f>_xlfn.XLOOKUP(CARTERA_2026[[#This Row],[REGION]],dimensiones!C:C,dimensiones!D:D,"")</f>
        <v>Región de Valparaíso</v>
      </c>
      <c r="L209" s="136"/>
    </row>
    <row r="210" spans="1:12" x14ac:dyDescent="0.25">
      <c r="A210" s="134">
        <v>995786001</v>
      </c>
      <c r="B210" s="121" t="s">
        <v>5105</v>
      </c>
      <c r="C210" t="s">
        <v>5428</v>
      </c>
      <c r="D210" s="125">
        <v>13</v>
      </c>
      <c r="E210" t="s">
        <v>4445</v>
      </c>
      <c r="F210" s="122" t="s">
        <v>5328</v>
      </c>
      <c r="G210" s="132"/>
      <c r="H210" t="s">
        <v>5428</v>
      </c>
      <c r="I210" s="124" t="str">
        <f>IF(CARTERA_2026[[#This Row],[RUT]]=774097899,"DIST",_xlfn.XLOOKUP(CARTERA_2026[[#This Row],[VENDEDOR]],dimensiones!$C$21:$C$28,dimensiones!$D$21:$D$28,""))</f>
        <v>ATEL</v>
      </c>
      <c r="J210" s="125" t="str">
        <f>_xlfn.XLOOKUP(CARTERA_2026[[#This Row],[REGION]],dimensiones!C:C,dimensiones!D:D,"")</f>
        <v>Región de Metropolitana de Santiago</v>
      </c>
      <c r="L210" s="136"/>
    </row>
    <row r="211" spans="1:12" x14ac:dyDescent="0.25">
      <c r="A211" s="134" t="s">
        <v>5106</v>
      </c>
      <c r="B211" s="121" t="s">
        <v>5419</v>
      </c>
      <c r="C211" t="s">
        <v>5428</v>
      </c>
      <c r="D211" s="125">
        <v>8</v>
      </c>
      <c r="E211" t="s">
        <v>4445</v>
      </c>
      <c r="F211" s="122" t="s">
        <v>5329</v>
      </c>
      <c r="G211" s="132"/>
      <c r="H211" t="s">
        <v>5428</v>
      </c>
      <c r="I211" s="124" t="str">
        <f>IF(CARTERA_2026[[#This Row],[RUT]]=774097899,"DIST",_xlfn.XLOOKUP(CARTERA_2026[[#This Row],[VENDEDOR]],dimensiones!$C$21:$C$28,dimensiones!$D$21:$D$28,""))</f>
        <v>ATEL</v>
      </c>
      <c r="J211" s="125" t="str">
        <f>_xlfn.XLOOKUP(CARTERA_2026[[#This Row],[REGION]],dimensiones!C:C,dimensiones!D:D,"")</f>
        <v>Región de Biobío</v>
      </c>
      <c r="L211" s="136"/>
    </row>
    <row r="212" spans="1:12" x14ac:dyDescent="0.25">
      <c r="A212" s="134" t="s">
        <v>961</v>
      </c>
      <c r="B212" s="121" t="s">
        <v>5420</v>
      </c>
      <c r="C212" t="s">
        <v>4314</v>
      </c>
      <c r="D212" s="125" t="s">
        <v>5428</v>
      </c>
      <c r="E212" t="s">
        <v>4445</v>
      </c>
      <c r="F212" s="122" t="s">
        <v>4876</v>
      </c>
      <c r="G212" s="132"/>
      <c r="H212" t="s">
        <v>4915</v>
      </c>
      <c r="I212" s="124" t="str">
        <f>IF(CARTERA_2026[[#This Row],[RUT]]=774097899,"DIST",_xlfn.XLOOKUP(CARTERA_2026[[#This Row],[VENDEDOR]],dimensiones!$C$21:$C$28,dimensiones!$D$21:$D$28,""))</f>
        <v>ATEL</v>
      </c>
      <c r="J212" s="125" t="str">
        <f>_xlfn.XLOOKUP(CARTERA_2026[[#This Row],[REGION]],dimensiones!C:C,dimensiones!D:D,"")</f>
        <v/>
      </c>
      <c r="L212" s="136"/>
    </row>
    <row r="213" spans="1:12" x14ac:dyDescent="0.25">
      <c r="A213" s="134" t="s">
        <v>5107</v>
      </c>
      <c r="B213" s="121" t="s">
        <v>5108</v>
      </c>
      <c r="C213" t="s">
        <v>5428</v>
      </c>
      <c r="D213" s="125">
        <v>5</v>
      </c>
      <c r="E213" t="s">
        <v>4445</v>
      </c>
      <c r="F213" s="122" t="s">
        <v>5330</v>
      </c>
      <c r="G213" s="132"/>
      <c r="H213" t="s">
        <v>5428</v>
      </c>
      <c r="I213" s="124" t="str">
        <f>IF(CARTERA_2026[[#This Row],[RUT]]=774097899,"DIST",_xlfn.XLOOKUP(CARTERA_2026[[#This Row],[VENDEDOR]],dimensiones!$C$21:$C$28,dimensiones!$D$21:$D$28,""))</f>
        <v>ATEL</v>
      </c>
      <c r="J213" s="125" t="str">
        <f>_xlfn.XLOOKUP(CARTERA_2026[[#This Row],[REGION]],dimensiones!C:C,dimensiones!D:D,"")</f>
        <v>Región de Valparaíso</v>
      </c>
      <c r="L213" s="136"/>
    </row>
    <row r="214" spans="1:12" x14ac:dyDescent="0.25">
      <c r="A214" s="134" t="s">
        <v>5109</v>
      </c>
      <c r="B214" s="121" t="s">
        <v>5390</v>
      </c>
      <c r="C214" t="s">
        <v>5428</v>
      </c>
      <c r="D214" s="125">
        <v>7</v>
      </c>
      <c r="E214" t="s">
        <v>4445</v>
      </c>
      <c r="F214" s="122" t="s">
        <v>5331</v>
      </c>
      <c r="G214" s="132"/>
      <c r="H214" t="s">
        <v>5428</v>
      </c>
      <c r="I214" s="124" t="str">
        <f>IF(CARTERA_2026[[#This Row],[RUT]]=774097899,"DIST",_xlfn.XLOOKUP(CARTERA_2026[[#This Row],[VENDEDOR]],dimensiones!$C$21:$C$28,dimensiones!$D$21:$D$28,""))</f>
        <v>ATEL</v>
      </c>
      <c r="J214" s="125" t="str">
        <f>_xlfn.XLOOKUP(CARTERA_2026[[#This Row],[REGION]],dimensiones!C:C,dimensiones!D:D,"")</f>
        <v>Región de Maule</v>
      </c>
      <c r="L214" s="136"/>
    </row>
    <row r="215" spans="1:12" x14ac:dyDescent="0.25">
      <c r="A215" s="134" t="s">
        <v>5111</v>
      </c>
      <c r="B215" s="121" t="s">
        <v>5112</v>
      </c>
      <c r="C215" t="s">
        <v>5428</v>
      </c>
      <c r="D215" s="125">
        <v>13</v>
      </c>
      <c r="E215" t="s">
        <v>4445</v>
      </c>
      <c r="F215" s="122" t="s">
        <v>5333</v>
      </c>
      <c r="G215" s="132"/>
      <c r="H215" t="s">
        <v>5428</v>
      </c>
      <c r="I215" s="124" t="str">
        <f>IF(CARTERA_2026[[#This Row],[RUT]]=774097899,"DIST",_xlfn.XLOOKUP(CARTERA_2026[[#This Row],[VENDEDOR]],dimensiones!$C$21:$C$28,dimensiones!$D$21:$D$28,""))</f>
        <v>ATEL</v>
      </c>
      <c r="J215" s="125" t="str">
        <f>_xlfn.XLOOKUP(CARTERA_2026[[#This Row],[REGION]],dimensiones!C:C,dimensiones!D:D,"")</f>
        <v>Región de Metropolitana de Santiago</v>
      </c>
      <c r="L215" s="136"/>
    </row>
    <row r="216" spans="1:12" x14ac:dyDescent="0.25">
      <c r="A216" s="134" t="s">
        <v>5113</v>
      </c>
      <c r="B216" s="121" t="s">
        <v>5114</v>
      </c>
      <c r="C216" t="s">
        <v>5428</v>
      </c>
      <c r="D216" s="125">
        <v>8</v>
      </c>
      <c r="E216" t="s">
        <v>4445</v>
      </c>
      <c r="F216" s="122" t="s">
        <v>5334</v>
      </c>
      <c r="G216" s="132"/>
      <c r="H216" t="s">
        <v>5428</v>
      </c>
      <c r="I216" s="124" t="str">
        <f>IF(CARTERA_2026[[#This Row],[RUT]]=774097899,"DIST",_xlfn.XLOOKUP(CARTERA_2026[[#This Row],[VENDEDOR]],dimensiones!$C$21:$C$28,dimensiones!$D$21:$D$28,""))</f>
        <v>ATEL</v>
      </c>
      <c r="J216" s="125" t="str">
        <f>_xlfn.XLOOKUP(CARTERA_2026[[#This Row],[REGION]],dimensiones!C:C,dimensiones!D:D,"")</f>
        <v>Región de Biobío</v>
      </c>
      <c r="L216" s="136"/>
    </row>
    <row r="217" spans="1:12" x14ac:dyDescent="0.25">
      <c r="A217" s="134" t="s">
        <v>5115</v>
      </c>
      <c r="B217" s="121" t="s">
        <v>5391</v>
      </c>
      <c r="C217" t="s">
        <v>5428</v>
      </c>
      <c r="D217" s="125">
        <v>13</v>
      </c>
      <c r="E217" t="s">
        <v>4445</v>
      </c>
      <c r="F217" s="122" t="s">
        <v>5335</v>
      </c>
      <c r="G217" s="132"/>
      <c r="H217" t="s">
        <v>5428</v>
      </c>
      <c r="I217" s="124" t="str">
        <f>IF(CARTERA_2026[[#This Row],[RUT]]=774097899,"DIST",_xlfn.XLOOKUP(CARTERA_2026[[#This Row],[VENDEDOR]],dimensiones!$C$21:$C$28,dimensiones!$D$21:$D$28,""))</f>
        <v>ATEL</v>
      </c>
      <c r="J217" s="125" t="str">
        <f>_xlfn.XLOOKUP(CARTERA_2026[[#This Row],[REGION]],dimensiones!C:C,dimensiones!D:D,"")</f>
        <v>Región de Metropolitana de Santiago</v>
      </c>
      <c r="L217" s="136"/>
    </row>
    <row r="218" spans="1:12" x14ac:dyDescent="0.25">
      <c r="A218" s="134" t="s">
        <v>5116</v>
      </c>
      <c r="B218" s="121" t="s">
        <v>5117</v>
      </c>
      <c r="C218" t="s">
        <v>5428</v>
      </c>
      <c r="D218" s="125">
        <v>13</v>
      </c>
      <c r="E218" t="s">
        <v>4445</v>
      </c>
      <c r="F218" s="122" t="s">
        <v>5336</v>
      </c>
      <c r="G218" s="132"/>
      <c r="H218" t="s">
        <v>5428</v>
      </c>
      <c r="I218" s="124" t="str">
        <f>IF(CARTERA_2026[[#This Row],[RUT]]=774097899,"DIST",_xlfn.XLOOKUP(CARTERA_2026[[#This Row],[VENDEDOR]],dimensiones!$C$21:$C$28,dimensiones!$D$21:$D$28,""))</f>
        <v>ATEL</v>
      </c>
      <c r="J218" s="125" t="str">
        <f>_xlfn.XLOOKUP(CARTERA_2026[[#This Row],[REGION]],dimensiones!C:C,dimensiones!D:D,"")</f>
        <v>Región de Metropolitana de Santiago</v>
      </c>
      <c r="L218" s="136"/>
    </row>
    <row r="219" spans="1:12" x14ac:dyDescent="0.25">
      <c r="A219" s="134" t="s">
        <v>5118</v>
      </c>
      <c r="B219" s="121" t="s">
        <v>5119</v>
      </c>
      <c r="C219" t="s">
        <v>5428</v>
      </c>
      <c r="D219" s="125">
        <v>9</v>
      </c>
      <c r="E219" t="s">
        <v>4445</v>
      </c>
      <c r="F219" s="122" t="s">
        <v>5337</v>
      </c>
      <c r="G219" s="132"/>
      <c r="H219" t="s">
        <v>5428</v>
      </c>
      <c r="I219" s="124" t="str">
        <f>IF(CARTERA_2026[[#This Row],[RUT]]=774097899,"DIST",_xlfn.XLOOKUP(CARTERA_2026[[#This Row],[VENDEDOR]],dimensiones!$C$21:$C$28,dimensiones!$D$21:$D$28,""))</f>
        <v>ATEL</v>
      </c>
      <c r="J219" s="125" t="str">
        <f>_xlfn.XLOOKUP(CARTERA_2026[[#This Row],[REGION]],dimensiones!C:C,dimensiones!D:D,"")</f>
        <v>Región de La Araucanía</v>
      </c>
      <c r="L219" s="136"/>
    </row>
    <row r="220" spans="1:12" x14ac:dyDescent="0.25">
      <c r="A220" s="134" t="s">
        <v>5120</v>
      </c>
      <c r="B220" s="121" t="s">
        <v>5409</v>
      </c>
      <c r="C220" t="s">
        <v>5428</v>
      </c>
      <c r="D220" s="125">
        <v>14</v>
      </c>
      <c r="E220" t="s">
        <v>4445</v>
      </c>
      <c r="F220" s="122" t="s">
        <v>5338</v>
      </c>
      <c r="G220" s="132"/>
      <c r="H220" t="s">
        <v>5428</v>
      </c>
      <c r="I220" s="124" t="str">
        <f>IF(CARTERA_2026[[#This Row],[RUT]]=774097899,"DIST",_xlfn.XLOOKUP(CARTERA_2026[[#This Row],[VENDEDOR]],dimensiones!$C$21:$C$28,dimensiones!$D$21:$D$28,""))</f>
        <v>ATEL</v>
      </c>
      <c r="J220" s="125" t="str">
        <f>_xlfn.XLOOKUP(CARTERA_2026[[#This Row],[REGION]],dimensiones!C:C,dimensiones!D:D,"")</f>
        <v>Región de Los Ríos</v>
      </c>
      <c r="L220" s="136"/>
    </row>
    <row r="221" spans="1:12" x14ac:dyDescent="0.25">
      <c r="A221" s="134" t="s">
        <v>5121</v>
      </c>
      <c r="B221" s="121" t="s">
        <v>5427</v>
      </c>
      <c r="C221" t="s">
        <v>5428</v>
      </c>
      <c r="D221" s="125">
        <v>8</v>
      </c>
      <c r="E221" t="s">
        <v>4445</v>
      </c>
      <c r="F221" s="122" t="s">
        <v>5339</v>
      </c>
      <c r="G221" s="132"/>
      <c r="H221" t="s">
        <v>5428</v>
      </c>
      <c r="I221" s="124" t="str">
        <f>IF(CARTERA_2026[[#This Row],[RUT]]=774097899,"DIST",_xlfn.XLOOKUP(CARTERA_2026[[#This Row],[VENDEDOR]],dimensiones!$C$21:$C$28,dimensiones!$D$21:$D$28,""))</f>
        <v>ATEL</v>
      </c>
      <c r="J221" s="125" t="str">
        <f>_xlfn.XLOOKUP(CARTERA_2026[[#This Row],[REGION]],dimensiones!C:C,dimensiones!D:D,"")</f>
        <v>Región de Biobío</v>
      </c>
      <c r="L221" s="136"/>
    </row>
    <row r="222" spans="1:12" x14ac:dyDescent="0.25">
      <c r="A222" s="134" t="s">
        <v>5122</v>
      </c>
      <c r="B222" s="121" t="s">
        <v>5123</v>
      </c>
      <c r="C222" t="s">
        <v>5428</v>
      </c>
      <c r="D222" s="125">
        <v>13</v>
      </c>
      <c r="E222" t="s">
        <v>4445</v>
      </c>
      <c r="F222" s="122" t="s">
        <v>5340</v>
      </c>
      <c r="G222" s="132"/>
      <c r="H222" t="s">
        <v>5428</v>
      </c>
      <c r="I222" s="124" t="str">
        <f>IF(CARTERA_2026[[#This Row],[RUT]]=774097899,"DIST",_xlfn.XLOOKUP(CARTERA_2026[[#This Row],[VENDEDOR]],dimensiones!$C$21:$C$28,dimensiones!$D$21:$D$28,""))</f>
        <v>ATEL</v>
      </c>
      <c r="J222" s="125" t="str">
        <f>_xlfn.XLOOKUP(CARTERA_2026[[#This Row],[REGION]],dimensiones!C:C,dimensiones!D:D,"")</f>
        <v>Región de Metropolitana de Santiago</v>
      </c>
      <c r="L222" s="136"/>
    </row>
    <row r="223" spans="1:12" x14ac:dyDescent="0.25">
      <c r="A223" s="134" t="s">
        <v>5124</v>
      </c>
      <c r="B223" s="121" t="s">
        <v>5125</v>
      </c>
      <c r="C223" t="s">
        <v>5428</v>
      </c>
      <c r="D223" s="125">
        <v>5</v>
      </c>
      <c r="E223" t="s">
        <v>4445</v>
      </c>
      <c r="F223" s="122" t="s">
        <v>5341</v>
      </c>
      <c r="G223" s="132"/>
      <c r="H223" t="s">
        <v>5428</v>
      </c>
      <c r="I223" s="124" t="str">
        <f>IF(CARTERA_2026[[#This Row],[RUT]]=774097899,"DIST",_xlfn.XLOOKUP(CARTERA_2026[[#This Row],[VENDEDOR]],dimensiones!$C$21:$C$28,dimensiones!$D$21:$D$28,""))</f>
        <v>ATEL</v>
      </c>
      <c r="J223" s="125" t="str">
        <f>_xlfn.XLOOKUP(CARTERA_2026[[#This Row],[REGION]],dimensiones!C:C,dimensiones!D:D,"")</f>
        <v>Región de Valparaíso</v>
      </c>
      <c r="L223" s="136"/>
    </row>
    <row r="224" spans="1:12" x14ac:dyDescent="0.25">
      <c r="A224" s="134" t="s">
        <v>5126</v>
      </c>
      <c r="B224" s="121" t="s">
        <v>5392</v>
      </c>
      <c r="C224" t="s">
        <v>5428</v>
      </c>
      <c r="D224" s="125">
        <v>13</v>
      </c>
      <c r="E224" t="s">
        <v>4445</v>
      </c>
      <c r="F224" s="122" t="s">
        <v>5342</v>
      </c>
      <c r="G224" s="132"/>
      <c r="H224" t="s">
        <v>5428</v>
      </c>
      <c r="I224" s="124" t="str">
        <f>IF(CARTERA_2026[[#This Row],[RUT]]=774097899,"DIST",_xlfn.XLOOKUP(CARTERA_2026[[#This Row],[VENDEDOR]],dimensiones!$C$21:$C$28,dimensiones!$D$21:$D$28,""))</f>
        <v>ATEL</v>
      </c>
      <c r="J224" s="125" t="str">
        <f>_xlfn.XLOOKUP(CARTERA_2026[[#This Row],[REGION]],dimensiones!C:C,dimensiones!D:D,"")</f>
        <v>Región de Metropolitana de Santiago</v>
      </c>
      <c r="L224" s="136"/>
    </row>
    <row r="225" spans="1:12" x14ac:dyDescent="0.25">
      <c r="A225" s="134" t="s">
        <v>1070</v>
      </c>
      <c r="B225" s="121" t="s">
        <v>1071</v>
      </c>
      <c r="C225" t="s">
        <v>4466</v>
      </c>
      <c r="D225" s="125">
        <v>3</v>
      </c>
      <c r="E225" t="s">
        <v>4445</v>
      </c>
      <c r="F225" s="122" t="s">
        <v>4899</v>
      </c>
      <c r="G225" s="132"/>
      <c r="H225" t="s">
        <v>4915</v>
      </c>
      <c r="I225" s="124" t="str">
        <f>IF(CARTERA_2026[[#This Row],[RUT]]=774097899,"DIST",_xlfn.XLOOKUP(CARTERA_2026[[#This Row],[VENDEDOR]],dimensiones!$C$21:$C$28,dimensiones!$D$21:$D$28,""))</f>
        <v>ATEL</v>
      </c>
      <c r="J225" s="125" t="str">
        <f>_xlfn.XLOOKUP(CARTERA_2026[[#This Row],[REGION]],dimensiones!C:C,dimensiones!D:D,"")</f>
        <v>Región de Atacama</v>
      </c>
      <c r="L225" s="136"/>
    </row>
    <row r="226" spans="1:12" x14ac:dyDescent="0.25">
      <c r="A226" s="134" t="s">
        <v>1060</v>
      </c>
      <c r="B226" s="121" t="s">
        <v>1061</v>
      </c>
      <c r="C226" t="s">
        <v>4168</v>
      </c>
      <c r="D226" s="125">
        <v>13</v>
      </c>
      <c r="E226" t="s">
        <v>4445</v>
      </c>
      <c r="F226" s="122" t="s">
        <v>4892</v>
      </c>
      <c r="G226" s="132"/>
      <c r="H226" t="s">
        <v>4915</v>
      </c>
      <c r="I226" s="124" t="str">
        <f>IF(CARTERA_2026[[#This Row],[RUT]]=774097899,"DIST",_xlfn.XLOOKUP(CARTERA_2026[[#This Row],[VENDEDOR]],dimensiones!$C$21:$C$28,dimensiones!$D$21:$D$28,""))</f>
        <v>ATEL</v>
      </c>
      <c r="J226" s="125" t="str">
        <f>_xlfn.XLOOKUP(CARTERA_2026[[#This Row],[REGION]],dimensiones!C:C,dimensiones!D:D,"")</f>
        <v>Región de Metropolitana de Santiago</v>
      </c>
      <c r="L226" s="136"/>
    </row>
    <row r="227" spans="1:12" x14ac:dyDescent="0.25">
      <c r="A227" s="134" t="s">
        <v>1046</v>
      </c>
      <c r="B227" s="121" t="s">
        <v>1047</v>
      </c>
      <c r="C227" t="s">
        <v>4168</v>
      </c>
      <c r="D227" s="125">
        <v>13</v>
      </c>
      <c r="E227" t="s">
        <v>4445</v>
      </c>
      <c r="F227" s="122" t="s">
        <v>4884</v>
      </c>
      <c r="G227" s="132"/>
      <c r="H227" t="s">
        <v>4915</v>
      </c>
      <c r="I227" s="124" t="str">
        <f>IF(CARTERA_2026[[#This Row],[RUT]]=774097899,"DIST",_xlfn.XLOOKUP(CARTERA_2026[[#This Row],[VENDEDOR]],dimensiones!$C$21:$C$28,dimensiones!$D$21:$D$28,""))</f>
        <v>ATEL</v>
      </c>
      <c r="J227" s="125" t="str">
        <f>_xlfn.XLOOKUP(CARTERA_2026[[#This Row],[REGION]],dimensiones!C:C,dimensiones!D:D,"")</f>
        <v>Región de Metropolitana de Santiago</v>
      </c>
      <c r="L227" s="136"/>
    </row>
    <row r="228" spans="1:12" x14ac:dyDescent="0.25">
      <c r="A228" s="134" t="s">
        <v>5127</v>
      </c>
      <c r="B228" s="121" t="s">
        <v>5128</v>
      </c>
      <c r="C228" t="s">
        <v>5428</v>
      </c>
      <c r="D228" s="125">
        <v>13</v>
      </c>
      <c r="E228" t="s">
        <v>4445</v>
      </c>
      <c r="F228" s="122" t="s">
        <v>5343</v>
      </c>
      <c r="G228" s="132"/>
      <c r="H228" t="s">
        <v>5428</v>
      </c>
      <c r="I228" s="124" t="str">
        <f>IF(CARTERA_2026[[#This Row],[RUT]]=774097899,"DIST",_xlfn.XLOOKUP(CARTERA_2026[[#This Row],[VENDEDOR]],dimensiones!$C$21:$C$28,dimensiones!$D$21:$D$28,""))</f>
        <v>ATEL</v>
      </c>
      <c r="J228" s="125" t="str">
        <f>_xlfn.XLOOKUP(CARTERA_2026[[#This Row],[REGION]],dimensiones!C:C,dimensiones!D:D,"")</f>
        <v>Región de Metropolitana de Santiago</v>
      </c>
      <c r="L228" s="136"/>
    </row>
    <row r="229" spans="1:12" x14ac:dyDescent="0.25">
      <c r="A229">
        <v>107123016</v>
      </c>
      <c r="B229" t="s">
        <v>5521</v>
      </c>
      <c r="C229" t="s">
        <v>4393</v>
      </c>
      <c r="D229">
        <v>13</v>
      </c>
      <c r="E229" t="s">
        <v>4445</v>
      </c>
      <c r="F229" t="s">
        <v>5522</v>
      </c>
      <c r="G229" t="s">
        <v>5568</v>
      </c>
      <c r="H229" t="s">
        <v>4915</v>
      </c>
      <c r="I229" s="126" t="str">
        <f>IF(CARTERA_2026[[#This Row],[RUT]]=774097899,"DIST",_xlfn.XLOOKUP(CARTERA_2026[[#This Row],[VENDEDOR]],dimensiones!$C$21:$C$28,dimensiones!$D$21:$D$28,""))</f>
        <v>ATEL</v>
      </c>
      <c r="J229" s="125" t="str">
        <f>_xlfn.XLOOKUP(CARTERA_2026[[#This Row],[REGION]],dimensiones!C:C,dimensiones!D:D,"")</f>
        <v>Región de Metropolitana de Santiago</v>
      </c>
      <c r="K229" t="s">
        <v>5529</v>
      </c>
    </row>
    <row r="230" spans="1:12" x14ac:dyDescent="0.25">
      <c r="A230">
        <v>119907985</v>
      </c>
      <c r="B230" t="s">
        <v>5615</v>
      </c>
      <c r="C230" t="s">
        <v>4456</v>
      </c>
      <c r="D230">
        <v>13</v>
      </c>
      <c r="E230" t="s">
        <v>4445</v>
      </c>
      <c r="F230" t="s">
        <v>5616</v>
      </c>
      <c r="G230" t="s">
        <v>5568</v>
      </c>
      <c r="H230" t="s">
        <v>4915</v>
      </c>
      <c r="I230" s="79" t="str">
        <f>IF(CARTERA_2026[[#This Row],[RUT]]=774097899,"DIST",_xlfn.XLOOKUP(CARTERA_2026[[#This Row],[VENDEDOR]],dimensiones!$C$21:$C$28,dimensiones!$D$21:$D$28,""))</f>
        <v>ATEL</v>
      </c>
      <c r="J230" s="125" t="str">
        <f>_xlfn.XLOOKUP(CARTERA_2026[[#This Row],[REGION]],dimensiones!C:C,dimensiones!D:D,"")</f>
        <v>Región de Metropolitana de Santiago</v>
      </c>
    </row>
    <row r="231" spans="1:12" ht="14.25" customHeight="1" x14ac:dyDescent="0.25">
      <c r="A231">
        <v>124106559</v>
      </c>
      <c r="B231" t="s">
        <v>4917</v>
      </c>
      <c r="C231" t="s">
        <v>4463</v>
      </c>
      <c r="D231">
        <v>13</v>
      </c>
      <c r="E231" t="s">
        <v>4445</v>
      </c>
      <c r="F231" t="s">
        <v>4924</v>
      </c>
      <c r="G231" t="s">
        <v>5568</v>
      </c>
      <c r="H231" t="s">
        <v>4915</v>
      </c>
      <c r="I231" s="79" t="str">
        <f>IF(CARTERA_2026[[#This Row],[RUT]]=774097899,"DIST",_xlfn.XLOOKUP(CARTERA_2026[[#This Row],[VENDEDOR]],dimensiones!$C$21:$C$28,dimensiones!$D$21:$D$28,""))</f>
        <v>ATEL</v>
      </c>
      <c r="J231" s="125" t="str">
        <f>_xlfn.XLOOKUP(CARTERA_2026[[#This Row],[REGION]],dimensiones!C:C,dimensiones!D:D,"")</f>
        <v>Región de Metropolitana de Santiago</v>
      </c>
    </row>
    <row r="232" spans="1:12" ht="14.25" customHeight="1" x14ac:dyDescent="0.25">
      <c r="A232">
        <v>128624430</v>
      </c>
      <c r="B232" t="s">
        <v>3279</v>
      </c>
      <c r="C232" t="s">
        <v>4444</v>
      </c>
      <c r="D232">
        <v>13</v>
      </c>
      <c r="E232" t="s">
        <v>4445</v>
      </c>
      <c r="F232" t="s">
        <v>3278</v>
      </c>
      <c r="G232" t="s">
        <v>5569</v>
      </c>
      <c r="H232" t="s">
        <v>4915</v>
      </c>
      <c r="I232" s="79" t="str">
        <f>IF(CARTERA_2026[[#This Row],[RUT]]=774097899,"DIST",_xlfn.XLOOKUP(CARTERA_2026[[#This Row],[VENDEDOR]],dimensiones!$C$21:$C$28,dimensiones!$D$21:$D$28,""))</f>
        <v>ATEL</v>
      </c>
      <c r="J232" s="125" t="str">
        <f>_xlfn.XLOOKUP(CARTERA_2026[[#This Row],[REGION]],dimensiones!C:C,dimensiones!D:D,"")</f>
        <v>Región de Metropolitana de Santiago</v>
      </c>
    </row>
    <row r="233" spans="1:12" ht="14.25" customHeight="1" x14ac:dyDescent="0.25">
      <c r="A233">
        <v>130628583</v>
      </c>
      <c r="B233" t="s">
        <v>4447</v>
      </c>
      <c r="C233" t="s">
        <v>4170</v>
      </c>
      <c r="D233">
        <v>14</v>
      </c>
      <c r="E233" t="s">
        <v>4445</v>
      </c>
      <c r="F233" t="s">
        <v>4446</v>
      </c>
      <c r="G233" t="s">
        <v>5570</v>
      </c>
      <c r="H233" t="s">
        <v>4915</v>
      </c>
      <c r="I233" s="79" t="str">
        <f>IF(CARTERA_2026[[#This Row],[RUT]]=774097899,"DIST",_xlfn.XLOOKUP(CARTERA_2026[[#This Row],[VENDEDOR]],dimensiones!$C$21:$C$28,dimensiones!$D$21:$D$28,""))</f>
        <v>ATEL</v>
      </c>
      <c r="J233" s="125" t="str">
        <f>_xlfn.XLOOKUP(CARTERA_2026[[#This Row],[REGION]],dimensiones!C:C,dimensiones!D:D,"")</f>
        <v>Región de Los Ríos</v>
      </c>
    </row>
    <row r="234" spans="1:12" ht="14.25" customHeight="1" x14ac:dyDescent="0.25">
      <c r="A234">
        <v>137714132</v>
      </c>
      <c r="B234" t="s">
        <v>762</v>
      </c>
      <c r="C234" t="s">
        <v>4448</v>
      </c>
      <c r="D234">
        <v>13</v>
      </c>
      <c r="E234" t="s">
        <v>4445</v>
      </c>
      <c r="F234" t="s">
        <v>4016</v>
      </c>
      <c r="G234" t="s">
        <v>5568</v>
      </c>
      <c r="H234" t="s">
        <v>4915</v>
      </c>
      <c r="I234" s="79" t="str">
        <f>IF(CARTERA_2026[[#This Row],[RUT]]=774097899,"DIST",_xlfn.XLOOKUP(CARTERA_2026[[#This Row],[VENDEDOR]],dimensiones!$C$21:$C$28,dimensiones!$D$21:$D$28,""))</f>
        <v>ATEL</v>
      </c>
      <c r="J234" s="125" t="str">
        <f>_xlfn.XLOOKUP(CARTERA_2026[[#This Row],[REGION]],dimensiones!C:C,dimensiones!D:D,"")</f>
        <v>Región de Metropolitana de Santiago</v>
      </c>
    </row>
    <row r="235" spans="1:12" ht="14.25" customHeight="1" x14ac:dyDescent="0.25">
      <c r="A235">
        <v>138177564</v>
      </c>
      <c r="B235" t="s">
        <v>4019</v>
      </c>
      <c r="C235" t="s">
        <v>4170</v>
      </c>
      <c r="D235">
        <v>14</v>
      </c>
      <c r="E235" t="s">
        <v>4445</v>
      </c>
      <c r="F235" t="s">
        <v>4018</v>
      </c>
      <c r="G235" t="s">
        <v>5568</v>
      </c>
      <c r="H235" t="s">
        <v>4915</v>
      </c>
      <c r="I235" s="79" t="str">
        <f>IF(CARTERA_2026[[#This Row],[RUT]]=774097899,"DIST",_xlfn.XLOOKUP(CARTERA_2026[[#This Row],[VENDEDOR]],dimensiones!$C$21:$C$28,dimensiones!$D$21:$D$28,""))</f>
        <v>ATEL</v>
      </c>
      <c r="J235" s="125" t="str">
        <f>_xlfn.XLOOKUP(CARTERA_2026[[#This Row],[REGION]],dimensiones!C:C,dimensiones!D:D,"")</f>
        <v>Región de Los Ríos</v>
      </c>
    </row>
    <row r="236" spans="1:12" ht="14.25" customHeight="1" x14ac:dyDescent="0.25">
      <c r="A236">
        <v>143751368</v>
      </c>
      <c r="B236" t="s">
        <v>5021</v>
      </c>
      <c r="C236" t="s">
        <v>4392</v>
      </c>
      <c r="D236">
        <v>8</v>
      </c>
      <c r="E236" t="s">
        <v>4445</v>
      </c>
      <c r="F236" t="s">
        <v>5149</v>
      </c>
      <c r="G236" t="s">
        <v>5568</v>
      </c>
      <c r="H236" t="s">
        <v>4915</v>
      </c>
      <c r="I236" s="79" t="str">
        <f>IF(CARTERA_2026[[#This Row],[RUT]]=774097899,"DIST",_xlfn.XLOOKUP(CARTERA_2026[[#This Row],[VENDEDOR]],dimensiones!$C$21:$C$28,dimensiones!$D$21:$D$28,""))</f>
        <v>ATEL</v>
      </c>
      <c r="J236" s="125" t="str">
        <f>_xlfn.XLOOKUP(CARTERA_2026[[#This Row],[REGION]],dimensiones!C:C,dimensiones!D:D,"")</f>
        <v>Región de Biobío</v>
      </c>
    </row>
    <row r="237" spans="1:12" ht="14.25" customHeight="1" x14ac:dyDescent="0.25">
      <c r="A237">
        <v>150603439</v>
      </c>
      <c r="B237" t="s">
        <v>4978</v>
      </c>
      <c r="C237" t="s">
        <v>4192</v>
      </c>
      <c r="D237">
        <v>5</v>
      </c>
      <c r="E237" t="s">
        <v>4445</v>
      </c>
      <c r="F237" t="s">
        <v>4979</v>
      </c>
      <c r="G237" t="s">
        <v>5568</v>
      </c>
      <c r="H237" t="s">
        <v>4915</v>
      </c>
      <c r="I237" s="79" t="str">
        <f>IF(CARTERA_2026[[#This Row],[RUT]]=774097899,"DIST",_xlfn.XLOOKUP(CARTERA_2026[[#This Row],[VENDEDOR]],dimensiones!$C$21:$C$28,dimensiones!$D$21:$D$28,""))</f>
        <v>ATEL</v>
      </c>
      <c r="J237" s="125" t="str">
        <f>_xlfn.XLOOKUP(CARTERA_2026[[#This Row],[REGION]],dimensiones!C:C,dimensiones!D:D,"")</f>
        <v>Región de Valparaíso</v>
      </c>
    </row>
    <row r="238" spans="1:12" ht="14.25" customHeight="1" x14ac:dyDescent="0.25">
      <c r="A238">
        <v>159017230</v>
      </c>
      <c r="B238" t="s">
        <v>160</v>
      </c>
      <c r="C238" t="s">
        <v>4171</v>
      </c>
      <c r="D238">
        <v>4</v>
      </c>
      <c r="E238" t="s">
        <v>4445</v>
      </c>
      <c r="F238" t="s">
        <v>2944</v>
      </c>
      <c r="G238" t="s">
        <v>5568</v>
      </c>
      <c r="H238" t="s">
        <v>4915</v>
      </c>
      <c r="I238" s="79" t="str">
        <f>IF(CARTERA_2026[[#This Row],[RUT]]=774097899,"DIST",_xlfn.XLOOKUP(CARTERA_2026[[#This Row],[VENDEDOR]],dimensiones!$C$21:$C$28,dimensiones!$D$21:$D$28,""))</f>
        <v>ATEL</v>
      </c>
      <c r="J238" s="125" t="str">
        <f>_xlfn.XLOOKUP(CARTERA_2026[[#This Row],[REGION]],dimensiones!C:C,dimensiones!D:D,"")</f>
        <v>Región de Coquimbo</v>
      </c>
    </row>
    <row r="239" spans="1:12" ht="14.25" customHeight="1" x14ac:dyDescent="0.25">
      <c r="A239">
        <v>164793079</v>
      </c>
      <c r="B239" t="s">
        <v>161</v>
      </c>
      <c r="C239" t="s">
        <v>4449</v>
      </c>
      <c r="D239">
        <v>13</v>
      </c>
      <c r="E239" t="s">
        <v>4445</v>
      </c>
      <c r="F239" t="s">
        <v>4021</v>
      </c>
      <c r="G239" t="s">
        <v>5568</v>
      </c>
      <c r="H239" t="s">
        <v>4915</v>
      </c>
      <c r="I239" s="79" t="str">
        <f>IF(CARTERA_2026[[#This Row],[RUT]]=774097899,"DIST",_xlfn.XLOOKUP(CARTERA_2026[[#This Row],[VENDEDOR]],dimensiones!$C$21:$C$28,dimensiones!$D$21:$D$28,""))</f>
        <v>ATEL</v>
      </c>
      <c r="J239" s="125" t="str">
        <f>_xlfn.XLOOKUP(CARTERA_2026[[#This Row],[REGION]],dimensiones!C:C,dimensiones!D:D,"")</f>
        <v>Región de Metropolitana de Santiago</v>
      </c>
    </row>
    <row r="240" spans="1:12" ht="14.25" customHeight="1" x14ac:dyDescent="0.25">
      <c r="A240">
        <v>167985769</v>
      </c>
      <c r="B240" t="s">
        <v>2861</v>
      </c>
      <c r="C240" t="s">
        <v>4528</v>
      </c>
      <c r="D240">
        <v>13</v>
      </c>
      <c r="E240" t="s">
        <v>5563</v>
      </c>
      <c r="F240" t="s">
        <v>5711</v>
      </c>
      <c r="H240" t="s">
        <v>4915</v>
      </c>
      <c r="I240" s="79" t="str">
        <f>IF(CARTERA_2026[[#This Row],[RUT]]=774097899,"DIST",_xlfn.XLOOKUP(CARTERA_2026[[#This Row],[VENDEDOR]],dimensiones!$C$21:$C$28,dimensiones!$D$21:$D$28,""))</f>
        <v/>
      </c>
      <c r="J240" s="125" t="str">
        <f>_xlfn.XLOOKUP(CARTERA_2026[[#This Row],[REGION]],dimensiones!C:C,dimensiones!D:D,"")</f>
        <v>Región de Metropolitana de Santiago</v>
      </c>
    </row>
    <row r="241" spans="1:10" ht="14.25" customHeight="1" x14ac:dyDescent="0.25">
      <c r="A241">
        <v>176010681</v>
      </c>
      <c r="B241" t="s">
        <v>4451</v>
      </c>
      <c r="C241" t="s">
        <v>4409</v>
      </c>
      <c r="D241">
        <v>13</v>
      </c>
      <c r="E241" t="s">
        <v>4445</v>
      </c>
      <c r="F241" t="s">
        <v>4450</v>
      </c>
      <c r="G241" t="s">
        <v>5569</v>
      </c>
      <c r="H241" t="s">
        <v>4915</v>
      </c>
      <c r="I241" s="79" t="str">
        <f>IF(CARTERA_2026[[#This Row],[RUT]]=774097899,"DIST",_xlfn.XLOOKUP(CARTERA_2026[[#This Row],[VENDEDOR]],dimensiones!$C$21:$C$28,dimensiones!$D$21:$D$28,""))</f>
        <v>ATEL</v>
      </c>
      <c r="J241" s="125" t="str">
        <f>_xlfn.XLOOKUP(CARTERA_2026[[#This Row],[REGION]],dimensiones!C:C,dimensiones!D:D,"")</f>
        <v>Región de Metropolitana de Santiago</v>
      </c>
    </row>
    <row r="242" spans="1:10" ht="14.25" customHeight="1" x14ac:dyDescent="0.25">
      <c r="A242" t="s">
        <v>4763</v>
      </c>
      <c r="B242" t="s">
        <v>4024</v>
      </c>
      <c r="C242" t="s">
        <v>4393</v>
      </c>
      <c r="D242">
        <v>13</v>
      </c>
      <c r="E242" t="s">
        <v>4445</v>
      </c>
      <c r="F242" t="s">
        <v>4023</v>
      </c>
      <c r="G242" t="s">
        <v>5568</v>
      </c>
      <c r="H242" t="s">
        <v>4915</v>
      </c>
      <c r="I242" s="79" t="str">
        <f>IF(CARTERA_2026[[#This Row],[RUT]]=774097899,"DIST",_xlfn.XLOOKUP(CARTERA_2026[[#This Row],[VENDEDOR]],dimensiones!$C$21:$C$28,dimensiones!$D$21:$D$28,""))</f>
        <v>ATEL</v>
      </c>
      <c r="J242" s="125" t="str">
        <f>_xlfn.XLOOKUP(CARTERA_2026[[#This Row],[REGION]],dimensiones!C:C,dimensiones!D:D,"")</f>
        <v>Región de Metropolitana de Santiago</v>
      </c>
    </row>
    <row r="243" spans="1:10" ht="14.25" customHeight="1" x14ac:dyDescent="0.25">
      <c r="A243">
        <v>193613578</v>
      </c>
      <c r="B243" t="s">
        <v>5617</v>
      </c>
      <c r="C243" t="s">
        <v>4209</v>
      </c>
      <c r="D243">
        <v>6</v>
      </c>
      <c r="E243" t="s">
        <v>4445</v>
      </c>
      <c r="F243" t="s">
        <v>5618</v>
      </c>
      <c r="G243" t="s">
        <v>5568</v>
      </c>
      <c r="H243" t="s">
        <v>4915</v>
      </c>
      <c r="I243" s="79" t="str">
        <f>IF(CARTERA_2026[[#This Row],[RUT]]=774097899,"DIST",_xlfn.XLOOKUP(CARTERA_2026[[#This Row],[VENDEDOR]],dimensiones!$C$21:$C$28,dimensiones!$D$21:$D$28,""))</f>
        <v>ATEL</v>
      </c>
      <c r="J243" s="125" t="str">
        <f>_xlfn.XLOOKUP(CARTERA_2026[[#This Row],[REGION]],dimensiones!C:C,dimensiones!D:D,"")</f>
        <v>Región de Libertador General Bernardo O'Higgins</v>
      </c>
    </row>
    <row r="244" spans="1:10" ht="14.25" customHeight="1" x14ac:dyDescent="0.25">
      <c r="A244">
        <v>236443140</v>
      </c>
      <c r="B244" t="s">
        <v>4027</v>
      </c>
      <c r="C244" t="s">
        <v>4410</v>
      </c>
      <c r="D244">
        <v>13</v>
      </c>
      <c r="E244" t="s">
        <v>4445</v>
      </c>
      <c r="F244" t="s">
        <v>4026</v>
      </c>
      <c r="G244" t="s">
        <v>5568</v>
      </c>
      <c r="H244" t="s">
        <v>4915</v>
      </c>
      <c r="I244" s="79" t="str">
        <f>IF(CARTERA_2026[[#This Row],[RUT]]=774097899,"DIST",_xlfn.XLOOKUP(CARTERA_2026[[#This Row],[VENDEDOR]],dimensiones!$C$21:$C$28,dimensiones!$D$21:$D$28,""))</f>
        <v>ATEL</v>
      </c>
      <c r="J244" s="125" t="str">
        <f>_xlfn.XLOOKUP(CARTERA_2026[[#This Row],[REGION]],dimensiones!C:C,dimensiones!D:D,"")</f>
        <v>Región de Metropolitana de Santiago</v>
      </c>
    </row>
    <row r="245" spans="1:10" ht="14.25" customHeight="1" x14ac:dyDescent="0.25">
      <c r="A245">
        <v>267104476</v>
      </c>
      <c r="B245" t="s">
        <v>4030</v>
      </c>
      <c r="C245" t="s">
        <v>4410</v>
      </c>
      <c r="D245">
        <v>13</v>
      </c>
      <c r="E245" t="s">
        <v>4445</v>
      </c>
      <c r="F245" t="s">
        <v>4029</v>
      </c>
      <c r="G245" t="s">
        <v>5568</v>
      </c>
      <c r="H245" t="s">
        <v>4915</v>
      </c>
      <c r="I245" s="79" t="str">
        <f>IF(CARTERA_2026[[#This Row],[RUT]]=774097899,"DIST",_xlfn.XLOOKUP(CARTERA_2026[[#This Row],[VENDEDOR]],dimensiones!$C$21:$C$28,dimensiones!$D$21:$D$28,""))</f>
        <v>ATEL</v>
      </c>
      <c r="J245" s="125" t="str">
        <f>_xlfn.XLOOKUP(CARTERA_2026[[#This Row],[REGION]],dimensiones!C:C,dimensiones!D:D,"")</f>
        <v>Región de Metropolitana de Santiago</v>
      </c>
    </row>
    <row r="246" spans="1:10" ht="14.25" customHeight="1" x14ac:dyDescent="0.25">
      <c r="A246">
        <v>531258509</v>
      </c>
      <c r="B246" t="s">
        <v>2036</v>
      </c>
      <c r="C246" t="s">
        <v>4452</v>
      </c>
      <c r="D246">
        <v>13</v>
      </c>
      <c r="E246" t="s">
        <v>4453</v>
      </c>
      <c r="F246" t="s">
        <v>2035</v>
      </c>
      <c r="G246" t="s">
        <v>5570</v>
      </c>
      <c r="H246" t="s">
        <v>4915</v>
      </c>
      <c r="I246" s="79" t="str">
        <f>IF(CARTERA_2026[[#This Row],[RUT]]=774097899,"DIST",_xlfn.XLOOKUP(CARTERA_2026[[#This Row],[VENDEDOR]],dimensiones!$C$21:$C$28,dimensiones!$D$21:$D$28,""))</f>
        <v>SANT2</v>
      </c>
      <c r="J246" s="125" t="str">
        <f>_xlfn.XLOOKUP(CARTERA_2026[[#This Row],[REGION]],dimensiones!C:C,dimensiones!D:D,"")</f>
        <v>Región de Metropolitana de Santiago</v>
      </c>
    </row>
    <row r="247" spans="1:10" ht="14.25" customHeight="1" x14ac:dyDescent="0.25">
      <c r="A247" t="s">
        <v>141</v>
      </c>
      <c r="B247" t="s">
        <v>142</v>
      </c>
      <c r="C247" t="s">
        <v>4170</v>
      </c>
      <c r="D247">
        <v>14</v>
      </c>
      <c r="E247" t="s">
        <v>4454</v>
      </c>
      <c r="F247" t="s">
        <v>1200</v>
      </c>
      <c r="G247" t="s">
        <v>5570</v>
      </c>
      <c r="H247" t="s">
        <v>4957</v>
      </c>
      <c r="I247" s="79" t="str">
        <f>IF(CARTERA_2026[[#This Row],[RUT]]=774097899,"DIST",_xlfn.XLOOKUP(CARTERA_2026[[#This Row],[VENDEDOR]],dimensiones!$C$21:$C$28,dimensiones!$D$21:$D$28,""))</f>
        <v>SUR2</v>
      </c>
      <c r="J247" s="125" t="str">
        <f>_xlfn.XLOOKUP(CARTERA_2026[[#This Row],[REGION]],dimensiones!C:C,dimensiones!D:D,"")</f>
        <v>Región de Los Ríos</v>
      </c>
    </row>
    <row r="248" spans="1:10" ht="14.25" customHeight="1" x14ac:dyDescent="0.25">
      <c r="A248">
        <v>58921203</v>
      </c>
      <c r="B248" t="s">
        <v>4418</v>
      </c>
      <c r="C248" t="s">
        <v>4456</v>
      </c>
      <c r="D248">
        <v>13</v>
      </c>
      <c r="E248" t="s">
        <v>4445</v>
      </c>
      <c r="F248" t="s">
        <v>4455</v>
      </c>
      <c r="G248" t="s">
        <v>5568</v>
      </c>
      <c r="H248" t="s">
        <v>4915</v>
      </c>
      <c r="I248" s="79" t="str">
        <f>IF(CARTERA_2026[[#This Row],[RUT]]=774097899,"DIST",_xlfn.XLOOKUP(CARTERA_2026[[#This Row],[VENDEDOR]],dimensiones!$C$21:$C$28,dimensiones!$D$21:$D$28,""))</f>
        <v>ATEL</v>
      </c>
      <c r="J248" s="125" t="str">
        <f>_xlfn.XLOOKUP(CARTERA_2026[[#This Row],[REGION]],dimensiones!C:C,dimensiones!D:D,"")</f>
        <v>Región de Metropolitana de Santiago</v>
      </c>
    </row>
    <row r="249" spans="1:10" ht="14.25" customHeight="1" x14ac:dyDescent="0.25">
      <c r="A249" t="s">
        <v>4760</v>
      </c>
      <c r="B249" t="s">
        <v>1008</v>
      </c>
      <c r="C249" t="s">
        <v>4287</v>
      </c>
      <c r="D249">
        <v>13</v>
      </c>
      <c r="E249" t="s">
        <v>4445</v>
      </c>
      <c r="F249" t="s">
        <v>4034</v>
      </c>
      <c r="G249" t="s">
        <v>5568</v>
      </c>
      <c r="H249" t="s">
        <v>4915</v>
      </c>
      <c r="I249" s="79" t="str">
        <f>IF(CARTERA_2026[[#This Row],[RUT]]=774097899,"DIST",_xlfn.XLOOKUP(CARTERA_2026[[#This Row],[VENDEDOR]],dimensiones!$C$21:$C$28,dimensiones!$D$21:$D$28,""))</f>
        <v>ATEL</v>
      </c>
      <c r="J249" s="125" t="str">
        <f>_xlfn.XLOOKUP(CARTERA_2026[[#This Row],[REGION]],dimensiones!C:C,dimensiones!D:D,"")</f>
        <v>Región de Metropolitana de Santiago</v>
      </c>
    </row>
    <row r="250" spans="1:10" ht="14.25" customHeight="1" x14ac:dyDescent="0.25">
      <c r="A250">
        <v>605055230</v>
      </c>
      <c r="B250" t="s">
        <v>1018</v>
      </c>
      <c r="C250" t="s">
        <v>4170</v>
      </c>
      <c r="D250">
        <v>14</v>
      </c>
      <c r="E250" t="s">
        <v>4445</v>
      </c>
      <c r="F250" t="s">
        <v>4036</v>
      </c>
      <c r="G250" t="s">
        <v>5571</v>
      </c>
      <c r="H250" t="s">
        <v>4957</v>
      </c>
      <c r="I250" s="79" t="str">
        <f>IF(CARTERA_2026[[#This Row],[RUT]]=774097899,"DIST",_xlfn.XLOOKUP(CARTERA_2026[[#This Row],[VENDEDOR]],dimensiones!$C$21:$C$28,dimensiones!$D$21:$D$28,""))</f>
        <v>ATEL</v>
      </c>
      <c r="J250" s="125" t="str">
        <f>_xlfn.XLOOKUP(CARTERA_2026[[#This Row],[REGION]],dimensiones!C:C,dimensiones!D:D,"")</f>
        <v>Región de Los Ríos</v>
      </c>
    </row>
    <row r="251" spans="1:10" ht="14.25" customHeight="1" x14ac:dyDescent="0.25">
      <c r="A251">
        <v>605057233</v>
      </c>
      <c r="B251" t="s">
        <v>5</v>
      </c>
      <c r="C251" t="s">
        <v>4395</v>
      </c>
      <c r="D251">
        <v>13</v>
      </c>
      <c r="E251" t="s">
        <v>4457</v>
      </c>
      <c r="F251" t="s">
        <v>1822</v>
      </c>
      <c r="G251" t="s">
        <v>5572</v>
      </c>
      <c r="H251" t="s">
        <v>4957</v>
      </c>
      <c r="I251" s="79" t="str">
        <f>IF(CARTERA_2026[[#This Row],[RUT]]=774097899,"DIST",_xlfn.XLOOKUP(CARTERA_2026[[#This Row],[VENDEDOR]],dimensiones!$C$21:$C$28,dimensiones!$D$21:$D$28,""))</f>
        <v>SANT1</v>
      </c>
      <c r="J251" s="125" t="str">
        <f>_xlfn.XLOOKUP(CARTERA_2026[[#This Row],[REGION]],dimensiones!C:C,dimensiones!D:D,"")</f>
        <v>Región de Metropolitana de Santiago</v>
      </c>
    </row>
    <row r="252" spans="1:10" ht="14.25" customHeight="1" x14ac:dyDescent="0.25">
      <c r="A252">
        <v>605060110</v>
      </c>
      <c r="B252" t="s">
        <v>5732</v>
      </c>
      <c r="C252" t="s">
        <v>4458</v>
      </c>
      <c r="D252">
        <v>13</v>
      </c>
      <c r="E252" t="s">
        <v>4445</v>
      </c>
      <c r="F252" t="s">
        <v>5733</v>
      </c>
      <c r="G252" t="s">
        <v>5571</v>
      </c>
      <c r="H252" t="s">
        <v>4957</v>
      </c>
      <c r="I252" s="79" t="str">
        <f>IF(CARTERA_2026[[#This Row],[RUT]]=774097899,"DIST",_xlfn.XLOOKUP(CARTERA_2026[[#This Row],[VENDEDOR]],dimensiones!$C$21:$C$28,dimensiones!$D$21:$D$28,""))</f>
        <v>ATEL</v>
      </c>
      <c r="J252" s="125" t="str">
        <f>_xlfn.XLOOKUP(CARTERA_2026[[#This Row],[REGION]],dimensiones!C:C,dimensiones!D:D,"")</f>
        <v>Región de Metropolitana de Santiago</v>
      </c>
    </row>
    <row r="253" spans="1:10" ht="14.25" customHeight="1" x14ac:dyDescent="0.25">
      <c r="A253">
        <v>605140009</v>
      </c>
      <c r="B253" t="s">
        <v>7</v>
      </c>
      <c r="C253" t="s">
        <v>4169</v>
      </c>
      <c r="D253">
        <v>13</v>
      </c>
      <c r="E253" t="s">
        <v>4457</v>
      </c>
      <c r="F253" t="s">
        <v>2239</v>
      </c>
      <c r="G253" t="s">
        <v>5571</v>
      </c>
      <c r="H253" t="s">
        <v>4957</v>
      </c>
      <c r="I253" s="79" t="str">
        <f>IF(CARTERA_2026[[#This Row],[RUT]]=774097899,"DIST",_xlfn.XLOOKUP(CARTERA_2026[[#This Row],[VENDEDOR]],dimensiones!$C$21:$C$28,dimensiones!$D$21:$D$28,""))</f>
        <v>SANT1</v>
      </c>
      <c r="J253" s="125" t="str">
        <f>_xlfn.XLOOKUP(CARTERA_2026[[#This Row],[REGION]],dimensiones!C:C,dimensiones!D:D,"")</f>
        <v>Región de Metropolitana de Santiago</v>
      </c>
    </row>
    <row r="254" spans="1:10" ht="14.25" customHeight="1" x14ac:dyDescent="0.25">
      <c r="A254">
        <v>608040072</v>
      </c>
      <c r="B254" t="s">
        <v>5712</v>
      </c>
      <c r="C254" t="s">
        <v>4192</v>
      </c>
      <c r="D254">
        <v>5</v>
      </c>
      <c r="E254" t="s">
        <v>4445</v>
      </c>
      <c r="F254" t="s">
        <v>5713</v>
      </c>
      <c r="G254" t="s">
        <v>5571</v>
      </c>
      <c r="H254" t="s">
        <v>4957</v>
      </c>
      <c r="I254" s="79" t="str">
        <f>IF(CARTERA_2026[[#This Row],[RUT]]=774097899,"DIST",_xlfn.XLOOKUP(CARTERA_2026[[#This Row],[VENDEDOR]],dimensiones!$C$21:$C$28,dimensiones!$D$21:$D$28,""))</f>
        <v>ATEL</v>
      </c>
      <c r="J254" s="125" t="str">
        <f>_xlfn.XLOOKUP(CARTERA_2026[[#This Row],[REGION]],dimensiones!C:C,dimensiones!D:D,"")</f>
        <v>Región de Valparaíso</v>
      </c>
    </row>
    <row r="255" spans="1:10" ht="14.25" customHeight="1" x14ac:dyDescent="0.25">
      <c r="A255">
        <v>609100001</v>
      </c>
      <c r="B255" t="s">
        <v>8</v>
      </c>
      <c r="C255" t="s">
        <v>4458</v>
      </c>
      <c r="D255">
        <v>13</v>
      </c>
      <c r="E255" t="s">
        <v>4453</v>
      </c>
      <c r="F255" t="s">
        <v>2469</v>
      </c>
      <c r="G255" t="s">
        <v>5573</v>
      </c>
      <c r="H255" t="s">
        <v>4957</v>
      </c>
      <c r="I255" s="79" t="str">
        <f>IF(CARTERA_2026[[#This Row],[RUT]]=774097899,"DIST",_xlfn.XLOOKUP(CARTERA_2026[[#This Row],[VENDEDOR]],dimensiones!$C$21:$C$28,dimensiones!$D$21:$D$28,""))</f>
        <v>SANT2</v>
      </c>
      <c r="J255" s="125" t="str">
        <f>_xlfn.XLOOKUP(CARTERA_2026[[#This Row],[REGION]],dimensiones!C:C,dimensiones!D:D,"")</f>
        <v>Región de Metropolitana de Santiago</v>
      </c>
    </row>
    <row r="256" spans="1:10" ht="14.25" customHeight="1" x14ac:dyDescent="0.25">
      <c r="A256">
        <v>609110007</v>
      </c>
      <c r="B256" t="s">
        <v>162</v>
      </c>
      <c r="C256" t="s">
        <v>4452</v>
      </c>
      <c r="D256">
        <v>13</v>
      </c>
      <c r="E256" t="s">
        <v>4445</v>
      </c>
      <c r="F256" t="s">
        <v>4043</v>
      </c>
      <c r="G256" t="s">
        <v>5573</v>
      </c>
      <c r="H256" t="s">
        <v>4957</v>
      </c>
      <c r="I256" s="79" t="str">
        <f>IF(CARTERA_2026[[#This Row],[RUT]]=774097899,"DIST",_xlfn.XLOOKUP(CARTERA_2026[[#This Row],[VENDEDOR]],dimensiones!$C$21:$C$28,dimensiones!$D$21:$D$28,""))</f>
        <v>ATEL</v>
      </c>
      <c r="J256" s="125" t="str">
        <f>_xlfn.XLOOKUP(CARTERA_2026[[#This Row],[REGION]],dimensiones!C:C,dimensiones!D:D,"")</f>
        <v>Región de Metropolitana de Santiago</v>
      </c>
    </row>
    <row r="257" spans="1:10" ht="14.25" customHeight="1" x14ac:dyDescent="0.25">
      <c r="A257">
        <v>609210001</v>
      </c>
      <c r="B257" t="s">
        <v>163</v>
      </c>
      <c r="C257" t="s">
        <v>4175</v>
      </c>
      <c r="D257">
        <v>5</v>
      </c>
      <c r="E257" t="s">
        <v>4445</v>
      </c>
      <c r="F257" t="s">
        <v>3288</v>
      </c>
      <c r="G257" t="s">
        <v>5573</v>
      </c>
      <c r="H257" t="s">
        <v>4957</v>
      </c>
      <c r="I257" s="79" t="str">
        <f>IF(CARTERA_2026[[#This Row],[RUT]]=774097899,"DIST",_xlfn.XLOOKUP(CARTERA_2026[[#This Row],[VENDEDOR]],dimensiones!$C$21:$C$28,dimensiones!$D$21:$D$28,""))</f>
        <v>ATEL</v>
      </c>
      <c r="J257" s="125" t="str">
        <f>_xlfn.XLOOKUP(CARTERA_2026[[#This Row],[REGION]],dimensiones!C:C,dimensiones!D:D,"")</f>
        <v>Región de Valparaíso</v>
      </c>
    </row>
    <row r="258" spans="1:10" ht="14.25" customHeight="1" x14ac:dyDescent="0.25">
      <c r="A258">
        <v>610040004</v>
      </c>
      <c r="B258" t="s">
        <v>885</v>
      </c>
      <c r="C258" t="s">
        <v>4168</v>
      </c>
      <c r="D258">
        <v>13</v>
      </c>
      <c r="E258" t="s">
        <v>4445</v>
      </c>
      <c r="F258" t="s">
        <v>4048</v>
      </c>
      <c r="G258" t="s">
        <v>5571</v>
      </c>
      <c r="H258" t="s">
        <v>4957</v>
      </c>
      <c r="I258" s="79" t="str">
        <f>IF(CARTERA_2026[[#This Row],[RUT]]=774097899,"DIST",_xlfn.XLOOKUP(CARTERA_2026[[#This Row],[VENDEDOR]],dimensiones!$C$21:$C$28,dimensiones!$D$21:$D$28,""))</f>
        <v>ATEL</v>
      </c>
      <c r="J258" s="125" t="str">
        <f>_xlfn.XLOOKUP(CARTERA_2026[[#This Row],[REGION]],dimensiones!C:C,dimensiones!D:D,"")</f>
        <v>Región de Metropolitana de Santiago</v>
      </c>
    </row>
    <row r="259" spans="1:10" ht="14.25" customHeight="1" x14ac:dyDescent="0.25">
      <c r="A259">
        <v>610040101</v>
      </c>
      <c r="B259" t="s">
        <v>5672</v>
      </c>
      <c r="C259" t="s">
        <v>4466</v>
      </c>
      <c r="D259">
        <v>3</v>
      </c>
      <c r="E259" t="s">
        <v>4445</v>
      </c>
      <c r="F259" t="s">
        <v>5170</v>
      </c>
      <c r="G259" t="s">
        <v>5571</v>
      </c>
      <c r="H259" t="s">
        <v>4957</v>
      </c>
      <c r="I259" s="79" t="str">
        <f>IF(CARTERA_2026[[#This Row],[RUT]]=774097899,"DIST",_xlfn.XLOOKUP(CARTERA_2026[[#This Row],[VENDEDOR]],dimensiones!$C$21:$C$28,dimensiones!$D$21:$D$28,""))</f>
        <v>ATEL</v>
      </c>
      <c r="J259" s="125" t="str">
        <f>_xlfn.XLOOKUP(CARTERA_2026[[#This Row],[REGION]],dimensiones!C:C,dimensiones!D:D,"")</f>
        <v>Región de Atacama</v>
      </c>
    </row>
    <row r="260" spans="1:10" ht="14.25" customHeight="1" x14ac:dyDescent="0.25">
      <c r="A260">
        <v>610040128</v>
      </c>
      <c r="B260" t="s">
        <v>1017</v>
      </c>
      <c r="C260" t="s">
        <v>4171</v>
      </c>
      <c r="D260">
        <v>4</v>
      </c>
      <c r="E260" t="s">
        <v>4445</v>
      </c>
      <c r="F260" t="s">
        <v>4049</v>
      </c>
      <c r="G260" t="s">
        <v>5571</v>
      </c>
      <c r="H260" t="s">
        <v>4957</v>
      </c>
      <c r="I260" s="79" t="str">
        <f>IF(CARTERA_2026[[#This Row],[RUT]]=774097899,"DIST",_xlfn.XLOOKUP(CARTERA_2026[[#This Row],[VENDEDOR]],dimensiones!$C$21:$C$28,dimensiones!$D$21:$D$28,""))</f>
        <v>ATEL</v>
      </c>
      <c r="J260" s="125" t="str">
        <f>_xlfn.XLOOKUP(CARTERA_2026[[#This Row],[REGION]],dimensiones!C:C,dimensiones!D:D,"")</f>
        <v>Región de Coquimbo</v>
      </c>
    </row>
    <row r="261" spans="1:10" ht="14.25" customHeight="1" x14ac:dyDescent="0.25">
      <c r="A261">
        <v>610040241</v>
      </c>
      <c r="B261" t="s">
        <v>164</v>
      </c>
      <c r="C261" t="s">
        <v>4459</v>
      </c>
      <c r="D261">
        <v>5</v>
      </c>
      <c r="E261" t="s">
        <v>4445</v>
      </c>
      <c r="F261" t="s">
        <v>4051</v>
      </c>
      <c r="G261" t="s">
        <v>5571</v>
      </c>
      <c r="H261" t="s">
        <v>4957</v>
      </c>
      <c r="I261" s="79" t="str">
        <f>IF(CARTERA_2026[[#This Row],[RUT]]=774097899,"DIST",_xlfn.XLOOKUP(CARTERA_2026[[#This Row],[VENDEDOR]],dimensiones!$C$21:$C$28,dimensiones!$D$21:$D$28,""))</f>
        <v>ATEL</v>
      </c>
      <c r="J261" s="125" t="str">
        <f>_xlfn.XLOOKUP(CARTERA_2026[[#This Row],[REGION]],dimensiones!C:C,dimensiones!D:D,"")</f>
        <v>Región de Valparaíso</v>
      </c>
    </row>
    <row r="262" spans="1:10" ht="14.25" customHeight="1" x14ac:dyDescent="0.25">
      <c r="A262" t="s">
        <v>620</v>
      </c>
      <c r="B262" t="s">
        <v>621</v>
      </c>
      <c r="C262" t="s">
        <v>4178</v>
      </c>
      <c r="D262">
        <v>6</v>
      </c>
      <c r="E262" t="s">
        <v>4445</v>
      </c>
      <c r="F262" t="s">
        <v>4053</v>
      </c>
      <c r="G262" t="s">
        <v>5571</v>
      </c>
      <c r="H262" t="s">
        <v>4957</v>
      </c>
      <c r="I262" s="79" t="str">
        <f>IF(CARTERA_2026[[#This Row],[RUT]]=774097899,"DIST",_xlfn.XLOOKUP(CARTERA_2026[[#This Row],[VENDEDOR]],dimensiones!$C$21:$C$28,dimensiones!$D$21:$D$28,""))</f>
        <v>ATEL</v>
      </c>
      <c r="J262" s="125" t="str">
        <f>_xlfn.XLOOKUP(CARTERA_2026[[#This Row],[REGION]],dimensiones!C:C,dimensiones!D:D,"")</f>
        <v>Región de Libertador General Bernardo O'Higgins</v>
      </c>
    </row>
    <row r="263" spans="1:10" ht="14.25" customHeight="1" x14ac:dyDescent="0.25">
      <c r="A263">
        <v>610040683</v>
      </c>
      <c r="B263" t="s">
        <v>944</v>
      </c>
      <c r="C263" t="s">
        <v>4460</v>
      </c>
      <c r="D263">
        <v>8</v>
      </c>
      <c r="E263" t="s">
        <v>4445</v>
      </c>
      <c r="F263" t="s">
        <v>4055</v>
      </c>
      <c r="G263" t="s">
        <v>5571</v>
      </c>
      <c r="H263" t="s">
        <v>4957</v>
      </c>
      <c r="I263" s="79" t="str">
        <f>IF(CARTERA_2026[[#This Row],[RUT]]=774097899,"DIST",_xlfn.XLOOKUP(CARTERA_2026[[#This Row],[VENDEDOR]],dimensiones!$C$21:$C$28,dimensiones!$D$21:$D$28,""))</f>
        <v>ATEL</v>
      </c>
      <c r="J263" s="125" t="str">
        <f>_xlfn.XLOOKUP(CARTERA_2026[[#This Row],[REGION]],dimensiones!C:C,dimensiones!D:D,"")</f>
        <v>Región de Biobío</v>
      </c>
    </row>
    <row r="264" spans="1:10" ht="14.25" customHeight="1" x14ac:dyDescent="0.25">
      <c r="A264">
        <v>610040985</v>
      </c>
      <c r="B264" t="s">
        <v>5734</v>
      </c>
      <c r="C264" t="s">
        <v>4224</v>
      </c>
      <c r="D264">
        <v>10</v>
      </c>
      <c r="E264" t="s">
        <v>4445</v>
      </c>
      <c r="F264" t="s">
        <v>5172</v>
      </c>
      <c r="G264" t="s">
        <v>5571</v>
      </c>
      <c r="H264" t="s">
        <v>4957</v>
      </c>
      <c r="I264" s="79" t="str">
        <f>IF(CARTERA_2026[[#This Row],[RUT]]=774097899,"DIST",_xlfn.XLOOKUP(CARTERA_2026[[#This Row],[VENDEDOR]],dimensiones!$C$21:$C$28,dimensiones!$D$21:$D$28,""))</f>
        <v>ATEL</v>
      </c>
      <c r="J264" s="125" t="str">
        <f>_xlfn.XLOOKUP(CARTERA_2026[[#This Row],[REGION]],dimensiones!C:C,dimensiones!D:D,"")</f>
        <v>Región de Los Lagos</v>
      </c>
    </row>
    <row r="265" spans="1:10" ht="14.25" customHeight="1" x14ac:dyDescent="0.25">
      <c r="A265">
        <v>610080006</v>
      </c>
      <c r="B265" t="s">
        <v>4462</v>
      </c>
      <c r="C265" t="s">
        <v>4460</v>
      </c>
      <c r="D265">
        <v>8</v>
      </c>
      <c r="E265" t="s">
        <v>4445</v>
      </c>
      <c r="F265" t="s">
        <v>4461</v>
      </c>
      <c r="G265" t="s">
        <v>5571</v>
      </c>
      <c r="H265" t="s">
        <v>4957</v>
      </c>
      <c r="I265" s="79" t="str">
        <f>IF(CARTERA_2026[[#This Row],[RUT]]=774097899,"DIST",_xlfn.XLOOKUP(CARTERA_2026[[#This Row],[VENDEDOR]],dimensiones!$C$21:$C$28,dimensiones!$D$21:$D$28,""))</f>
        <v>ATEL</v>
      </c>
      <c r="J265" s="125" t="str">
        <f>_xlfn.XLOOKUP(CARTERA_2026[[#This Row],[REGION]],dimensiones!C:C,dimensiones!D:D,"")</f>
        <v>Región de Biobío</v>
      </c>
    </row>
    <row r="266" spans="1:10" ht="14.25" customHeight="1" x14ac:dyDescent="0.25">
      <c r="A266">
        <v>611010303</v>
      </c>
      <c r="B266" t="s">
        <v>9</v>
      </c>
      <c r="C266" t="s">
        <v>4463</v>
      </c>
      <c r="D266">
        <v>13</v>
      </c>
      <c r="E266" t="s">
        <v>4457</v>
      </c>
      <c r="F266" t="s">
        <v>2172</v>
      </c>
      <c r="G266" t="s">
        <v>5572</v>
      </c>
      <c r="H266" t="s">
        <v>4957</v>
      </c>
      <c r="I266" s="79" t="str">
        <f>IF(CARTERA_2026[[#This Row],[RUT]]=774097899,"DIST",_xlfn.XLOOKUP(CARTERA_2026[[#This Row],[VENDEDOR]],dimensiones!$C$21:$C$28,dimensiones!$D$21:$D$28,""))</f>
        <v>SANT1</v>
      </c>
      <c r="J266" s="125" t="str">
        <f>_xlfn.XLOOKUP(CARTERA_2026[[#This Row],[REGION]],dimensiones!C:C,dimensiones!D:D,"")</f>
        <v>Región de Metropolitana de Santiago</v>
      </c>
    </row>
    <row r="267" spans="1:10" ht="14.25" customHeight="1" x14ac:dyDescent="0.25">
      <c r="A267">
        <v>611010311</v>
      </c>
      <c r="B267" t="s">
        <v>2641</v>
      </c>
      <c r="C267" t="s">
        <v>4168</v>
      </c>
      <c r="D267">
        <v>13</v>
      </c>
      <c r="E267" t="s">
        <v>4445</v>
      </c>
      <c r="F267" t="s">
        <v>2640</v>
      </c>
      <c r="G267" t="s">
        <v>5571</v>
      </c>
      <c r="H267" t="s">
        <v>4957</v>
      </c>
      <c r="I267" s="79" t="str">
        <f>IF(CARTERA_2026[[#This Row],[RUT]]=774097899,"DIST",_xlfn.XLOOKUP(CARTERA_2026[[#This Row],[VENDEDOR]],dimensiones!$C$21:$C$28,dimensiones!$D$21:$D$28,""))</f>
        <v>ATEL</v>
      </c>
      <c r="J267" s="125" t="str">
        <f>_xlfn.XLOOKUP(CARTERA_2026[[#This Row],[REGION]],dimensiones!C:C,dimensiones!D:D,"")</f>
        <v>Región de Metropolitana de Santiago</v>
      </c>
    </row>
    <row r="268" spans="1:10" ht="14.25" customHeight="1" x14ac:dyDescent="0.25">
      <c r="A268">
        <v>611010826</v>
      </c>
      <c r="B268" t="s">
        <v>4060</v>
      </c>
      <c r="C268" t="s">
        <v>4181</v>
      </c>
      <c r="D268">
        <v>15</v>
      </c>
      <c r="E268" t="s">
        <v>4445</v>
      </c>
      <c r="F268" t="s">
        <v>4059</v>
      </c>
      <c r="G268" t="s">
        <v>5571</v>
      </c>
      <c r="H268" t="s">
        <v>4957</v>
      </c>
      <c r="I268" s="79" t="str">
        <f>IF(CARTERA_2026[[#This Row],[RUT]]=774097899,"DIST",_xlfn.XLOOKUP(CARTERA_2026[[#This Row],[VENDEDOR]],dimensiones!$C$21:$C$28,dimensiones!$D$21:$D$28,""))</f>
        <v>ATEL</v>
      </c>
      <c r="J268" s="125" t="str">
        <f>_xlfn.XLOOKUP(CARTERA_2026[[#This Row],[REGION]],dimensiones!C:C,dimensiones!D:D,"")</f>
        <v>Región de Arica y Parinacota</v>
      </c>
    </row>
    <row r="269" spans="1:10" ht="14.25" customHeight="1" x14ac:dyDescent="0.25">
      <c r="A269">
        <v>611010869</v>
      </c>
      <c r="B269" t="s">
        <v>166</v>
      </c>
      <c r="C269" t="s">
        <v>4182</v>
      </c>
      <c r="D269">
        <v>2</v>
      </c>
      <c r="E269" t="s">
        <v>4445</v>
      </c>
      <c r="F269" t="s">
        <v>1434</v>
      </c>
      <c r="G269" t="s">
        <v>5572</v>
      </c>
      <c r="H269" t="s">
        <v>4957</v>
      </c>
      <c r="I269" s="79" t="str">
        <f>IF(CARTERA_2026[[#This Row],[RUT]]=774097899,"DIST",_xlfn.XLOOKUP(CARTERA_2026[[#This Row],[VENDEDOR]],dimensiones!$C$21:$C$28,dimensiones!$D$21:$D$28,""))</f>
        <v>ATEL</v>
      </c>
      <c r="J269" s="125" t="str">
        <f>_xlfn.XLOOKUP(CARTERA_2026[[#This Row],[REGION]],dimensiones!C:C,dimensiones!D:D,"")</f>
        <v>Región de Antofagasta</v>
      </c>
    </row>
    <row r="270" spans="1:10" ht="14.25" customHeight="1" x14ac:dyDescent="0.25">
      <c r="A270">
        <v>611020171</v>
      </c>
      <c r="B270" t="s">
        <v>10</v>
      </c>
      <c r="C270" t="s">
        <v>4175</v>
      </c>
      <c r="D270">
        <v>5</v>
      </c>
      <c r="E270" t="s">
        <v>2372</v>
      </c>
      <c r="F270" t="s">
        <v>1329</v>
      </c>
      <c r="G270" t="s">
        <v>5572</v>
      </c>
      <c r="H270" t="s">
        <v>4957</v>
      </c>
      <c r="I270" s="79" t="str">
        <f>IF(CARTERA_2026[[#This Row],[RUT]]=774097899,"DIST",_xlfn.XLOOKUP(CARTERA_2026[[#This Row],[VENDEDOR]],dimensiones!$C$21:$C$28,dimensiones!$D$21:$D$28,""))</f>
        <v>NOR1</v>
      </c>
      <c r="J270" s="125" t="str">
        <f>_xlfn.XLOOKUP(CARTERA_2026[[#This Row],[REGION]],dimensiones!C:C,dimensiones!D:D,"")</f>
        <v>Región de Valparaíso</v>
      </c>
    </row>
    <row r="271" spans="1:10" ht="14.25" customHeight="1" x14ac:dyDescent="0.25">
      <c r="A271">
        <v>611020252</v>
      </c>
      <c r="B271" t="s">
        <v>11</v>
      </c>
      <c r="C271" t="s">
        <v>4183</v>
      </c>
      <c r="D271">
        <v>8</v>
      </c>
      <c r="E271" t="s">
        <v>4464</v>
      </c>
      <c r="F271" t="s">
        <v>3614</v>
      </c>
      <c r="G271" t="s">
        <v>5572</v>
      </c>
      <c r="H271" t="s">
        <v>4957</v>
      </c>
      <c r="I271" s="79" t="str">
        <f>IF(CARTERA_2026[[#This Row],[RUT]]=774097899,"DIST",_xlfn.XLOOKUP(CARTERA_2026[[#This Row],[VENDEDOR]],dimensiones!$C$21:$C$28,dimensiones!$D$21:$D$28,""))</f>
        <v>SUR1</v>
      </c>
      <c r="J271" s="125" t="str">
        <f>_xlfn.XLOOKUP(CARTERA_2026[[#This Row],[REGION]],dimensiones!C:C,dimensiones!D:D,"")</f>
        <v>Región de Biobío</v>
      </c>
    </row>
    <row r="272" spans="1:10" ht="14.25" customHeight="1" x14ac:dyDescent="0.25">
      <c r="A272">
        <v>611020295</v>
      </c>
      <c r="B272" t="s">
        <v>167</v>
      </c>
      <c r="C272" t="s">
        <v>4185</v>
      </c>
      <c r="D272">
        <v>12</v>
      </c>
      <c r="E272" t="s">
        <v>4445</v>
      </c>
      <c r="F272" t="s">
        <v>2213</v>
      </c>
      <c r="G272" t="s">
        <v>5572</v>
      </c>
      <c r="H272" t="s">
        <v>4957</v>
      </c>
      <c r="I272" s="79" t="str">
        <f>IF(CARTERA_2026[[#This Row],[RUT]]=774097899,"DIST",_xlfn.XLOOKUP(CARTERA_2026[[#This Row],[VENDEDOR]],dimensiones!$C$21:$C$28,dimensiones!$D$21:$D$28,""))</f>
        <v>ATEL</v>
      </c>
      <c r="J272" s="125" t="str">
        <f>_xlfn.XLOOKUP(CARTERA_2026[[#This Row],[REGION]],dimensiones!C:C,dimensiones!D:D,"")</f>
        <v>Región de Magallanes y de la Antártica Chilena</v>
      </c>
    </row>
    <row r="273" spans="1:10" ht="14.25" customHeight="1" x14ac:dyDescent="0.25">
      <c r="A273">
        <v>611020678</v>
      </c>
      <c r="B273" t="s">
        <v>168</v>
      </c>
      <c r="C273" t="s">
        <v>4183</v>
      </c>
      <c r="D273">
        <v>8</v>
      </c>
      <c r="E273" t="s">
        <v>4445</v>
      </c>
      <c r="F273" t="s">
        <v>2286</v>
      </c>
      <c r="G273" t="s">
        <v>5571</v>
      </c>
      <c r="H273" t="s">
        <v>4957</v>
      </c>
      <c r="I273" s="79" t="str">
        <f>IF(CARTERA_2026[[#This Row],[RUT]]=774097899,"DIST",_xlfn.XLOOKUP(CARTERA_2026[[#This Row],[VENDEDOR]],dimensiones!$C$21:$C$28,dimensiones!$D$21:$D$28,""))</f>
        <v>ATEL</v>
      </c>
      <c r="J273" s="125" t="str">
        <f>_xlfn.XLOOKUP(CARTERA_2026[[#This Row],[REGION]],dimensiones!C:C,dimensiones!D:D,"")</f>
        <v>Región de Biobío</v>
      </c>
    </row>
    <row r="274" spans="1:10" ht="14.25" customHeight="1" x14ac:dyDescent="0.25">
      <c r="A274">
        <v>611030061</v>
      </c>
      <c r="B274" t="s">
        <v>1021</v>
      </c>
      <c r="C274" t="s">
        <v>4186</v>
      </c>
      <c r="D274">
        <v>1</v>
      </c>
      <c r="E274" t="s">
        <v>4453</v>
      </c>
      <c r="F274" t="s">
        <v>4074</v>
      </c>
      <c r="G274" t="s">
        <v>5568</v>
      </c>
      <c r="H274" t="s">
        <v>4957</v>
      </c>
      <c r="I274" s="79" t="str">
        <f>IF(CARTERA_2026[[#This Row],[RUT]]=774097899,"DIST",_xlfn.XLOOKUP(CARTERA_2026[[#This Row],[VENDEDOR]],dimensiones!$C$21:$C$28,dimensiones!$D$21:$D$28,""))</f>
        <v>SANT2</v>
      </c>
      <c r="J274" s="125" t="str">
        <f>_xlfn.XLOOKUP(CARTERA_2026[[#This Row],[REGION]],dimensiones!C:C,dimensiones!D:D,"")</f>
        <v>Región de Tarapacá</v>
      </c>
    </row>
    <row r="275" spans="1:10" ht="14.25" customHeight="1" x14ac:dyDescent="0.25">
      <c r="A275" t="s">
        <v>143</v>
      </c>
      <c r="B275" t="s">
        <v>144</v>
      </c>
      <c r="C275" t="s">
        <v>4465</v>
      </c>
      <c r="D275">
        <v>13</v>
      </c>
      <c r="E275" t="s">
        <v>4457</v>
      </c>
      <c r="F275" t="s">
        <v>3804</v>
      </c>
      <c r="G275" t="s">
        <v>5572</v>
      </c>
      <c r="H275" t="s">
        <v>4957</v>
      </c>
      <c r="I275" s="79" t="str">
        <f>IF(CARTERA_2026[[#This Row],[RUT]]=774097899,"DIST",_xlfn.XLOOKUP(CARTERA_2026[[#This Row],[VENDEDOR]],dimensiones!$C$21:$C$28,dimensiones!$D$21:$D$28,""))</f>
        <v>SANT1</v>
      </c>
      <c r="J275" s="125" t="str">
        <f>_xlfn.XLOOKUP(CARTERA_2026[[#This Row],[REGION]],dimensiones!C:C,dimensiones!D:D,"")</f>
        <v>Región de Metropolitana de Santiago</v>
      </c>
    </row>
    <row r="276" spans="1:10" ht="14.25" customHeight="1" x14ac:dyDescent="0.25">
      <c r="A276">
        <v>611030193</v>
      </c>
      <c r="B276" t="s">
        <v>169</v>
      </c>
      <c r="C276" t="s">
        <v>4182</v>
      </c>
      <c r="D276">
        <v>2</v>
      </c>
      <c r="E276" t="s">
        <v>4445</v>
      </c>
      <c r="F276" t="s">
        <v>4079</v>
      </c>
      <c r="G276" t="s">
        <v>5571</v>
      </c>
      <c r="H276" t="s">
        <v>4957</v>
      </c>
      <c r="I276" s="79" t="str">
        <f>IF(CARTERA_2026[[#This Row],[RUT]]=774097899,"DIST",_xlfn.XLOOKUP(CARTERA_2026[[#This Row],[VENDEDOR]],dimensiones!$C$21:$C$28,dimensiones!$D$21:$D$28,""))</f>
        <v>ATEL</v>
      </c>
      <c r="J276" s="125" t="str">
        <f>_xlfn.XLOOKUP(CARTERA_2026[[#This Row],[REGION]],dimensiones!C:C,dimensiones!D:D,"")</f>
        <v>Región de Antofagasta</v>
      </c>
    </row>
    <row r="277" spans="1:10" ht="14.25" customHeight="1" x14ac:dyDescent="0.25">
      <c r="A277">
        <v>611030355</v>
      </c>
      <c r="B277" t="s">
        <v>1000</v>
      </c>
      <c r="C277" t="s">
        <v>4411</v>
      </c>
      <c r="D277">
        <v>13</v>
      </c>
      <c r="E277" t="s">
        <v>4445</v>
      </c>
      <c r="F277" t="s">
        <v>4081</v>
      </c>
      <c r="G277" t="s">
        <v>5571</v>
      </c>
      <c r="H277" t="s">
        <v>4957</v>
      </c>
      <c r="I277" s="79" t="str">
        <f>IF(CARTERA_2026[[#This Row],[RUT]]=774097899,"DIST",_xlfn.XLOOKUP(CARTERA_2026[[#This Row],[VENDEDOR]],dimensiones!$C$21:$C$28,dimensiones!$D$21:$D$28,""))</f>
        <v>ATEL</v>
      </c>
      <c r="J277" s="125" t="str">
        <f>_xlfn.XLOOKUP(CARTERA_2026[[#This Row],[REGION]],dimensiones!C:C,dimensiones!D:D,"")</f>
        <v>Región de Metropolitana de Santiago</v>
      </c>
    </row>
    <row r="278" spans="1:10" ht="14.25" customHeight="1" x14ac:dyDescent="0.25">
      <c r="A278">
        <v>611070004</v>
      </c>
      <c r="B278" t="s">
        <v>4084</v>
      </c>
      <c r="C278" t="s">
        <v>4391</v>
      </c>
      <c r="D278">
        <v>13</v>
      </c>
      <c r="E278" t="s">
        <v>4445</v>
      </c>
      <c r="F278" t="s">
        <v>4083</v>
      </c>
      <c r="G278" t="s">
        <v>5571</v>
      </c>
      <c r="H278" t="s">
        <v>4957</v>
      </c>
      <c r="I278" s="79" t="str">
        <f>IF(CARTERA_2026[[#This Row],[RUT]]=774097899,"DIST",_xlfn.XLOOKUP(CARTERA_2026[[#This Row],[VENDEDOR]],dimensiones!$C$21:$C$28,dimensiones!$D$21:$D$28,""))</f>
        <v>ATEL</v>
      </c>
      <c r="J278" s="125" t="str">
        <f>_xlfn.XLOOKUP(CARTERA_2026[[#This Row],[REGION]],dimensiones!C:C,dimensiones!D:D,"")</f>
        <v>Región de Metropolitana de Santiago</v>
      </c>
    </row>
    <row r="279" spans="1:10" ht="14.25" customHeight="1" x14ac:dyDescent="0.25">
      <c r="A279" t="s">
        <v>622</v>
      </c>
      <c r="B279" t="s">
        <v>623</v>
      </c>
      <c r="C279" t="s">
        <v>4177</v>
      </c>
      <c r="D279">
        <v>13</v>
      </c>
      <c r="E279" t="s">
        <v>4445</v>
      </c>
      <c r="F279" t="s">
        <v>3649</v>
      </c>
      <c r="G279" t="s">
        <v>5571</v>
      </c>
      <c r="H279" t="s">
        <v>4957</v>
      </c>
      <c r="I279" s="79" t="str">
        <f>IF(CARTERA_2026[[#This Row],[RUT]]=774097899,"DIST",_xlfn.XLOOKUP(CARTERA_2026[[#This Row],[VENDEDOR]],dimensiones!$C$21:$C$28,dimensiones!$D$21:$D$28,""))</f>
        <v>ATEL</v>
      </c>
      <c r="J279" s="125" t="str">
        <f>_xlfn.XLOOKUP(CARTERA_2026[[#This Row],[REGION]],dimensiones!C:C,dimensiones!D:D,"")</f>
        <v>Región de Metropolitana de Santiago</v>
      </c>
    </row>
    <row r="280" spans="1:10" ht="14.25" customHeight="1" x14ac:dyDescent="0.25">
      <c r="A280">
        <v>613080007</v>
      </c>
      <c r="B280" t="s">
        <v>170</v>
      </c>
      <c r="C280" t="s">
        <v>4466</v>
      </c>
      <c r="D280">
        <v>3</v>
      </c>
      <c r="E280" t="s">
        <v>4445</v>
      </c>
      <c r="F280" t="s">
        <v>4086</v>
      </c>
      <c r="G280" t="s">
        <v>5571</v>
      </c>
      <c r="H280" t="s">
        <v>4957</v>
      </c>
      <c r="I280" s="79" t="str">
        <f>IF(CARTERA_2026[[#This Row],[RUT]]=774097899,"DIST",_xlfn.XLOOKUP(CARTERA_2026[[#This Row],[VENDEDOR]],dimensiones!$C$21:$C$28,dimensiones!$D$21:$D$28,""))</f>
        <v>ATEL</v>
      </c>
      <c r="J280" s="125" t="str">
        <f>_xlfn.XLOOKUP(CARTERA_2026[[#This Row],[REGION]],dimensiones!C:C,dimensiones!D:D,"")</f>
        <v>Región de Atacama</v>
      </c>
    </row>
    <row r="281" spans="1:10" ht="14.25" customHeight="1" x14ac:dyDescent="0.25">
      <c r="A281">
        <v>613130004</v>
      </c>
      <c r="B281" t="s">
        <v>989</v>
      </c>
      <c r="C281" t="s">
        <v>4467</v>
      </c>
      <c r="D281">
        <v>14</v>
      </c>
      <c r="E281" t="s">
        <v>4445</v>
      </c>
      <c r="F281" t="s">
        <v>4088</v>
      </c>
      <c r="G281" t="s">
        <v>5574</v>
      </c>
      <c r="H281" t="s">
        <v>4957</v>
      </c>
      <c r="I281" s="79" t="str">
        <f>IF(CARTERA_2026[[#This Row],[RUT]]=774097899,"DIST",_xlfn.XLOOKUP(CARTERA_2026[[#This Row],[VENDEDOR]],dimensiones!$C$21:$C$28,dimensiones!$D$21:$D$28,""))</f>
        <v>ATEL</v>
      </c>
      <c r="J281" s="125" t="str">
        <f>_xlfn.XLOOKUP(CARTERA_2026[[#This Row],[REGION]],dimensiones!C:C,dimensiones!D:D,"")</f>
        <v>Región de Los Ríos</v>
      </c>
    </row>
    <row r="282" spans="1:10" ht="14.25" customHeight="1" x14ac:dyDescent="0.25">
      <c r="A282">
        <v>615130036</v>
      </c>
      <c r="B282" t="s">
        <v>7</v>
      </c>
      <c r="C282" t="s">
        <v>4465</v>
      </c>
      <c r="D282">
        <v>13</v>
      </c>
      <c r="E282" t="s">
        <v>4457</v>
      </c>
      <c r="F282" t="s">
        <v>2590</v>
      </c>
      <c r="G282" t="s">
        <v>5571</v>
      </c>
      <c r="H282" t="s">
        <v>4957</v>
      </c>
      <c r="I282" s="79" t="str">
        <f>IF(CARTERA_2026[[#This Row],[RUT]]=774097899,"DIST",_xlfn.XLOOKUP(CARTERA_2026[[#This Row],[VENDEDOR]],dimensiones!$C$21:$C$28,dimensiones!$D$21:$D$28,""))</f>
        <v>SANT1</v>
      </c>
      <c r="J282" s="125" t="str">
        <f>_xlfn.XLOOKUP(CARTERA_2026[[#This Row],[REGION]],dimensiones!C:C,dimensiones!D:D,"")</f>
        <v>Región de Metropolitana de Santiago</v>
      </c>
    </row>
    <row r="283" spans="1:10" ht="14.25" customHeight="1" x14ac:dyDescent="0.25">
      <c r="A283" t="s">
        <v>624</v>
      </c>
      <c r="B283" t="s">
        <v>625</v>
      </c>
      <c r="C283" t="s">
        <v>4459</v>
      </c>
      <c r="D283">
        <v>4</v>
      </c>
      <c r="E283" t="s">
        <v>4445</v>
      </c>
      <c r="F283" t="s">
        <v>4093</v>
      </c>
      <c r="G283" t="s">
        <v>5571</v>
      </c>
      <c r="H283" t="s">
        <v>4957</v>
      </c>
      <c r="I283" s="79" t="str">
        <f>IF(CARTERA_2026[[#This Row],[RUT]]=774097899,"DIST",_xlfn.XLOOKUP(CARTERA_2026[[#This Row],[VENDEDOR]],dimensiones!$C$21:$C$28,dimensiones!$D$21:$D$28,""))</f>
        <v>ATEL</v>
      </c>
      <c r="J283" s="125" t="str">
        <f>_xlfn.XLOOKUP(CARTERA_2026[[#This Row],[REGION]],dimensiones!C:C,dimensiones!D:D,"")</f>
        <v>Región de Coquimbo</v>
      </c>
    </row>
    <row r="284" spans="1:10" ht="14.25" customHeight="1" x14ac:dyDescent="0.25">
      <c r="A284">
        <v>616020366</v>
      </c>
      <c r="B284" t="s">
        <v>13</v>
      </c>
      <c r="C284" t="s">
        <v>4192</v>
      </c>
      <c r="D284">
        <v>5</v>
      </c>
      <c r="E284" t="s">
        <v>2372</v>
      </c>
      <c r="F284" t="s">
        <v>4095</v>
      </c>
      <c r="G284" t="s">
        <v>5572</v>
      </c>
      <c r="H284" t="s">
        <v>4957</v>
      </c>
      <c r="I284" s="79" t="str">
        <f>IF(CARTERA_2026[[#This Row],[RUT]]=774097899,"DIST",_xlfn.XLOOKUP(CARTERA_2026[[#This Row],[VENDEDOR]],dimensiones!$C$21:$C$28,dimensiones!$D$21:$D$28,""))</f>
        <v>NOR1</v>
      </c>
      <c r="J284" s="125" t="str">
        <f>_xlfn.XLOOKUP(CARTERA_2026[[#This Row],[REGION]],dimensiones!C:C,dimensiones!D:D,"")</f>
        <v>Región de Valparaíso</v>
      </c>
    </row>
    <row r="285" spans="1:10" ht="14.25" customHeight="1" x14ac:dyDescent="0.25">
      <c r="A285">
        <v>616020382</v>
      </c>
      <c r="B285" t="s">
        <v>742</v>
      </c>
      <c r="C285" t="s">
        <v>4174</v>
      </c>
      <c r="D285">
        <v>5</v>
      </c>
      <c r="E285" t="s">
        <v>2372</v>
      </c>
      <c r="F285" t="s">
        <v>3290</v>
      </c>
      <c r="G285" t="s">
        <v>5572</v>
      </c>
      <c r="H285" t="s">
        <v>4957</v>
      </c>
      <c r="I285" s="79" t="str">
        <f>IF(CARTERA_2026[[#This Row],[RUT]]=774097899,"DIST",_xlfn.XLOOKUP(CARTERA_2026[[#This Row],[VENDEDOR]],dimensiones!$C$21:$C$28,dimensiones!$D$21:$D$28,""))</f>
        <v>NOR1</v>
      </c>
      <c r="J285" s="125" t="str">
        <f>_xlfn.XLOOKUP(CARTERA_2026[[#This Row],[REGION]],dimensiones!C:C,dimensiones!D:D,"")</f>
        <v>Región de Valparaíso</v>
      </c>
    </row>
    <row r="286" spans="1:10" ht="14.25" customHeight="1" x14ac:dyDescent="0.25">
      <c r="A286">
        <v>616020404</v>
      </c>
      <c r="B286" t="s">
        <v>4428</v>
      </c>
      <c r="C286" t="s">
        <v>4256</v>
      </c>
      <c r="D286">
        <v>5</v>
      </c>
      <c r="E286" t="s">
        <v>4445</v>
      </c>
      <c r="F286" t="s">
        <v>4468</v>
      </c>
      <c r="G286" t="s">
        <v>5572</v>
      </c>
      <c r="H286" t="s">
        <v>4957</v>
      </c>
      <c r="I286" s="79" t="str">
        <f>IF(CARTERA_2026[[#This Row],[RUT]]=774097899,"DIST",_xlfn.XLOOKUP(CARTERA_2026[[#This Row],[VENDEDOR]],dimensiones!$C$21:$C$28,dimensiones!$D$21:$D$28,""))</f>
        <v>ATEL</v>
      </c>
      <c r="J286" s="125" t="str">
        <f>_xlfn.XLOOKUP(CARTERA_2026[[#This Row],[REGION]],dimensiones!C:C,dimensiones!D:D,"")</f>
        <v>Región de Valparaíso</v>
      </c>
    </row>
    <row r="287" spans="1:10" ht="14.25" customHeight="1" x14ac:dyDescent="0.25">
      <c r="A287">
        <v>616020420</v>
      </c>
      <c r="B287" t="s">
        <v>764</v>
      </c>
      <c r="C287" t="s">
        <v>4469</v>
      </c>
      <c r="D287">
        <v>5</v>
      </c>
      <c r="E287" t="s">
        <v>4445</v>
      </c>
      <c r="F287" t="s">
        <v>1375</v>
      </c>
      <c r="G287" t="s">
        <v>5572</v>
      </c>
      <c r="H287" t="s">
        <v>4957</v>
      </c>
      <c r="I287" s="79" t="str">
        <f>IF(CARTERA_2026[[#This Row],[RUT]]=774097899,"DIST",_xlfn.XLOOKUP(CARTERA_2026[[#This Row],[VENDEDOR]],dimensiones!$C$21:$C$28,dimensiones!$D$21:$D$28,""))</f>
        <v>ATEL</v>
      </c>
      <c r="J287" s="125" t="str">
        <f>_xlfn.XLOOKUP(CARTERA_2026[[#This Row],[REGION]],dimensiones!C:C,dimensiones!D:D,"")</f>
        <v>Región de Valparaíso</v>
      </c>
    </row>
    <row r="288" spans="1:10" ht="14.25" customHeight="1" x14ac:dyDescent="0.25">
      <c r="A288">
        <v>616020544</v>
      </c>
      <c r="B288" t="s">
        <v>14</v>
      </c>
      <c r="C288" t="s">
        <v>4459</v>
      </c>
      <c r="D288">
        <v>5</v>
      </c>
      <c r="E288" t="s">
        <v>2372</v>
      </c>
      <c r="F288" t="s">
        <v>1785</v>
      </c>
      <c r="G288" t="s">
        <v>5572</v>
      </c>
      <c r="H288" t="s">
        <v>4957</v>
      </c>
      <c r="I288" s="79" t="str">
        <f>IF(CARTERA_2026[[#This Row],[RUT]]=774097899,"DIST",_xlfn.XLOOKUP(CARTERA_2026[[#This Row],[VENDEDOR]],dimensiones!$C$21:$C$28,dimensiones!$D$21:$D$28,""))</f>
        <v>NOR1</v>
      </c>
      <c r="J288" s="125" t="str">
        <f>_xlfn.XLOOKUP(CARTERA_2026[[#This Row],[REGION]],dimensiones!C:C,dimensiones!D:D,"")</f>
        <v>Región de Valparaíso</v>
      </c>
    </row>
    <row r="289" spans="1:10" ht="14.25" customHeight="1" x14ac:dyDescent="0.25">
      <c r="A289">
        <v>616020579</v>
      </c>
      <c r="B289" t="s">
        <v>15</v>
      </c>
      <c r="C289" t="s">
        <v>4459</v>
      </c>
      <c r="D289">
        <v>5</v>
      </c>
      <c r="E289" t="s">
        <v>2372</v>
      </c>
      <c r="F289" t="s">
        <v>3727</v>
      </c>
      <c r="G289" t="s">
        <v>5572</v>
      </c>
      <c r="H289" t="s">
        <v>4957</v>
      </c>
      <c r="I289" s="79" t="str">
        <f>IF(CARTERA_2026[[#This Row],[RUT]]=774097899,"DIST",_xlfn.XLOOKUP(CARTERA_2026[[#This Row],[VENDEDOR]],dimensiones!$C$21:$C$28,dimensiones!$D$21:$D$28,""))</f>
        <v>NOR1</v>
      </c>
      <c r="J289" s="125" t="str">
        <f>_xlfn.XLOOKUP(CARTERA_2026[[#This Row],[REGION]],dimensiones!C:C,dimensiones!D:D,"")</f>
        <v>Región de Valparaíso</v>
      </c>
    </row>
    <row r="290" spans="1:10" ht="14.25" customHeight="1" x14ac:dyDescent="0.25">
      <c r="A290">
        <v>616020676</v>
      </c>
      <c r="B290" t="s">
        <v>4104</v>
      </c>
      <c r="C290" t="s">
        <v>4193</v>
      </c>
      <c r="D290">
        <v>5</v>
      </c>
      <c r="E290" t="s">
        <v>4445</v>
      </c>
      <c r="F290" t="s">
        <v>4103</v>
      </c>
      <c r="G290" t="s">
        <v>5572</v>
      </c>
      <c r="H290" t="s">
        <v>4957</v>
      </c>
      <c r="I290" s="79" t="str">
        <f>IF(CARTERA_2026[[#This Row],[RUT]]=774097899,"DIST",_xlfn.XLOOKUP(CARTERA_2026[[#This Row],[VENDEDOR]],dimensiones!$C$21:$C$28,dimensiones!$D$21:$D$28,""))</f>
        <v>ATEL</v>
      </c>
      <c r="J290" s="125" t="str">
        <f>_xlfn.XLOOKUP(CARTERA_2026[[#This Row],[REGION]],dimensiones!C:C,dimensiones!D:D,"")</f>
        <v>Región de Valparaíso</v>
      </c>
    </row>
    <row r="291" spans="1:10" ht="14.25" customHeight="1" x14ac:dyDescent="0.25">
      <c r="A291">
        <v>616021176</v>
      </c>
      <c r="B291" t="s">
        <v>16</v>
      </c>
      <c r="C291" t="s">
        <v>4470</v>
      </c>
      <c r="D291">
        <v>13</v>
      </c>
      <c r="E291" t="s">
        <v>4445</v>
      </c>
      <c r="F291" t="s">
        <v>1480</v>
      </c>
      <c r="G291" t="s">
        <v>5571</v>
      </c>
      <c r="H291" t="s">
        <v>4957</v>
      </c>
      <c r="I291" s="79" t="str">
        <f>IF(CARTERA_2026[[#This Row],[RUT]]=774097899,"DIST",_xlfn.XLOOKUP(CARTERA_2026[[#This Row],[VENDEDOR]],dimensiones!$C$21:$C$28,dimensiones!$D$21:$D$28,""))</f>
        <v>ATEL</v>
      </c>
      <c r="J291" s="125" t="str">
        <f>_xlfn.XLOOKUP(CARTERA_2026[[#This Row],[REGION]],dimensiones!C:C,dimensiones!D:D,"")</f>
        <v>Región de Metropolitana de Santiago</v>
      </c>
    </row>
    <row r="292" spans="1:10" ht="14.25" customHeight="1" x14ac:dyDescent="0.25">
      <c r="A292">
        <v>616021214</v>
      </c>
      <c r="B292" t="s">
        <v>172</v>
      </c>
      <c r="C292" t="s">
        <v>4194</v>
      </c>
      <c r="D292">
        <v>13</v>
      </c>
      <c r="E292" t="s">
        <v>4445</v>
      </c>
      <c r="F292" t="s">
        <v>2973</v>
      </c>
      <c r="G292" t="s">
        <v>5572</v>
      </c>
      <c r="H292" t="s">
        <v>4957</v>
      </c>
      <c r="I292" s="79" t="str">
        <f>IF(CARTERA_2026[[#This Row],[RUT]]=774097899,"DIST",_xlfn.XLOOKUP(CARTERA_2026[[#This Row],[VENDEDOR]],dimensiones!$C$21:$C$28,dimensiones!$D$21:$D$28,""))</f>
        <v>ATEL</v>
      </c>
      <c r="J292" s="125" t="str">
        <f>_xlfn.XLOOKUP(CARTERA_2026[[#This Row],[REGION]],dimensiones!C:C,dimensiones!D:D,"")</f>
        <v>Región de Metropolitana de Santiago</v>
      </c>
    </row>
    <row r="293" spans="1:10" ht="14.25" customHeight="1" x14ac:dyDescent="0.25">
      <c r="A293">
        <v>616021222</v>
      </c>
      <c r="B293" t="s">
        <v>173</v>
      </c>
      <c r="C293" t="s">
        <v>4196</v>
      </c>
      <c r="D293">
        <v>13</v>
      </c>
      <c r="E293" t="s">
        <v>4445</v>
      </c>
      <c r="F293" t="s">
        <v>2170</v>
      </c>
      <c r="G293" t="s">
        <v>5572</v>
      </c>
      <c r="H293" t="s">
        <v>4957</v>
      </c>
      <c r="I293" s="79" t="str">
        <f>IF(CARTERA_2026[[#This Row],[RUT]]=774097899,"DIST",_xlfn.XLOOKUP(CARTERA_2026[[#This Row],[VENDEDOR]],dimensiones!$C$21:$C$28,dimensiones!$D$21:$D$28,""))</f>
        <v>ATEL</v>
      </c>
      <c r="J293" s="125" t="str">
        <f>_xlfn.XLOOKUP(CARTERA_2026[[#This Row],[REGION]],dimensiones!C:C,dimensiones!D:D,"")</f>
        <v>Región de Metropolitana de Santiago</v>
      </c>
    </row>
    <row r="294" spans="1:10" ht="14.25" customHeight="1" x14ac:dyDescent="0.25">
      <c r="A294">
        <v>616021230</v>
      </c>
      <c r="B294" t="s">
        <v>17</v>
      </c>
      <c r="C294" t="s">
        <v>4197</v>
      </c>
      <c r="D294">
        <v>13</v>
      </c>
      <c r="E294" t="s">
        <v>4457</v>
      </c>
      <c r="F294" t="s">
        <v>4156</v>
      </c>
      <c r="G294" t="s">
        <v>5572</v>
      </c>
      <c r="H294" t="s">
        <v>4957</v>
      </c>
      <c r="I294" s="79" t="str">
        <f>IF(CARTERA_2026[[#This Row],[RUT]]=774097899,"DIST",_xlfn.XLOOKUP(CARTERA_2026[[#This Row],[VENDEDOR]],dimensiones!$C$21:$C$28,dimensiones!$D$21:$D$28,""))</f>
        <v>SANT1</v>
      </c>
      <c r="J294" s="125" t="str">
        <f>_xlfn.XLOOKUP(CARTERA_2026[[#This Row],[REGION]],dimensiones!C:C,dimensiones!D:D,"")</f>
        <v>Región de Metropolitana de Santiago</v>
      </c>
    </row>
    <row r="295" spans="1:10" ht="14.25" customHeight="1" x14ac:dyDescent="0.25">
      <c r="A295">
        <v>616021257</v>
      </c>
      <c r="B295" t="s">
        <v>2542</v>
      </c>
      <c r="C295" t="s">
        <v>4471</v>
      </c>
      <c r="D295">
        <v>13</v>
      </c>
      <c r="E295" t="s">
        <v>4445</v>
      </c>
      <c r="F295" t="s">
        <v>2541</v>
      </c>
      <c r="G295" t="s">
        <v>5572</v>
      </c>
      <c r="H295" t="s">
        <v>4957</v>
      </c>
      <c r="I295" s="79" t="str">
        <f>IF(CARTERA_2026[[#This Row],[RUT]]=774097899,"DIST",_xlfn.XLOOKUP(CARTERA_2026[[#This Row],[VENDEDOR]],dimensiones!$C$21:$C$28,dimensiones!$D$21:$D$28,""))</f>
        <v>ATEL</v>
      </c>
      <c r="J295" s="125" t="str">
        <f>_xlfn.XLOOKUP(CARTERA_2026[[#This Row],[REGION]],dimensiones!C:C,dimensiones!D:D,"")</f>
        <v>Región de Metropolitana de Santiago</v>
      </c>
    </row>
    <row r="296" spans="1:10" ht="14.25" customHeight="1" x14ac:dyDescent="0.25">
      <c r="A296">
        <v>616021265</v>
      </c>
      <c r="B296" t="s">
        <v>18</v>
      </c>
      <c r="C296" t="s">
        <v>4198</v>
      </c>
      <c r="D296">
        <v>5</v>
      </c>
      <c r="E296" t="s">
        <v>2372</v>
      </c>
      <c r="F296" t="s">
        <v>1940</v>
      </c>
      <c r="G296" t="s">
        <v>5572</v>
      </c>
      <c r="H296" t="s">
        <v>4957</v>
      </c>
      <c r="I296" s="79" t="str">
        <f>IF(CARTERA_2026[[#This Row],[RUT]]=774097899,"DIST",_xlfn.XLOOKUP(CARTERA_2026[[#This Row],[VENDEDOR]],dimensiones!$C$21:$C$28,dimensiones!$D$21:$D$28,""))</f>
        <v>NOR1</v>
      </c>
      <c r="J296" s="125" t="str">
        <f>_xlfn.XLOOKUP(CARTERA_2026[[#This Row],[REGION]],dimensiones!C:C,dimensiones!D:D,"")</f>
        <v>Región de Valparaíso</v>
      </c>
    </row>
    <row r="297" spans="1:10" ht="14.25" customHeight="1" x14ac:dyDescent="0.25">
      <c r="A297" t="s">
        <v>626</v>
      </c>
      <c r="B297" t="s">
        <v>627</v>
      </c>
      <c r="C297" t="s">
        <v>4472</v>
      </c>
      <c r="D297">
        <v>6</v>
      </c>
      <c r="E297" t="s">
        <v>4445</v>
      </c>
      <c r="F297" t="s">
        <v>1465</v>
      </c>
      <c r="G297" t="s">
        <v>5572</v>
      </c>
      <c r="H297" t="s">
        <v>4957</v>
      </c>
      <c r="I297" s="79" t="str">
        <f>IF(CARTERA_2026[[#This Row],[RUT]]=774097899,"DIST",_xlfn.XLOOKUP(CARTERA_2026[[#This Row],[VENDEDOR]],dimensiones!$C$21:$C$28,dimensiones!$D$21:$D$28,""))</f>
        <v>ATEL</v>
      </c>
      <c r="J297" s="125" t="str">
        <f>_xlfn.XLOOKUP(CARTERA_2026[[#This Row],[REGION]],dimensiones!C:C,dimensiones!D:D,"")</f>
        <v>Región de Libertador General Bernardo O'Higgins</v>
      </c>
    </row>
    <row r="298" spans="1:10" ht="14.25" customHeight="1" x14ac:dyDescent="0.25">
      <c r="A298">
        <v>616021346</v>
      </c>
      <c r="B298" t="s">
        <v>765</v>
      </c>
      <c r="C298" t="s">
        <v>4199</v>
      </c>
      <c r="D298">
        <v>6</v>
      </c>
      <c r="E298" t="s">
        <v>4445</v>
      </c>
      <c r="F298" t="s">
        <v>2145</v>
      </c>
      <c r="G298" t="s">
        <v>5572</v>
      </c>
      <c r="H298" t="s">
        <v>4957</v>
      </c>
      <c r="I298" s="79" t="str">
        <f>IF(CARTERA_2026[[#This Row],[RUT]]=774097899,"DIST",_xlfn.XLOOKUP(CARTERA_2026[[#This Row],[VENDEDOR]],dimensiones!$C$21:$C$28,dimensiones!$D$21:$D$28,""))</f>
        <v>ATEL</v>
      </c>
      <c r="J298" s="125" t="str">
        <f>_xlfn.XLOOKUP(CARTERA_2026[[#This Row],[REGION]],dimensiones!C:C,dimensiones!D:D,"")</f>
        <v>Región de Libertador General Bernardo O'Higgins</v>
      </c>
    </row>
    <row r="299" spans="1:10" ht="14.25" customHeight="1" x14ac:dyDescent="0.25">
      <c r="A299">
        <v>616021389</v>
      </c>
      <c r="B299" t="s">
        <v>175</v>
      </c>
      <c r="C299" t="s">
        <v>4178</v>
      </c>
      <c r="D299">
        <v>6</v>
      </c>
      <c r="E299" t="s">
        <v>5729</v>
      </c>
      <c r="F299" t="s">
        <v>3938</v>
      </c>
      <c r="G299" t="s">
        <v>5572</v>
      </c>
      <c r="H299" t="s">
        <v>4957</v>
      </c>
      <c r="I299" s="79" t="str">
        <f>IF(CARTERA_2026[[#This Row],[RUT]]=774097899,"DIST",_xlfn.XLOOKUP(CARTERA_2026[[#This Row],[VENDEDOR]],dimensiones!$C$21:$C$28,dimensiones!$D$21:$D$28,""))</f>
        <v>SANT3</v>
      </c>
      <c r="J299" s="125" t="str">
        <f>_xlfn.XLOOKUP(CARTERA_2026[[#This Row],[REGION]],dimensiones!C:C,dimensiones!D:D,"")</f>
        <v>Región de Libertador General Bernardo O'Higgins</v>
      </c>
    </row>
    <row r="300" spans="1:10" ht="14.25" customHeight="1" x14ac:dyDescent="0.25">
      <c r="A300">
        <v>616021400</v>
      </c>
      <c r="B300" t="s">
        <v>176</v>
      </c>
      <c r="C300" t="s">
        <v>4200</v>
      </c>
      <c r="D300">
        <v>6</v>
      </c>
      <c r="E300" t="s">
        <v>4445</v>
      </c>
      <c r="F300" t="s">
        <v>3763</v>
      </c>
      <c r="G300" t="s">
        <v>5572</v>
      </c>
      <c r="H300" t="s">
        <v>4957</v>
      </c>
      <c r="I300" s="79" t="str">
        <f>IF(CARTERA_2026[[#This Row],[RUT]]=774097899,"DIST",_xlfn.XLOOKUP(CARTERA_2026[[#This Row],[VENDEDOR]],dimensiones!$C$21:$C$28,dimensiones!$D$21:$D$28,""))</f>
        <v>ATEL</v>
      </c>
      <c r="J300" s="125" t="str">
        <f>_xlfn.XLOOKUP(CARTERA_2026[[#This Row],[REGION]],dimensiones!C:C,dimensiones!D:D,"")</f>
        <v>Región de Libertador General Bernardo O'Higgins</v>
      </c>
    </row>
    <row r="301" spans="1:10" ht="14.25" customHeight="1" x14ac:dyDescent="0.25">
      <c r="A301">
        <v>616021419</v>
      </c>
      <c r="B301" t="s">
        <v>177</v>
      </c>
      <c r="C301" t="s">
        <v>4473</v>
      </c>
      <c r="D301">
        <v>6</v>
      </c>
      <c r="E301" t="s">
        <v>4445</v>
      </c>
      <c r="F301" t="s">
        <v>1818</v>
      </c>
      <c r="G301" t="s">
        <v>5572</v>
      </c>
      <c r="H301" t="s">
        <v>4957</v>
      </c>
      <c r="I301" s="79" t="str">
        <f>IF(CARTERA_2026[[#This Row],[RUT]]=774097899,"DIST",_xlfn.XLOOKUP(CARTERA_2026[[#This Row],[VENDEDOR]],dimensiones!$C$21:$C$28,dimensiones!$D$21:$D$28,""))</f>
        <v>ATEL</v>
      </c>
      <c r="J301" s="125" t="str">
        <f>_xlfn.XLOOKUP(CARTERA_2026[[#This Row],[REGION]],dimensiones!C:C,dimensiones!D:D,"")</f>
        <v>Región de Libertador General Bernardo O'Higgins</v>
      </c>
    </row>
    <row r="302" spans="1:10" ht="14.25" customHeight="1" x14ac:dyDescent="0.25">
      <c r="A302">
        <v>616021427</v>
      </c>
      <c r="B302" t="s">
        <v>178</v>
      </c>
      <c r="C302" t="s">
        <v>4201</v>
      </c>
      <c r="D302">
        <v>6</v>
      </c>
      <c r="E302" t="s">
        <v>4445</v>
      </c>
      <c r="F302" t="s">
        <v>2441</v>
      </c>
      <c r="G302" t="s">
        <v>5572</v>
      </c>
      <c r="H302" t="s">
        <v>4957</v>
      </c>
      <c r="I302" s="79" t="str">
        <f>IF(CARTERA_2026[[#This Row],[RUT]]=774097899,"DIST",_xlfn.XLOOKUP(CARTERA_2026[[#This Row],[VENDEDOR]],dimensiones!$C$21:$C$28,dimensiones!$D$21:$D$28,""))</f>
        <v>ATEL</v>
      </c>
      <c r="J302" s="125" t="str">
        <f>_xlfn.XLOOKUP(CARTERA_2026[[#This Row],[REGION]],dimensiones!C:C,dimensiones!D:D,"")</f>
        <v>Región de Libertador General Bernardo O'Higgins</v>
      </c>
    </row>
    <row r="303" spans="1:10" ht="14.25" customHeight="1" x14ac:dyDescent="0.25">
      <c r="A303">
        <v>616021435</v>
      </c>
      <c r="B303" t="s">
        <v>179</v>
      </c>
      <c r="C303" t="s">
        <v>4202</v>
      </c>
      <c r="D303">
        <v>6</v>
      </c>
      <c r="E303" t="s">
        <v>4445</v>
      </c>
      <c r="F303" t="s">
        <v>1449</v>
      </c>
      <c r="G303" t="s">
        <v>5572</v>
      </c>
      <c r="H303" t="s">
        <v>4957</v>
      </c>
      <c r="I303" s="79" t="str">
        <f>IF(CARTERA_2026[[#This Row],[RUT]]=774097899,"DIST",_xlfn.XLOOKUP(CARTERA_2026[[#This Row],[VENDEDOR]],dimensiones!$C$21:$C$28,dimensiones!$D$21:$D$28,""))</f>
        <v>ATEL</v>
      </c>
      <c r="J303" s="125" t="str">
        <f>_xlfn.XLOOKUP(CARTERA_2026[[#This Row],[REGION]],dimensiones!C:C,dimensiones!D:D,"")</f>
        <v>Región de Libertador General Bernardo O'Higgins</v>
      </c>
    </row>
    <row r="304" spans="1:10" ht="14.25" customHeight="1" x14ac:dyDescent="0.25">
      <c r="A304">
        <v>616021451</v>
      </c>
      <c r="B304" t="s">
        <v>180</v>
      </c>
      <c r="C304" t="s">
        <v>4203</v>
      </c>
      <c r="D304">
        <v>6</v>
      </c>
      <c r="E304" t="s">
        <v>5729</v>
      </c>
      <c r="F304" t="s">
        <v>1584</v>
      </c>
      <c r="G304" t="s">
        <v>5572</v>
      </c>
      <c r="H304" t="s">
        <v>4957</v>
      </c>
      <c r="I304" s="79" t="str">
        <f>IF(CARTERA_2026[[#This Row],[RUT]]=774097899,"DIST",_xlfn.XLOOKUP(CARTERA_2026[[#This Row],[VENDEDOR]],dimensiones!$C$21:$C$28,dimensiones!$D$21:$D$28,""))</f>
        <v>SANT3</v>
      </c>
      <c r="J304" s="125" t="str">
        <f>_xlfn.XLOOKUP(CARTERA_2026[[#This Row],[REGION]],dimensiones!C:C,dimensiones!D:D,"")</f>
        <v>Región de Libertador General Bernardo O'Higgins</v>
      </c>
    </row>
    <row r="305" spans="1:10" ht="14.25" customHeight="1" x14ac:dyDescent="0.25">
      <c r="A305" t="s">
        <v>628</v>
      </c>
      <c r="B305" t="s">
        <v>629</v>
      </c>
      <c r="C305" t="s">
        <v>4204</v>
      </c>
      <c r="D305">
        <v>6</v>
      </c>
      <c r="E305" t="s">
        <v>4445</v>
      </c>
      <c r="F305" t="s">
        <v>4128</v>
      </c>
      <c r="G305" t="s">
        <v>5572</v>
      </c>
      <c r="H305" t="s">
        <v>4957</v>
      </c>
      <c r="I305" s="79" t="str">
        <f>IF(CARTERA_2026[[#This Row],[RUT]]=774097899,"DIST",_xlfn.XLOOKUP(CARTERA_2026[[#This Row],[VENDEDOR]],dimensiones!$C$21:$C$28,dimensiones!$D$21:$D$28,""))</f>
        <v>ATEL</v>
      </c>
      <c r="J305" s="125" t="str">
        <f>_xlfn.XLOOKUP(CARTERA_2026[[#This Row],[REGION]],dimensiones!C:C,dimensiones!D:D,"")</f>
        <v>Región de Libertador General Bernardo O'Higgins</v>
      </c>
    </row>
    <row r="306" spans="1:10" ht="14.25" customHeight="1" x14ac:dyDescent="0.25">
      <c r="A306">
        <v>616021478</v>
      </c>
      <c r="B306" t="s">
        <v>766</v>
      </c>
      <c r="C306" t="s">
        <v>4205</v>
      </c>
      <c r="D306">
        <v>6</v>
      </c>
      <c r="E306" t="s">
        <v>4445</v>
      </c>
      <c r="F306" t="s">
        <v>1306</v>
      </c>
      <c r="G306" t="s">
        <v>5572</v>
      </c>
      <c r="H306" t="s">
        <v>4957</v>
      </c>
      <c r="I306" s="79" t="str">
        <f>IF(CARTERA_2026[[#This Row],[RUT]]=774097899,"DIST",_xlfn.XLOOKUP(CARTERA_2026[[#This Row],[VENDEDOR]],dimensiones!$C$21:$C$28,dimensiones!$D$21:$D$28,""))</f>
        <v>ATEL</v>
      </c>
      <c r="J306" s="125" t="str">
        <f>_xlfn.XLOOKUP(CARTERA_2026[[#This Row],[REGION]],dimensiones!C:C,dimensiones!D:D,"")</f>
        <v>Región de Libertador General Bernardo O'Higgins</v>
      </c>
    </row>
    <row r="307" spans="1:10" ht="14.25" customHeight="1" x14ac:dyDescent="0.25">
      <c r="A307">
        <v>616021486</v>
      </c>
      <c r="B307" t="s">
        <v>181</v>
      </c>
      <c r="C307" t="s">
        <v>4206</v>
      </c>
      <c r="D307">
        <v>6</v>
      </c>
      <c r="E307" t="s">
        <v>4445</v>
      </c>
      <c r="F307" t="s">
        <v>2362</v>
      </c>
      <c r="G307" t="s">
        <v>5572</v>
      </c>
      <c r="H307" t="s">
        <v>4957</v>
      </c>
      <c r="I307" s="79" t="str">
        <f>IF(CARTERA_2026[[#This Row],[RUT]]=774097899,"DIST",_xlfn.XLOOKUP(CARTERA_2026[[#This Row],[VENDEDOR]],dimensiones!$C$21:$C$28,dimensiones!$D$21:$D$28,""))</f>
        <v>ATEL</v>
      </c>
      <c r="J307" s="125" t="str">
        <f>_xlfn.XLOOKUP(CARTERA_2026[[#This Row],[REGION]],dimensiones!C:C,dimensiones!D:D,"")</f>
        <v>Región de Libertador General Bernardo O'Higgins</v>
      </c>
    </row>
    <row r="308" spans="1:10" ht="14.25" customHeight="1" x14ac:dyDescent="0.25">
      <c r="A308">
        <v>616021508</v>
      </c>
      <c r="B308" t="s">
        <v>182</v>
      </c>
      <c r="C308" t="s">
        <v>4207</v>
      </c>
      <c r="D308">
        <v>6</v>
      </c>
      <c r="E308" t="s">
        <v>4445</v>
      </c>
      <c r="F308" t="s">
        <v>1604</v>
      </c>
      <c r="G308" t="s">
        <v>5572</v>
      </c>
      <c r="H308" t="s">
        <v>4957</v>
      </c>
      <c r="I308" s="79" t="str">
        <f>IF(CARTERA_2026[[#This Row],[RUT]]=774097899,"DIST",_xlfn.XLOOKUP(CARTERA_2026[[#This Row],[VENDEDOR]],dimensiones!$C$21:$C$28,dimensiones!$D$21:$D$28,""))</f>
        <v>ATEL</v>
      </c>
      <c r="J308" s="125" t="str">
        <f>_xlfn.XLOOKUP(CARTERA_2026[[#This Row],[REGION]],dimensiones!C:C,dimensiones!D:D,"")</f>
        <v>Región de Libertador General Bernardo O'Higgins</v>
      </c>
    </row>
    <row r="309" spans="1:10" ht="14.25" customHeight="1" x14ac:dyDescent="0.25">
      <c r="A309">
        <v>616021516</v>
      </c>
      <c r="B309" t="s">
        <v>183</v>
      </c>
      <c r="C309" t="s">
        <v>4474</v>
      </c>
      <c r="D309">
        <v>6</v>
      </c>
      <c r="E309" t="s">
        <v>4445</v>
      </c>
      <c r="F309" t="s">
        <v>4137</v>
      </c>
      <c r="G309" t="s">
        <v>5572</v>
      </c>
      <c r="H309" t="s">
        <v>4957</v>
      </c>
      <c r="I309" s="79" t="str">
        <f>IF(CARTERA_2026[[#This Row],[RUT]]=774097899,"DIST",_xlfn.XLOOKUP(CARTERA_2026[[#This Row],[VENDEDOR]],dimensiones!$C$21:$C$28,dimensiones!$D$21:$D$28,""))</f>
        <v>ATEL</v>
      </c>
      <c r="J309" s="125" t="str">
        <f>_xlfn.XLOOKUP(CARTERA_2026[[#This Row],[REGION]],dimensiones!C:C,dimensiones!D:D,"")</f>
        <v>Región de Libertador General Bernardo O'Higgins</v>
      </c>
    </row>
    <row r="310" spans="1:10" ht="14.25" customHeight="1" x14ac:dyDescent="0.25">
      <c r="A310">
        <v>616021524</v>
      </c>
      <c r="B310" t="s">
        <v>184</v>
      </c>
      <c r="C310" t="s">
        <v>4208</v>
      </c>
      <c r="D310">
        <v>6</v>
      </c>
      <c r="E310" t="s">
        <v>4445</v>
      </c>
      <c r="F310" t="s">
        <v>2786</v>
      </c>
      <c r="G310" t="s">
        <v>5572</v>
      </c>
      <c r="H310" t="s">
        <v>4957</v>
      </c>
      <c r="I310" s="79" t="str">
        <f>IF(CARTERA_2026[[#This Row],[RUT]]=774097899,"DIST",_xlfn.XLOOKUP(CARTERA_2026[[#This Row],[VENDEDOR]],dimensiones!$C$21:$C$28,dimensiones!$D$21:$D$28,""))</f>
        <v>ATEL</v>
      </c>
      <c r="J310" s="125" t="str">
        <f>_xlfn.XLOOKUP(CARTERA_2026[[#This Row],[REGION]],dimensiones!C:C,dimensiones!D:D,"")</f>
        <v>Región de Libertador General Bernardo O'Higgins</v>
      </c>
    </row>
    <row r="311" spans="1:10" ht="14.25" customHeight="1" x14ac:dyDescent="0.25">
      <c r="A311">
        <v>616021532</v>
      </c>
      <c r="B311" t="s">
        <v>185</v>
      </c>
      <c r="C311" t="s">
        <v>4209</v>
      </c>
      <c r="D311">
        <v>6</v>
      </c>
      <c r="E311" t="s">
        <v>4445</v>
      </c>
      <c r="F311" t="s">
        <v>1385</v>
      </c>
      <c r="G311" t="s">
        <v>5572</v>
      </c>
      <c r="H311" t="s">
        <v>4957</v>
      </c>
      <c r="I311" s="79" t="str">
        <f>IF(CARTERA_2026[[#This Row],[RUT]]=774097899,"DIST",_xlfn.XLOOKUP(CARTERA_2026[[#This Row],[VENDEDOR]],dimensiones!$C$21:$C$28,dimensiones!$D$21:$D$28,""))</f>
        <v>ATEL</v>
      </c>
      <c r="J311" s="125" t="str">
        <f>_xlfn.XLOOKUP(CARTERA_2026[[#This Row],[REGION]],dimensiones!C:C,dimensiones!D:D,"")</f>
        <v>Región de Libertador General Bernardo O'Higgins</v>
      </c>
    </row>
    <row r="312" spans="1:10" ht="14.25" customHeight="1" x14ac:dyDescent="0.25">
      <c r="A312">
        <v>616021893</v>
      </c>
      <c r="B312" t="s">
        <v>19</v>
      </c>
      <c r="C312" t="s">
        <v>4460</v>
      </c>
      <c r="D312">
        <v>8</v>
      </c>
      <c r="E312" t="s">
        <v>4464</v>
      </c>
      <c r="F312" t="s">
        <v>2243</v>
      </c>
      <c r="G312" t="s">
        <v>5572</v>
      </c>
      <c r="H312" t="s">
        <v>4957</v>
      </c>
      <c r="I312" s="79" t="str">
        <f>IF(CARTERA_2026[[#This Row],[RUT]]=774097899,"DIST",_xlfn.XLOOKUP(CARTERA_2026[[#This Row],[VENDEDOR]],dimensiones!$C$21:$C$28,dimensiones!$D$21:$D$28,""))</f>
        <v>SUR1</v>
      </c>
      <c r="J312" s="125" t="str">
        <f>_xlfn.XLOOKUP(CARTERA_2026[[#This Row],[REGION]],dimensiones!C:C,dimensiones!D:D,"")</f>
        <v>Región de Biobío</v>
      </c>
    </row>
    <row r="313" spans="1:10" ht="14.25" customHeight="1" x14ac:dyDescent="0.25">
      <c r="A313" t="s">
        <v>630</v>
      </c>
      <c r="B313" t="s">
        <v>631</v>
      </c>
      <c r="C313" t="s">
        <v>4210</v>
      </c>
      <c r="D313">
        <v>16</v>
      </c>
      <c r="E313" t="s">
        <v>4445</v>
      </c>
      <c r="F313" t="s">
        <v>2356</v>
      </c>
      <c r="G313" t="s">
        <v>5572</v>
      </c>
      <c r="H313" t="s">
        <v>4957</v>
      </c>
      <c r="I313" s="79" t="str">
        <f>IF(CARTERA_2026[[#This Row],[RUT]]=774097899,"DIST",_xlfn.XLOOKUP(CARTERA_2026[[#This Row],[VENDEDOR]],dimensiones!$C$21:$C$28,dimensiones!$D$21:$D$28,""))</f>
        <v>ATEL</v>
      </c>
      <c r="J313" s="125" t="str">
        <f>_xlfn.XLOOKUP(CARTERA_2026[[#This Row],[REGION]],dimensiones!C:C,dimensiones!D:D,"")</f>
        <v>Región de Ñuble</v>
      </c>
    </row>
    <row r="314" spans="1:10" ht="14.25" customHeight="1" x14ac:dyDescent="0.25">
      <c r="A314">
        <v>616021982</v>
      </c>
      <c r="B314" t="s">
        <v>20</v>
      </c>
      <c r="C314" t="s">
        <v>4211</v>
      </c>
      <c r="D314">
        <v>8</v>
      </c>
      <c r="E314" t="s">
        <v>4464</v>
      </c>
      <c r="F314" t="s">
        <v>1888</v>
      </c>
      <c r="G314" t="s">
        <v>5572</v>
      </c>
      <c r="H314" t="s">
        <v>4957</v>
      </c>
      <c r="I314" s="79" t="str">
        <f>IF(CARTERA_2026[[#This Row],[RUT]]=774097899,"DIST",_xlfn.XLOOKUP(CARTERA_2026[[#This Row],[VENDEDOR]],dimensiones!$C$21:$C$28,dimensiones!$D$21:$D$28,""))</f>
        <v>SUR1</v>
      </c>
      <c r="J314" s="125" t="str">
        <f>_xlfn.XLOOKUP(CARTERA_2026[[#This Row],[REGION]],dimensiones!C:C,dimensiones!D:D,"")</f>
        <v>Región de Biobío</v>
      </c>
    </row>
    <row r="315" spans="1:10" ht="14.25" customHeight="1" x14ac:dyDescent="0.25">
      <c r="A315">
        <v>616021990</v>
      </c>
      <c r="B315" t="s">
        <v>186</v>
      </c>
      <c r="C315" t="s">
        <v>4212</v>
      </c>
      <c r="D315">
        <v>8</v>
      </c>
      <c r="E315" t="s">
        <v>4445</v>
      </c>
      <c r="F315" t="s">
        <v>4147</v>
      </c>
      <c r="G315" t="s">
        <v>5572</v>
      </c>
      <c r="H315" t="s">
        <v>4957</v>
      </c>
      <c r="I315" s="79" t="str">
        <f>IF(CARTERA_2026[[#This Row],[RUT]]=774097899,"DIST",_xlfn.XLOOKUP(CARTERA_2026[[#This Row],[VENDEDOR]],dimensiones!$C$21:$C$28,dimensiones!$D$21:$D$28,""))</f>
        <v>ATEL</v>
      </c>
      <c r="J315" s="125" t="str">
        <f>_xlfn.XLOOKUP(CARTERA_2026[[#This Row],[REGION]],dimensiones!C:C,dimensiones!D:D,"")</f>
        <v>Región de Biobío</v>
      </c>
    </row>
    <row r="316" spans="1:10" ht="14.25" customHeight="1" x14ac:dyDescent="0.25">
      <c r="A316">
        <v>616022016</v>
      </c>
      <c r="B316" t="s">
        <v>1669</v>
      </c>
      <c r="C316" t="s">
        <v>4352</v>
      </c>
      <c r="D316">
        <v>8</v>
      </c>
      <c r="E316" t="s">
        <v>4464</v>
      </c>
      <c r="F316" t="s">
        <v>1668</v>
      </c>
      <c r="G316" t="s">
        <v>5572</v>
      </c>
      <c r="H316" t="s">
        <v>4957</v>
      </c>
      <c r="I316" s="79" t="str">
        <f>IF(CARTERA_2026[[#This Row],[RUT]]=774097899,"DIST",_xlfn.XLOOKUP(CARTERA_2026[[#This Row],[VENDEDOR]],dimensiones!$C$21:$C$28,dimensiones!$D$21:$D$28,""))</f>
        <v>SUR1</v>
      </c>
      <c r="J316" s="125" t="str">
        <f>_xlfn.XLOOKUP(CARTERA_2026[[#This Row],[REGION]],dimensiones!C:C,dimensiones!D:D,"")</f>
        <v>Región de Biobío</v>
      </c>
    </row>
    <row r="317" spans="1:10" ht="14.25" customHeight="1" x14ac:dyDescent="0.25">
      <c r="A317">
        <v>616022032</v>
      </c>
      <c r="B317" t="s">
        <v>21</v>
      </c>
      <c r="C317" t="s">
        <v>4377</v>
      </c>
      <c r="D317">
        <v>8</v>
      </c>
      <c r="E317" t="s">
        <v>4464</v>
      </c>
      <c r="F317" t="s">
        <v>1572</v>
      </c>
      <c r="G317" t="s">
        <v>5572</v>
      </c>
      <c r="H317" t="s">
        <v>4957</v>
      </c>
      <c r="I317" s="79" t="str">
        <f>IF(CARTERA_2026[[#This Row],[RUT]]=774097899,"DIST",_xlfn.XLOOKUP(CARTERA_2026[[#This Row],[VENDEDOR]],dimensiones!$C$21:$C$28,dimensiones!$D$21:$D$28,""))</f>
        <v>SUR1</v>
      </c>
      <c r="J317" s="125" t="str">
        <f>_xlfn.XLOOKUP(CARTERA_2026[[#This Row],[REGION]],dimensiones!C:C,dimensiones!D:D,"")</f>
        <v>Región de Biobío</v>
      </c>
    </row>
    <row r="318" spans="1:10" ht="14.25" customHeight="1" x14ac:dyDescent="0.25">
      <c r="A318">
        <v>616022040</v>
      </c>
      <c r="B318" t="s">
        <v>187</v>
      </c>
      <c r="C318" t="s">
        <v>4213</v>
      </c>
      <c r="D318">
        <v>8</v>
      </c>
      <c r="E318" t="s">
        <v>4445</v>
      </c>
      <c r="F318" t="s">
        <v>3792</v>
      </c>
      <c r="G318" t="s">
        <v>5572</v>
      </c>
      <c r="H318" t="s">
        <v>4957</v>
      </c>
      <c r="I318" s="79" t="str">
        <f>IF(CARTERA_2026[[#This Row],[RUT]]=774097899,"DIST",_xlfn.XLOOKUP(CARTERA_2026[[#This Row],[VENDEDOR]],dimensiones!$C$21:$C$28,dimensiones!$D$21:$D$28,""))</f>
        <v>ATEL</v>
      </c>
      <c r="J318" s="125" t="str">
        <f>_xlfn.XLOOKUP(CARTERA_2026[[#This Row],[REGION]],dimensiones!C:C,dimensiones!D:D,"")</f>
        <v>Región de Biobío</v>
      </c>
    </row>
    <row r="319" spans="1:10" ht="14.25" customHeight="1" x14ac:dyDescent="0.25">
      <c r="A319">
        <v>616022091</v>
      </c>
      <c r="B319" t="s">
        <v>22</v>
      </c>
      <c r="C319" t="s">
        <v>4214</v>
      </c>
      <c r="D319">
        <v>8</v>
      </c>
      <c r="E319" t="s">
        <v>4445</v>
      </c>
      <c r="F319" t="s">
        <v>1476</v>
      </c>
      <c r="G319" t="s">
        <v>5572</v>
      </c>
      <c r="H319" t="s">
        <v>4957</v>
      </c>
      <c r="I319" s="79" t="str">
        <f>IF(CARTERA_2026[[#This Row],[RUT]]=774097899,"DIST",_xlfn.XLOOKUP(CARTERA_2026[[#This Row],[VENDEDOR]],dimensiones!$C$21:$C$28,dimensiones!$D$21:$D$28,""))</f>
        <v>ATEL</v>
      </c>
      <c r="J319" s="125" t="str">
        <f>_xlfn.XLOOKUP(CARTERA_2026[[#This Row],[REGION]],dimensiones!C:C,dimensiones!D:D,"")</f>
        <v>Región de Biobío</v>
      </c>
    </row>
    <row r="320" spans="1:10" ht="14.25" customHeight="1" x14ac:dyDescent="0.25">
      <c r="A320">
        <v>616022113</v>
      </c>
      <c r="B320" t="s">
        <v>744</v>
      </c>
      <c r="C320" t="s">
        <v>4215</v>
      </c>
      <c r="D320">
        <v>8</v>
      </c>
      <c r="E320" t="s">
        <v>4464</v>
      </c>
      <c r="F320" t="s">
        <v>1288</v>
      </c>
      <c r="G320" t="s">
        <v>5572</v>
      </c>
      <c r="H320" t="s">
        <v>4957</v>
      </c>
      <c r="I320" s="79" t="str">
        <f>IF(CARTERA_2026[[#This Row],[RUT]]=774097899,"DIST",_xlfn.XLOOKUP(CARTERA_2026[[#This Row],[VENDEDOR]],dimensiones!$C$21:$C$28,dimensiones!$D$21:$D$28,""))</f>
        <v>SUR1</v>
      </c>
      <c r="J320" s="125" t="str">
        <f>_xlfn.XLOOKUP(CARTERA_2026[[#This Row],[REGION]],dimensiones!C:C,dimensiones!D:D,"")</f>
        <v>Región de Biobío</v>
      </c>
    </row>
    <row r="321" spans="1:10" ht="14.25" customHeight="1" x14ac:dyDescent="0.25">
      <c r="A321">
        <v>616022121</v>
      </c>
      <c r="B321" t="s">
        <v>188</v>
      </c>
      <c r="C321" t="s">
        <v>4289</v>
      </c>
      <c r="D321">
        <v>8</v>
      </c>
      <c r="E321" t="s">
        <v>4464</v>
      </c>
      <c r="F321" t="s">
        <v>3175</v>
      </c>
      <c r="G321" t="s">
        <v>5572</v>
      </c>
      <c r="H321" t="s">
        <v>4957</v>
      </c>
      <c r="I321" s="79" t="str">
        <f>IF(CARTERA_2026[[#This Row],[RUT]]=774097899,"DIST",_xlfn.XLOOKUP(CARTERA_2026[[#This Row],[VENDEDOR]],dimensiones!$C$21:$C$28,dimensiones!$D$21:$D$28,""))</f>
        <v>SUR1</v>
      </c>
      <c r="J321" s="125" t="str">
        <f>_xlfn.XLOOKUP(CARTERA_2026[[#This Row],[REGION]],dimensiones!C:C,dimensiones!D:D,"")</f>
        <v>Región de Biobío</v>
      </c>
    </row>
    <row r="322" spans="1:10" ht="14.25" customHeight="1" x14ac:dyDescent="0.25">
      <c r="A322" t="s">
        <v>145</v>
      </c>
      <c r="B322" t="s">
        <v>146</v>
      </c>
      <c r="C322" t="s">
        <v>4354</v>
      </c>
      <c r="D322">
        <v>8</v>
      </c>
      <c r="E322" t="s">
        <v>4464</v>
      </c>
      <c r="F322" t="s">
        <v>3667</v>
      </c>
      <c r="G322" t="s">
        <v>5572</v>
      </c>
      <c r="H322" t="s">
        <v>4957</v>
      </c>
      <c r="I322" s="79" t="str">
        <f>IF(CARTERA_2026[[#This Row],[RUT]]=774097899,"DIST",_xlfn.XLOOKUP(CARTERA_2026[[#This Row],[VENDEDOR]],dimensiones!$C$21:$C$28,dimensiones!$D$21:$D$28,""))</f>
        <v>SUR1</v>
      </c>
      <c r="J322" s="125" t="str">
        <f>_xlfn.XLOOKUP(CARTERA_2026[[#This Row],[REGION]],dimensiones!C:C,dimensiones!D:D,"")</f>
        <v>Región de Biobío</v>
      </c>
    </row>
    <row r="323" spans="1:10" ht="14.25" customHeight="1" x14ac:dyDescent="0.25">
      <c r="A323">
        <v>616022202</v>
      </c>
      <c r="B323" t="s">
        <v>189</v>
      </c>
      <c r="C323" t="s">
        <v>4216</v>
      </c>
      <c r="D323">
        <v>8</v>
      </c>
      <c r="E323" t="s">
        <v>4445</v>
      </c>
      <c r="F323" t="s">
        <v>2151</v>
      </c>
      <c r="G323" t="s">
        <v>5572</v>
      </c>
      <c r="H323" t="s">
        <v>4957</v>
      </c>
      <c r="I323" s="79" t="str">
        <f>IF(CARTERA_2026[[#This Row],[RUT]]=774097899,"DIST",_xlfn.XLOOKUP(CARTERA_2026[[#This Row],[VENDEDOR]],dimensiones!$C$21:$C$28,dimensiones!$D$21:$D$28,""))</f>
        <v>ATEL</v>
      </c>
      <c r="J323" s="125" t="str">
        <f>_xlfn.XLOOKUP(CARTERA_2026[[#This Row],[REGION]],dimensiones!C:C,dimensiones!D:D,"")</f>
        <v>Región de Biobío</v>
      </c>
    </row>
    <row r="324" spans="1:10" ht="14.25" customHeight="1" x14ac:dyDescent="0.25">
      <c r="A324">
        <v>616022229</v>
      </c>
      <c r="B324" t="s">
        <v>23</v>
      </c>
      <c r="C324" t="s">
        <v>4389</v>
      </c>
      <c r="D324">
        <v>9</v>
      </c>
      <c r="E324" t="s">
        <v>4464</v>
      </c>
      <c r="F324" t="s">
        <v>3844</v>
      </c>
      <c r="G324" t="s">
        <v>5572</v>
      </c>
      <c r="H324" t="s">
        <v>4957</v>
      </c>
      <c r="I324" s="79" t="str">
        <f>IF(CARTERA_2026[[#This Row],[RUT]]=774097899,"DIST",_xlfn.XLOOKUP(CARTERA_2026[[#This Row],[VENDEDOR]],dimensiones!$C$21:$C$28,dimensiones!$D$21:$D$28,""))</f>
        <v>SUR1</v>
      </c>
      <c r="J324" s="125" t="str">
        <f>_xlfn.XLOOKUP(CARTERA_2026[[#This Row],[REGION]],dimensiones!C:C,dimensiones!D:D,"")</f>
        <v>Región de La Araucanía</v>
      </c>
    </row>
    <row r="325" spans="1:10" ht="14.25" customHeight="1" x14ac:dyDescent="0.25">
      <c r="A325">
        <v>616022237</v>
      </c>
      <c r="B325" t="s">
        <v>190</v>
      </c>
      <c r="C325" t="s">
        <v>4217</v>
      </c>
      <c r="D325">
        <v>9</v>
      </c>
      <c r="E325" t="s">
        <v>4445</v>
      </c>
      <c r="F325" t="s">
        <v>1577</v>
      </c>
      <c r="G325" t="s">
        <v>5572</v>
      </c>
      <c r="H325" t="s">
        <v>4957</v>
      </c>
      <c r="I325" s="79" t="str">
        <f>IF(CARTERA_2026[[#This Row],[RUT]]=774097899,"DIST",_xlfn.XLOOKUP(CARTERA_2026[[#This Row],[VENDEDOR]],dimensiones!$C$21:$C$28,dimensiones!$D$21:$D$28,""))</f>
        <v>ATEL</v>
      </c>
      <c r="J325" s="125" t="str">
        <f>_xlfn.XLOOKUP(CARTERA_2026[[#This Row],[REGION]],dimensiones!C:C,dimensiones!D:D,"")</f>
        <v>Región de La Araucanía</v>
      </c>
    </row>
    <row r="326" spans="1:10" ht="14.25" customHeight="1" x14ac:dyDescent="0.25">
      <c r="A326">
        <v>616022245</v>
      </c>
      <c r="B326" t="s">
        <v>886</v>
      </c>
      <c r="C326" t="s">
        <v>4476</v>
      </c>
      <c r="D326">
        <v>9</v>
      </c>
      <c r="E326" t="s">
        <v>4445</v>
      </c>
      <c r="F326" t="s">
        <v>1193</v>
      </c>
      <c r="G326" t="s">
        <v>5572</v>
      </c>
      <c r="H326" t="s">
        <v>4957</v>
      </c>
      <c r="I326" s="79" t="str">
        <f>IF(CARTERA_2026[[#This Row],[RUT]]=774097899,"DIST",_xlfn.XLOOKUP(CARTERA_2026[[#This Row],[VENDEDOR]],dimensiones!$C$21:$C$28,dimensiones!$D$21:$D$28,""))</f>
        <v>ATEL</v>
      </c>
      <c r="J326" s="125" t="str">
        <f>_xlfn.XLOOKUP(CARTERA_2026[[#This Row],[REGION]],dimensiones!C:C,dimensiones!D:D,"")</f>
        <v>Región de La Araucanía</v>
      </c>
    </row>
    <row r="327" spans="1:10" ht="14.25" customHeight="1" x14ac:dyDescent="0.25">
      <c r="A327">
        <v>616022261</v>
      </c>
      <c r="B327" t="s">
        <v>1962</v>
      </c>
      <c r="C327" t="s">
        <v>4477</v>
      </c>
      <c r="D327">
        <v>9</v>
      </c>
      <c r="E327" t="s">
        <v>4445</v>
      </c>
      <c r="F327" t="s">
        <v>1961</v>
      </c>
      <c r="G327" t="s">
        <v>5572</v>
      </c>
      <c r="H327" t="s">
        <v>4957</v>
      </c>
      <c r="I327" s="79" t="str">
        <f>IF(CARTERA_2026[[#This Row],[RUT]]=774097899,"DIST",_xlfn.XLOOKUP(CARTERA_2026[[#This Row],[VENDEDOR]],dimensiones!$C$21:$C$28,dimensiones!$D$21:$D$28,""))</f>
        <v>ATEL</v>
      </c>
      <c r="J327" s="125" t="str">
        <f>_xlfn.XLOOKUP(CARTERA_2026[[#This Row],[REGION]],dimensiones!C:C,dimensiones!D:D,"")</f>
        <v>Región de La Araucanía</v>
      </c>
    </row>
    <row r="328" spans="1:10" ht="14.25" customHeight="1" x14ac:dyDescent="0.25">
      <c r="A328">
        <v>616022296</v>
      </c>
      <c r="B328" t="s">
        <v>24</v>
      </c>
      <c r="C328" t="s">
        <v>4925</v>
      </c>
      <c r="D328">
        <v>9</v>
      </c>
      <c r="E328" t="s">
        <v>4454</v>
      </c>
      <c r="F328" t="s">
        <v>2573</v>
      </c>
      <c r="G328" t="s">
        <v>5572</v>
      </c>
      <c r="H328" t="s">
        <v>4957</v>
      </c>
      <c r="I328" s="79" t="str">
        <f>IF(CARTERA_2026[[#This Row],[RUT]]=774097899,"DIST",_xlfn.XLOOKUP(CARTERA_2026[[#This Row],[VENDEDOR]],dimensiones!$C$21:$C$28,dimensiones!$D$21:$D$28,""))</f>
        <v>SUR2</v>
      </c>
      <c r="J328" s="125" t="str">
        <f>_xlfn.XLOOKUP(CARTERA_2026[[#This Row],[REGION]],dimensiones!C:C,dimensiones!D:D,"")</f>
        <v>Región de La Araucanía</v>
      </c>
    </row>
    <row r="329" spans="1:10" ht="14.25" customHeight="1" x14ac:dyDescent="0.25">
      <c r="A329">
        <v>616022326</v>
      </c>
      <c r="B329" t="s">
        <v>26</v>
      </c>
      <c r="C329" t="s">
        <v>4218</v>
      </c>
      <c r="D329">
        <v>9</v>
      </c>
      <c r="E329" t="s">
        <v>4454</v>
      </c>
      <c r="F329" t="s">
        <v>2654</v>
      </c>
      <c r="G329" t="s">
        <v>5572</v>
      </c>
      <c r="H329" t="s">
        <v>4957</v>
      </c>
      <c r="I329" s="79" t="str">
        <f>IF(CARTERA_2026[[#This Row],[RUT]]=774097899,"DIST",_xlfn.XLOOKUP(CARTERA_2026[[#This Row],[VENDEDOR]],dimensiones!$C$21:$C$28,dimensiones!$D$21:$D$28,""))</f>
        <v>SUR2</v>
      </c>
      <c r="J329" s="125" t="str">
        <f>_xlfn.XLOOKUP(CARTERA_2026[[#This Row],[REGION]],dimensiones!C:C,dimensiones!D:D,"")</f>
        <v>Región de La Araucanía</v>
      </c>
    </row>
    <row r="330" spans="1:10" ht="14.25" customHeight="1" x14ac:dyDescent="0.25">
      <c r="A330">
        <v>616022369</v>
      </c>
      <c r="B330" t="s">
        <v>27</v>
      </c>
      <c r="C330" t="s">
        <v>4362</v>
      </c>
      <c r="D330">
        <v>9</v>
      </c>
      <c r="E330" t="s">
        <v>4454</v>
      </c>
      <c r="F330" t="s">
        <v>1793</v>
      </c>
      <c r="G330" t="s">
        <v>5572</v>
      </c>
      <c r="H330" t="s">
        <v>4957</v>
      </c>
      <c r="I330" s="79" t="str">
        <f>IF(CARTERA_2026[[#This Row],[RUT]]=774097899,"DIST",_xlfn.XLOOKUP(CARTERA_2026[[#This Row],[VENDEDOR]],dimensiones!$C$21:$C$28,dimensiones!$D$21:$D$28,""))</f>
        <v>SUR2</v>
      </c>
      <c r="J330" s="125" t="str">
        <f>_xlfn.XLOOKUP(CARTERA_2026[[#This Row],[REGION]],dimensiones!C:C,dimensiones!D:D,"")</f>
        <v>Región de La Araucanía</v>
      </c>
    </row>
    <row r="331" spans="1:10" ht="14.25" customHeight="1" x14ac:dyDescent="0.25">
      <c r="A331">
        <v>616022385</v>
      </c>
      <c r="B331" t="s">
        <v>3028</v>
      </c>
      <c r="C331" t="s">
        <v>4478</v>
      </c>
      <c r="D331">
        <v>9</v>
      </c>
      <c r="E331" t="s">
        <v>4454</v>
      </c>
      <c r="F331" t="s">
        <v>3027</v>
      </c>
      <c r="G331" t="s">
        <v>5572</v>
      </c>
      <c r="H331" t="s">
        <v>4957</v>
      </c>
      <c r="I331" s="79" t="str">
        <f>IF(CARTERA_2026[[#This Row],[RUT]]=774097899,"DIST",_xlfn.XLOOKUP(CARTERA_2026[[#This Row],[VENDEDOR]],dimensiones!$C$21:$C$28,dimensiones!$D$21:$D$28,""))</f>
        <v>SUR2</v>
      </c>
      <c r="J331" s="125" t="str">
        <f>_xlfn.XLOOKUP(CARTERA_2026[[#This Row],[REGION]],dimensiones!C:C,dimensiones!D:D,"")</f>
        <v>Región de La Araucanía</v>
      </c>
    </row>
    <row r="332" spans="1:10" ht="14.25" customHeight="1" x14ac:dyDescent="0.25">
      <c r="A332">
        <v>616022407</v>
      </c>
      <c r="B332" t="s">
        <v>191</v>
      </c>
      <c r="C332" t="s">
        <v>4219</v>
      </c>
      <c r="D332">
        <v>9</v>
      </c>
      <c r="E332" t="s">
        <v>4445</v>
      </c>
      <c r="F332" t="s">
        <v>1207</v>
      </c>
      <c r="G332" t="s">
        <v>5572</v>
      </c>
      <c r="H332" t="s">
        <v>4957</v>
      </c>
      <c r="I332" s="79" t="str">
        <f>IF(CARTERA_2026[[#This Row],[RUT]]=774097899,"DIST",_xlfn.XLOOKUP(CARTERA_2026[[#This Row],[VENDEDOR]],dimensiones!$C$21:$C$28,dimensiones!$D$21:$D$28,""))</f>
        <v>ATEL</v>
      </c>
      <c r="J332" s="125" t="str">
        <f>_xlfn.XLOOKUP(CARTERA_2026[[#This Row],[REGION]],dimensiones!C:C,dimensiones!D:D,"")</f>
        <v>Región de La Araucanía</v>
      </c>
    </row>
    <row r="333" spans="1:10" ht="14.25" customHeight="1" x14ac:dyDescent="0.25">
      <c r="A333">
        <v>616022415</v>
      </c>
      <c r="B333" t="s">
        <v>192</v>
      </c>
      <c r="C333" t="s">
        <v>4479</v>
      </c>
      <c r="D333">
        <v>9</v>
      </c>
      <c r="E333" t="s">
        <v>4445</v>
      </c>
      <c r="F333" t="s">
        <v>2178</v>
      </c>
      <c r="G333" t="s">
        <v>5572</v>
      </c>
      <c r="H333" t="s">
        <v>4957</v>
      </c>
      <c r="I333" s="79" t="str">
        <f>IF(CARTERA_2026[[#This Row],[RUT]]=774097899,"DIST",_xlfn.XLOOKUP(CARTERA_2026[[#This Row],[VENDEDOR]],dimensiones!$C$21:$C$28,dimensiones!$D$21:$D$28,""))</f>
        <v>ATEL</v>
      </c>
      <c r="J333" s="125" t="str">
        <f>_xlfn.XLOOKUP(CARTERA_2026[[#This Row],[REGION]],dimensiones!C:C,dimensiones!D:D,"")</f>
        <v>Región de La Araucanía</v>
      </c>
    </row>
    <row r="334" spans="1:10" ht="14.25" customHeight="1" x14ac:dyDescent="0.25">
      <c r="A334">
        <v>616022423</v>
      </c>
      <c r="B334" t="s">
        <v>193</v>
      </c>
      <c r="C334" t="s">
        <v>4480</v>
      </c>
      <c r="D334">
        <v>9</v>
      </c>
      <c r="E334" t="s">
        <v>4445</v>
      </c>
      <c r="F334" t="s">
        <v>1443</v>
      </c>
      <c r="G334" t="s">
        <v>5572</v>
      </c>
      <c r="H334" t="s">
        <v>4957</v>
      </c>
      <c r="I334" s="79" t="str">
        <f>IF(CARTERA_2026[[#This Row],[RUT]]=774097899,"DIST",_xlfn.XLOOKUP(CARTERA_2026[[#This Row],[VENDEDOR]],dimensiones!$C$21:$C$28,dimensiones!$D$21:$D$28,""))</f>
        <v>ATEL</v>
      </c>
      <c r="J334" s="125" t="str">
        <f>_xlfn.XLOOKUP(CARTERA_2026[[#This Row],[REGION]],dimensiones!C:C,dimensiones!D:D,"")</f>
        <v>Región de La Araucanía</v>
      </c>
    </row>
    <row r="335" spans="1:10" ht="14.25" customHeight="1" x14ac:dyDescent="0.25">
      <c r="A335">
        <v>616022431</v>
      </c>
      <c r="B335" t="s">
        <v>1734</v>
      </c>
      <c r="C335" t="s">
        <v>4481</v>
      </c>
      <c r="D335">
        <v>9</v>
      </c>
      <c r="E335" t="s">
        <v>4445</v>
      </c>
      <c r="F335" t="s">
        <v>1733</v>
      </c>
      <c r="G335" t="s">
        <v>5572</v>
      </c>
      <c r="H335" t="s">
        <v>4957</v>
      </c>
      <c r="I335" s="79" t="str">
        <f>IF(CARTERA_2026[[#This Row],[RUT]]=774097899,"DIST",_xlfn.XLOOKUP(CARTERA_2026[[#This Row],[VENDEDOR]],dimensiones!$C$21:$C$28,dimensiones!$D$21:$D$28,""))</f>
        <v>ATEL</v>
      </c>
      <c r="J335" s="125" t="str">
        <f>_xlfn.XLOOKUP(CARTERA_2026[[#This Row],[REGION]],dimensiones!C:C,dimensiones!D:D,"")</f>
        <v>Región de La Araucanía</v>
      </c>
    </row>
    <row r="336" spans="1:10" ht="14.25" customHeight="1" x14ac:dyDescent="0.25">
      <c r="A336" t="s">
        <v>632</v>
      </c>
      <c r="B336" t="s">
        <v>633</v>
      </c>
      <c r="C336" t="s">
        <v>4220</v>
      </c>
      <c r="D336">
        <v>9</v>
      </c>
      <c r="E336" t="s">
        <v>4445</v>
      </c>
      <c r="F336" t="s">
        <v>2062</v>
      </c>
      <c r="G336" t="s">
        <v>5572</v>
      </c>
      <c r="H336" t="s">
        <v>4957</v>
      </c>
      <c r="I336" s="79" t="str">
        <f>IF(CARTERA_2026[[#This Row],[RUT]]=774097899,"DIST",_xlfn.XLOOKUP(CARTERA_2026[[#This Row],[VENDEDOR]],dimensiones!$C$21:$C$28,dimensiones!$D$21:$D$28,""))</f>
        <v>ATEL</v>
      </c>
      <c r="J336" s="125" t="str">
        <f>_xlfn.XLOOKUP(CARTERA_2026[[#This Row],[REGION]],dimensiones!C:C,dimensiones!D:D,"")</f>
        <v>Región de La Araucanía</v>
      </c>
    </row>
    <row r="337" spans="1:10" ht="14.25" customHeight="1" x14ac:dyDescent="0.25">
      <c r="A337">
        <v>616022458</v>
      </c>
      <c r="B337" t="s">
        <v>2314</v>
      </c>
      <c r="C337" t="s">
        <v>4221</v>
      </c>
      <c r="D337">
        <v>9</v>
      </c>
      <c r="E337" t="s">
        <v>4445</v>
      </c>
      <c r="F337" t="s">
        <v>2313</v>
      </c>
      <c r="G337" t="s">
        <v>5571</v>
      </c>
      <c r="H337" t="s">
        <v>4957</v>
      </c>
      <c r="I337" s="79" t="str">
        <f>IF(CARTERA_2026[[#This Row],[RUT]]=774097899,"DIST",_xlfn.XLOOKUP(CARTERA_2026[[#This Row],[VENDEDOR]],dimensiones!$C$21:$C$28,dimensiones!$D$21:$D$28,""))</f>
        <v>ATEL</v>
      </c>
      <c r="J337" s="125" t="str">
        <f>_xlfn.XLOOKUP(CARTERA_2026[[#This Row],[REGION]],dimensiones!C:C,dimensiones!D:D,"")</f>
        <v>Región de La Araucanía</v>
      </c>
    </row>
    <row r="338" spans="1:10" ht="14.25" customHeight="1" x14ac:dyDescent="0.25">
      <c r="A338">
        <v>616022466</v>
      </c>
      <c r="B338" t="s">
        <v>195</v>
      </c>
      <c r="C338" t="s">
        <v>4222</v>
      </c>
      <c r="D338">
        <v>9</v>
      </c>
      <c r="E338" t="s">
        <v>4445</v>
      </c>
      <c r="F338" t="s">
        <v>1218</v>
      </c>
      <c r="G338" t="s">
        <v>5572</v>
      </c>
      <c r="H338" t="s">
        <v>4957</v>
      </c>
      <c r="I338" s="79" t="str">
        <f>IF(CARTERA_2026[[#This Row],[RUT]]=774097899,"DIST",_xlfn.XLOOKUP(CARTERA_2026[[#This Row],[VENDEDOR]],dimensiones!$C$21:$C$28,dimensiones!$D$21:$D$28,""))</f>
        <v>ATEL</v>
      </c>
      <c r="J338" s="125" t="str">
        <f>_xlfn.XLOOKUP(CARTERA_2026[[#This Row],[REGION]],dimensiones!C:C,dimensiones!D:D,"")</f>
        <v>Región de La Araucanía</v>
      </c>
    </row>
    <row r="339" spans="1:10" ht="14.25" customHeight="1" x14ac:dyDescent="0.25">
      <c r="A339">
        <v>616022474</v>
      </c>
      <c r="B339" t="s">
        <v>196</v>
      </c>
      <c r="C339" t="s">
        <v>4366</v>
      </c>
      <c r="D339">
        <v>9</v>
      </c>
      <c r="E339" t="s">
        <v>4445</v>
      </c>
      <c r="F339" t="s">
        <v>1220</v>
      </c>
      <c r="G339" t="s">
        <v>5572</v>
      </c>
      <c r="H339" t="s">
        <v>4957</v>
      </c>
      <c r="I339" s="79" t="str">
        <f>IF(CARTERA_2026[[#This Row],[RUT]]=774097899,"DIST",_xlfn.XLOOKUP(CARTERA_2026[[#This Row],[VENDEDOR]],dimensiones!$C$21:$C$28,dimensiones!$D$21:$D$28,""))</f>
        <v>ATEL</v>
      </c>
      <c r="J339" s="125" t="str">
        <f>_xlfn.XLOOKUP(CARTERA_2026[[#This Row],[REGION]],dimensiones!C:C,dimensiones!D:D,"")</f>
        <v>Región de La Araucanía</v>
      </c>
    </row>
    <row r="340" spans="1:10" ht="14.25" customHeight="1" x14ac:dyDescent="0.25">
      <c r="A340">
        <v>616022482</v>
      </c>
      <c r="B340" t="s">
        <v>745</v>
      </c>
      <c r="C340" t="s">
        <v>4223</v>
      </c>
      <c r="D340">
        <v>9</v>
      </c>
      <c r="E340" t="s">
        <v>4454</v>
      </c>
      <c r="F340" t="s">
        <v>1346</v>
      </c>
      <c r="G340" t="s">
        <v>5572</v>
      </c>
      <c r="H340" t="s">
        <v>4957</v>
      </c>
      <c r="I340" s="79" t="str">
        <f>IF(CARTERA_2026[[#This Row],[RUT]]=774097899,"DIST",_xlfn.XLOOKUP(CARTERA_2026[[#This Row],[VENDEDOR]],dimensiones!$C$21:$C$28,dimensiones!$D$21:$D$28,""))</f>
        <v>SUR2</v>
      </c>
      <c r="J340" s="125" t="str">
        <f>_xlfn.XLOOKUP(CARTERA_2026[[#This Row],[REGION]],dimensiones!C:C,dimensiones!D:D,"")</f>
        <v>Región de La Araucanía</v>
      </c>
    </row>
    <row r="341" spans="1:10" ht="14.25" customHeight="1" x14ac:dyDescent="0.25">
      <c r="A341">
        <v>616022601</v>
      </c>
      <c r="B341" t="s">
        <v>29</v>
      </c>
      <c r="C341" t="s">
        <v>4224</v>
      </c>
      <c r="D341">
        <v>10</v>
      </c>
      <c r="E341" t="s">
        <v>4454</v>
      </c>
      <c r="F341" t="s">
        <v>3295</v>
      </c>
      <c r="G341" t="s">
        <v>5572</v>
      </c>
      <c r="H341" t="s">
        <v>4957</v>
      </c>
      <c r="I341" s="79" t="str">
        <f>IF(CARTERA_2026[[#This Row],[RUT]]=774097899,"DIST",_xlfn.XLOOKUP(CARTERA_2026[[#This Row],[VENDEDOR]],dimensiones!$C$21:$C$28,dimensiones!$D$21:$D$28,""))</f>
        <v>SUR2</v>
      </c>
      <c r="J341" s="125" t="str">
        <f>_xlfn.XLOOKUP(CARTERA_2026[[#This Row],[REGION]],dimensiones!C:C,dimensiones!D:D,"")</f>
        <v>Región de Los Lagos</v>
      </c>
    </row>
    <row r="342" spans="1:10" ht="14.25" customHeight="1" x14ac:dyDescent="0.25">
      <c r="A342" t="s">
        <v>634</v>
      </c>
      <c r="B342" t="s">
        <v>635</v>
      </c>
      <c r="C342" t="s">
        <v>4225</v>
      </c>
      <c r="D342">
        <v>10</v>
      </c>
      <c r="E342" t="s">
        <v>4445</v>
      </c>
      <c r="F342" t="s">
        <v>1709</v>
      </c>
      <c r="G342" t="s">
        <v>5572</v>
      </c>
      <c r="H342" t="s">
        <v>4957</v>
      </c>
      <c r="I342" s="79" t="str">
        <f>IF(CARTERA_2026[[#This Row],[RUT]]=774097899,"DIST",_xlfn.XLOOKUP(CARTERA_2026[[#This Row],[VENDEDOR]],dimensiones!$C$21:$C$28,dimensiones!$D$21:$D$28,""))</f>
        <v>ATEL</v>
      </c>
      <c r="J342" s="125" t="str">
        <f>_xlfn.XLOOKUP(CARTERA_2026[[#This Row],[REGION]],dimensiones!C:C,dimensiones!D:D,"")</f>
        <v>Región de Los Lagos</v>
      </c>
    </row>
    <row r="343" spans="1:10" ht="14.25" customHeight="1" x14ac:dyDescent="0.25">
      <c r="A343">
        <v>616022628</v>
      </c>
      <c r="B343" t="s">
        <v>197</v>
      </c>
      <c r="C343" t="s">
        <v>4482</v>
      </c>
      <c r="D343">
        <v>10</v>
      </c>
      <c r="E343" t="s">
        <v>4445</v>
      </c>
      <c r="F343" t="s">
        <v>1869</v>
      </c>
      <c r="G343" t="s">
        <v>5572</v>
      </c>
      <c r="H343" t="s">
        <v>4957</v>
      </c>
      <c r="I343" s="79" t="str">
        <f>IF(CARTERA_2026[[#This Row],[RUT]]=774097899,"DIST",_xlfn.XLOOKUP(CARTERA_2026[[#This Row],[VENDEDOR]],dimensiones!$C$21:$C$28,dimensiones!$D$21:$D$28,""))</f>
        <v>ATEL</v>
      </c>
      <c r="J343" s="125" t="str">
        <f>_xlfn.XLOOKUP(CARTERA_2026[[#This Row],[REGION]],dimensiones!C:C,dimensiones!D:D,"")</f>
        <v>Región de Los Lagos</v>
      </c>
    </row>
    <row r="344" spans="1:10" ht="14.25" customHeight="1" x14ac:dyDescent="0.25">
      <c r="A344">
        <v>616022687</v>
      </c>
      <c r="B344" t="s">
        <v>198</v>
      </c>
      <c r="C344" t="s">
        <v>4226</v>
      </c>
      <c r="D344">
        <v>10</v>
      </c>
      <c r="E344" t="s">
        <v>4445</v>
      </c>
      <c r="F344" t="s">
        <v>1230</v>
      </c>
      <c r="G344" t="s">
        <v>5572</v>
      </c>
      <c r="H344" t="s">
        <v>4957</v>
      </c>
      <c r="I344" s="79" t="str">
        <f>IF(CARTERA_2026[[#This Row],[RUT]]=774097899,"DIST",_xlfn.XLOOKUP(CARTERA_2026[[#This Row],[VENDEDOR]],dimensiones!$C$21:$C$28,dimensiones!$D$21:$D$28,""))</f>
        <v>ATEL</v>
      </c>
      <c r="J344" s="125" t="str">
        <f>_xlfn.XLOOKUP(CARTERA_2026[[#This Row],[REGION]],dimensiones!C:C,dimensiones!D:D,"")</f>
        <v>Región de Los Lagos</v>
      </c>
    </row>
    <row r="345" spans="1:10" ht="14.25" customHeight="1" x14ac:dyDescent="0.25">
      <c r="A345">
        <v>616022709</v>
      </c>
      <c r="B345" t="s">
        <v>199</v>
      </c>
      <c r="C345" t="s">
        <v>4227</v>
      </c>
      <c r="D345">
        <v>10</v>
      </c>
      <c r="E345" t="s">
        <v>4445</v>
      </c>
      <c r="F345" t="s">
        <v>3032</v>
      </c>
      <c r="G345" t="s">
        <v>5572</v>
      </c>
      <c r="H345" t="s">
        <v>4957</v>
      </c>
      <c r="I345" s="79" t="str">
        <f>IF(CARTERA_2026[[#This Row],[RUT]]=774097899,"DIST",_xlfn.XLOOKUP(CARTERA_2026[[#This Row],[VENDEDOR]],dimensiones!$C$21:$C$28,dimensiones!$D$21:$D$28,""))</f>
        <v>ATEL</v>
      </c>
      <c r="J345" s="125" t="str">
        <f>_xlfn.XLOOKUP(CARTERA_2026[[#This Row],[REGION]],dimensiones!C:C,dimensiones!D:D,"")</f>
        <v>Región de Los Lagos</v>
      </c>
    </row>
    <row r="346" spans="1:10" ht="14.25" customHeight="1" x14ac:dyDescent="0.25">
      <c r="A346">
        <v>616022717</v>
      </c>
      <c r="B346" t="s">
        <v>200</v>
      </c>
      <c r="C346" t="s">
        <v>4228</v>
      </c>
      <c r="D346">
        <v>10</v>
      </c>
      <c r="E346" t="s">
        <v>4445</v>
      </c>
      <c r="F346" t="s">
        <v>1233</v>
      </c>
      <c r="G346" t="s">
        <v>5572</v>
      </c>
      <c r="H346" t="s">
        <v>4957</v>
      </c>
      <c r="I346" s="79" t="str">
        <f>IF(CARTERA_2026[[#This Row],[RUT]]=774097899,"DIST",_xlfn.XLOOKUP(CARTERA_2026[[#This Row],[VENDEDOR]],dimensiones!$C$21:$C$28,dimensiones!$D$21:$D$28,""))</f>
        <v>ATEL</v>
      </c>
      <c r="J346" s="125" t="str">
        <f>_xlfn.XLOOKUP(CARTERA_2026[[#This Row],[REGION]],dimensiones!C:C,dimensiones!D:D,"")</f>
        <v>Región de Los Lagos</v>
      </c>
    </row>
    <row r="347" spans="1:10" ht="14.25" customHeight="1" x14ac:dyDescent="0.25">
      <c r="A347">
        <v>616022725</v>
      </c>
      <c r="B347" t="s">
        <v>201</v>
      </c>
      <c r="C347" t="s">
        <v>4483</v>
      </c>
      <c r="D347">
        <v>10</v>
      </c>
      <c r="E347" t="s">
        <v>4445</v>
      </c>
      <c r="F347" t="s">
        <v>1235</v>
      </c>
      <c r="G347" t="s">
        <v>5572</v>
      </c>
      <c r="H347" t="s">
        <v>4957</v>
      </c>
      <c r="I347" s="79" t="str">
        <f>IF(CARTERA_2026[[#This Row],[RUT]]=774097899,"DIST",_xlfn.XLOOKUP(CARTERA_2026[[#This Row],[VENDEDOR]],dimensiones!$C$21:$C$28,dimensiones!$D$21:$D$28,""))</f>
        <v>ATEL</v>
      </c>
      <c r="J347" s="125" t="str">
        <f>_xlfn.XLOOKUP(CARTERA_2026[[#This Row],[REGION]],dimensiones!C:C,dimensiones!D:D,"")</f>
        <v>Región de Los Lagos</v>
      </c>
    </row>
    <row r="348" spans="1:10" ht="14.25" customHeight="1" x14ac:dyDescent="0.25">
      <c r="A348">
        <v>616022733</v>
      </c>
      <c r="B348" t="s">
        <v>30</v>
      </c>
      <c r="C348" t="s">
        <v>4229</v>
      </c>
      <c r="D348">
        <v>10</v>
      </c>
      <c r="E348" t="s">
        <v>4454</v>
      </c>
      <c r="F348" t="s">
        <v>2232</v>
      </c>
      <c r="G348" t="s">
        <v>5572</v>
      </c>
      <c r="H348" t="s">
        <v>4957</v>
      </c>
      <c r="I348" s="79" t="str">
        <f>IF(CARTERA_2026[[#This Row],[RUT]]=774097899,"DIST",_xlfn.XLOOKUP(CARTERA_2026[[#This Row],[VENDEDOR]],dimensiones!$C$21:$C$28,dimensiones!$D$21:$D$28,""))</f>
        <v>SUR2</v>
      </c>
      <c r="J348" s="125" t="str">
        <f>_xlfn.XLOOKUP(CARTERA_2026[[#This Row],[REGION]],dimensiones!C:C,dimensiones!D:D,"")</f>
        <v>Región de Los Lagos</v>
      </c>
    </row>
    <row r="349" spans="1:10" ht="14.25" customHeight="1" x14ac:dyDescent="0.25">
      <c r="A349">
        <v>616022741</v>
      </c>
      <c r="B349" t="s">
        <v>887</v>
      </c>
      <c r="C349" t="s">
        <v>4826</v>
      </c>
      <c r="D349">
        <v>10</v>
      </c>
      <c r="E349" t="s">
        <v>4445</v>
      </c>
      <c r="F349" t="s">
        <v>1239</v>
      </c>
      <c r="G349" t="s">
        <v>5572</v>
      </c>
      <c r="H349" t="s">
        <v>4957</v>
      </c>
      <c r="I349" s="79" t="str">
        <f>IF(CARTERA_2026[[#This Row],[RUT]]=774097899,"DIST",_xlfn.XLOOKUP(CARTERA_2026[[#This Row],[VENDEDOR]],dimensiones!$C$21:$C$28,dimensiones!$D$21:$D$28,""))</f>
        <v>ATEL</v>
      </c>
      <c r="J349" s="125" t="str">
        <f>_xlfn.XLOOKUP(CARTERA_2026[[#This Row],[REGION]],dimensiones!C:C,dimensiones!D:D,"")</f>
        <v>Región de Los Lagos</v>
      </c>
    </row>
    <row r="350" spans="1:10" ht="14.25" customHeight="1" x14ac:dyDescent="0.25">
      <c r="A350" t="s">
        <v>636</v>
      </c>
      <c r="B350" t="s">
        <v>637</v>
      </c>
      <c r="C350" t="s">
        <v>4230</v>
      </c>
      <c r="D350">
        <v>10</v>
      </c>
      <c r="E350" t="s">
        <v>4454</v>
      </c>
      <c r="F350" t="s">
        <v>1402</v>
      </c>
      <c r="G350" t="s">
        <v>5572</v>
      </c>
      <c r="H350" t="s">
        <v>4957</v>
      </c>
      <c r="I350" s="79" t="str">
        <f>IF(CARTERA_2026[[#This Row],[RUT]]=774097899,"DIST",_xlfn.XLOOKUP(CARTERA_2026[[#This Row],[VENDEDOR]],dimensiones!$C$21:$C$28,dimensiones!$D$21:$D$28,""))</f>
        <v>SUR2</v>
      </c>
      <c r="J350" s="125" t="str">
        <f>_xlfn.XLOOKUP(CARTERA_2026[[#This Row],[REGION]],dimensiones!C:C,dimensiones!D:D,"")</f>
        <v>Región de Los Lagos</v>
      </c>
    </row>
    <row r="351" spans="1:10" ht="14.25" customHeight="1" x14ac:dyDescent="0.25">
      <c r="A351">
        <v>616022768</v>
      </c>
      <c r="B351" t="s">
        <v>1276</v>
      </c>
      <c r="C351" t="s">
        <v>4484</v>
      </c>
      <c r="D351">
        <v>10</v>
      </c>
      <c r="E351" t="s">
        <v>4445</v>
      </c>
      <c r="F351" t="s">
        <v>1275</v>
      </c>
      <c r="G351" t="s">
        <v>5572</v>
      </c>
      <c r="H351" t="s">
        <v>4957</v>
      </c>
      <c r="I351" s="79" t="str">
        <f>IF(CARTERA_2026[[#This Row],[RUT]]=774097899,"DIST",_xlfn.XLOOKUP(CARTERA_2026[[#This Row],[VENDEDOR]],dimensiones!$C$21:$C$28,dimensiones!$D$21:$D$28,""))</f>
        <v>ATEL</v>
      </c>
      <c r="J351" s="125" t="str">
        <f>_xlfn.XLOOKUP(CARTERA_2026[[#This Row],[REGION]],dimensiones!C:C,dimensiones!D:D,"")</f>
        <v>Región de Los Lagos</v>
      </c>
    </row>
    <row r="352" spans="1:10" ht="14.25" customHeight="1" x14ac:dyDescent="0.25">
      <c r="A352">
        <v>616022784</v>
      </c>
      <c r="B352" t="s">
        <v>203</v>
      </c>
      <c r="C352" t="s">
        <v>4231</v>
      </c>
      <c r="D352">
        <v>10</v>
      </c>
      <c r="E352" t="s">
        <v>4445</v>
      </c>
      <c r="F352" t="s">
        <v>2656</v>
      </c>
      <c r="G352" t="s">
        <v>5572</v>
      </c>
      <c r="H352" t="s">
        <v>4957</v>
      </c>
      <c r="I352" s="79" t="str">
        <f>IF(CARTERA_2026[[#This Row],[RUT]]=774097899,"DIST",_xlfn.XLOOKUP(CARTERA_2026[[#This Row],[VENDEDOR]],dimensiones!$C$21:$C$28,dimensiones!$D$21:$D$28,""))</f>
        <v>ATEL</v>
      </c>
      <c r="J352" s="125" t="str">
        <f>_xlfn.XLOOKUP(CARTERA_2026[[#This Row],[REGION]],dimensiones!C:C,dimensiones!D:D,"")</f>
        <v>Región de Los Lagos</v>
      </c>
    </row>
    <row r="353" spans="1:10" ht="14.25" customHeight="1" x14ac:dyDescent="0.25">
      <c r="A353">
        <v>616022792</v>
      </c>
      <c r="B353" t="s">
        <v>204</v>
      </c>
      <c r="C353" t="s">
        <v>4485</v>
      </c>
      <c r="D353">
        <v>11</v>
      </c>
      <c r="E353" t="s">
        <v>4445</v>
      </c>
      <c r="F353" t="s">
        <v>2351</v>
      </c>
      <c r="G353" t="s">
        <v>5572</v>
      </c>
      <c r="H353" t="s">
        <v>4957</v>
      </c>
      <c r="I353" s="79" t="str">
        <f>IF(CARTERA_2026[[#This Row],[RUT]]=774097899,"DIST",_xlfn.XLOOKUP(CARTERA_2026[[#This Row],[VENDEDOR]],dimensiones!$C$21:$C$28,dimensiones!$D$21:$D$28,""))</f>
        <v>ATEL</v>
      </c>
      <c r="J353" s="125" t="str">
        <f>_xlfn.XLOOKUP(CARTERA_2026[[#This Row],[REGION]],dimensiones!C:C,dimensiones!D:D,"")</f>
        <v>Región de Aysén del General Carlos Ibáñez del Campo</v>
      </c>
    </row>
    <row r="354" spans="1:10" ht="14.25" customHeight="1" x14ac:dyDescent="0.25">
      <c r="A354">
        <v>616022806</v>
      </c>
      <c r="B354" t="s">
        <v>205</v>
      </c>
      <c r="C354" t="s">
        <v>4233</v>
      </c>
      <c r="D354">
        <v>11</v>
      </c>
      <c r="E354" t="s">
        <v>4445</v>
      </c>
      <c r="F354" t="s">
        <v>1512</v>
      </c>
      <c r="G354" t="s">
        <v>5572</v>
      </c>
      <c r="H354" t="s">
        <v>4957</v>
      </c>
      <c r="I354" s="79" t="str">
        <f>IF(CARTERA_2026[[#This Row],[RUT]]=774097899,"DIST",_xlfn.XLOOKUP(CARTERA_2026[[#This Row],[VENDEDOR]],dimensiones!$C$21:$C$28,dimensiones!$D$21:$D$28,""))</f>
        <v>ATEL</v>
      </c>
      <c r="J354" s="125" t="str">
        <f>_xlfn.XLOOKUP(CARTERA_2026[[#This Row],[REGION]],dimensiones!C:C,dimensiones!D:D,"")</f>
        <v>Región de Aysén del General Carlos Ibáñez del Campo</v>
      </c>
    </row>
    <row r="355" spans="1:10" ht="14.25" customHeight="1" x14ac:dyDescent="0.25">
      <c r="A355">
        <v>616022814</v>
      </c>
      <c r="B355" t="s">
        <v>888</v>
      </c>
      <c r="C355" t="s">
        <v>4234</v>
      </c>
      <c r="D355">
        <v>11</v>
      </c>
      <c r="E355" t="s">
        <v>4445</v>
      </c>
      <c r="F355" t="s">
        <v>4139</v>
      </c>
      <c r="G355" t="s">
        <v>5572</v>
      </c>
      <c r="H355" t="s">
        <v>4957</v>
      </c>
      <c r="I355" s="79" t="str">
        <f>IF(CARTERA_2026[[#This Row],[RUT]]=774097899,"DIST",_xlfn.XLOOKUP(CARTERA_2026[[#This Row],[VENDEDOR]],dimensiones!$C$21:$C$28,dimensiones!$D$21:$D$28,""))</f>
        <v>ATEL</v>
      </c>
      <c r="J355" s="125" t="str">
        <f>_xlfn.XLOOKUP(CARTERA_2026[[#This Row],[REGION]],dimensiones!C:C,dimensiones!D:D,"")</f>
        <v>Región de Aysén del General Carlos Ibáñez del Campo</v>
      </c>
    </row>
    <row r="356" spans="1:10" ht="14.25" customHeight="1" x14ac:dyDescent="0.25">
      <c r="A356" t="s">
        <v>638</v>
      </c>
      <c r="B356" t="s">
        <v>639</v>
      </c>
      <c r="C356" t="s">
        <v>4235</v>
      </c>
      <c r="D356">
        <v>11</v>
      </c>
      <c r="E356" t="s">
        <v>4445</v>
      </c>
      <c r="F356" t="s">
        <v>1226</v>
      </c>
      <c r="G356" t="s">
        <v>5572</v>
      </c>
      <c r="H356" t="s">
        <v>4957</v>
      </c>
      <c r="I356" s="79" t="str">
        <f>IF(CARTERA_2026[[#This Row],[RUT]]=774097899,"DIST",_xlfn.XLOOKUP(CARTERA_2026[[#This Row],[VENDEDOR]],dimensiones!$C$21:$C$28,dimensiones!$D$21:$D$28,""))</f>
        <v>ATEL</v>
      </c>
      <c r="J356" s="125" t="str">
        <f>_xlfn.XLOOKUP(CARTERA_2026[[#This Row],[REGION]],dimensiones!C:C,dimensiones!D:D,"")</f>
        <v>Región de Aysén del General Carlos Ibáñez del Campo</v>
      </c>
    </row>
    <row r="357" spans="1:10" ht="14.25" customHeight="1" x14ac:dyDescent="0.25">
      <c r="A357">
        <v>616022938</v>
      </c>
      <c r="B357" t="s">
        <v>769</v>
      </c>
      <c r="C357" t="s">
        <v>4486</v>
      </c>
      <c r="D357">
        <v>11</v>
      </c>
      <c r="E357" t="s">
        <v>4445</v>
      </c>
      <c r="F357" t="s">
        <v>1455</v>
      </c>
      <c r="G357" t="s">
        <v>5572</v>
      </c>
      <c r="H357" t="s">
        <v>4957</v>
      </c>
      <c r="I357" s="79" t="str">
        <f>IF(CARTERA_2026[[#This Row],[RUT]]=774097899,"DIST",_xlfn.XLOOKUP(CARTERA_2026[[#This Row],[VENDEDOR]],dimensiones!$C$21:$C$28,dimensiones!$D$21:$D$28,""))</f>
        <v>ATEL</v>
      </c>
      <c r="J357" s="125" t="str">
        <f>_xlfn.XLOOKUP(CARTERA_2026[[#This Row],[REGION]],dimensiones!C:C,dimensiones!D:D,"")</f>
        <v>Región de Aysén del General Carlos Ibáñez del Campo</v>
      </c>
    </row>
    <row r="358" spans="1:10" ht="14.25" customHeight="1" x14ac:dyDescent="0.25">
      <c r="A358">
        <v>616022954</v>
      </c>
      <c r="B358" t="s">
        <v>2083</v>
      </c>
      <c r="C358" t="s">
        <v>4460</v>
      </c>
      <c r="D358">
        <v>8</v>
      </c>
      <c r="E358" t="s">
        <v>4464</v>
      </c>
      <c r="F358" t="s">
        <v>2082</v>
      </c>
      <c r="G358" t="s">
        <v>5572</v>
      </c>
      <c r="H358" t="s">
        <v>4957</v>
      </c>
      <c r="I358" s="79" t="str">
        <f>IF(CARTERA_2026[[#This Row],[RUT]]=774097899,"DIST",_xlfn.XLOOKUP(CARTERA_2026[[#This Row],[VENDEDOR]],dimensiones!$C$21:$C$28,dimensiones!$D$21:$D$28,""))</f>
        <v>SUR1</v>
      </c>
      <c r="J358" s="125" t="str">
        <f>_xlfn.XLOOKUP(CARTERA_2026[[#This Row],[REGION]],dimensiones!C:C,dimensiones!D:D,"")</f>
        <v>Región de Biobío</v>
      </c>
    </row>
    <row r="359" spans="1:10" ht="14.25" customHeight="1" x14ac:dyDescent="0.25">
      <c r="A359">
        <v>616022997</v>
      </c>
      <c r="B359" t="s">
        <v>206</v>
      </c>
      <c r="C359" t="s">
        <v>4487</v>
      </c>
      <c r="D359">
        <v>9</v>
      </c>
      <c r="E359" t="s">
        <v>4445</v>
      </c>
      <c r="F359" t="s">
        <v>1938</v>
      </c>
      <c r="G359" t="s">
        <v>5572</v>
      </c>
      <c r="H359" t="s">
        <v>4957</v>
      </c>
      <c r="I359" s="79" t="str">
        <f>IF(CARTERA_2026[[#This Row],[RUT]]=774097899,"DIST",_xlfn.XLOOKUP(CARTERA_2026[[#This Row],[VENDEDOR]],dimensiones!$C$21:$C$28,dimensiones!$D$21:$D$28,""))</f>
        <v>ATEL</v>
      </c>
      <c r="J359" s="125" t="str">
        <f>_xlfn.XLOOKUP(CARTERA_2026[[#This Row],[REGION]],dimensiones!C:C,dimensiones!D:D,"")</f>
        <v>Región de La Araucanía</v>
      </c>
    </row>
    <row r="360" spans="1:10" ht="14.25" customHeight="1" x14ac:dyDescent="0.25">
      <c r="A360" t="s">
        <v>640</v>
      </c>
      <c r="B360" t="s">
        <v>641</v>
      </c>
      <c r="C360" t="s">
        <v>4488</v>
      </c>
      <c r="D360">
        <v>10</v>
      </c>
      <c r="E360" t="s">
        <v>4445</v>
      </c>
      <c r="F360" t="s">
        <v>1262</v>
      </c>
      <c r="G360" t="s">
        <v>5572</v>
      </c>
      <c r="H360" t="s">
        <v>4957</v>
      </c>
      <c r="I360" s="79" t="str">
        <f>IF(CARTERA_2026[[#This Row],[RUT]]=774097899,"DIST",_xlfn.XLOOKUP(CARTERA_2026[[#This Row],[VENDEDOR]],dimensiones!$C$21:$C$28,dimensiones!$D$21:$D$28,""))</f>
        <v>ATEL</v>
      </c>
      <c r="J360" s="125" t="str">
        <f>_xlfn.XLOOKUP(CARTERA_2026[[#This Row],[REGION]],dimensiones!C:C,dimensiones!D:D,"")</f>
        <v>Región de Los Lagos</v>
      </c>
    </row>
    <row r="361" spans="1:10" ht="14.25" customHeight="1" x14ac:dyDescent="0.25">
      <c r="A361">
        <v>616023128</v>
      </c>
      <c r="B361" t="s">
        <v>889</v>
      </c>
      <c r="C361" t="s">
        <v>4236</v>
      </c>
      <c r="D361">
        <v>10</v>
      </c>
      <c r="E361" t="s">
        <v>4445</v>
      </c>
      <c r="F361" t="s">
        <v>1185</v>
      </c>
      <c r="G361" t="s">
        <v>5572</v>
      </c>
      <c r="H361" t="s">
        <v>4957</v>
      </c>
      <c r="I361" s="79" t="str">
        <f>IF(CARTERA_2026[[#This Row],[RUT]]=774097899,"DIST",_xlfn.XLOOKUP(CARTERA_2026[[#This Row],[VENDEDOR]],dimensiones!$C$21:$C$28,dimensiones!$D$21:$D$28,""))</f>
        <v>ATEL</v>
      </c>
      <c r="J361" s="125" t="str">
        <f>_xlfn.XLOOKUP(CARTERA_2026[[#This Row],[REGION]],dimensiones!C:C,dimensiones!D:D,"")</f>
        <v>Región de Los Lagos</v>
      </c>
    </row>
    <row r="362" spans="1:10" ht="14.25" customHeight="1" x14ac:dyDescent="0.25">
      <c r="A362">
        <v>616060007</v>
      </c>
      <c r="B362" t="s">
        <v>5673</v>
      </c>
      <c r="C362" t="s">
        <v>4181</v>
      </c>
      <c r="D362">
        <v>15</v>
      </c>
      <c r="E362" t="s">
        <v>4445</v>
      </c>
      <c r="F362" t="s">
        <v>5183</v>
      </c>
      <c r="G362" t="s">
        <v>5571</v>
      </c>
      <c r="H362" t="s">
        <v>4957</v>
      </c>
      <c r="I362" s="79" t="str">
        <f>IF(CARTERA_2026[[#This Row],[RUT]]=774097899,"DIST",_xlfn.XLOOKUP(CARTERA_2026[[#This Row],[VENDEDOR]],dimensiones!$C$21:$C$28,dimensiones!$D$21:$D$28,""))</f>
        <v>ATEL</v>
      </c>
      <c r="J362" s="125" t="str">
        <f>_xlfn.XLOOKUP(CARTERA_2026[[#This Row],[REGION]],dimensiones!C:C,dimensiones!D:D,"")</f>
        <v>Región de Arica y Parinacota</v>
      </c>
    </row>
    <row r="363" spans="1:10" ht="14.25" customHeight="1" x14ac:dyDescent="0.25">
      <c r="A363">
        <v>616060015</v>
      </c>
      <c r="B363" t="s">
        <v>2467</v>
      </c>
      <c r="C363" t="s">
        <v>4181</v>
      </c>
      <c r="D363">
        <v>15</v>
      </c>
      <c r="E363" t="s">
        <v>4445</v>
      </c>
      <c r="F363" t="s">
        <v>2466</v>
      </c>
      <c r="G363" t="s">
        <v>5571</v>
      </c>
      <c r="H363" t="s">
        <v>4957</v>
      </c>
      <c r="I363" s="79" t="str">
        <f>IF(CARTERA_2026[[#This Row],[RUT]]=774097899,"DIST",_xlfn.XLOOKUP(CARTERA_2026[[#This Row],[VENDEDOR]],dimensiones!$C$21:$C$28,dimensiones!$D$21:$D$28,""))</f>
        <v>ATEL</v>
      </c>
      <c r="J363" s="125" t="str">
        <f>_xlfn.XLOOKUP(CARTERA_2026[[#This Row],[REGION]],dimensiones!C:C,dimensiones!D:D,"")</f>
        <v>Región de Arica y Parinacota</v>
      </c>
    </row>
    <row r="364" spans="1:10" ht="14.25" customHeight="1" x14ac:dyDescent="0.25">
      <c r="A364">
        <v>616061003</v>
      </c>
      <c r="B364" t="s">
        <v>771</v>
      </c>
      <c r="C364" t="s">
        <v>4186</v>
      </c>
      <c r="D364">
        <v>1</v>
      </c>
      <c r="E364" t="s">
        <v>4453</v>
      </c>
      <c r="F364" t="s">
        <v>2303</v>
      </c>
      <c r="G364" t="s">
        <v>5571</v>
      </c>
      <c r="H364" t="s">
        <v>4957</v>
      </c>
      <c r="I364" s="79" t="str">
        <f>IF(CARTERA_2026[[#This Row],[RUT]]=774097899,"DIST",_xlfn.XLOOKUP(CARTERA_2026[[#This Row],[VENDEDOR]],dimensiones!$C$21:$C$28,dimensiones!$D$21:$D$28,""))</f>
        <v>SANT2</v>
      </c>
      <c r="J364" s="125" t="str">
        <f>_xlfn.XLOOKUP(CARTERA_2026[[#This Row],[REGION]],dimensiones!C:C,dimensiones!D:D,"")</f>
        <v>Región de Tarapacá</v>
      </c>
    </row>
    <row r="365" spans="1:10" ht="14.25" customHeight="1" x14ac:dyDescent="0.25">
      <c r="A365" t="s">
        <v>642</v>
      </c>
      <c r="B365" t="s">
        <v>2331</v>
      </c>
      <c r="C365" t="s">
        <v>4182</v>
      </c>
      <c r="D365">
        <v>2</v>
      </c>
      <c r="E365" t="s">
        <v>4445</v>
      </c>
      <c r="F365" t="s">
        <v>2330</v>
      </c>
      <c r="G365" t="s">
        <v>5571</v>
      </c>
      <c r="H365" t="s">
        <v>4957</v>
      </c>
      <c r="I365" s="79" t="str">
        <f>IF(CARTERA_2026[[#This Row],[RUT]]=774097899,"DIST",_xlfn.XLOOKUP(CARTERA_2026[[#This Row],[VENDEDOR]],dimensiones!$C$21:$C$28,dimensiones!$D$21:$D$28,""))</f>
        <v>ATEL</v>
      </c>
      <c r="J365" s="125" t="str">
        <f>_xlfn.XLOOKUP(CARTERA_2026[[#This Row],[REGION]],dimensiones!C:C,dimensiones!D:D,"")</f>
        <v>Región de Antofagasta</v>
      </c>
    </row>
    <row r="366" spans="1:10" ht="14.25" customHeight="1" x14ac:dyDescent="0.25">
      <c r="A366">
        <v>616062018</v>
      </c>
      <c r="B366" t="s">
        <v>207</v>
      </c>
      <c r="C366" t="s">
        <v>4182</v>
      </c>
      <c r="D366">
        <v>2</v>
      </c>
      <c r="E366" t="s">
        <v>4445</v>
      </c>
      <c r="F366" t="s">
        <v>3875</v>
      </c>
      <c r="G366" t="s">
        <v>5572</v>
      </c>
      <c r="H366" t="s">
        <v>4957</v>
      </c>
      <c r="I366" s="79" t="str">
        <f>IF(CARTERA_2026[[#This Row],[RUT]]=774097899,"DIST",_xlfn.XLOOKUP(CARTERA_2026[[#This Row],[VENDEDOR]],dimensiones!$C$21:$C$28,dimensiones!$D$21:$D$28,""))</f>
        <v>ATEL</v>
      </c>
      <c r="J366" s="125" t="str">
        <f>_xlfn.XLOOKUP(CARTERA_2026[[#This Row],[REGION]],dimensiones!C:C,dimensiones!D:D,"")</f>
        <v>Región de Antofagasta</v>
      </c>
    </row>
    <row r="367" spans="1:10" ht="14.25" customHeight="1" x14ac:dyDescent="0.25">
      <c r="A367">
        <v>616062026</v>
      </c>
      <c r="B367" t="s">
        <v>208</v>
      </c>
      <c r="C367" t="s">
        <v>4237</v>
      </c>
      <c r="D367">
        <v>2</v>
      </c>
      <c r="E367" t="s">
        <v>4445</v>
      </c>
      <c r="F367" t="s">
        <v>3731</v>
      </c>
      <c r="G367" t="s">
        <v>5572</v>
      </c>
      <c r="H367" t="s">
        <v>4957</v>
      </c>
      <c r="I367" s="79" t="str">
        <f>IF(CARTERA_2026[[#This Row],[RUT]]=774097899,"DIST",_xlfn.XLOOKUP(CARTERA_2026[[#This Row],[VENDEDOR]],dimensiones!$C$21:$C$28,dimensiones!$D$21:$D$28,""))</f>
        <v>ATEL</v>
      </c>
      <c r="J367" s="125" t="str">
        <f>_xlfn.XLOOKUP(CARTERA_2026[[#This Row],[REGION]],dimensiones!C:C,dimensiones!D:D,"")</f>
        <v>Región de Antofagasta</v>
      </c>
    </row>
    <row r="368" spans="1:10" ht="14.25" customHeight="1" x14ac:dyDescent="0.25">
      <c r="A368">
        <v>616062034</v>
      </c>
      <c r="B368" t="s">
        <v>209</v>
      </c>
      <c r="C368" t="s">
        <v>4238</v>
      </c>
      <c r="D368">
        <v>2</v>
      </c>
      <c r="E368" t="s">
        <v>4445</v>
      </c>
      <c r="F368" t="s">
        <v>2512</v>
      </c>
      <c r="G368" t="s">
        <v>5572</v>
      </c>
      <c r="H368" t="s">
        <v>4957</v>
      </c>
      <c r="I368" s="79" t="str">
        <f>IF(CARTERA_2026[[#This Row],[RUT]]=774097899,"DIST",_xlfn.XLOOKUP(CARTERA_2026[[#This Row],[VENDEDOR]],dimensiones!$C$21:$C$28,dimensiones!$D$21:$D$28,""))</f>
        <v>ATEL</v>
      </c>
      <c r="J368" s="125" t="str">
        <f>_xlfn.XLOOKUP(CARTERA_2026[[#This Row],[REGION]],dimensiones!C:C,dimensiones!D:D,"")</f>
        <v>Región de Antofagasta</v>
      </c>
    </row>
    <row r="369" spans="1:10" ht="14.25" customHeight="1" x14ac:dyDescent="0.25">
      <c r="A369">
        <v>616062042</v>
      </c>
      <c r="B369" t="s">
        <v>210</v>
      </c>
      <c r="C369" t="s">
        <v>4239</v>
      </c>
      <c r="D369">
        <v>2</v>
      </c>
      <c r="E369" t="s">
        <v>4445</v>
      </c>
      <c r="F369" t="s">
        <v>1950</v>
      </c>
      <c r="G369" t="s">
        <v>5572</v>
      </c>
      <c r="H369" t="s">
        <v>4957</v>
      </c>
      <c r="I369" s="79" t="str">
        <f>IF(CARTERA_2026[[#This Row],[RUT]]=774097899,"DIST",_xlfn.XLOOKUP(CARTERA_2026[[#This Row],[VENDEDOR]],dimensiones!$C$21:$C$28,dimensiones!$D$21:$D$28,""))</f>
        <v>ATEL</v>
      </c>
      <c r="J369" s="125" t="str">
        <f>_xlfn.XLOOKUP(CARTERA_2026[[#This Row],[REGION]],dimensiones!C:C,dimensiones!D:D,"")</f>
        <v>Región de Antofagasta</v>
      </c>
    </row>
    <row r="370" spans="1:10" ht="14.25" customHeight="1" x14ac:dyDescent="0.25">
      <c r="A370">
        <v>616062050</v>
      </c>
      <c r="B370" t="s">
        <v>211</v>
      </c>
      <c r="C370" t="s">
        <v>4240</v>
      </c>
      <c r="D370">
        <v>2</v>
      </c>
      <c r="E370" t="s">
        <v>4445</v>
      </c>
      <c r="F370" t="s">
        <v>2443</v>
      </c>
      <c r="G370" t="s">
        <v>5572</v>
      </c>
      <c r="H370" t="s">
        <v>4957</v>
      </c>
      <c r="I370" s="79" t="str">
        <f>IF(CARTERA_2026[[#This Row],[RUT]]=774097899,"DIST",_xlfn.XLOOKUP(CARTERA_2026[[#This Row],[VENDEDOR]],dimensiones!$C$21:$C$28,dimensiones!$D$21:$D$28,""))</f>
        <v>ATEL</v>
      </c>
      <c r="J370" s="125" t="str">
        <f>_xlfn.XLOOKUP(CARTERA_2026[[#This Row],[REGION]],dimensiones!C:C,dimensiones!D:D,"")</f>
        <v>Región de Antofagasta</v>
      </c>
    </row>
    <row r="371" spans="1:10" ht="14.25" customHeight="1" x14ac:dyDescent="0.25">
      <c r="A371">
        <v>616063006</v>
      </c>
      <c r="B371" t="s">
        <v>772</v>
      </c>
      <c r="C371" t="s">
        <v>4466</v>
      </c>
      <c r="D371">
        <v>3</v>
      </c>
      <c r="E371" t="s">
        <v>4445</v>
      </c>
      <c r="F371" t="s">
        <v>1282</v>
      </c>
      <c r="G371" t="s">
        <v>5571</v>
      </c>
      <c r="H371" t="s">
        <v>4957</v>
      </c>
      <c r="I371" s="79" t="str">
        <f>IF(CARTERA_2026[[#This Row],[RUT]]=774097899,"DIST",_xlfn.XLOOKUP(CARTERA_2026[[#This Row],[VENDEDOR]],dimensiones!$C$21:$C$28,dimensiones!$D$21:$D$28,""))</f>
        <v>ATEL</v>
      </c>
      <c r="J371" s="125" t="str">
        <f>_xlfn.XLOOKUP(CARTERA_2026[[#This Row],[REGION]],dimensiones!C:C,dimensiones!D:D,"")</f>
        <v>Región de Atacama</v>
      </c>
    </row>
    <row r="372" spans="1:10" ht="14.25" customHeight="1" x14ac:dyDescent="0.25">
      <c r="A372">
        <v>616063030</v>
      </c>
      <c r="B372" t="s">
        <v>212</v>
      </c>
      <c r="C372" t="s">
        <v>4241</v>
      </c>
      <c r="D372">
        <v>3</v>
      </c>
      <c r="E372" t="s">
        <v>4445</v>
      </c>
      <c r="F372" t="s">
        <v>2158</v>
      </c>
      <c r="G372" t="s">
        <v>5572</v>
      </c>
      <c r="H372" t="s">
        <v>4957</v>
      </c>
      <c r="I372" s="79" t="str">
        <f>IF(CARTERA_2026[[#This Row],[RUT]]=774097899,"DIST",_xlfn.XLOOKUP(CARTERA_2026[[#This Row],[VENDEDOR]],dimensiones!$C$21:$C$28,dimensiones!$D$21:$D$28,""))</f>
        <v>ATEL</v>
      </c>
      <c r="J372" s="125" t="str">
        <f>_xlfn.XLOOKUP(CARTERA_2026[[#This Row],[REGION]],dimensiones!C:C,dimensiones!D:D,"")</f>
        <v>Región de Atacama</v>
      </c>
    </row>
    <row r="373" spans="1:10" ht="14.25" customHeight="1" x14ac:dyDescent="0.25">
      <c r="A373">
        <v>616063057</v>
      </c>
      <c r="B373" t="s">
        <v>213</v>
      </c>
      <c r="C373" t="s">
        <v>4242</v>
      </c>
      <c r="D373">
        <v>3</v>
      </c>
      <c r="E373" t="s">
        <v>4445</v>
      </c>
      <c r="F373" t="s">
        <v>3068</v>
      </c>
      <c r="G373" t="s">
        <v>5572</v>
      </c>
      <c r="H373" t="s">
        <v>4957</v>
      </c>
      <c r="I373" s="79" t="str">
        <f>IF(CARTERA_2026[[#This Row],[RUT]]=774097899,"DIST",_xlfn.XLOOKUP(CARTERA_2026[[#This Row],[VENDEDOR]],dimensiones!$C$21:$C$28,dimensiones!$D$21:$D$28,""))</f>
        <v>ATEL</v>
      </c>
      <c r="J373" s="125" t="str">
        <f>_xlfn.XLOOKUP(CARTERA_2026[[#This Row],[REGION]],dimensiones!C:C,dimensiones!D:D,"")</f>
        <v>Región de Atacama</v>
      </c>
    </row>
    <row r="374" spans="1:10" ht="14.25" customHeight="1" x14ac:dyDescent="0.25">
      <c r="A374">
        <v>616063065</v>
      </c>
      <c r="B374" t="s">
        <v>214</v>
      </c>
      <c r="C374" t="s">
        <v>4243</v>
      </c>
      <c r="D374">
        <v>3</v>
      </c>
      <c r="E374" t="s">
        <v>4445</v>
      </c>
      <c r="F374" t="s">
        <v>3199</v>
      </c>
      <c r="G374" t="s">
        <v>5572</v>
      </c>
      <c r="H374" t="s">
        <v>4957</v>
      </c>
      <c r="I374" s="79" t="str">
        <f>IF(CARTERA_2026[[#This Row],[RUT]]=774097899,"DIST",_xlfn.XLOOKUP(CARTERA_2026[[#This Row],[VENDEDOR]],dimensiones!$C$21:$C$28,dimensiones!$D$21:$D$28,""))</f>
        <v>ATEL</v>
      </c>
      <c r="J374" s="125" t="str">
        <f>_xlfn.XLOOKUP(CARTERA_2026[[#This Row],[REGION]],dimensiones!C:C,dimensiones!D:D,"")</f>
        <v>Región de Atacama</v>
      </c>
    </row>
    <row r="375" spans="1:10" ht="14.25" customHeight="1" x14ac:dyDescent="0.25">
      <c r="A375">
        <v>616063073</v>
      </c>
      <c r="B375" t="s">
        <v>215</v>
      </c>
      <c r="C375" t="s">
        <v>4466</v>
      </c>
      <c r="D375">
        <v>3</v>
      </c>
      <c r="E375" t="s">
        <v>4445</v>
      </c>
      <c r="F375" t="s">
        <v>4158</v>
      </c>
      <c r="G375" t="s">
        <v>5572</v>
      </c>
      <c r="H375" t="s">
        <v>4957</v>
      </c>
      <c r="I375" s="79" t="str">
        <f>IF(CARTERA_2026[[#This Row],[RUT]]=774097899,"DIST",_xlfn.XLOOKUP(CARTERA_2026[[#This Row],[VENDEDOR]],dimensiones!$C$21:$C$28,dimensiones!$D$21:$D$28,""))</f>
        <v>ATEL</v>
      </c>
      <c r="J375" s="125" t="str">
        <f>_xlfn.XLOOKUP(CARTERA_2026[[#This Row],[REGION]],dimensiones!C:C,dimensiones!D:D,"")</f>
        <v>Región de Atacama</v>
      </c>
    </row>
    <row r="376" spans="1:10" ht="14.25" customHeight="1" x14ac:dyDescent="0.25">
      <c r="A376" t="s">
        <v>643</v>
      </c>
      <c r="B376" t="s">
        <v>644</v>
      </c>
      <c r="C376" t="s">
        <v>4396</v>
      </c>
      <c r="D376">
        <v>3</v>
      </c>
      <c r="E376" t="s">
        <v>4445</v>
      </c>
      <c r="F376" t="s">
        <v>4155</v>
      </c>
      <c r="G376" t="s">
        <v>5572</v>
      </c>
      <c r="H376" t="s">
        <v>4957</v>
      </c>
      <c r="I376" s="79" t="str">
        <f>IF(CARTERA_2026[[#This Row],[RUT]]=774097899,"DIST",_xlfn.XLOOKUP(CARTERA_2026[[#This Row],[VENDEDOR]],dimensiones!$C$21:$C$28,dimensiones!$D$21:$D$28,""))</f>
        <v>ATEL</v>
      </c>
      <c r="J376" s="125" t="str">
        <f>_xlfn.XLOOKUP(CARTERA_2026[[#This Row],[REGION]],dimensiones!C:C,dimensiones!D:D,"")</f>
        <v>Región de Atacama</v>
      </c>
    </row>
    <row r="377" spans="1:10" ht="14.25" customHeight="1" x14ac:dyDescent="0.25">
      <c r="A377">
        <v>616064002</v>
      </c>
      <c r="B377" t="s">
        <v>216</v>
      </c>
      <c r="C377" t="s">
        <v>4171</v>
      </c>
      <c r="D377">
        <v>4</v>
      </c>
      <c r="E377" t="s">
        <v>4445</v>
      </c>
      <c r="F377" t="s">
        <v>1316</v>
      </c>
      <c r="G377" t="s">
        <v>5571</v>
      </c>
      <c r="H377" t="s">
        <v>4957</v>
      </c>
      <c r="I377" s="79" t="str">
        <f>IF(CARTERA_2026[[#This Row],[RUT]]=774097899,"DIST",_xlfn.XLOOKUP(CARTERA_2026[[#This Row],[VENDEDOR]],dimensiones!$C$21:$C$28,dimensiones!$D$21:$D$28,""))</f>
        <v>ATEL</v>
      </c>
      <c r="J377" s="125" t="str">
        <f>_xlfn.XLOOKUP(CARTERA_2026[[#This Row],[REGION]],dimensiones!C:C,dimensiones!D:D,"")</f>
        <v>Región de Coquimbo</v>
      </c>
    </row>
    <row r="378" spans="1:10" ht="14.25" customHeight="1" x14ac:dyDescent="0.25">
      <c r="A378">
        <v>616064010</v>
      </c>
      <c r="B378" t="s">
        <v>3071</v>
      </c>
      <c r="C378" t="s">
        <v>4244</v>
      </c>
      <c r="D378">
        <v>4</v>
      </c>
      <c r="E378" t="s">
        <v>4445</v>
      </c>
      <c r="F378" t="s">
        <v>3070</v>
      </c>
      <c r="G378" t="s">
        <v>5572</v>
      </c>
      <c r="H378" t="s">
        <v>4957</v>
      </c>
      <c r="I378" s="79" t="str">
        <f>IF(CARTERA_2026[[#This Row],[RUT]]=774097899,"DIST",_xlfn.XLOOKUP(CARTERA_2026[[#This Row],[VENDEDOR]],dimensiones!$C$21:$C$28,dimensiones!$D$21:$D$28,""))</f>
        <v>ATEL</v>
      </c>
      <c r="J378" s="125" t="str">
        <f>_xlfn.XLOOKUP(CARTERA_2026[[#This Row],[REGION]],dimensiones!C:C,dimensiones!D:D,"")</f>
        <v>Región de Coquimbo</v>
      </c>
    </row>
    <row r="379" spans="1:10" ht="14.25" customHeight="1" x14ac:dyDescent="0.25">
      <c r="A379">
        <v>616064029</v>
      </c>
      <c r="B379" t="s">
        <v>32</v>
      </c>
      <c r="C379" t="s">
        <v>4171</v>
      </c>
      <c r="D379">
        <v>4</v>
      </c>
      <c r="E379" t="s">
        <v>2372</v>
      </c>
      <c r="F379" t="s">
        <v>1339</v>
      </c>
      <c r="G379" t="s">
        <v>5572</v>
      </c>
      <c r="H379" t="s">
        <v>4957</v>
      </c>
      <c r="I379" s="79" t="str">
        <f>IF(CARTERA_2026[[#This Row],[RUT]]=774097899,"DIST",_xlfn.XLOOKUP(CARTERA_2026[[#This Row],[VENDEDOR]],dimensiones!$C$21:$C$28,dimensiones!$D$21:$D$28,""))</f>
        <v>NOR1</v>
      </c>
      <c r="J379" s="125" t="str">
        <f>_xlfn.XLOOKUP(CARTERA_2026[[#This Row],[REGION]],dimensiones!C:C,dimensiones!D:D,"")</f>
        <v>Región de Coquimbo</v>
      </c>
    </row>
    <row r="380" spans="1:10" ht="14.25" customHeight="1" x14ac:dyDescent="0.25">
      <c r="A380">
        <v>616064037</v>
      </c>
      <c r="B380" t="s">
        <v>33</v>
      </c>
      <c r="C380" t="s">
        <v>4245</v>
      </c>
      <c r="D380">
        <v>4</v>
      </c>
      <c r="E380" t="s">
        <v>2372</v>
      </c>
      <c r="F380" t="s">
        <v>4151</v>
      </c>
      <c r="G380" t="s">
        <v>5572</v>
      </c>
      <c r="H380" t="s">
        <v>4957</v>
      </c>
      <c r="I380" s="79" t="str">
        <f>IF(CARTERA_2026[[#This Row],[RUT]]=774097899,"DIST",_xlfn.XLOOKUP(CARTERA_2026[[#This Row],[VENDEDOR]],dimensiones!$C$21:$C$28,dimensiones!$D$21:$D$28,""))</f>
        <v>NOR1</v>
      </c>
      <c r="J380" s="125" t="str">
        <f>_xlfn.XLOOKUP(CARTERA_2026[[#This Row],[REGION]],dimensiones!C:C,dimensiones!D:D,"")</f>
        <v>Región de Coquimbo</v>
      </c>
    </row>
    <row r="381" spans="1:10" ht="14.25" customHeight="1" x14ac:dyDescent="0.25">
      <c r="A381">
        <v>616064045</v>
      </c>
      <c r="B381" t="s">
        <v>34</v>
      </c>
      <c r="C381" t="s">
        <v>4397</v>
      </c>
      <c r="D381">
        <v>4</v>
      </c>
      <c r="E381" t="s">
        <v>2372</v>
      </c>
      <c r="F381" t="s">
        <v>1391</v>
      </c>
      <c r="G381" t="s">
        <v>5572</v>
      </c>
      <c r="H381" t="s">
        <v>4957</v>
      </c>
      <c r="I381" s="79" t="str">
        <f>IF(CARTERA_2026[[#This Row],[RUT]]=774097899,"DIST",_xlfn.XLOOKUP(CARTERA_2026[[#This Row],[VENDEDOR]],dimensiones!$C$21:$C$28,dimensiones!$D$21:$D$28,""))</f>
        <v>NOR1</v>
      </c>
      <c r="J381" s="125" t="str">
        <f>_xlfn.XLOOKUP(CARTERA_2026[[#This Row],[REGION]],dimensiones!C:C,dimensiones!D:D,"")</f>
        <v>Región de Coquimbo</v>
      </c>
    </row>
    <row r="382" spans="1:10" ht="14.25" customHeight="1" x14ac:dyDescent="0.25">
      <c r="A382">
        <v>616064053</v>
      </c>
      <c r="B382" t="s">
        <v>218</v>
      </c>
      <c r="C382" t="s">
        <v>4246</v>
      </c>
      <c r="D382">
        <v>4</v>
      </c>
      <c r="E382" t="s">
        <v>4445</v>
      </c>
      <c r="F382" t="s">
        <v>1575</v>
      </c>
      <c r="G382" t="s">
        <v>5572</v>
      </c>
      <c r="H382" t="s">
        <v>4957</v>
      </c>
      <c r="I382" s="79" t="str">
        <f>IF(CARTERA_2026[[#This Row],[RUT]]=774097899,"DIST",_xlfn.XLOOKUP(CARTERA_2026[[#This Row],[VENDEDOR]],dimensiones!$C$21:$C$28,dimensiones!$D$21:$D$28,""))</f>
        <v>ATEL</v>
      </c>
      <c r="J382" s="125" t="str">
        <f>_xlfn.XLOOKUP(CARTERA_2026[[#This Row],[REGION]],dimensiones!C:C,dimensiones!D:D,"")</f>
        <v>Región de Coquimbo</v>
      </c>
    </row>
    <row r="383" spans="1:10" ht="14.25" customHeight="1" x14ac:dyDescent="0.25">
      <c r="A383">
        <v>616064061</v>
      </c>
      <c r="B383" t="s">
        <v>219</v>
      </c>
      <c r="C383" t="s">
        <v>4489</v>
      </c>
      <c r="D383">
        <v>4</v>
      </c>
      <c r="E383" t="s">
        <v>4445</v>
      </c>
      <c r="F383" t="s">
        <v>1304</v>
      </c>
      <c r="G383" t="s">
        <v>5572</v>
      </c>
      <c r="H383" t="s">
        <v>4957</v>
      </c>
      <c r="I383" s="79" t="str">
        <f>IF(CARTERA_2026[[#This Row],[RUT]]=774097899,"DIST",_xlfn.XLOOKUP(CARTERA_2026[[#This Row],[VENDEDOR]],dimensiones!$C$21:$C$28,dimensiones!$D$21:$D$28,""))</f>
        <v>ATEL</v>
      </c>
      <c r="J383" s="125" t="str">
        <f>_xlfn.XLOOKUP(CARTERA_2026[[#This Row],[REGION]],dimensiones!C:C,dimensiones!D:D,"")</f>
        <v>Región de Coquimbo</v>
      </c>
    </row>
    <row r="384" spans="1:10" ht="14.25" customHeight="1" x14ac:dyDescent="0.25">
      <c r="A384" t="s">
        <v>645</v>
      </c>
      <c r="B384" t="s">
        <v>646</v>
      </c>
      <c r="C384" t="s">
        <v>4398</v>
      </c>
      <c r="D384">
        <v>4</v>
      </c>
      <c r="E384" t="s">
        <v>4445</v>
      </c>
      <c r="F384" t="s">
        <v>1232</v>
      </c>
      <c r="G384" t="s">
        <v>5572</v>
      </c>
      <c r="H384" t="s">
        <v>4957</v>
      </c>
      <c r="I384" s="79" t="str">
        <f>IF(CARTERA_2026[[#This Row],[RUT]]=774097899,"DIST",_xlfn.XLOOKUP(CARTERA_2026[[#This Row],[VENDEDOR]],dimensiones!$C$21:$C$28,dimensiones!$D$21:$D$28,""))</f>
        <v>ATEL</v>
      </c>
      <c r="J384" s="125" t="str">
        <f>_xlfn.XLOOKUP(CARTERA_2026[[#This Row],[REGION]],dimensiones!C:C,dimensiones!D:D,"")</f>
        <v>Región de Coquimbo</v>
      </c>
    </row>
    <row r="385" spans="1:10" ht="14.25" customHeight="1" x14ac:dyDescent="0.25">
      <c r="A385">
        <v>616064088</v>
      </c>
      <c r="B385" t="s">
        <v>220</v>
      </c>
      <c r="C385" t="s">
        <v>4247</v>
      </c>
      <c r="D385">
        <v>4</v>
      </c>
      <c r="E385" t="s">
        <v>4445</v>
      </c>
      <c r="F385" t="s">
        <v>3526</v>
      </c>
      <c r="G385" t="s">
        <v>5572</v>
      </c>
      <c r="H385" t="s">
        <v>4957</v>
      </c>
      <c r="I385" s="79" t="str">
        <f>IF(CARTERA_2026[[#This Row],[RUT]]=774097899,"DIST",_xlfn.XLOOKUP(CARTERA_2026[[#This Row],[VENDEDOR]],dimensiones!$C$21:$C$28,dimensiones!$D$21:$D$28,""))</f>
        <v>ATEL</v>
      </c>
      <c r="J385" s="125" t="str">
        <f>_xlfn.XLOOKUP(CARTERA_2026[[#This Row],[REGION]],dimensiones!C:C,dimensiones!D:D,"")</f>
        <v>Región de Coquimbo</v>
      </c>
    </row>
    <row r="386" spans="1:10" ht="14.25" customHeight="1" x14ac:dyDescent="0.25">
      <c r="A386">
        <v>616064096</v>
      </c>
      <c r="B386" t="s">
        <v>221</v>
      </c>
      <c r="C386" t="s">
        <v>4248</v>
      </c>
      <c r="D386">
        <v>4</v>
      </c>
      <c r="E386" t="s">
        <v>4445</v>
      </c>
      <c r="F386" t="s">
        <v>4143</v>
      </c>
      <c r="G386" t="s">
        <v>5572</v>
      </c>
      <c r="H386" t="s">
        <v>4957</v>
      </c>
      <c r="I386" s="79" t="str">
        <f>IF(CARTERA_2026[[#This Row],[RUT]]=774097899,"DIST",_xlfn.XLOOKUP(CARTERA_2026[[#This Row],[VENDEDOR]],dimensiones!$C$21:$C$28,dimensiones!$D$21:$D$28,""))</f>
        <v>ATEL</v>
      </c>
      <c r="J386" s="125" t="str">
        <f>_xlfn.XLOOKUP(CARTERA_2026[[#This Row],[REGION]],dimensiones!C:C,dimensiones!D:D,"")</f>
        <v>Región de Coquimbo</v>
      </c>
    </row>
    <row r="387" spans="1:10" ht="14.25" customHeight="1" x14ac:dyDescent="0.25">
      <c r="A387">
        <v>616065009</v>
      </c>
      <c r="B387" t="s">
        <v>35</v>
      </c>
      <c r="C387" t="s">
        <v>4459</v>
      </c>
      <c r="D387">
        <v>5</v>
      </c>
      <c r="E387" t="s">
        <v>2372</v>
      </c>
      <c r="F387" t="s">
        <v>2271</v>
      </c>
      <c r="G387" t="s">
        <v>5571</v>
      </c>
      <c r="H387" t="s">
        <v>4957</v>
      </c>
      <c r="I387" s="79" t="str">
        <f>IF(CARTERA_2026[[#This Row],[RUT]]=774097899,"DIST",_xlfn.XLOOKUP(CARTERA_2026[[#This Row],[VENDEDOR]],dimensiones!$C$21:$C$28,dimensiones!$D$21:$D$28,""))</f>
        <v>NOR1</v>
      </c>
      <c r="J387" s="125" t="str">
        <f>_xlfn.XLOOKUP(CARTERA_2026[[#This Row],[REGION]],dimensiones!C:C,dimensiones!D:D,"")</f>
        <v>Región de Valparaíso</v>
      </c>
    </row>
    <row r="388" spans="1:10" ht="14.25" customHeight="1" x14ac:dyDescent="0.25">
      <c r="A388">
        <v>616066005</v>
      </c>
      <c r="B388" t="s">
        <v>222</v>
      </c>
      <c r="C388" t="s">
        <v>4175</v>
      </c>
      <c r="D388">
        <v>5</v>
      </c>
      <c r="E388" t="s">
        <v>2372</v>
      </c>
      <c r="F388" t="s">
        <v>3085</v>
      </c>
      <c r="G388" t="s">
        <v>5571</v>
      </c>
      <c r="H388" t="s">
        <v>4957</v>
      </c>
      <c r="I388" s="79" t="str">
        <f>IF(CARTERA_2026[[#This Row],[RUT]]=774097899,"DIST",_xlfn.XLOOKUP(CARTERA_2026[[#This Row],[VENDEDOR]],dimensiones!$C$21:$C$28,dimensiones!$D$21:$D$28,""))</f>
        <v>NOR1</v>
      </c>
      <c r="J388" s="125" t="str">
        <f>_xlfn.XLOOKUP(CARTERA_2026[[#This Row],[REGION]],dimensiones!C:C,dimensiones!D:D,"")</f>
        <v>Región de Valparaíso</v>
      </c>
    </row>
    <row r="389" spans="1:10" ht="14.25" customHeight="1" x14ac:dyDescent="0.25">
      <c r="A389">
        <v>616066021</v>
      </c>
      <c r="B389" t="s">
        <v>36</v>
      </c>
      <c r="C389" t="s">
        <v>4175</v>
      </c>
      <c r="D389">
        <v>5</v>
      </c>
      <c r="E389" t="s">
        <v>2372</v>
      </c>
      <c r="F389" t="s">
        <v>2736</v>
      </c>
      <c r="G389" t="s">
        <v>5572</v>
      </c>
      <c r="H389" t="s">
        <v>4957</v>
      </c>
      <c r="I389" s="79" t="str">
        <f>IF(CARTERA_2026[[#This Row],[RUT]]=774097899,"DIST",_xlfn.XLOOKUP(CARTERA_2026[[#This Row],[VENDEDOR]],dimensiones!$C$21:$C$28,dimensiones!$D$21:$D$28,""))</f>
        <v>NOR1</v>
      </c>
      <c r="J389" s="125" t="str">
        <f>_xlfn.XLOOKUP(CARTERA_2026[[#This Row],[REGION]],dimensiones!C:C,dimensiones!D:D,"")</f>
        <v>Región de Valparaíso</v>
      </c>
    </row>
    <row r="390" spans="1:10" ht="14.25" customHeight="1" x14ac:dyDescent="0.25">
      <c r="A390" t="s">
        <v>147</v>
      </c>
      <c r="B390" t="s">
        <v>760</v>
      </c>
      <c r="C390" t="s">
        <v>4313</v>
      </c>
      <c r="D390">
        <v>5</v>
      </c>
      <c r="E390" t="s">
        <v>4445</v>
      </c>
      <c r="F390" t="s">
        <v>3091</v>
      </c>
      <c r="G390" t="s">
        <v>5572</v>
      </c>
      <c r="H390" t="s">
        <v>4957</v>
      </c>
      <c r="I390" s="79" t="str">
        <f>IF(CARTERA_2026[[#This Row],[RUT]]=774097899,"DIST",_xlfn.XLOOKUP(CARTERA_2026[[#This Row],[VENDEDOR]],dimensiones!$C$21:$C$28,dimensiones!$D$21:$D$28,""))</f>
        <v>ATEL</v>
      </c>
      <c r="J390" s="125" t="str">
        <f>_xlfn.XLOOKUP(CARTERA_2026[[#This Row],[REGION]],dimensiones!C:C,dimensiones!D:D,"")</f>
        <v>Región de Valparaíso</v>
      </c>
    </row>
    <row r="391" spans="1:10" ht="14.25" customHeight="1" x14ac:dyDescent="0.25">
      <c r="A391">
        <v>616066048</v>
      </c>
      <c r="B391" t="s">
        <v>37</v>
      </c>
      <c r="C391" t="s">
        <v>4490</v>
      </c>
      <c r="D391">
        <v>5</v>
      </c>
      <c r="E391" t="s">
        <v>2372</v>
      </c>
      <c r="F391" t="s">
        <v>1994</v>
      </c>
      <c r="G391" t="s">
        <v>5572</v>
      </c>
      <c r="H391" t="s">
        <v>4957</v>
      </c>
      <c r="I391" s="79" t="str">
        <f>IF(CARTERA_2026[[#This Row],[RUT]]=774097899,"DIST",_xlfn.XLOOKUP(CARTERA_2026[[#This Row],[VENDEDOR]],dimensiones!$C$21:$C$28,dimensiones!$D$21:$D$28,""))</f>
        <v>NOR1</v>
      </c>
      <c r="J391" s="125" t="str">
        <f>_xlfn.XLOOKUP(CARTERA_2026[[#This Row],[REGION]],dimensiones!C:C,dimensiones!D:D,"")</f>
        <v>Región de Valparaíso</v>
      </c>
    </row>
    <row r="392" spans="1:10" ht="14.25" customHeight="1" x14ac:dyDescent="0.25">
      <c r="A392">
        <v>616066056</v>
      </c>
      <c r="B392" t="s">
        <v>38</v>
      </c>
      <c r="C392" t="s">
        <v>4250</v>
      </c>
      <c r="D392">
        <v>5</v>
      </c>
      <c r="E392" t="s">
        <v>4445</v>
      </c>
      <c r="F392" t="s">
        <v>3854</v>
      </c>
      <c r="G392" t="s">
        <v>5572</v>
      </c>
      <c r="H392" t="s">
        <v>4957</v>
      </c>
      <c r="I392" s="79" t="str">
        <f>IF(CARTERA_2026[[#This Row],[RUT]]=774097899,"DIST",_xlfn.XLOOKUP(CARTERA_2026[[#This Row],[VENDEDOR]],dimensiones!$C$21:$C$28,dimensiones!$D$21:$D$28,""))</f>
        <v>ATEL</v>
      </c>
      <c r="J392" s="125" t="str">
        <f>_xlfn.XLOOKUP(CARTERA_2026[[#This Row],[REGION]],dimensiones!C:C,dimensiones!D:D,"")</f>
        <v>Región de Valparaíso</v>
      </c>
    </row>
    <row r="393" spans="1:10" ht="14.25" customHeight="1" x14ac:dyDescent="0.25">
      <c r="A393">
        <v>616066064</v>
      </c>
      <c r="B393" t="s">
        <v>39</v>
      </c>
      <c r="C393" t="s">
        <v>4249</v>
      </c>
      <c r="D393">
        <v>5</v>
      </c>
      <c r="E393" t="s">
        <v>4445</v>
      </c>
      <c r="F393" t="s">
        <v>3779</v>
      </c>
      <c r="G393" t="s">
        <v>5572</v>
      </c>
      <c r="H393" t="s">
        <v>4957</v>
      </c>
      <c r="I393" s="79" t="str">
        <f>IF(CARTERA_2026[[#This Row],[RUT]]=774097899,"DIST",_xlfn.XLOOKUP(CARTERA_2026[[#This Row],[VENDEDOR]],dimensiones!$C$21:$C$28,dimensiones!$D$21:$D$28,""))</f>
        <v>ATEL</v>
      </c>
      <c r="J393" s="125" t="str">
        <f>_xlfn.XLOOKUP(CARTERA_2026[[#This Row],[REGION]],dimensiones!C:C,dimensiones!D:D,"")</f>
        <v>Región de Valparaíso</v>
      </c>
    </row>
    <row r="394" spans="1:10" ht="14.25" customHeight="1" x14ac:dyDescent="0.25">
      <c r="A394">
        <v>616066072</v>
      </c>
      <c r="B394" t="s">
        <v>890</v>
      </c>
      <c r="C394" t="s">
        <v>4249</v>
      </c>
      <c r="D394">
        <v>5</v>
      </c>
      <c r="E394" t="s">
        <v>4445</v>
      </c>
      <c r="F394" t="s">
        <v>1320</v>
      </c>
      <c r="G394" t="s">
        <v>5572</v>
      </c>
      <c r="H394" t="s">
        <v>4957</v>
      </c>
      <c r="I394" s="79" t="str">
        <f>IF(CARTERA_2026[[#This Row],[RUT]]=774097899,"DIST",_xlfn.XLOOKUP(CARTERA_2026[[#This Row],[VENDEDOR]],dimensiones!$C$21:$C$28,dimensiones!$D$21:$D$28,""))</f>
        <v>ATEL</v>
      </c>
      <c r="J394" s="125" t="str">
        <f>_xlfn.XLOOKUP(CARTERA_2026[[#This Row],[REGION]],dimensiones!C:C,dimensiones!D:D,"")</f>
        <v>Región de Valparaíso</v>
      </c>
    </row>
    <row r="395" spans="1:10" ht="14.25" customHeight="1" x14ac:dyDescent="0.25">
      <c r="A395">
        <v>616066080</v>
      </c>
      <c r="B395" t="s">
        <v>40</v>
      </c>
      <c r="C395" t="s">
        <v>4251</v>
      </c>
      <c r="D395">
        <v>5</v>
      </c>
      <c r="E395" t="s">
        <v>2372</v>
      </c>
      <c r="F395" t="s">
        <v>2126</v>
      </c>
      <c r="G395" t="s">
        <v>5572</v>
      </c>
      <c r="H395" t="s">
        <v>4957</v>
      </c>
      <c r="I395" s="79" t="str">
        <f>IF(CARTERA_2026[[#This Row],[RUT]]=774097899,"DIST",_xlfn.XLOOKUP(CARTERA_2026[[#This Row],[VENDEDOR]],dimensiones!$C$21:$C$28,dimensiones!$D$21:$D$28,""))</f>
        <v>NOR1</v>
      </c>
      <c r="J395" s="125" t="str">
        <f>_xlfn.XLOOKUP(CARTERA_2026[[#This Row],[REGION]],dimensiones!C:C,dimensiones!D:D,"")</f>
        <v>Región de Valparaíso</v>
      </c>
    </row>
    <row r="396" spans="1:10" ht="14.25" customHeight="1" x14ac:dyDescent="0.25">
      <c r="A396">
        <v>616066099</v>
      </c>
      <c r="B396" t="s">
        <v>41</v>
      </c>
      <c r="C396" t="s">
        <v>4252</v>
      </c>
      <c r="D396">
        <v>5</v>
      </c>
      <c r="E396" t="s">
        <v>4445</v>
      </c>
      <c r="F396" t="s">
        <v>1324</v>
      </c>
      <c r="G396" t="s">
        <v>5572</v>
      </c>
      <c r="H396" t="s">
        <v>4957</v>
      </c>
      <c r="I396" s="79" t="str">
        <f>IF(CARTERA_2026[[#This Row],[RUT]]=774097899,"DIST",_xlfn.XLOOKUP(CARTERA_2026[[#This Row],[VENDEDOR]],dimensiones!$C$21:$C$28,dimensiones!$D$21:$D$28,""))</f>
        <v>ATEL</v>
      </c>
      <c r="J396" s="125" t="str">
        <f>_xlfn.XLOOKUP(CARTERA_2026[[#This Row],[REGION]],dimensiones!C:C,dimensiones!D:D,"")</f>
        <v>Región de Valparaíso</v>
      </c>
    </row>
    <row r="397" spans="1:10" ht="14.25" customHeight="1" x14ac:dyDescent="0.25">
      <c r="A397">
        <v>616066102</v>
      </c>
      <c r="B397" t="s">
        <v>223</v>
      </c>
      <c r="C397" t="s">
        <v>4253</v>
      </c>
      <c r="D397">
        <v>5</v>
      </c>
      <c r="E397" t="s">
        <v>4445</v>
      </c>
      <c r="F397" t="s">
        <v>3192</v>
      </c>
      <c r="G397" t="s">
        <v>5572</v>
      </c>
      <c r="H397" t="s">
        <v>4957</v>
      </c>
      <c r="I397" s="79" t="str">
        <f>IF(CARTERA_2026[[#This Row],[RUT]]=774097899,"DIST",_xlfn.XLOOKUP(CARTERA_2026[[#This Row],[VENDEDOR]],dimensiones!$C$21:$C$28,dimensiones!$D$21:$D$28,""))</f>
        <v>ATEL</v>
      </c>
      <c r="J397" s="125" t="str">
        <f>_xlfn.XLOOKUP(CARTERA_2026[[#This Row],[REGION]],dimensiones!C:C,dimensiones!D:D,"")</f>
        <v>Región de Valparaíso</v>
      </c>
    </row>
    <row r="398" spans="1:10" ht="14.25" customHeight="1" x14ac:dyDescent="0.25">
      <c r="A398">
        <v>616066110</v>
      </c>
      <c r="B398" t="s">
        <v>42</v>
      </c>
      <c r="C398" t="s">
        <v>4305</v>
      </c>
      <c r="D398">
        <v>5</v>
      </c>
      <c r="E398" t="s">
        <v>4445</v>
      </c>
      <c r="F398" t="s">
        <v>1328</v>
      </c>
      <c r="G398" t="s">
        <v>5572</v>
      </c>
      <c r="H398" t="s">
        <v>4957</v>
      </c>
      <c r="I398" s="79" t="str">
        <f>IF(CARTERA_2026[[#This Row],[RUT]]=774097899,"DIST",_xlfn.XLOOKUP(CARTERA_2026[[#This Row],[VENDEDOR]],dimensiones!$C$21:$C$28,dimensiones!$D$21:$D$28,""))</f>
        <v>ATEL</v>
      </c>
      <c r="J398" s="125" t="str">
        <f>_xlfn.XLOOKUP(CARTERA_2026[[#This Row],[REGION]],dimensiones!C:C,dimensiones!D:D,"")</f>
        <v>Región de Valparaíso</v>
      </c>
    </row>
    <row r="399" spans="1:10" ht="14.25" customHeight="1" x14ac:dyDescent="0.25">
      <c r="A399">
        <v>616066129</v>
      </c>
      <c r="B399" t="s">
        <v>773</v>
      </c>
      <c r="C399" t="s">
        <v>4255</v>
      </c>
      <c r="D399">
        <v>5</v>
      </c>
      <c r="E399" t="s">
        <v>4445</v>
      </c>
      <c r="F399" t="s">
        <v>1514</v>
      </c>
      <c r="G399" t="s">
        <v>5572</v>
      </c>
      <c r="H399" t="s">
        <v>4957</v>
      </c>
      <c r="I399" s="79" t="str">
        <f>IF(CARTERA_2026[[#This Row],[RUT]]=774097899,"DIST",_xlfn.XLOOKUP(CARTERA_2026[[#This Row],[VENDEDOR]],dimensiones!$C$21:$C$28,dimensiones!$D$21:$D$28,""))</f>
        <v>ATEL</v>
      </c>
      <c r="J399" s="125" t="str">
        <f>_xlfn.XLOOKUP(CARTERA_2026[[#This Row],[REGION]],dimensiones!C:C,dimensiones!D:D,"")</f>
        <v>Región de Valparaíso</v>
      </c>
    </row>
    <row r="400" spans="1:10" ht="14.25" customHeight="1" x14ac:dyDescent="0.25">
      <c r="A400">
        <v>616067001</v>
      </c>
      <c r="B400" t="s">
        <v>1332</v>
      </c>
      <c r="C400" t="s">
        <v>4174</v>
      </c>
      <c r="D400">
        <v>5</v>
      </c>
      <c r="E400" t="s">
        <v>4445</v>
      </c>
      <c r="F400" t="s">
        <v>1331</v>
      </c>
      <c r="G400" t="s">
        <v>5571</v>
      </c>
      <c r="H400" t="s">
        <v>4957</v>
      </c>
      <c r="I400" s="79" t="str">
        <f>IF(CARTERA_2026[[#This Row],[RUT]]=774097899,"DIST",_xlfn.XLOOKUP(CARTERA_2026[[#This Row],[VENDEDOR]],dimensiones!$C$21:$C$28,dimensiones!$D$21:$D$28,""))</f>
        <v>ATEL</v>
      </c>
      <c r="J400" s="125" t="str">
        <f>_xlfn.XLOOKUP(CARTERA_2026[[#This Row],[REGION]],dimensiones!C:C,dimensiones!D:D,"")</f>
        <v>Región de Valparaíso</v>
      </c>
    </row>
    <row r="401" spans="1:10" ht="14.25" customHeight="1" x14ac:dyDescent="0.25">
      <c r="A401">
        <v>616067036</v>
      </c>
      <c r="B401" t="s">
        <v>774</v>
      </c>
      <c r="C401" t="s">
        <v>4256</v>
      </c>
      <c r="D401">
        <v>5</v>
      </c>
      <c r="E401" t="s">
        <v>4445</v>
      </c>
      <c r="F401" t="s">
        <v>1731</v>
      </c>
      <c r="G401" t="s">
        <v>5572</v>
      </c>
      <c r="H401" t="s">
        <v>4957</v>
      </c>
      <c r="I401" s="79" t="str">
        <f>IF(CARTERA_2026[[#This Row],[RUT]]=774097899,"DIST",_xlfn.XLOOKUP(CARTERA_2026[[#This Row],[VENDEDOR]],dimensiones!$C$21:$C$28,dimensiones!$D$21:$D$28,""))</f>
        <v>ATEL</v>
      </c>
      <c r="J401" s="125" t="str">
        <f>_xlfn.XLOOKUP(CARTERA_2026[[#This Row],[REGION]],dimensiones!C:C,dimensiones!D:D,"")</f>
        <v>Región de Valparaíso</v>
      </c>
    </row>
    <row r="402" spans="1:10" ht="14.25" customHeight="1" x14ac:dyDescent="0.25">
      <c r="A402">
        <v>616068008</v>
      </c>
      <c r="B402" t="s">
        <v>224</v>
      </c>
      <c r="C402" t="s">
        <v>4178</v>
      </c>
      <c r="D402">
        <v>6</v>
      </c>
      <c r="E402" t="s">
        <v>4445</v>
      </c>
      <c r="F402" t="s">
        <v>1335</v>
      </c>
      <c r="G402" t="s">
        <v>5571</v>
      </c>
      <c r="H402" t="s">
        <v>4957</v>
      </c>
      <c r="I402" s="79" t="str">
        <f>IF(CARTERA_2026[[#This Row],[RUT]]=774097899,"DIST",_xlfn.XLOOKUP(CARTERA_2026[[#This Row],[VENDEDOR]],dimensiones!$C$21:$C$28,dimensiones!$D$21:$D$28,""))</f>
        <v>ATEL</v>
      </c>
      <c r="J402" s="125" t="str">
        <f>_xlfn.XLOOKUP(CARTERA_2026[[#This Row],[REGION]],dimensiones!C:C,dimensiones!D:D,"")</f>
        <v>Región de Libertador General Bernardo O'Higgins</v>
      </c>
    </row>
    <row r="403" spans="1:10" ht="14.25" customHeight="1" x14ac:dyDescent="0.25">
      <c r="A403">
        <v>616069004</v>
      </c>
      <c r="B403" t="s">
        <v>225</v>
      </c>
      <c r="C403" t="s">
        <v>4257</v>
      </c>
      <c r="D403">
        <v>7</v>
      </c>
      <c r="E403" t="s">
        <v>4445</v>
      </c>
      <c r="F403" t="s">
        <v>1337</v>
      </c>
      <c r="G403" t="s">
        <v>5571</v>
      </c>
      <c r="H403" t="s">
        <v>4957</v>
      </c>
      <c r="I403" s="79" t="str">
        <f>IF(CARTERA_2026[[#This Row],[RUT]]=774097899,"DIST",_xlfn.XLOOKUP(CARTERA_2026[[#This Row],[VENDEDOR]],dimensiones!$C$21:$C$28,dimensiones!$D$21:$D$28,""))</f>
        <v>ATEL</v>
      </c>
      <c r="J403" s="125" t="str">
        <f>_xlfn.XLOOKUP(CARTERA_2026[[#This Row],[REGION]],dimensiones!C:C,dimensiones!D:D,"")</f>
        <v>Región de Maule</v>
      </c>
    </row>
    <row r="404" spans="1:10" ht="14.25" customHeight="1" x14ac:dyDescent="0.25">
      <c r="A404">
        <v>616069012</v>
      </c>
      <c r="B404" t="s">
        <v>226</v>
      </c>
      <c r="C404" t="s">
        <v>4257</v>
      </c>
      <c r="D404">
        <v>7</v>
      </c>
      <c r="E404" t="s">
        <v>5729</v>
      </c>
      <c r="F404" t="s">
        <v>2255</v>
      </c>
      <c r="G404" t="s">
        <v>5572</v>
      </c>
      <c r="H404" t="s">
        <v>4957</v>
      </c>
      <c r="I404" s="79" t="str">
        <f>IF(CARTERA_2026[[#This Row],[RUT]]=774097899,"DIST",_xlfn.XLOOKUP(CARTERA_2026[[#This Row],[VENDEDOR]],dimensiones!$C$21:$C$28,dimensiones!$D$21:$D$28,""))</f>
        <v>SANT3</v>
      </c>
      <c r="J404" s="125" t="str">
        <f>_xlfn.XLOOKUP(CARTERA_2026[[#This Row],[REGION]],dimensiones!C:C,dimensiones!D:D,"")</f>
        <v>Región de Maule</v>
      </c>
    </row>
    <row r="405" spans="1:10" ht="14.25" customHeight="1" x14ac:dyDescent="0.25">
      <c r="A405">
        <v>616069039</v>
      </c>
      <c r="B405" t="s">
        <v>775</v>
      </c>
      <c r="C405" t="s">
        <v>4491</v>
      </c>
      <c r="D405">
        <v>7</v>
      </c>
      <c r="E405" t="s">
        <v>5729</v>
      </c>
      <c r="F405" t="s">
        <v>2206</v>
      </c>
      <c r="G405" t="s">
        <v>5572</v>
      </c>
      <c r="H405" t="s">
        <v>4957</v>
      </c>
      <c r="I405" s="79" t="str">
        <f>IF(CARTERA_2026[[#This Row],[RUT]]=774097899,"DIST",_xlfn.XLOOKUP(CARTERA_2026[[#This Row],[VENDEDOR]],dimensiones!$C$21:$C$28,dimensiones!$D$21:$D$28,""))</f>
        <v>SANT3</v>
      </c>
      <c r="J405" s="125" t="str">
        <f>_xlfn.XLOOKUP(CARTERA_2026[[#This Row],[REGION]],dimensiones!C:C,dimensiones!D:D,"")</f>
        <v>Región de Maule</v>
      </c>
    </row>
    <row r="406" spans="1:10" ht="14.25" customHeight="1" x14ac:dyDescent="0.25">
      <c r="A406">
        <v>616069055</v>
      </c>
      <c r="B406" t="s">
        <v>227</v>
      </c>
      <c r="C406" t="s">
        <v>4492</v>
      </c>
      <c r="D406">
        <v>7</v>
      </c>
      <c r="E406" t="s">
        <v>4445</v>
      </c>
      <c r="F406" t="s">
        <v>1344</v>
      </c>
      <c r="G406" t="s">
        <v>5572</v>
      </c>
      <c r="H406" t="s">
        <v>4957</v>
      </c>
      <c r="I406" s="79" t="str">
        <f>IF(CARTERA_2026[[#This Row],[RUT]]=774097899,"DIST",_xlfn.XLOOKUP(CARTERA_2026[[#This Row],[VENDEDOR]],dimensiones!$C$21:$C$28,dimensiones!$D$21:$D$28,""))</f>
        <v>ATEL</v>
      </c>
      <c r="J406" s="125" t="str">
        <f>_xlfn.XLOOKUP(CARTERA_2026[[#This Row],[REGION]],dimensiones!C:C,dimensiones!D:D,"")</f>
        <v>Región de Maule</v>
      </c>
    </row>
    <row r="407" spans="1:10" ht="14.25" customHeight="1" x14ac:dyDescent="0.25">
      <c r="A407">
        <v>616069063</v>
      </c>
      <c r="B407" t="s">
        <v>228</v>
      </c>
      <c r="C407" t="s">
        <v>4493</v>
      </c>
      <c r="D407">
        <v>7</v>
      </c>
      <c r="E407" t="s">
        <v>4445</v>
      </c>
      <c r="F407" t="s">
        <v>3897</v>
      </c>
      <c r="G407" t="s">
        <v>5572</v>
      </c>
      <c r="H407" t="s">
        <v>4957</v>
      </c>
      <c r="I407" s="79" t="str">
        <f>IF(CARTERA_2026[[#This Row],[RUT]]=774097899,"DIST",_xlfn.XLOOKUP(CARTERA_2026[[#This Row],[VENDEDOR]],dimensiones!$C$21:$C$28,dimensiones!$D$21:$D$28,""))</f>
        <v>ATEL</v>
      </c>
      <c r="J407" s="125" t="str">
        <f>_xlfn.XLOOKUP(CARTERA_2026[[#This Row],[REGION]],dimensiones!C:C,dimensiones!D:D,"")</f>
        <v>Región de Maule</v>
      </c>
    </row>
    <row r="408" spans="1:10" ht="14.25" customHeight="1" x14ac:dyDescent="0.25">
      <c r="A408">
        <v>616069071</v>
      </c>
      <c r="B408" t="s">
        <v>229</v>
      </c>
      <c r="C408" t="s">
        <v>4258</v>
      </c>
      <c r="D408">
        <v>7</v>
      </c>
      <c r="E408" t="s">
        <v>4445</v>
      </c>
      <c r="F408" t="s">
        <v>1875</v>
      </c>
      <c r="G408" t="s">
        <v>5572</v>
      </c>
      <c r="H408" t="s">
        <v>4957</v>
      </c>
      <c r="I408" s="79" t="str">
        <f>IF(CARTERA_2026[[#This Row],[RUT]]=774097899,"DIST",_xlfn.XLOOKUP(CARTERA_2026[[#This Row],[VENDEDOR]],dimensiones!$C$21:$C$28,dimensiones!$D$21:$D$28,""))</f>
        <v>ATEL</v>
      </c>
      <c r="J408" s="125" t="str">
        <f>_xlfn.XLOOKUP(CARTERA_2026[[#This Row],[REGION]],dimensiones!C:C,dimensiones!D:D,"")</f>
        <v>Región de Maule</v>
      </c>
    </row>
    <row r="409" spans="1:10" ht="14.25" customHeight="1" x14ac:dyDescent="0.25">
      <c r="A409" t="s">
        <v>647</v>
      </c>
      <c r="B409" t="s">
        <v>648</v>
      </c>
      <c r="C409" t="s">
        <v>4260</v>
      </c>
      <c r="D409">
        <v>7</v>
      </c>
      <c r="E409" t="s">
        <v>4445</v>
      </c>
      <c r="F409" t="s">
        <v>2376</v>
      </c>
      <c r="G409" t="s">
        <v>5572</v>
      </c>
      <c r="H409" t="s">
        <v>4957</v>
      </c>
      <c r="I409" s="79" t="str">
        <f>IF(CARTERA_2026[[#This Row],[RUT]]=774097899,"DIST",_xlfn.XLOOKUP(CARTERA_2026[[#This Row],[VENDEDOR]],dimensiones!$C$21:$C$28,dimensiones!$D$21:$D$28,""))</f>
        <v>ATEL</v>
      </c>
      <c r="J409" s="125" t="str">
        <f>_xlfn.XLOOKUP(CARTERA_2026[[#This Row],[REGION]],dimensiones!C:C,dimensiones!D:D,"")</f>
        <v>Región de Maule</v>
      </c>
    </row>
    <row r="410" spans="1:10" ht="14.25" customHeight="1" x14ac:dyDescent="0.25">
      <c r="A410">
        <v>616069101</v>
      </c>
      <c r="B410" t="s">
        <v>230</v>
      </c>
      <c r="C410" t="s">
        <v>4261</v>
      </c>
      <c r="D410">
        <v>7</v>
      </c>
      <c r="E410" t="s">
        <v>4445</v>
      </c>
      <c r="F410" t="s">
        <v>1623</v>
      </c>
      <c r="G410" t="s">
        <v>5572</v>
      </c>
      <c r="H410" t="s">
        <v>4957</v>
      </c>
      <c r="I410" s="79" t="str">
        <f>IF(CARTERA_2026[[#This Row],[RUT]]=774097899,"DIST",_xlfn.XLOOKUP(CARTERA_2026[[#This Row],[VENDEDOR]],dimensiones!$C$21:$C$28,dimensiones!$D$21:$D$28,""))</f>
        <v>ATEL</v>
      </c>
      <c r="J410" s="125" t="str">
        <f>_xlfn.XLOOKUP(CARTERA_2026[[#This Row],[REGION]],dimensiones!C:C,dimensiones!D:D,"")</f>
        <v>Región de Maule</v>
      </c>
    </row>
    <row r="411" spans="1:10" ht="14.25" customHeight="1" x14ac:dyDescent="0.25">
      <c r="A411" t="s">
        <v>649</v>
      </c>
      <c r="B411" t="s">
        <v>650</v>
      </c>
      <c r="C411" t="s">
        <v>4494</v>
      </c>
      <c r="D411">
        <v>7</v>
      </c>
      <c r="E411" t="s">
        <v>4445</v>
      </c>
      <c r="F411" t="s">
        <v>1350</v>
      </c>
      <c r="G411" t="s">
        <v>5572</v>
      </c>
      <c r="H411" t="s">
        <v>4957</v>
      </c>
      <c r="I411" s="79" t="str">
        <f>IF(CARTERA_2026[[#This Row],[RUT]]=774097899,"DIST",_xlfn.XLOOKUP(CARTERA_2026[[#This Row],[VENDEDOR]],dimensiones!$C$21:$C$28,dimensiones!$D$21:$D$28,""))</f>
        <v>ATEL</v>
      </c>
      <c r="J411" s="125" t="str">
        <f>_xlfn.XLOOKUP(CARTERA_2026[[#This Row],[REGION]],dimensiones!C:C,dimensiones!D:D,"")</f>
        <v>Región de Maule</v>
      </c>
    </row>
    <row r="412" spans="1:10" ht="14.25" customHeight="1" x14ac:dyDescent="0.25">
      <c r="A412">
        <v>616069128</v>
      </c>
      <c r="B412" t="s">
        <v>231</v>
      </c>
      <c r="C412" t="s">
        <v>4262</v>
      </c>
      <c r="D412">
        <v>7</v>
      </c>
      <c r="E412" t="s">
        <v>4445</v>
      </c>
      <c r="F412" t="s">
        <v>1729</v>
      </c>
      <c r="G412" t="s">
        <v>5572</v>
      </c>
      <c r="H412" t="s">
        <v>4957</v>
      </c>
      <c r="I412" s="79" t="str">
        <f>IF(CARTERA_2026[[#This Row],[RUT]]=774097899,"DIST",_xlfn.XLOOKUP(CARTERA_2026[[#This Row],[VENDEDOR]],dimensiones!$C$21:$C$28,dimensiones!$D$21:$D$28,""))</f>
        <v>ATEL</v>
      </c>
      <c r="J412" s="125" t="str">
        <f>_xlfn.XLOOKUP(CARTERA_2026[[#This Row],[REGION]],dimensiones!C:C,dimensiones!D:D,"")</f>
        <v>Región de Maule</v>
      </c>
    </row>
    <row r="413" spans="1:10" ht="14.25" customHeight="1" x14ac:dyDescent="0.25">
      <c r="A413">
        <v>616069136</v>
      </c>
      <c r="B413" t="s">
        <v>776</v>
      </c>
      <c r="C413" t="s">
        <v>4341</v>
      </c>
      <c r="D413">
        <v>7</v>
      </c>
      <c r="E413" t="s">
        <v>4445</v>
      </c>
      <c r="F413" t="s">
        <v>3800</v>
      </c>
      <c r="G413" t="s">
        <v>5572</v>
      </c>
      <c r="H413" t="s">
        <v>4957</v>
      </c>
      <c r="I413" s="79" t="str">
        <f>IF(CARTERA_2026[[#This Row],[RUT]]=774097899,"DIST",_xlfn.XLOOKUP(CARTERA_2026[[#This Row],[VENDEDOR]],dimensiones!$C$21:$C$28,dimensiones!$D$21:$D$28,""))</f>
        <v>ATEL</v>
      </c>
      <c r="J413" s="125" t="str">
        <f>_xlfn.XLOOKUP(CARTERA_2026[[#This Row],[REGION]],dimensiones!C:C,dimensiones!D:D,"")</f>
        <v>Región de Maule</v>
      </c>
    </row>
    <row r="414" spans="1:10" ht="14.25" customHeight="1" x14ac:dyDescent="0.25">
      <c r="A414">
        <v>616069152</v>
      </c>
      <c r="B414" t="s">
        <v>232</v>
      </c>
      <c r="C414" t="s">
        <v>4263</v>
      </c>
      <c r="D414">
        <v>7</v>
      </c>
      <c r="E414" t="s">
        <v>4445</v>
      </c>
      <c r="F414" t="s">
        <v>1355</v>
      </c>
      <c r="G414" t="s">
        <v>5572</v>
      </c>
      <c r="H414" t="s">
        <v>4957</v>
      </c>
      <c r="I414" s="79" t="str">
        <f>IF(CARTERA_2026[[#This Row],[RUT]]=774097899,"DIST",_xlfn.XLOOKUP(CARTERA_2026[[#This Row],[VENDEDOR]],dimensiones!$C$21:$C$28,dimensiones!$D$21:$D$28,""))</f>
        <v>ATEL</v>
      </c>
      <c r="J414" s="125" t="str">
        <f>_xlfn.XLOOKUP(CARTERA_2026[[#This Row],[REGION]],dimensiones!C:C,dimensiones!D:D,"")</f>
        <v>Región de Maule</v>
      </c>
    </row>
    <row r="415" spans="1:10" ht="14.25" customHeight="1" x14ac:dyDescent="0.25">
      <c r="A415">
        <v>616069179</v>
      </c>
      <c r="B415" t="s">
        <v>233</v>
      </c>
      <c r="C415" t="s">
        <v>4264</v>
      </c>
      <c r="D415">
        <v>7</v>
      </c>
      <c r="E415" t="s">
        <v>5729</v>
      </c>
      <c r="F415" t="s">
        <v>1946</v>
      </c>
      <c r="G415" t="s">
        <v>5572</v>
      </c>
      <c r="H415" t="s">
        <v>4957</v>
      </c>
      <c r="I415" s="79" t="str">
        <f>IF(CARTERA_2026[[#This Row],[RUT]]=774097899,"DIST",_xlfn.XLOOKUP(CARTERA_2026[[#This Row],[VENDEDOR]],dimensiones!$C$21:$C$28,dimensiones!$D$21:$D$28,""))</f>
        <v>SANT3</v>
      </c>
      <c r="J415" s="125" t="str">
        <f>_xlfn.XLOOKUP(CARTERA_2026[[#This Row],[REGION]],dimensiones!C:C,dimensiones!D:D,"")</f>
        <v>Región de Maule</v>
      </c>
    </row>
    <row r="416" spans="1:10" ht="14.25" customHeight="1" x14ac:dyDescent="0.25">
      <c r="A416">
        <v>616069187</v>
      </c>
      <c r="B416" t="s">
        <v>777</v>
      </c>
      <c r="C416" t="s">
        <v>4266</v>
      </c>
      <c r="D416">
        <v>7</v>
      </c>
      <c r="E416" t="s">
        <v>4445</v>
      </c>
      <c r="F416" t="s">
        <v>2504</v>
      </c>
      <c r="G416" t="s">
        <v>5572</v>
      </c>
      <c r="H416" t="s">
        <v>4957</v>
      </c>
      <c r="I416" s="79" t="str">
        <f>IF(CARTERA_2026[[#This Row],[RUT]]=774097899,"DIST",_xlfn.XLOOKUP(CARTERA_2026[[#This Row],[VENDEDOR]],dimensiones!$C$21:$C$28,dimensiones!$D$21:$D$28,""))</f>
        <v>ATEL</v>
      </c>
      <c r="J416" s="125" t="str">
        <f>_xlfn.XLOOKUP(CARTERA_2026[[#This Row],[REGION]],dimensiones!C:C,dimensiones!D:D,"")</f>
        <v>Región de Maule</v>
      </c>
    </row>
    <row r="417" spans="1:10" ht="14.25" customHeight="1" x14ac:dyDescent="0.25">
      <c r="A417">
        <v>616070002</v>
      </c>
      <c r="B417" t="s">
        <v>234</v>
      </c>
      <c r="C417" t="s">
        <v>4495</v>
      </c>
      <c r="D417">
        <v>16</v>
      </c>
      <c r="E417" t="s">
        <v>4445</v>
      </c>
      <c r="F417" t="s">
        <v>3107</v>
      </c>
      <c r="G417" t="s">
        <v>5571</v>
      </c>
      <c r="H417" t="s">
        <v>4957</v>
      </c>
      <c r="I417" s="79" t="str">
        <f>IF(CARTERA_2026[[#This Row],[RUT]]=774097899,"DIST",_xlfn.XLOOKUP(CARTERA_2026[[#This Row],[VENDEDOR]],dimensiones!$C$21:$C$28,dimensiones!$D$21:$D$28,""))</f>
        <v>ATEL</v>
      </c>
      <c r="J417" s="125" t="str">
        <f>_xlfn.XLOOKUP(CARTERA_2026[[#This Row],[REGION]],dimensiones!C:C,dimensiones!D:D,"")</f>
        <v>Región de Ñuble</v>
      </c>
    </row>
    <row r="418" spans="1:10" ht="14.25" customHeight="1" x14ac:dyDescent="0.25">
      <c r="A418">
        <v>616070010</v>
      </c>
      <c r="B418" t="s">
        <v>43</v>
      </c>
      <c r="C418" t="s">
        <v>4495</v>
      </c>
      <c r="D418">
        <v>16</v>
      </c>
      <c r="E418" t="s">
        <v>4464</v>
      </c>
      <c r="F418" t="s">
        <v>3856</v>
      </c>
      <c r="G418" t="s">
        <v>5572</v>
      </c>
      <c r="H418" t="s">
        <v>4957</v>
      </c>
      <c r="I418" s="79" t="str">
        <f>IF(CARTERA_2026[[#This Row],[RUT]]=774097899,"DIST",_xlfn.XLOOKUP(CARTERA_2026[[#This Row],[VENDEDOR]],dimensiones!$C$21:$C$28,dimensiones!$D$21:$D$28,""))</f>
        <v>SUR1</v>
      </c>
      <c r="J418" s="125" t="str">
        <f>_xlfn.XLOOKUP(CARTERA_2026[[#This Row],[REGION]],dimensiones!C:C,dimensiones!D:D,"")</f>
        <v>Región de Ñuble</v>
      </c>
    </row>
    <row r="419" spans="1:10" ht="14.25" customHeight="1" x14ac:dyDescent="0.25">
      <c r="A419">
        <v>616070029</v>
      </c>
      <c r="B419" t="s">
        <v>44</v>
      </c>
      <c r="C419" t="s">
        <v>4345</v>
      </c>
      <c r="D419">
        <v>16</v>
      </c>
      <c r="E419" t="s">
        <v>4464</v>
      </c>
      <c r="F419" t="s">
        <v>3753</v>
      </c>
      <c r="G419" t="s">
        <v>5572</v>
      </c>
      <c r="H419" t="s">
        <v>4957</v>
      </c>
      <c r="I419" s="79" t="str">
        <f>IF(CARTERA_2026[[#This Row],[RUT]]=774097899,"DIST",_xlfn.XLOOKUP(CARTERA_2026[[#This Row],[VENDEDOR]],dimensiones!$C$21:$C$28,dimensiones!$D$21:$D$28,""))</f>
        <v>SUR1</v>
      </c>
      <c r="J419" s="125" t="str">
        <f>_xlfn.XLOOKUP(CARTERA_2026[[#This Row],[REGION]],dimensiones!C:C,dimensiones!D:D,"")</f>
        <v>Región de Ñuble</v>
      </c>
    </row>
    <row r="420" spans="1:10" ht="14.25" customHeight="1" x14ac:dyDescent="0.25">
      <c r="A420">
        <v>616070037</v>
      </c>
      <c r="B420" t="s">
        <v>235</v>
      </c>
      <c r="C420" t="s">
        <v>4267</v>
      </c>
      <c r="D420">
        <v>16</v>
      </c>
      <c r="E420" t="s">
        <v>4445</v>
      </c>
      <c r="F420" t="s">
        <v>1972</v>
      </c>
      <c r="G420" t="s">
        <v>5572</v>
      </c>
      <c r="H420" t="s">
        <v>4957</v>
      </c>
      <c r="I420" s="79" t="str">
        <f>IF(CARTERA_2026[[#This Row],[RUT]]=774097899,"DIST",_xlfn.XLOOKUP(CARTERA_2026[[#This Row],[VENDEDOR]],dimensiones!$C$21:$C$28,dimensiones!$D$21:$D$28,""))</f>
        <v>ATEL</v>
      </c>
      <c r="J420" s="125" t="str">
        <f>_xlfn.XLOOKUP(CARTERA_2026[[#This Row],[REGION]],dimensiones!C:C,dimensiones!D:D,"")</f>
        <v>Región de Ñuble</v>
      </c>
    </row>
    <row r="421" spans="1:10" ht="14.25" customHeight="1" x14ac:dyDescent="0.25">
      <c r="A421">
        <v>616070045</v>
      </c>
      <c r="B421" t="s">
        <v>236</v>
      </c>
      <c r="C421" t="s">
        <v>4268</v>
      </c>
      <c r="D421">
        <v>16</v>
      </c>
      <c r="E421" t="s">
        <v>4445</v>
      </c>
      <c r="F421" t="s">
        <v>1639</v>
      </c>
      <c r="G421" t="s">
        <v>5572</v>
      </c>
      <c r="H421" t="s">
        <v>4957</v>
      </c>
      <c r="I421" s="79" t="str">
        <f>IF(CARTERA_2026[[#This Row],[RUT]]=774097899,"DIST",_xlfn.XLOOKUP(CARTERA_2026[[#This Row],[VENDEDOR]],dimensiones!$C$21:$C$28,dimensiones!$D$21:$D$28,""))</f>
        <v>ATEL</v>
      </c>
      <c r="J421" s="125" t="str">
        <f>_xlfn.XLOOKUP(CARTERA_2026[[#This Row],[REGION]],dimensiones!C:C,dimensiones!D:D,"")</f>
        <v>Región de Ñuble</v>
      </c>
    </row>
    <row r="422" spans="1:10" ht="14.25" customHeight="1" x14ac:dyDescent="0.25">
      <c r="A422">
        <v>616070053</v>
      </c>
      <c r="B422" t="s">
        <v>778</v>
      </c>
      <c r="C422" t="s">
        <v>4269</v>
      </c>
      <c r="D422">
        <v>16</v>
      </c>
      <c r="E422" t="s">
        <v>4445</v>
      </c>
      <c r="F422" t="s">
        <v>2250</v>
      </c>
      <c r="G422" t="s">
        <v>5572</v>
      </c>
      <c r="H422" t="s">
        <v>4957</v>
      </c>
      <c r="I422" s="79" t="str">
        <f>IF(CARTERA_2026[[#This Row],[RUT]]=774097899,"DIST",_xlfn.XLOOKUP(CARTERA_2026[[#This Row],[VENDEDOR]],dimensiones!$C$21:$C$28,dimensiones!$D$21:$D$28,""))</f>
        <v>ATEL</v>
      </c>
      <c r="J422" s="125" t="str">
        <f>_xlfn.XLOOKUP(CARTERA_2026[[#This Row],[REGION]],dimensiones!C:C,dimensiones!D:D,"")</f>
        <v>Región de Ñuble</v>
      </c>
    </row>
    <row r="423" spans="1:10" ht="14.25" customHeight="1" x14ac:dyDescent="0.25">
      <c r="A423">
        <v>616070061</v>
      </c>
      <c r="B423" t="s">
        <v>237</v>
      </c>
      <c r="C423" t="s">
        <v>4270</v>
      </c>
      <c r="D423">
        <v>16</v>
      </c>
      <c r="E423" t="s">
        <v>4445</v>
      </c>
      <c r="F423" t="s">
        <v>1373</v>
      </c>
      <c r="G423" t="s">
        <v>5571</v>
      </c>
      <c r="H423" t="s">
        <v>4957</v>
      </c>
      <c r="I423" s="79" t="str">
        <f>IF(CARTERA_2026[[#This Row],[RUT]]=774097899,"DIST",_xlfn.XLOOKUP(CARTERA_2026[[#This Row],[VENDEDOR]],dimensiones!$C$21:$C$28,dimensiones!$D$21:$D$28,""))</f>
        <v>ATEL</v>
      </c>
      <c r="J423" s="125" t="str">
        <f>_xlfn.XLOOKUP(CARTERA_2026[[#This Row],[REGION]],dimensiones!C:C,dimensiones!D:D,"")</f>
        <v>Región de Ñuble</v>
      </c>
    </row>
    <row r="424" spans="1:10" ht="14.25" customHeight="1" x14ac:dyDescent="0.25">
      <c r="A424">
        <v>616071009</v>
      </c>
      <c r="B424" t="s">
        <v>238</v>
      </c>
      <c r="C424" t="s">
        <v>4460</v>
      </c>
      <c r="D424">
        <v>8</v>
      </c>
      <c r="E424" t="s">
        <v>4445</v>
      </c>
      <c r="F424" t="s">
        <v>1377</v>
      </c>
      <c r="G424" t="s">
        <v>5571</v>
      </c>
      <c r="H424" t="s">
        <v>4957</v>
      </c>
      <c r="I424" s="79" t="str">
        <f>IF(CARTERA_2026[[#This Row],[RUT]]=774097899,"DIST",_xlfn.XLOOKUP(CARTERA_2026[[#This Row],[VENDEDOR]],dimensiones!$C$21:$C$28,dimensiones!$D$21:$D$28,""))</f>
        <v>ATEL</v>
      </c>
      <c r="J424" s="125" t="str">
        <f>_xlfn.XLOOKUP(CARTERA_2026[[#This Row],[REGION]],dimensiones!C:C,dimensiones!D:D,"")</f>
        <v>Región de Biobío</v>
      </c>
    </row>
    <row r="425" spans="1:10" ht="14.25" customHeight="1" x14ac:dyDescent="0.25">
      <c r="A425">
        <v>616071033</v>
      </c>
      <c r="B425" t="s">
        <v>239</v>
      </c>
      <c r="C425" t="s">
        <v>4271</v>
      </c>
      <c r="D425">
        <v>8</v>
      </c>
      <c r="E425" t="s">
        <v>4445</v>
      </c>
      <c r="F425" t="s">
        <v>2195</v>
      </c>
      <c r="G425" t="s">
        <v>5572</v>
      </c>
      <c r="H425" t="s">
        <v>4957</v>
      </c>
      <c r="I425" s="79" t="str">
        <f>IF(CARTERA_2026[[#This Row],[RUT]]=774097899,"DIST",_xlfn.XLOOKUP(CARTERA_2026[[#This Row],[VENDEDOR]],dimensiones!$C$21:$C$28,dimensiones!$D$21:$D$28,""))</f>
        <v>ATEL</v>
      </c>
      <c r="J425" s="125" t="str">
        <f>_xlfn.XLOOKUP(CARTERA_2026[[#This Row],[REGION]],dimensiones!C:C,dimensiones!D:D,"")</f>
        <v>Región de Biobío</v>
      </c>
    </row>
    <row r="426" spans="1:10" ht="14.25" customHeight="1" x14ac:dyDescent="0.25">
      <c r="A426">
        <v>616071041</v>
      </c>
      <c r="B426" t="s">
        <v>45</v>
      </c>
      <c r="C426" t="s">
        <v>4460</v>
      </c>
      <c r="D426">
        <v>8</v>
      </c>
      <c r="E426" t="s">
        <v>4464</v>
      </c>
      <c r="F426" t="s">
        <v>1381</v>
      </c>
      <c r="G426" t="s">
        <v>5572</v>
      </c>
      <c r="H426" t="s">
        <v>4957</v>
      </c>
      <c r="I426" s="79" t="str">
        <f>IF(CARTERA_2026[[#This Row],[RUT]]=774097899,"DIST",_xlfn.XLOOKUP(CARTERA_2026[[#This Row],[VENDEDOR]],dimensiones!$C$21:$C$28,dimensiones!$D$21:$D$28,""))</f>
        <v>SUR1</v>
      </c>
      <c r="J426" s="125" t="str">
        <f>_xlfn.XLOOKUP(CARTERA_2026[[#This Row],[REGION]],dimensiones!C:C,dimensiones!D:D,"")</f>
        <v>Región de Biobío</v>
      </c>
    </row>
    <row r="427" spans="1:10" ht="14.25" customHeight="1" x14ac:dyDescent="0.25">
      <c r="A427">
        <v>616072005</v>
      </c>
      <c r="B427" t="s">
        <v>240</v>
      </c>
      <c r="C427" t="s">
        <v>4184</v>
      </c>
      <c r="D427">
        <v>8</v>
      </c>
      <c r="E427" t="s">
        <v>4445</v>
      </c>
      <c r="F427" t="s">
        <v>4162</v>
      </c>
      <c r="G427" t="s">
        <v>5571</v>
      </c>
      <c r="H427" t="s">
        <v>4957</v>
      </c>
      <c r="I427" s="79" t="str">
        <f>IF(CARTERA_2026[[#This Row],[RUT]]=774097899,"DIST",_xlfn.XLOOKUP(CARTERA_2026[[#This Row],[VENDEDOR]],dimensiones!$C$21:$C$28,dimensiones!$D$21:$D$28,""))</f>
        <v>ATEL</v>
      </c>
      <c r="J427" s="125" t="str">
        <f>_xlfn.XLOOKUP(CARTERA_2026[[#This Row],[REGION]],dimensiones!C:C,dimensiones!D:D,"")</f>
        <v>Región de Biobío</v>
      </c>
    </row>
    <row r="428" spans="1:10" ht="14.25" customHeight="1" x14ac:dyDescent="0.25">
      <c r="A428">
        <v>616072013</v>
      </c>
      <c r="B428" t="s">
        <v>46</v>
      </c>
      <c r="C428" t="s">
        <v>4496</v>
      </c>
      <c r="D428">
        <v>8</v>
      </c>
      <c r="E428" t="s">
        <v>4464</v>
      </c>
      <c r="F428" t="s">
        <v>1672</v>
      </c>
      <c r="G428" t="s">
        <v>5572</v>
      </c>
      <c r="H428" t="s">
        <v>4957</v>
      </c>
      <c r="I428" s="79" t="str">
        <f>IF(CARTERA_2026[[#This Row],[RUT]]=774097899,"DIST",_xlfn.XLOOKUP(CARTERA_2026[[#This Row],[VENDEDOR]],dimensiones!$C$21:$C$28,dimensiones!$D$21:$D$28,""))</f>
        <v>SUR1</v>
      </c>
      <c r="J428" s="125" t="str">
        <f>_xlfn.XLOOKUP(CARTERA_2026[[#This Row],[REGION]],dimensiones!C:C,dimensiones!D:D,"")</f>
        <v>Región de Biobío</v>
      </c>
    </row>
    <row r="429" spans="1:10" ht="14.25" customHeight="1" x14ac:dyDescent="0.25">
      <c r="A429">
        <v>616072021</v>
      </c>
      <c r="B429" t="s">
        <v>47</v>
      </c>
      <c r="C429" t="s">
        <v>4183</v>
      </c>
      <c r="D429">
        <v>8</v>
      </c>
      <c r="E429" t="s">
        <v>4464</v>
      </c>
      <c r="F429" t="s">
        <v>3902</v>
      </c>
      <c r="G429" t="s">
        <v>5572</v>
      </c>
      <c r="H429" t="s">
        <v>4957</v>
      </c>
      <c r="I429" s="79" t="str">
        <f>IF(CARTERA_2026[[#This Row],[RUT]]=774097899,"DIST",_xlfn.XLOOKUP(CARTERA_2026[[#This Row],[VENDEDOR]],dimensiones!$C$21:$C$28,dimensiones!$D$21:$D$28,""))</f>
        <v>SUR1</v>
      </c>
      <c r="J429" s="125" t="str">
        <f>_xlfn.XLOOKUP(CARTERA_2026[[#This Row],[REGION]],dimensiones!C:C,dimensiones!D:D,"")</f>
        <v>Región de Biobío</v>
      </c>
    </row>
    <row r="430" spans="1:10" ht="14.25" customHeight="1" x14ac:dyDescent="0.25">
      <c r="A430" t="s">
        <v>148</v>
      </c>
      <c r="B430" t="s">
        <v>149</v>
      </c>
      <c r="C430" t="s">
        <v>4497</v>
      </c>
      <c r="D430">
        <v>8</v>
      </c>
      <c r="E430" t="s">
        <v>4464</v>
      </c>
      <c r="F430" t="s">
        <v>3880</v>
      </c>
      <c r="G430" t="s">
        <v>5572</v>
      </c>
      <c r="H430" t="s">
        <v>4957</v>
      </c>
      <c r="I430" s="79" t="str">
        <f>IF(CARTERA_2026[[#This Row],[RUT]]=774097899,"DIST",_xlfn.XLOOKUP(CARTERA_2026[[#This Row],[VENDEDOR]],dimensiones!$C$21:$C$28,dimensiones!$D$21:$D$28,""))</f>
        <v>SUR1</v>
      </c>
      <c r="J430" s="125" t="str">
        <f>_xlfn.XLOOKUP(CARTERA_2026[[#This Row],[REGION]],dimensiones!C:C,dimensiones!D:D,"")</f>
        <v>Región de Biobío</v>
      </c>
    </row>
    <row r="431" spans="1:10" ht="14.25" customHeight="1" x14ac:dyDescent="0.25">
      <c r="A431">
        <v>616073028</v>
      </c>
      <c r="B431" t="s">
        <v>241</v>
      </c>
      <c r="C431" t="s">
        <v>4498</v>
      </c>
      <c r="D431">
        <v>8</v>
      </c>
      <c r="E431" t="s">
        <v>4445</v>
      </c>
      <c r="F431" t="s">
        <v>2102</v>
      </c>
      <c r="G431" t="s">
        <v>5572</v>
      </c>
      <c r="H431" t="s">
        <v>4957</v>
      </c>
      <c r="I431" s="79" t="str">
        <f>IF(CARTERA_2026[[#This Row],[RUT]]=774097899,"DIST",_xlfn.XLOOKUP(CARTERA_2026[[#This Row],[VENDEDOR]],dimensiones!$C$21:$C$28,dimensiones!$D$21:$D$28,""))</f>
        <v>ATEL</v>
      </c>
      <c r="J431" s="125" t="str">
        <f>_xlfn.XLOOKUP(CARTERA_2026[[#This Row],[REGION]],dimensiones!C:C,dimensiones!D:D,"")</f>
        <v>Región de Biobío</v>
      </c>
    </row>
    <row r="432" spans="1:10" ht="14.25" customHeight="1" x14ac:dyDescent="0.25">
      <c r="A432">
        <v>616073044</v>
      </c>
      <c r="B432" t="s">
        <v>891</v>
      </c>
      <c r="C432" t="s">
        <v>4499</v>
      </c>
      <c r="D432">
        <v>8</v>
      </c>
      <c r="E432" t="s">
        <v>4445</v>
      </c>
      <c r="F432" t="s">
        <v>1392</v>
      </c>
      <c r="G432" t="s">
        <v>5572</v>
      </c>
      <c r="H432" t="s">
        <v>4957</v>
      </c>
      <c r="I432" s="79" t="str">
        <f>IF(CARTERA_2026[[#This Row],[RUT]]=774097899,"DIST",_xlfn.XLOOKUP(CARTERA_2026[[#This Row],[VENDEDOR]],dimensiones!$C$21:$C$28,dimensiones!$D$21:$D$28,""))</f>
        <v>ATEL</v>
      </c>
      <c r="J432" s="125" t="str">
        <f>_xlfn.XLOOKUP(CARTERA_2026[[#This Row],[REGION]],dimensiones!C:C,dimensiones!D:D,"")</f>
        <v>Región de Biobío</v>
      </c>
    </row>
    <row r="433" spans="1:10" ht="14.25" customHeight="1" x14ac:dyDescent="0.25">
      <c r="A433">
        <v>616073052</v>
      </c>
      <c r="B433" t="s">
        <v>242</v>
      </c>
      <c r="C433" t="s">
        <v>4347</v>
      </c>
      <c r="D433">
        <v>8</v>
      </c>
      <c r="E433" t="s">
        <v>4445</v>
      </c>
      <c r="F433" t="s">
        <v>1394</v>
      </c>
      <c r="G433" t="s">
        <v>5572</v>
      </c>
      <c r="H433" t="s">
        <v>4957</v>
      </c>
      <c r="I433" s="79" t="str">
        <f>IF(CARTERA_2026[[#This Row],[RUT]]=774097899,"DIST",_xlfn.XLOOKUP(CARTERA_2026[[#This Row],[VENDEDOR]],dimensiones!$C$21:$C$28,dimensiones!$D$21:$D$28,""))</f>
        <v>ATEL</v>
      </c>
      <c r="J433" s="125" t="str">
        <f>_xlfn.XLOOKUP(CARTERA_2026[[#This Row],[REGION]],dimensiones!C:C,dimensiones!D:D,"")</f>
        <v>Región de Biobío</v>
      </c>
    </row>
    <row r="434" spans="1:10" ht="14.25" customHeight="1" x14ac:dyDescent="0.25">
      <c r="A434">
        <v>616073060</v>
      </c>
      <c r="B434" t="s">
        <v>243</v>
      </c>
      <c r="C434" t="s">
        <v>4274</v>
      </c>
      <c r="D434">
        <v>8</v>
      </c>
      <c r="E434" t="s">
        <v>4445</v>
      </c>
      <c r="F434" t="s">
        <v>1389</v>
      </c>
      <c r="G434" t="s">
        <v>5572</v>
      </c>
      <c r="H434" t="s">
        <v>4957</v>
      </c>
      <c r="I434" s="79" t="str">
        <f>IF(CARTERA_2026[[#This Row],[RUT]]=774097899,"DIST",_xlfn.XLOOKUP(CARTERA_2026[[#This Row],[VENDEDOR]],dimensiones!$C$21:$C$28,dimensiones!$D$21:$D$28,""))</f>
        <v>ATEL</v>
      </c>
      <c r="J434" s="125" t="str">
        <f>_xlfn.XLOOKUP(CARTERA_2026[[#This Row],[REGION]],dimensiones!C:C,dimensiones!D:D,"")</f>
        <v>Región de Biobío</v>
      </c>
    </row>
    <row r="435" spans="1:10" ht="14.25" customHeight="1" x14ac:dyDescent="0.25">
      <c r="A435">
        <v>616073079</v>
      </c>
      <c r="B435" t="s">
        <v>244</v>
      </c>
      <c r="C435" t="s">
        <v>4275</v>
      </c>
      <c r="D435">
        <v>8</v>
      </c>
      <c r="E435" t="s">
        <v>4445</v>
      </c>
      <c r="F435" t="s">
        <v>1544</v>
      </c>
      <c r="G435" t="s">
        <v>5572</v>
      </c>
      <c r="H435" t="s">
        <v>4957</v>
      </c>
      <c r="I435" s="79" t="str">
        <f>IF(CARTERA_2026[[#This Row],[RUT]]=774097899,"DIST",_xlfn.XLOOKUP(CARTERA_2026[[#This Row],[VENDEDOR]],dimensiones!$C$21:$C$28,dimensiones!$D$21:$D$28,""))</f>
        <v>ATEL</v>
      </c>
      <c r="J435" s="125" t="str">
        <f>_xlfn.XLOOKUP(CARTERA_2026[[#This Row],[REGION]],dimensiones!C:C,dimensiones!D:D,"")</f>
        <v>Región de Biobío</v>
      </c>
    </row>
    <row r="436" spans="1:10" ht="14.25" customHeight="1" x14ac:dyDescent="0.25">
      <c r="A436">
        <v>616074016</v>
      </c>
      <c r="B436" t="s">
        <v>48</v>
      </c>
      <c r="C436" t="s">
        <v>4364</v>
      </c>
      <c r="D436">
        <v>9</v>
      </c>
      <c r="E436" t="s">
        <v>4454</v>
      </c>
      <c r="F436" t="s">
        <v>3754</v>
      </c>
      <c r="G436" t="s">
        <v>5572</v>
      </c>
      <c r="H436" t="s">
        <v>4957</v>
      </c>
      <c r="I436" s="79" t="str">
        <f>IF(CARTERA_2026[[#This Row],[RUT]]=774097899,"DIST",_xlfn.XLOOKUP(CARTERA_2026[[#This Row],[VENDEDOR]],dimensiones!$C$21:$C$28,dimensiones!$D$21:$D$28,""))</f>
        <v>SUR2</v>
      </c>
      <c r="J436" s="125" t="str">
        <f>_xlfn.XLOOKUP(CARTERA_2026[[#This Row],[REGION]],dimensiones!C:C,dimensiones!D:D,"")</f>
        <v>Región de La Araucanía</v>
      </c>
    </row>
    <row r="437" spans="1:10" ht="14.25" customHeight="1" x14ac:dyDescent="0.25">
      <c r="A437">
        <v>616074024</v>
      </c>
      <c r="B437" t="s">
        <v>245</v>
      </c>
      <c r="C437" t="s">
        <v>4276</v>
      </c>
      <c r="D437">
        <v>9</v>
      </c>
      <c r="E437" t="s">
        <v>4445</v>
      </c>
      <c r="F437" t="s">
        <v>1398</v>
      </c>
      <c r="G437" t="s">
        <v>5572</v>
      </c>
      <c r="H437" t="s">
        <v>4957</v>
      </c>
      <c r="I437" s="79" t="str">
        <f>IF(CARTERA_2026[[#This Row],[RUT]]=774097899,"DIST",_xlfn.XLOOKUP(CARTERA_2026[[#This Row],[VENDEDOR]],dimensiones!$C$21:$C$28,dimensiones!$D$21:$D$28,""))</f>
        <v>ATEL</v>
      </c>
      <c r="J437" s="125" t="str">
        <f>_xlfn.XLOOKUP(CARTERA_2026[[#This Row],[REGION]],dimensiones!C:C,dimensiones!D:D,"")</f>
        <v>Región de La Araucanía</v>
      </c>
    </row>
    <row r="438" spans="1:10" ht="14.25" customHeight="1" x14ac:dyDescent="0.25">
      <c r="A438">
        <v>616075004</v>
      </c>
      <c r="B438" t="s">
        <v>892</v>
      </c>
      <c r="C438" t="s">
        <v>4170</v>
      </c>
      <c r="D438">
        <v>14</v>
      </c>
      <c r="E438" t="s">
        <v>4445</v>
      </c>
      <c r="F438" t="s">
        <v>1400</v>
      </c>
      <c r="G438" t="s">
        <v>5571</v>
      </c>
      <c r="H438" t="s">
        <v>4957</v>
      </c>
      <c r="I438" s="79" t="str">
        <f>IF(CARTERA_2026[[#This Row],[RUT]]=774097899,"DIST",_xlfn.XLOOKUP(CARTERA_2026[[#This Row],[VENDEDOR]],dimensiones!$C$21:$C$28,dimensiones!$D$21:$D$28,""))</f>
        <v>ATEL</v>
      </c>
      <c r="J438" s="125" t="str">
        <f>_xlfn.XLOOKUP(CARTERA_2026[[#This Row],[REGION]],dimensiones!C:C,dimensiones!D:D,"")</f>
        <v>Región de Los Ríos</v>
      </c>
    </row>
    <row r="439" spans="1:10" ht="14.25" customHeight="1" x14ac:dyDescent="0.25">
      <c r="A439">
        <v>616075020</v>
      </c>
      <c r="B439" t="s">
        <v>49</v>
      </c>
      <c r="C439" t="s">
        <v>4170</v>
      </c>
      <c r="D439">
        <v>14</v>
      </c>
      <c r="E439" t="s">
        <v>4454</v>
      </c>
      <c r="F439" t="s">
        <v>2643</v>
      </c>
      <c r="G439" t="s">
        <v>5572</v>
      </c>
      <c r="H439" t="s">
        <v>4957</v>
      </c>
      <c r="I439" s="79" t="str">
        <f>IF(CARTERA_2026[[#This Row],[RUT]]=774097899,"DIST",_xlfn.XLOOKUP(CARTERA_2026[[#This Row],[VENDEDOR]],dimensiones!$C$21:$C$28,dimensiones!$D$21:$D$28,""))</f>
        <v>SUR2</v>
      </c>
      <c r="J439" s="125" t="str">
        <f>_xlfn.XLOOKUP(CARTERA_2026[[#This Row],[REGION]],dimensiones!C:C,dimensiones!D:D,"")</f>
        <v>Región de Los Ríos</v>
      </c>
    </row>
    <row r="440" spans="1:10" ht="14.25" customHeight="1" x14ac:dyDescent="0.25">
      <c r="A440">
        <v>616075039</v>
      </c>
      <c r="B440" t="s">
        <v>50</v>
      </c>
      <c r="C440" t="s">
        <v>4467</v>
      </c>
      <c r="D440">
        <v>14</v>
      </c>
      <c r="E440" t="s">
        <v>4454</v>
      </c>
      <c r="F440" t="s">
        <v>2526</v>
      </c>
      <c r="G440" t="s">
        <v>5572</v>
      </c>
      <c r="H440" t="s">
        <v>4957</v>
      </c>
      <c r="I440" s="79" t="str">
        <f>IF(CARTERA_2026[[#This Row],[RUT]]=774097899,"DIST",_xlfn.XLOOKUP(CARTERA_2026[[#This Row],[VENDEDOR]],dimensiones!$C$21:$C$28,dimensiones!$D$21:$D$28,""))</f>
        <v>SUR2</v>
      </c>
      <c r="J440" s="125" t="str">
        <f>_xlfn.XLOOKUP(CARTERA_2026[[#This Row],[REGION]],dimensiones!C:C,dimensiones!D:D,"")</f>
        <v>Región de Los Ríos</v>
      </c>
    </row>
    <row r="441" spans="1:10" ht="14.25" customHeight="1" x14ac:dyDescent="0.25">
      <c r="A441">
        <v>616075047</v>
      </c>
      <c r="B441" t="s">
        <v>779</v>
      </c>
      <c r="C441" t="s">
        <v>4277</v>
      </c>
      <c r="D441">
        <v>14</v>
      </c>
      <c r="E441" t="s">
        <v>4445</v>
      </c>
      <c r="F441" t="s">
        <v>2319</v>
      </c>
      <c r="G441" t="s">
        <v>5572</v>
      </c>
      <c r="H441" t="s">
        <v>4957</v>
      </c>
      <c r="I441" s="79" t="str">
        <f>IF(CARTERA_2026[[#This Row],[RUT]]=774097899,"DIST",_xlfn.XLOOKUP(CARTERA_2026[[#This Row],[VENDEDOR]],dimensiones!$C$21:$C$28,dimensiones!$D$21:$D$28,""))</f>
        <v>ATEL</v>
      </c>
      <c r="J441" s="125" t="str">
        <f>_xlfn.XLOOKUP(CARTERA_2026[[#This Row],[REGION]],dimensiones!C:C,dimensiones!D:D,"")</f>
        <v>Región de Los Ríos</v>
      </c>
    </row>
    <row r="442" spans="1:10" ht="14.25" customHeight="1" x14ac:dyDescent="0.25">
      <c r="A442">
        <v>616075055</v>
      </c>
      <c r="B442" t="s">
        <v>893</v>
      </c>
      <c r="C442" t="s">
        <v>4278</v>
      </c>
      <c r="D442">
        <v>14</v>
      </c>
      <c r="E442" t="s">
        <v>4445</v>
      </c>
      <c r="F442" t="s">
        <v>1807</v>
      </c>
      <c r="G442" t="s">
        <v>5572</v>
      </c>
      <c r="H442" t="s">
        <v>4957</v>
      </c>
      <c r="I442" s="79" t="str">
        <f>IF(CARTERA_2026[[#This Row],[RUT]]=774097899,"DIST",_xlfn.XLOOKUP(CARTERA_2026[[#This Row],[VENDEDOR]],dimensiones!$C$21:$C$28,dimensiones!$D$21:$D$28,""))</f>
        <v>ATEL</v>
      </c>
      <c r="J442" s="125" t="str">
        <f>_xlfn.XLOOKUP(CARTERA_2026[[#This Row],[REGION]],dimensiones!C:C,dimensiones!D:D,"")</f>
        <v>Región de Los Ríos</v>
      </c>
    </row>
    <row r="443" spans="1:10" ht="14.25" customHeight="1" x14ac:dyDescent="0.25">
      <c r="A443">
        <v>616075071</v>
      </c>
      <c r="B443" t="s">
        <v>246</v>
      </c>
      <c r="C443" t="s">
        <v>4279</v>
      </c>
      <c r="D443">
        <v>14</v>
      </c>
      <c r="E443" t="s">
        <v>4445</v>
      </c>
      <c r="F443" t="s">
        <v>1410</v>
      </c>
      <c r="G443" t="s">
        <v>5572</v>
      </c>
      <c r="H443" t="s">
        <v>4957</v>
      </c>
      <c r="I443" s="79" t="str">
        <f>IF(CARTERA_2026[[#This Row],[RUT]]=774097899,"DIST",_xlfn.XLOOKUP(CARTERA_2026[[#This Row],[VENDEDOR]],dimensiones!$C$21:$C$28,dimensiones!$D$21:$D$28,""))</f>
        <v>ATEL</v>
      </c>
      <c r="J443" s="125" t="str">
        <f>_xlfn.XLOOKUP(CARTERA_2026[[#This Row],[REGION]],dimensiones!C:C,dimensiones!D:D,"")</f>
        <v>Región de Los Ríos</v>
      </c>
    </row>
    <row r="444" spans="1:10" ht="14.25" customHeight="1" x14ac:dyDescent="0.25">
      <c r="A444" t="s">
        <v>651</v>
      </c>
      <c r="B444" t="s">
        <v>652</v>
      </c>
      <c r="C444" t="s">
        <v>4500</v>
      </c>
      <c r="D444">
        <v>14</v>
      </c>
      <c r="E444" t="s">
        <v>4445</v>
      </c>
      <c r="F444" t="s">
        <v>1886</v>
      </c>
      <c r="G444" t="s">
        <v>5572</v>
      </c>
      <c r="H444" t="s">
        <v>4957</v>
      </c>
      <c r="I444" s="79" t="str">
        <f>IF(CARTERA_2026[[#This Row],[RUT]]=774097899,"DIST",_xlfn.XLOOKUP(CARTERA_2026[[#This Row],[VENDEDOR]],dimensiones!$C$21:$C$28,dimensiones!$D$21:$D$28,""))</f>
        <v>ATEL</v>
      </c>
      <c r="J444" s="125" t="str">
        <f>_xlfn.XLOOKUP(CARTERA_2026[[#This Row],[REGION]],dimensiones!C:C,dimensiones!D:D,"")</f>
        <v>Región de Los Ríos</v>
      </c>
    </row>
    <row r="445" spans="1:10" ht="14.25" customHeight="1" x14ac:dyDescent="0.25">
      <c r="A445">
        <v>616075098</v>
      </c>
      <c r="B445" t="s">
        <v>247</v>
      </c>
      <c r="C445" t="s">
        <v>4281</v>
      </c>
      <c r="D445">
        <v>14</v>
      </c>
      <c r="E445" t="s">
        <v>4445</v>
      </c>
      <c r="F445" t="s">
        <v>1414</v>
      </c>
      <c r="G445" t="s">
        <v>5572</v>
      </c>
      <c r="H445" t="s">
        <v>4957</v>
      </c>
      <c r="I445" s="79" t="str">
        <f>IF(CARTERA_2026[[#This Row],[RUT]]=774097899,"DIST",_xlfn.XLOOKUP(CARTERA_2026[[#This Row],[VENDEDOR]],dimensiones!$C$21:$C$28,dimensiones!$D$21:$D$28,""))</f>
        <v>ATEL</v>
      </c>
      <c r="J445" s="125" t="str">
        <f>_xlfn.XLOOKUP(CARTERA_2026[[#This Row],[REGION]],dimensiones!C:C,dimensiones!D:D,"")</f>
        <v>Región de Los Ríos</v>
      </c>
    </row>
    <row r="446" spans="1:10" ht="14.25" customHeight="1" x14ac:dyDescent="0.25">
      <c r="A446">
        <v>616076000</v>
      </c>
      <c r="B446" t="s">
        <v>248</v>
      </c>
      <c r="C446" t="s">
        <v>4224</v>
      </c>
      <c r="D446">
        <v>10</v>
      </c>
      <c r="E446" t="s">
        <v>4445</v>
      </c>
      <c r="F446" t="s">
        <v>1416</v>
      </c>
      <c r="G446" t="s">
        <v>5571</v>
      </c>
      <c r="H446" t="s">
        <v>4957</v>
      </c>
      <c r="I446" s="79" t="str">
        <f>IF(CARTERA_2026[[#This Row],[RUT]]=774097899,"DIST",_xlfn.XLOOKUP(CARTERA_2026[[#This Row],[VENDEDOR]],dimensiones!$C$21:$C$28,dimensiones!$D$21:$D$28,""))</f>
        <v>ATEL</v>
      </c>
      <c r="J446" s="125" t="str">
        <f>_xlfn.XLOOKUP(CARTERA_2026[[#This Row],[REGION]],dimensiones!C:C,dimensiones!D:D,"")</f>
        <v>Región de Los Lagos</v>
      </c>
    </row>
    <row r="447" spans="1:10" ht="14.25" customHeight="1" x14ac:dyDescent="0.25">
      <c r="A447">
        <v>616076027</v>
      </c>
      <c r="B447" t="s">
        <v>249</v>
      </c>
      <c r="C447" t="s">
        <v>4282</v>
      </c>
      <c r="D447">
        <v>10</v>
      </c>
      <c r="E447" t="s">
        <v>4445</v>
      </c>
      <c r="F447" t="s">
        <v>2369</v>
      </c>
      <c r="G447" t="s">
        <v>5572</v>
      </c>
      <c r="H447" t="s">
        <v>4957</v>
      </c>
      <c r="I447" s="79" t="str">
        <f>IF(CARTERA_2026[[#This Row],[RUT]]=774097899,"DIST",_xlfn.XLOOKUP(CARTERA_2026[[#This Row],[VENDEDOR]],dimensiones!$C$21:$C$28,dimensiones!$D$21:$D$28,""))</f>
        <v>ATEL</v>
      </c>
      <c r="J447" s="125" t="str">
        <f>_xlfn.XLOOKUP(CARTERA_2026[[#This Row],[REGION]],dimensiones!C:C,dimensiones!D:D,"")</f>
        <v>Región de Los Lagos</v>
      </c>
    </row>
    <row r="448" spans="1:10" ht="14.25" customHeight="1" x14ac:dyDescent="0.25">
      <c r="A448">
        <v>616077007</v>
      </c>
      <c r="B448" t="s">
        <v>4502</v>
      </c>
      <c r="C448" t="s">
        <v>4292</v>
      </c>
      <c r="D448">
        <v>10</v>
      </c>
      <c r="E448" t="s">
        <v>4445</v>
      </c>
      <c r="F448" t="s">
        <v>4501</v>
      </c>
      <c r="G448" t="s">
        <v>5572</v>
      </c>
      <c r="H448" t="s">
        <v>4957</v>
      </c>
      <c r="I448" s="79" t="str">
        <f>IF(CARTERA_2026[[#This Row],[RUT]]=774097899,"DIST",_xlfn.XLOOKUP(CARTERA_2026[[#This Row],[VENDEDOR]],dimensiones!$C$21:$C$28,dimensiones!$D$21:$D$28,""))</f>
        <v>ATEL</v>
      </c>
      <c r="J448" s="125" t="str">
        <f>_xlfn.XLOOKUP(CARTERA_2026[[#This Row],[REGION]],dimensiones!C:C,dimensiones!D:D,"")</f>
        <v>Región de Los Lagos</v>
      </c>
    </row>
    <row r="449" spans="1:10" ht="14.25" customHeight="1" x14ac:dyDescent="0.25">
      <c r="A449">
        <v>616078003</v>
      </c>
      <c r="B449" t="s">
        <v>958</v>
      </c>
      <c r="C449" t="s">
        <v>4232</v>
      </c>
      <c r="D449">
        <v>11</v>
      </c>
      <c r="E449" t="s">
        <v>4445</v>
      </c>
      <c r="F449" t="s">
        <v>1420</v>
      </c>
      <c r="G449" t="s">
        <v>5571</v>
      </c>
      <c r="H449" t="s">
        <v>4957</v>
      </c>
      <c r="I449" s="79" t="str">
        <f>IF(CARTERA_2026[[#This Row],[RUT]]=774097899,"DIST",_xlfn.XLOOKUP(CARTERA_2026[[#This Row],[VENDEDOR]],dimensiones!$C$21:$C$28,dimensiones!$D$21:$D$28,""))</f>
        <v>ATEL</v>
      </c>
      <c r="J449" s="125" t="str">
        <f>_xlfn.XLOOKUP(CARTERA_2026[[#This Row],[REGION]],dimensiones!C:C,dimensiones!D:D,"")</f>
        <v>Región de Aysén del General Carlos Ibáñez del Campo</v>
      </c>
    </row>
    <row r="450" spans="1:10" ht="14.25" customHeight="1" x14ac:dyDescent="0.25">
      <c r="A450" t="s">
        <v>653</v>
      </c>
      <c r="B450" t="s">
        <v>654</v>
      </c>
      <c r="C450" t="s">
        <v>4185</v>
      </c>
      <c r="D450">
        <v>12</v>
      </c>
      <c r="E450" t="s">
        <v>4445</v>
      </c>
      <c r="F450" t="s">
        <v>1650</v>
      </c>
      <c r="G450" t="s">
        <v>5571</v>
      </c>
      <c r="H450" t="s">
        <v>4957</v>
      </c>
      <c r="I450" s="79" t="str">
        <f>IF(CARTERA_2026[[#This Row],[RUT]]=774097899,"DIST",_xlfn.XLOOKUP(CARTERA_2026[[#This Row],[VENDEDOR]],dimensiones!$C$21:$C$28,dimensiones!$D$21:$D$28,""))</f>
        <v>ATEL</v>
      </c>
      <c r="J450" s="125" t="str">
        <f>_xlfn.XLOOKUP(CARTERA_2026[[#This Row],[REGION]],dimensiones!C:C,dimensiones!D:D,"")</f>
        <v>Región de Magallanes y de la Antártica Chilena</v>
      </c>
    </row>
    <row r="451" spans="1:10" ht="14.25" customHeight="1" x14ac:dyDescent="0.25">
      <c r="A451">
        <v>616079018</v>
      </c>
      <c r="B451" t="s">
        <v>250</v>
      </c>
      <c r="C451" t="s">
        <v>4185</v>
      </c>
      <c r="D451">
        <v>12</v>
      </c>
      <c r="E451" t="s">
        <v>4445</v>
      </c>
      <c r="F451" t="s">
        <v>3867</v>
      </c>
      <c r="G451" t="s">
        <v>5572</v>
      </c>
      <c r="H451" t="s">
        <v>4957</v>
      </c>
      <c r="I451" s="79" t="str">
        <f>IF(CARTERA_2026[[#This Row],[RUT]]=774097899,"DIST",_xlfn.XLOOKUP(CARTERA_2026[[#This Row],[VENDEDOR]],dimensiones!$C$21:$C$28,dimensiones!$D$21:$D$28,""))</f>
        <v>ATEL</v>
      </c>
      <c r="J451" s="125" t="str">
        <f>_xlfn.XLOOKUP(CARTERA_2026[[#This Row],[REGION]],dimensiones!C:C,dimensiones!D:D,"")</f>
        <v>Región de Magallanes y de la Antártica Chilena</v>
      </c>
    </row>
    <row r="452" spans="1:10" ht="14.25" customHeight="1" x14ac:dyDescent="0.25">
      <c r="A452">
        <v>616079034</v>
      </c>
      <c r="B452" t="s">
        <v>251</v>
      </c>
      <c r="C452" t="s">
        <v>4283</v>
      </c>
      <c r="D452">
        <v>12</v>
      </c>
      <c r="E452" t="s">
        <v>4445</v>
      </c>
      <c r="F452" t="s">
        <v>1300</v>
      </c>
      <c r="G452" t="s">
        <v>5572</v>
      </c>
      <c r="H452" t="s">
        <v>4957</v>
      </c>
      <c r="I452" s="79" t="str">
        <f>IF(CARTERA_2026[[#This Row],[RUT]]=774097899,"DIST",_xlfn.XLOOKUP(CARTERA_2026[[#This Row],[VENDEDOR]],dimensiones!$C$21:$C$28,dimensiones!$D$21:$D$28,""))</f>
        <v>ATEL</v>
      </c>
      <c r="J452" s="125" t="str">
        <f>_xlfn.XLOOKUP(CARTERA_2026[[#This Row],[REGION]],dimensiones!C:C,dimensiones!D:D,"")</f>
        <v>Región de Magallanes y de la Antártica Chilena</v>
      </c>
    </row>
    <row r="453" spans="1:10" ht="14.25" customHeight="1" x14ac:dyDescent="0.25">
      <c r="A453">
        <v>616079042</v>
      </c>
      <c r="B453" t="s">
        <v>252</v>
      </c>
      <c r="C453" t="s">
        <v>4503</v>
      </c>
      <c r="D453">
        <v>12</v>
      </c>
      <c r="E453" t="s">
        <v>4445</v>
      </c>
      <c r="F453" t="s">
        <v>2289</v>
      </c>
      <c r="G453" t="s">
        <v>5572</v>
      </c>
      <c r="H453" t="s">
        <v>4957</v>
      </c>
      <c r="I453" s="79" t="str">
        <f>IF(CARTERA_2026[[#This Row],[RUT]]=774097899,"DIST",_xlfn.XLOOKUP(CARTERA_2026[[#This Row],[VENDEDOR]],dimensiones!$C$21:$C$28,dimensiones!$D$21:$D$28,""))</f>
        <v>ATEL</v>
      </c>
      <c r="J453" s="125" t="str">
        <f>_xlfn.XLOOKUP(CARTERA_2026[[#This Row],[REGION]],dimensiones!C:C,dimensiones!D:D,"")</f>
        <v>Región de Magallanes y de la Antártica Chilena</v>
      </c>
    </row>
    <row r="454" spans="1:10" ht="14.25" customHeight="1" x14ac:dyDescent="0.25">
      <c r="A454">
        <v>616080024</v>
      </c>
      <c r="B454" t="s">
        <v>51</v>
      </c>
      <c r="C454" t="s">
        <v>4458</v>
      </c>
      <c r="D454">
        <v>13</v>
      </c>
      <c r="E454" t="s">
        <v>4453</v>
      </c>
      <c r="F454" t="s">
        <v>2263</v>
      </c>
      <c r="G454" t="s">
        <v>5572</v>
      </c>
      <c r="H454" t="s">
        <v>4957</v>
      </c>
      <c r="I454" s="79" t="str">
        <f>IF(CARTERA_2026[[#This Row],[RUT]]=774097899,"DIST",_xlfn.XLOOKUP(CARTERA_2026[[#This Row],[VENDEDOR]],dimensiones!$C$21:$C$28,dimensiones!$D$21:$D$28,""))</f>
        <v>SANT2</v>
      </c>
      <c r="J454" s="125" t="str">
        <f>_xlfn.XLOOKUP(CARTERA_2026[[#This Row],[REGION]],dimensiones!C:C,dimensiones!D:D,"")</f>
        <v>Región de Metropolitana de Santiago</v>
      </c>
    </row>
    <row r="455" spans="1:10" ht="14.25" customHeight="1" x14ac:dyDescent="0.25">
      <c r="A455">
        <v>616080032</v>
      </c>
      <c r="B455" t="s">
        <v>3334</v>
      </c>
      <c r="C455" t="s">
        <v>4410</v>
      </c>
      <c r="D455">
        <v>13</v>
      </c>
      <c r="E455" t="s">
        <v>4453</v>
      </c>
      <c r="F455" t="s">
        <v>3333</v>
      </c>
      <c r="G455" t="s">
        <v>5571</v>
      </c>
      <c r="H455" t="s">
        <v>4957</v>
      </c>
      <c r="I455" s="79" t="str">
        <f>IF(CARTERA_2026[[#This Row],[RUT]]=774097899,"DIST",_xlfn.XLOOKUP(CARTERA_2026[[#This Row],[VENDEDOR]],dimensiones!$C$21:$C$28,dimensiones!$D$21:$D$28,""))</f>
        <v>SANT2</v>
      </c>
      <c r="J455" s="125" t="str">
        <f>_xlfn.XLOOKUP(CARTERA_2026[[#This Row],[REGION]],dimensiones!C:C,dimensiones!D:D,"")</f>
        <v>Región de Metropolitana de Santiago</v>
      </c>
    </row>
    <row r="456" spans="1:10" ht="14.25" customHeight="1" x14ac:dyDescent="0.25">
      <c r="A456">
        <v>616080040</v>
      </c>
      <c r="B456" t="s">
        <v>52</v>
      </c>
      <c r="C456" t="s">
        <v>4458</v>
      </c>
      <c r="D456">
        <v>13</v>
      </c>
      <c r="E456" t="s">
        <v>4453</v>
      </c>
      <c r="F456" t="s">
        <v>3143</v>
      </c>
      <c r="G456" t="s">
        <v>5572</v>
      </c>
      <c r="H456" t="s">
        <v>4957</v>
      </c>
      <c r="I456" s="79" t="str">
        <f>IF(CARTERA_2026[[#This Row],[RUT]]=774097899,"DIST",_xlfn.XLOOKUP(CARTERA_2026[[#This Row],[VENDEDOR]],dimensiones!$C$21:$C$28,dimensiones!$D$21:$D$28,""))</f>
        <v>SANT2</v>
      </c>
      <c r="J456" s="125" t="str">
        <f>_xlfn.XLOOKUP(CARTERA_2026[[#This Row],[REGION]],dimensiones!C:C,dimensiones!D:D,"")</f>
        <v>Región de Metropolitana de Santiago</v>
      </c>
    </row>
    <row r="457" spans="1:10" ht="14.25" customHeight="1" x14ac:dyDescent="0.25">
      <c r="A457">
        <v>616080067</v>
      </c>
      <c r="B457" t="s">
        <v>780</v>
      </c>
      <c r="C457" t="s">
        <v>4284</v>
      </c>
      <c r="D457">
        <v>13</v>
      </c>
      <c r="E457" t="s">
        <v>4445</v>
      </c>
      <c r="F457" t="s">
        <v>1842</v>
      </c>
      <c r="G457" t="s">
        <v>5572</v>
      </c>
      <c r="H457" t="s">
        <v>4957</v>
      </c>
      <c r="I457" s="79" t="str">
        <f>IF(CARTERA_2026[[#This Row],[RUT]]=774097899,"DIST",_xlfn.XLOOKUP(CARTERA_2026[[#This Row],[VENDEDOR]],dimensiones!$C$21:$C$28,dimensiones!$D$21:$D$28,""))</f>
        <v>ATEL</v>
      </c>
      <c r="J457" s="125" t="str">
        <f>_xlfn.XLOOKUP(CARTERA_2026[[#This Row],[REGION]],dimensiones!C:C,dimensiones!D:D,"")</f>
        <v>Región de Metropolitana de Santiago</v>
      </c>
    </row>
    <row r="458" spans="1:10" ht="14.25" customHeight="1" x14ac:dyDescent="0.25">
      <c r="A458">
        <v>616081012</v>
      </c>
      <c r="B458" t="s">
        <v>53</v>
      </c>
      <c r="C458" t="s">
        <v>4173</v>
      </c>
      <c r="D458">
        <v>13</v>
      </c>
      <c r="E458" t="s">
        <v>4453</v>
      </c>
      <c r="F458" t="s">
        <v>1264</v>
      </c>
      <c r="G458" t="s">
        <v>5572</v>
      </c>
      <c r="H458" t="s">
        <v>4957</v>
      </c>
      <c r="I458" s="79" t="str">
        <f>IF(CARTERA_2026[[#This Row],[RUT]]=774097899,"DIST",_xlfn.XLOOKUP(CARTERA_2026[[#This Row],[VENDEDOR]],dimensiones!$C$21:$C$28,dimensiones!$D$21:$D$28,""))</f>
        <v>SANT2</v>
      </c>
      <c r="J458" s="125" t="str">
        <f>_xlfn.XLOOKUP(CARTERA_2026[[#This Row],[REGION]],dimensiones!C:C,dimensiones!D:D,"")</f>
        <v>Región de Metropolitana de Santiago</v>
      </c>
    </row>
    <row r="459" spans="1:10" ht="14.25" customHeight="1" x14ac:dyDescent="0.25">
      <c r="A459">
        <v>616081020</v>
      </c>
      <c r="B459" t="s">
        <v>54</v>
      </c>
      <c r="C459" t="s">
        <v>4416</v>
      </c>
      <c r="D459">
        <v>13</v>
      </c>
      <c r="E459" t="s">
        <v>4453</v>
      </c>
      <c r="F459" t="s">
        <v>1310</v>
      </c>
      <c r="G459" t="s">
        <v>5572</v>
      </c>
      <c r="H459" t="s">
        <v>4957</v>
      </c>
      <c r="I459" s="79" t="str">
        <f>IF(CARTERA_2026[[#This Row],[RUT]]=774097899,"DIST",_xlfn.XLOOKUP(CARTERA_2026[[#This Row],[VENDEDOR]],dimensiones!$C$21:$C$28,dimensiones!$D$21:$D$28,""))</f>
        <v>SANT2</v>
      </c>
      <c r="J459" s="125" t="str">
        <f>_xlfn.XLOOKUP(CARTERA_2026[[#This Row],[REGION]],dimensiones!C:C,dimensiones!D:D,"")</f>
        <v>Región de Metropolitana de Santiago</v>
      </c>
    </row>
    <row r="460" spans="1:10" ht="14.25" customHeight="1" x14ac:dyDescent="0.25">
      <c r="A460">
        <v>616081047</v>
      </c>
      <c r="B460" t="s">
        <v>55</v>
      </c>
      <c r="C460" t="s">
        <v>4416</v>
      </c>
      <c r="D460">
        <v>13</v>
      </c>
      <c r="E460" t="s">
        <v>4453</v>
      </c>
      <c r="F460" t="s">
        <v>1441</v>
      </c>
      <c r="G460" t="s">
        <v>5571</v>
      </c>
      <c r="H460" t="s">
        <v>4957</v>
      </c>
      <c r="I460" s="79" t="str">
        <f>IF(CARTERA_2026[[#This Row],[RUT]]=774097899,"DIST",_xlfn.XLOOKUP(CARTERA_2026[[#This Row],[VENDEDOR]],dimensiones!$C$21:$C$28,dimensiones!$D$21:$D$28,""))</f>
        <v>SANT2</v>
      </c>
      <c r="J460" s="125" t="str">
        <f>_xlfn.XLOOKUP(CARTERA_2026[[#This Row],[REGION]],dimensiones!C:C,dimensiones!D:D,"")</f>
        <v>Región de Metropolitana de Santiago</v>
      </c>
    </row>
    <row r="461" spans="1:10" ht="14.25" customHeight="1" x14ac:dyDescent="0.25">
      <c r="A461">
        <v>616081055</v>
      </c>
      <c r="B461" t="s">
        <v>781</v>
      </c>
      <c r="C461" t="s">
        <v>4285</v>
      </c>
      <c r="D461">
        <v>13</v>
      </c>
      <c r="E461" t="s">
        <v>5729</v>
      </c>
      <c r="F461" t="s">
        <v>2323</v>
      </c>
      <c r="G461" t="s">
        <v>5572</v>
      </c>
      <c r="H461" t="s">
        <v>4957</v>
      </c>
      <c r="I461" s="79" t="str">
        <f>IF(CARTERA_2026[[#This Row],[RUT]]=774097899,"DIST",_xlfn.XLOOKUP(CARTERA_2026[[#This Row],[VENDEDOR]],dimensiones!$C$21:$C$28,dimensiones!$D$21:$D$28,""))</f>
        <v>SANT3</v>
      </c>
      <c r="J461" s="125" t="str">
        <f>_xlfn.XLOOKUP(CARTERA_2026[[#This Row],[REGION]],dimensiones!C:C,dimensiones!D:D,"")</f>
        <v>Región de Metropolitana de Santiago</v>
      </c>
    </row>
    <row r="462" spans="1:10" ht="14.25" customHeight="1" x14ac:dyDescent="0.25">
      <c r="A462">
        <v>616081063</v>
      </c>
      <c r="B462" t="s">
        <v>953</v>
      </c>
      <c r="C462" t="s">
        <v>4381</v>
      </c>
      <c r="D462">
        <v>13</v>
      </c>
      <c r="E462" t="s">
        <v>4445</v>
      </c>
      <c r="F462" t="s">
        <v>1445</v>
      </c>
      <c r="G462" t="s">
        <v>5571</v>
      </c>
      <c r="H462" t="s">
        <v>4957</v>
      </c>
      <c r="I462" s="79" t="str">
        <f>IF(CARTERA_2026[[#This Row],[RUT]]=774097899,"DIST",_xlfn.XLOOKUP(CARTERA_2026[[#This Row],[VENDEDOR]],dimensiones!$C$21:$C$28,dimensiones!$D$21:$D$28,""))</f>
        <v>ATEL</v>
      </c>
      <c r="J462" s="125" t="str">
        <f>_xlfn.XLOOKUP(CARTERA_2026[[#This Row],[REGION]],dimensiones!C:C,dimensiones!D:D,"")</f>
        <v>Región de Metropolitana de Santiago</v>
      </c>
    </row>
    <row r="463" spans="1:10" ht="14.25" customHeight="1" x14ac:dyDescent="0.25">
      <c r="A463">
        <v>616081071</v>
      </c>
      <c r="B463" t="s">
        <v>56</v>
      </c>
      <c r="C463" t="s">
        <v>4287</v>
      </c>
      <c r="D463">
        <v>13</v>
      </c>
      <c r="E463" t="s">
        <v>4457</v>
      </c>
      <c r="F463" t="s">
        <v>3377</v>
      </c>
      <c r="G463" t="s">
        <v>5572</v>
      </c>
      <c r="H463" t="s">
        <v>4957</v>
      </c>
      <c r="I463" s="79" t="str">
        <f>IF(CARTERA_2026[[#This Row],[RUT]]=774097899,"DIST",_xlfn.XLOOKUP(CARTERA_2026[[#This Row],[VENDEDOR]],dimensiones!$C$21:$C$28,dimensiones!$D$21:$D$28,""))</f>
        <v>SANT1</v>
      </c>
      <c r="J463" s="125" t="str">
        <f>_xlfn.XLOOKUP(CARTERA_2026[[#This Row],[REGION]],dimensiones!C:C,dimensiones!D:D,"")</f>
        <v>Región de Metropolitana de Santiago</v>
      </c>
    </row>
    <row r="464" spans="1:10" ht="14.25" customHeight="1" x14ac:dyDescent="0.25">
      <c r="A464" t="s">
        <v>655</v>
      </c>
      <c r="B464" t="s">
        <v>656</v>
      </c>
      <c r="C464" t="s">
        <v>4416</v>
      </c>
      <c r="D464">
        <v>13</v>
      </c>
      <c r="E464" t="s">
        <v>4445</v>
      </c>
      <c r="F464" t="s">
        <v>4097</v>
      </c>
      <c r="G464" t="s">
        <v>5571</v>
      </c>
      <c r="H464" t="s">
        <v>4957</v>
      </c>
      <c r="I464" s="79" t="str">
        <f>IF(CARTERA_2026[[#This Row],[RUT]]=774097899,"DIST",_xlfn.XLOOKUP(CARTERA_2026[[#This Row],[VENDEDOR]],dimensiones!$C$21:$C$28,dimensiones!$D$21:$D$28,""))</f>
        <v>ATEL</v>
      </c>
      <c r="J464" s="125" t="str">
        <f>_xlfn.XLOOKUP(CARTERA_2026[[#This Row],[REGION]],dimensiones!C:C,dimensiones!D:D,"")</f>
        <v>Región de Metropolitana de Santiago</v>
      </c>
    </row>
    <row r="465" spans="1:10" ht="14.25" customHeight="1" x14ac:dyDescent="0.25">
      <c r="A465">
        <v>616082000</v>
      </c>
      <c r="B465" t="s">
        <v>253</v>
      </c>
      <c r="C465" t="s">
        <v>4168</v>
      </c>
      <c r="D465">
        <v>13</v>
      </c>
      <c r="E465" t="s">
        <v>4445</v>
      </c>
      <c r="F465" t="s">
        <v>2382</v>
      </c>
      <c r="G465" t="s">
        <v>5572</v>
      </c>
      <c r="H465" t="s">
        <v>4957</v>
      </c>
      <c r="I465" s="79" t="str">
        <f>IF(CARTERA_2026[[#This Row],[RUT]]=774097899,"DIST",_xlfn.XLOOKUP(CARTERA_2026[[#This Row],[VENDEDOR]],dimensiones!$C$21:$C$28,dimensiones!$D$21:$D$28,""))</f>
        <v>ATEL</v>
      </c>
      <c r="J465" s="125" t="str">
        <f>_xlfn.XLOOKUP(CARTERA_2026[[#This Row],[REGION]],dimensiones!C:C,dimensiones!D:D,"")</f>
        <v>Región de Metropolitana de Santiago</v>
      </c>
    </row>
    <row r="466" spans="1:10" ht="14.25" customHeight="1" x14ac:dyDescent="0.25">
      <c r="A466">
        <v>616082035</v>
      </c>
      <c r="B466" t="s">
        <v>57</v>
      </c>
      <c r="C466" t="s">
        <v>4168</v>
      </c>
      <c r="D466">
        <v>13</v>
      </c>
      <c r="E466" t="s">
        <v>4453</v>
      </c>
      <c r="F466" t="s">
        <v>2222</v>
      </c>
      <c r="G466" t="s">
        <v>5571</v>
      </c>
      <c r="H466" t="s">
        <v>4957</v>
      </c>
      <c r="I466" s="79" t="str">
        <f>IF(CARTERA_2026[[#This Row],[RUT]]=774097899,"DIST",_xlfn.XLOOKUP(CARTERA_2026[[#This Row],[VENDEDOR]],dimensiones!$C$21:$C$28,dimensiones!$D$21:$D$28,""))</f>
        <v>SANT2</v>
      </c>
      <c r="J466" s="125" t="str">
        <f>_xlfn.XLOOKUP(CARTERA_2026[[#This Row],[REGION]],dimensiones!C:C,dimensiones!D:D,"")</f>
        <v>Región de Metropolitana de Santiago</v>
      </c>
    </row>
    <row r="467" spans="1:10" ht="14.25" customHeight="1" x14ac:dyDescent="0.25">
      <c r="A467">
        <v>616082043</v>
      </c>
      <c r="B467" t="s">
        <v>58</v>
      </c>
      <c r="C467" t="s">
        <v>4168</v>
      </c>
      <c r="D467">
        <v>13</v>
      </c>
      <c r="E467" t="s">
        <v>4457</v>
      </c>
      <c r="F467" t="s">
        <v>2138</v>
      </c>
      <c r="G467" t="s">
        <v>5572</v>
      </c>
      <c r="H467" t="s">
        <v>4957</v>
      </c>
      <c r="I467" s="79" t="str">
        <f>IF(CARTERA_2026[[#This Row],[RUT]]=774097899,"DIST",_xlfn.XLOOKUP(CARTERA_2026[[#This Row],[VENDEDOR]],dimensiones!$C$21:$C$28,dimensiones!$D$21:$D$28,""))</f>
        <v>SANT1</v>
      </c>
      <c r="J467" s="125" t="str">
        <f>_xlfn.XLOOKUP(CARTERA_2026[[#This Row],[REGION]],dimensiones!C:C,dimensiones!D:D,"")</f>
        <v>Región de Metropolitana de Santiago</v>
      </c>
    </row>
    <row r="468" spans="1:10" ht="14.25" customHeight="1" x14ac:dyDescent="0.25">
      <c r="A468">
        <v>616082051</v>
      </c>
      <c r="B468" t="s">
        <v>59</v>
      </c>
      <c r="C468" t="s">
        <v>4400</v>
      </c>
      <c r="D468">
        <v>13</v>
      </c>
      <c r="E468" t="s">
        <v>4457</v>
      </c>
      <c r="F468" t="s">
        <v>3237</v>
      </c>
      <c r="G468" t="s">
        <v>5572</v>
      </c>
      <c r="H468" t="s">
        <v>4957</v>
      </c>
      <c r="I468" s="79" t="str">
        <f>IF(CARTERA_2026[[#This Row],[RUT]]=774097899,"DIST",_xlfn.XLOOKUP(CARTERA_2026[[#This Row],[VENDEDOR]],dimensiones!$C$21:$C$28,dimensiones!$D$21:$D$28,""))</f>
        <v>SANT1</v>
      </c>
      <c r="J468" s="125" t="str">
        <f>_xlfn.XLOOKUP(CARTERA_2026[[#This Row],[REGION]],dimensiones!C:C,dimensiones!D:D,"")</f>
        <v>Región de Metropolitana de Santiago</v>
      </c>
    </row>
    <row r="469" spans="1:10" ht="14.25" customHeight="1" x14ac:dyDescent="0.25">
      <c r="A469">
        <v>616084003</v>
      </c>
      <c r="B469" t="s">
        <v>1460</v>
      </c>
      <c r="C469" t="s">
        <v>4391</v>
      </c>
      <c r="D469">
        <v>13</v>
      </c>
      <c r="E469" t="s">
        <v>4445</v>
      </c>
      <c r="F469" t="s">
        <v>1459</v>
      </c>
      <c r="G469" t="s">
        <v>5571</v>
      </c>
      <c r="H469" t="s">
        <v>4957</v>
      </c>
      <c r="I469" s="79" t="str">
        <f>IF(CARTERA_2026[[#This Row],[RUT]]=774097899,"DIST",_xlfn.XLOOKUP(CARTERA_2026[[#This Row],[VENDEDOR]],dimensiones!$C$21:$C$28,dimensiones!$D$21:$D$28,""))</f>
        <v>ATEL</v>
      </c>
      <c r="J469" s="125" t="str">
        <f>_xlfn.XLOOKUP(CARTERA_2026[[#This Row],[REGION]],dimensiones!C:C,dimensiones!D:D,"")</f>
        <v>Región de Metropolitana de Santiago</v>
      </c>
    </row>
    <row r="470" spans="1:10" ht="14.25" customHeight="1" x14ac:dyDescent="0.25">
      <c r="A470" t="s">
        <v>657</v>
      </c>
      <c r="B470" t="s">
        <v>658</v>
      </c>
      <c r="C470" t="s">
        <v>4391</v>
      </c>
      <c r="D470">
        <v>13</v>
      </c>
      <c r="E470" t="s">
        <v>5729</v>
      </c>
      <c r="F470" t="s">
        <v>3929</v>
      </c>
      <c r="G470" t="s">
        <v>5572</v>
      </c>
      <c r="H470" t="s">
        <v>4957</v>
      </c>
      <c r="I470" s="79" t="str">
        <f>IF(CARTERA_2026[[#This Row],[RUT]]=774097899,"DIST",_xlfn.XLOOKUP(CARTERA_2026[[#This Row],[VENDEDOR]],dimensiones!$C$21:$C$28,dimensiones!$D$21:$D$28,""))</f>
        <v>SANT3</v>
      </c>
      <c r="J470" s="125" t="str">
        <f>_xlfn.XLOOKUP(CARTERA_2026[[#This Row],[REGION]],dimensiones!C:C,dimensiones!D:D,"")</f>
        <v>Región de Metropolitana de Santiago</v>
      </c>
    </row>
    <row r="471" spans="1:10" ht="14.25" customHeight="1" x14ac:dyDescent="0.25">
      <c r="A471">
        <v>616084038</v>
      </c>
      <c r="B471" t="s">
        <v>2354</v>
      </c>
      <c r="C471" t="s">
        <v>4391</v>
      </c>
      <c r="D471">
        <v>13</v>
      </c>
      <c r="E471" t="s">
        <v>5729</v>
      </c>
      <c r="F471" t="s">
        <v>2353</v>
      </c>
      <c r="G471" t="s">
        <v>5572</v>
      </c>
      <c r="H471" t="s">
        <v>4957</v>
      </c>
      <c r="I471" s="79" t="str">
        <f>IF(CARTERA_2026[[#This Row],[RUT]]=774097899,"DIST",_xlfn.XLOOKUP(CARTERA_2026[[#This Row],[VENDEDOR]],dimensiones!$C$21:$C$28,dimensiones!$D$21:$D$28,""))</f>
        <v>SANT3</v>
      </c>
      <c r="J471" s="125" t="str">
        <f>_xlfn.XLOOKUP(CARTERA_2026[[#This Row],[REGION]],dimensiones!C:C,dimensiones!D:D,"")</f>
        <v>Región de Metropolitana de Santiago</v>
      </c>
    </row>
    <row r="472" spans="1:10" ht="14.25" customHeight="1" x14ac:dyDescent="0.25">
      <c r="A472">
        <v>616084046</v>
      </c>
      <c r="B472" t="s">
        <v>60</v>
      </c>
      <c r="C472" t="s">
        <v>4458</v>
      </c>
      <c r="D472">
        <v>13</v>
      </c>
      <c r="E472" t="s">
        <v>4453</v>
      </c>
      <c r="F472" t="s">
        <v>2092</v>
      </c>
      <c r="G472" t="s">
        <v>5572</v>
      </c>
      <c r="H472" t="s">
        <v>4957</v>
      </c>
      <c r="I472" s="79" t="str">
        <f>IF(CARTERA_2026[[#This Row],[RUT]]=774097899,"DIST",_xlfn.XLOOKUP(CARTERA_2026[[#This Row],[VENDEDOR]],dimensiones!$C$21:$C$28,dimensiones!$D$21:$D$28,""))</f>
        <v>SANT2</v>
      </c>
      <c r="J472" s="125" t="str">
        <f>_xlfn.XLOOKUP(CARTERA_2026[[#This Row],[REGION]],dimensiones!C:C,dimensiones!D:D,"")</f>
        <v>Región de Metropolitana de Santiago</v>
      </c>
    </row>
    <row r="473" spans="1:10" ht="14.25" customHeight="1" x14ac:dyDescent="0.25">
      <c r="A473">
        <v>616084062</v>
      </c>
      <c r="B473" t="s">
        <v>61</v>
      </c>
      <c r="C473" t="s">
        <v>4391</v>
      </c>
      <c r="D473">
        <v>13</v>
      </c>
      <c r="E473" t="s">
        <v>4453</v>
      </c>
      <c r="F473" t="s">
        <v>3707</v>
      </c>
      <c r="G473" t="s">
        <v>5572</v>
      </c>
      <c r="H473" t="s">
        <v>4957</v>
      </c>
      <c r="I473" s="79" t="str">
        <f>IF(CARTERA_2026[[#This Row],[RUT]]=774097899,"DIST",_xlfn.XLOOKUP(CARTERA_2026[[#This Row],[VENDEDOR]],dimensiones!$C$21:$C$28,dimensiones!$D$21:$D$28,""))</f>
        <v>SANT2</v>
      </c>
      <c r="J473" s="125" t="str">
        <f>_xlfn.XLOOKUP(CARTERA_2026[[#This Row],[REGION]],dimensiones!C:C,dimensiones!D:D,"")</f>
        <v>Región de Metropolitana de Santiago</v>
      </c>
    </row>
    <row r="474" spans="1:10" ht="14.25" customHeight="1" x14ac:dyDescent="0.25">
      <c r="A474">
        <v>616084070</v>
      </c>
      <c r="B474" t="s">
        <v>255</v>
      </c>
      <c r="C474" t="s">
        <v>4391</v>
      </c>
      <c r="D474">
        <v>13</v>
      </c>
      <c r="E474" t="s">
        <v>5729</v>
      </c>
      <c r="F474" t="s">
        <v>2815</v>
      </c>
      <c r="G474" t="s">
        <v>5572</v>
      </c>
      <c r="H474" t="s">
        <v>4957</v>
      </c>
      <c r="I474" s="79" t="str">
        <f>IF(CARTERA_2026[[#This Row],[RUT]]=774097899,"DIST",_xlfn.XLOOKUP(CARTERA_2026[[#This Row],[VENDEDOR]],dimensiones!$C$21:$C$28,dimensiones!$D$21:$D$28,""))</f>
        <v>SANT3</v>
      </c>
      <c r="J474" s="125" t="str">
        <f>_xlfn.XLOOKUP(CARTERA_2026[[#This Row],[REGION]],dimensiones!C:C,dimensiones!D:D,"")</f>
        <v>Región de Metropolitana de Santiago</v>
      </c>
    </row>
    <row r="475" spans="1:10" ht="14.25" customHeight="1" x14ac:dyDescent="0.25">
      <c r="A475">
        <v>616084089</v>
      </c>
      <c r="B475" t="s">
        <v>256</v>
      </c>
      <c r="C475" t="s">
        <v>4391</v>
      </c>
      <c r="D475">
        <v>13</v>
      </c>
      <c r="E475" t="s">
        <v>5729</v>
      </c>
      <c r="F475" t="s">
        <v>2482</v>
      </c>
      <c r="G475" t="s">
        <v>5572</v>
      </c>
      <c r="H475" t="s">
        <v>4957</v>
      </c>
      <c r="I475" s="79" t="str">
        <f>IF(CARTERA_2026[[#This Row],[RUT]]=774097899,"DIST",_xlfn.XLOOKUP(CARTERA_2026[[#This Row],[VENDEDOR]],dimensiones!$C$21:$C$28,dimensiones!$D$21:$D$28,""))</f>
        <v>SANT3</v>
      </c>
      <c r="J475" s="125" t="str">
        <f>_xlfn.XLOOKUP(CARTERA_2026[[#This Row],[REGION]],dimensiones!C:C,dimensiones!D:D,"")</f>
        <v>Región de Metropolitana de Santiago</v>
      </c>
    </row>
    <row r="476" spans="1:10" ht="14.25" customHeight="1" x14ac:dyDescent="0.25">
      <c r="A476" t="s">
        <v>659</v>
      </c>
      <c r="B476" t="s">
        <v>660</v>
      </c>
      <c r="C476" t="s">
        <v>4381</v>
      </c>
      <c r="D476">
        <v>13</v>
      </c>
      <c r="E476" t="s">
        <v>4445</v>
      </c>
      <c r="F476" t="s">
        <v>1474</v>
      </c>
      <c r="G476" t="s">
        <v>5571</v>
      </c>
      <c r="H476" t="s">
        <v>4957</v>
      </c>
      <c r="I476" s="79" t="str">
        <f>IF(CARTERA_2026[[#This Row],[RUT]]=774097899,"DIST",_xlfn.XLOOKUP(CARTERA_2026[[#This Row],[VENDEDOR]],dimensiones!$C$21:$C$28,dimensiones!$D$21:$D$28,""))</f>
        <v>ATEL</v>
      </c>
      <c r="J476" s="125" t="str">
        <f>_xlfn.XLOOKUP(CARTERA_2026[[#This Row],[REGION]],dimensiones!C:C,dimensiones!D:D,"")</f>
        <v>Región de Metropolitana de Santiago</v>
      </c>
    </row>
    <row r="477" spans="1:10" ht="14.25" customHeight="1" x14ac:dyDescent="0.25">
      <c r="A477">
        <v>616085026</v>
      </c>
      <c r="B477" t="s">
        <v>62</v>
      </c>
      <c r="C477" t="s">
        <v>4286</v>
      </c>
      <c r="D477">
        <v>13</v>
      </c>
      <c r="E477" t="s">
        <v>4457</v>
      </c>
      <c r="F477" t="s">
        <v>2628</v>
      </c>
      <c r="G477" t="s">
        <v>5572</v>
      </c>
      <c r="H477" t="s">
        <v>4957</v>
      </c>
      <c r="I477" s="79" t="str">
        <f>IF(CARTERA_2026[[#This Row],[RUT]]=774097899,"DIST",_xlfn.XLOOKUP(CARTERA_2026[[#This Row],[VENDEDOR]],dimensiones!$C$21:$C$28,dimensiones!$D$21:$D$28,""))</f>
        <v>SANT1</v>
      </c>
      <c r="J477" s="125" t="str">
        <f>_xlfn.XLOOKUP(CARTERA_2026[[#This Row],[REGION]],dimensiones!C:C,dimensiones!D:D,"")</f>
        <v>Región de Metropolitana de Santiago</v>
      </c>
    </row>
    <row r="478" spans="1:10" ht="14.25" customHeight="1" x14ac:dyDescent="0.25">
      <c r="A478">
        <v>616085034</v>
      </c>
      <c r="B478" t="s">
        <v>257</v>
      </c>
      <c r="C478" t="s">
        <v>4504</v>
      </c>
      <c r="D478">
        <v>13</v>
      </c>
      <c r="E478" t="s">
        <v>4445</v>
      </c>
      <c r="F478" t="s">
        <v>1478</v>
      </c>
      <c r="G478" t="s">
        <v>5572</v>
      </c>
      <c r="H478" t="s">
        <v>4957</v>
      </c>
      <c r="I478" s="79" t="str">
        <f>IF(CARTERA_2026[[#This Row],[RUT]]=774097899,"DIST",_xlfn.XLOOKUP(CARTERA_2026[[#This Row],[VENDEDOR]],dimensiones!$C$21:$C$28,dimensiones!$D$21:$D$28,""))</f>
        <v>ATEL</v>
      </c>
      <c r="J478" s="125" t="str">
        <f>_xlfn.XLOOKUP(CARTERA_2026[[#This Row],[REGION]],dimensiones!C:C,dimensiones!D:D,"")</f>
        <v>Región de Metropolitana de Santiago</v>
      </c>
    </row>
    <row r="479" spans="1:10" ht="14.25" customHeight="1" x14ac:dyDescent="0.25">
      <c r="A479">
        <v>616086022</v>
      </c>
      <c r="B479" t="s">
        <v>63</v>
      </c>
      <c r="C479" t="s">
        <v>4168</v>
      </c>
      <c r="D479">
        <v>13</v>
      </c>
      <c r="E479" t="s">
        <v>4457</v>
      </c>
      <c r="F479" t="s">
        <v>2064</v>
      </c>
      <c r="G479" t="s">
        <v>5572</v>
      </c>
      <c r="H479" t="s">
        <v>4957</v>
      </c>
      <c r="I479" s="79" t="str">
        <f>IF(CARTERA_2026[[#This Row],[RUT]]=774097899,"DIST",_xlfn.XLOOKUP(CARTERA_2026[[#This Row],[VENDEDOR]],dimensiones!$C$21:$C$28,dimensiones!$D$21:$D$28,""))</f>
        <v>SANT1</v>
      </c>
      <c r="J479" s="125" t="str">
        <f>_xlfn.XLOOKUP(CARTERA_2026[[#This Row],[REGION]],dimensiones!C:C,dimensiones!D:D,"")</f>
        <v>Región de Metropolitana de Santiago</v>
      </c>
    </row>
    <row r="480" spans="1:10" ht="14.25" customHeight="1" x14ac:dyDescent="0.25">
      <c r="A480">
        <v>616086049</v>
      </c>
      <c r="B480" t="s">
        <v>64</v>
      </c>
      <c r="C480" t="s">
        <v>4168</v>
      </c>
      <c r="D480">
        <v>13</v>
      </c>
      <c r="E480" t="s">
        <v>4453</v>
      </c>
      <c r="F480" t="s">
        <v>2136</v>
      </c>
      <c r="G480" t="s">
        <v>5572</v>
      </c>
      <c r="H480" t="s">
        <v>4957</v>
      </c>
      <c r="I480" s="79" t="str">
        <f>IF(CARTERA_2026[[#This Row],[RUT]]=774097899,"DIST",_xlfn.XLOOKUP(CARTERA_2026[[#This Row],[VENDEDOR]],dimensiones!$C$21:$C$28,dimensiones!$D$21:$D$28,""))</f>
        <v>SANT2</v>
      </c>
      <c r="J480" s="125" t="str">
        <f>_xlfn.XLOOKUP(CARTERA_2026[[#This Row],[REGION]],dimensiones!C:C,dimensiones!D:D,"")</f>
        <v>Región de Metropolitana de Santiago</v>
      </c>
    </row>
    <row r="481" spans="1:10" ht="14.25" customHeight="1" x14ac:dyDescent="0.25">
      <c r="A481">
        <v>616086057</v>
      </c>
      <c r="B481" t="s">
        <v>258</v>
      </c>
      <c r="C481" t="s">
        <v>4168</v>
      </c>
      <c r="D481">
        <v>13</v>
      </c>
      <c r="E481" t="s">
        <v>5729</v>
      </c>
      <c r="F481" t="s">
        <v>4101</v>
      </c>
      <c r="G481" t="s">
        <v>5571</v>
      </c>
      <c r="H481" t="s">
        <v>4957</v>
      </c>
      <c r="I481" s="79" t="str">
        <f>IF(CARTERA_2026[[#This Row],[RUT]]=774097899,"DIST",_xlfn.XLOOKUP(CARTERA_2026[[#This Row],[VENDEDOR]],dimensiones!$C$21:$C$28,dimensiones!$D$21:$D$28,""))</f>
        <v>SANT3</v>
      </c>
      <c r="J481" s="125" t="str">
        <f>_xlfn.XLOOKUP(CARTERA_2026[[#This Row],[REGION]],dimensiones!C:C,dimensiones!D:D,"")</f>
        <v>Región de Metropolitana de Santiago</v>
      </c>
    </row>
    <row r="482" spans="1:10" ht="14.25" customHeight="1" x14ac:dyDescent="0.25">
      <c r="A482">
        <v>616087002</v>
      </c>
      <c r="B482" t="s">
        <v>1056</v>
      </c>
      <c r="C482" t="s">
        <v>4395</v>
      </c>
      <c r="D482">
        <v>13</v>
      </c>
      <c r="E482" t="s">
        <v>4445</v>
      </c>
      <c r="F482" t="s">
        <v>1487</v>
      </c>
      <c r="G482" t="s">
        <v>5571</v>
      </c>
      <c r="H482" t="s">
        <v>4957</v>
      </c>
      <c r="I482" s="79" t="str">
        <f>IF(CARTERA_2026[[#This Row],[RUT]]=774097899,"DIST",_xlfn.XLOOKUP(CARTERA_2026[[#This Row],[VENDEDOR]],dimensiones!$C$21:$C$28,dimensiones!$D$21:$D$28,""))</f>
        <v>ATEL</v>
      </c>
      <c r="J482" s="125" t="str">
        <f>_xlfn.XLOOKUP(CARTERA_2026[[#This Row],[REGION]],dimensiones!C:C,dimensiones!D:D,"")</f>
        <v>Región de Metropolitana de Santiago</v>
      </c>
    </row>
    <row r="483" spans="1:10" ht="14.25" customHeight="1" x14ac:dyDescent="0.25">
      <c r="A483" t="s">
        <v>661</v>
      </c>
      <c r="B483" t="s">
        <v>662</v>
      </c>
      <c r="C483" t="s">
        <v>4212</v>
      </c>
      <c r="D483">
        <v>8</v>
      </c>
      <c r="E483" t="s">
        <v>4445</v>
      </c>
      <c r="F483" t="s">
        <v>1489</v>
      </c>
      <c r="G483" t="s">
        <v>5575</v>
      </c>
      <c r="H483" t="s">
        <v>4957</v>
      </c>
      <c r="I483" s="79" t="str">
        <f>IF(CARTERA_2026[[#This Row],[RUT]]=774097899,"DIST",_xlfn.XLOOKUP(CARTERA_2026[[#This Row],[VENDEDOR]],dimensiones!$C$21:$C$28,dimensiones!$D$21:$D$28,""))</f>
        <v>ATEL</v>
      </c>
      <c r="J483" s="125" t="str">
        <f>_xlfn.XLOOKUP(CARTERA_2026[[#This Row],[REGION]],dimensiones!C:C,dimensiones!D:D,"")</f>
        <v>Región de Biobío</v>
      </c>
    </row>
    <row r="484" spans="1:10" ht="14.25" customHeight="1" x14ac:dyDescent="0.25">
      <c r="A484">
        <v>619292006</v>
      </c>
      <c r="B484" t="s">
        <v>5533</v>
      </c>
      <c r="C484" t="s">
        <v>4399</v>
      </c>
      <c r="D484">
        <v>13</v>
      </c>
      <c r="E484" t="s">
        <v>4445</v>
      </c>
      <c r="F484" t="s">
        <v>5534</v>
      </c>
      <c r="G484" t="s">
        <v>5572</v>
      </c>
      <c r="H484" t="s">
        <v>4957</v>
      </c>
      <c r="I484" s="79" t="str">
        <f>IF(CARTERA_2026[[#This Row],[RUT]]=774097899,"DIST",_xlfn.XLOOKUP(CARTERA_2026[[#This Row],[VENDEDOR]],dimensiones!$C$21:$C$28,dimensiones!$D$21:$D$28,""))</f>
        <v>ATEL</v>
      </c>
      <c r="J484" s="125" t="str">
        <f>_xlfn.XLOOKUP(CARTERA_2026[[#This Row],[REGION]],dimensiones!C:C,dimensiones!D:D,"")</f>
        <v>Región de Metropolitana de Santiago</v>
      </c>
    </row>
    <row r="485" spans="1:10" ht="14.25" customHeight="1" x14ac:dyDescent="0.25">
      <c r="A485">
        <v>619301005</v>
      </c>
      <c r="B485" t="s">
        <v>5449</v>
      </c>
      <c r="C485" t="s">
        <v>4175</v>
      </c>
      <c r="D485">
        <v>5</v>
      </c>
      <c r="E485" t="s">
        <v>4445</v>
      </c>
      <c r="F485" t="s">
        <v>5450</v>
      </c>
      <c r="G485" t="s">
        <v>5571</v>
      </c>
      <c r="H485" t="s">
        <v>4957</v>
      </c>
      <c r="I485" s="79" t="str">
        <f>IF(CARTERA_2026[[#This Row],[RUT]]=774097899,"DIST",_xlfn.XLOOKUP(CARTERA_2026[[#This Row],[VENDEDOR]],dimensiones!$C$21:$C$28,dimensiones!$D$21:$D$28,""))</f>
        <v>ATEL</v>
      </c>
      <c r="J485" s="125" t="str">
        <f>_xlfn.XLOOKUP(CARTERA_2026[[#This Row],[REGION]],dimensiones!C:C,dimensiones!D:D,"")</f>
        <v>Región de Valparaíso</v>
      </c>
    </row>
    <row r="486" spans="1:10" ht="14.25" customHeight="1" x14ac:dyDescent="0.25">
      <c r="A486">
        <v>619318005</v>
      </c>
      <c r="B486" t="s">
        <v>747</v>
      </c>
      <c r="C486" t="s">
        <v>4495</v>
      </c>
      <c r="D486">
        <v>16</v>
      </c>
      <c r="E486" t="s">
        <v>4464</v>
      </c>
      <c r="F486" t="s">
        <v>4002</v>
      </c>
      <c r="G486" t="s">
        <v>5571</v>
      </c>
      <c r="H486" t="s">
        <v>4957</v>
      </c>
      <c r="I486" s="79" t="str">
        <f>IF(CARTERA_2026[[#This Row],[RUT]]=774097899,"DIST",_xlfn.XLOOKUP(CARTERA_2026[[#This Row],[VENDEDOR]],dimensiones!$C$21:$C$28,dimensiones!$D$21:$D$28,""))</f>
        <v>SUR1</v>
      </c>
      <c r="J486" s="125" t="str">
        <f>_xlfn.XLOOKUP(CARTERA_2026[[#This Row],[REGION]],dimensiones!C:C,dimensiones!D:D,"")</f>
        <v>Región de Ñuble</v>
      </c>
    </row>
    <row r="487" spans="1:10" ht="14.25" customHeight="1" x14ac:dyDescent="0.25">
      <c r="A487">
        <v>619322002</v>
      </c>
      <c r="B487" t="s">
        <v>259</v>
      </c>
      <c r="C487" t="s">
        <v>4505</v>
      </c>
      <c r="D487">
        <v>10</v>
      </c>
      <c r="E487" t="s">
        <v>4445</v>
      </c>
      <c r="F487" t="s">
        <v>1835</v>
      </c>
      <c r="G487" t="s">
        <v>5575</v>
      </c>
      <c r="H487" t="s">
        <v>4957</v>
      </c>
      <c r="I487" s="79" t="str">
        <f>IF(CARTERA_2026[[#This Row],[RUT]]=774097899,"DIST",_xlfn.XLOOKUP(CARTERA_2026[[#This Row],[VENDEDOR]],dimensiones!$C$21:$C$28,dimensiones!$D$21:$D$28,""))</f>
        <v>ATEL</v>
      </c>
      <c r="J487" s="125" t="str">
        <f>_xlfn.XLOOKUP(CARTERA_2026[[#This Row],[REGION]],dimensiones!C:C,dimensiones!D:D,"")</f>
        <v>Región de Los Lagos</v>
      </c>
    </row>
    <row r="488" spans="1:10" ht="14.25" customHeight="1" x14ac:dyDescent="0.25">
      <c r="A488">
        <v>619334000</v>
      </c>
      <c r="B488" t="s">
        <v>260</v>
      </c>
      <c r="C488" t="s">
        <v>4456</v>
      </c>
      <c r="D488">
        <v>13</v>
      </c>
      <c r="E488" t="s">
        <v>4445</v>
      </c>
      <c r="F488" t="s">
        <v>1491</v>
      </c>
      <c r="G488" t="s">
        <v>5572</v>
      </c>
      <c r="H488" t="s">
        <v>4957</v>
      </c>
      <c r="I488" s="79" t="str">
        <f>IF(CARTERA_2026[[#This Row],[RUT]]=774097899,"DIST",_xlfn.XLOOKUP(CARTERA_2026[[#This Row],[VENDEDOR]],dimensiones!$C$21:$C$28,dimensiones!$D$21:$D$28,""))</f>
        <v>ATEL</v>
      </c>
      <c r="J488" s="125" t="str">
        <f>_xlfn.XLOOKUP(CARTERA_2026[[#This Row],[REGION]],dimensiones!C:C,dimensiones!D:D,"")</f>
        <v>Región de Metropolitana de Santiago</v>
      </c>
    </row>
    <row r="489" spans="1:10" ht="14.25" customHeight="1" x14ac:dyDescent="0.25">
      <c r="A489">
        <v>619385004</v>
      </c>
      <c r="B489" t="s">
        <v>261</v>
      </c>
      <c r="C489" t="s">
        <v>4452</v>
      </c>
      <c r="D489">
        <v>13</v>
      </c>
      <c r="E489" t="s">
        <v>4445</v>
      </c>
      <c r="F489" t="s">
        <v>1493</v>
      </c>
      <c r="G489" t="s">
        <v>5571</v>
      </c>
      <c r="H489" t="s">
        <v>4957</v>
      </c>
      <c r="I489" s="79" t="str">
        <f>IF(CARTERA_2026[[#This Row],[RUT]]=774097899,"DIST",_xlfn.XLOOKUP(CARTERA_2026[[#This Row],[VENDEDOR]],dimensiones!$C$21:$C$28,dimensiones!$D$21:$D$28,""))</f>
        <v>ATEL</v>
      </c>
      <c r="J489" s="125" t="str">
        <f>_xlfn.XLOOKUP(CARTERA_2026[[#This Row],[REGION]],dimensiones!C:C,dimensiones!D:D,"")</f>
        <v>Región de Metropolitana de Santiago</v>
      </c>
    </row>
    <row r="490" spans="1:10" ht="14.25" customHeight="1" x14ac:dyDescent="0.25">
      <c r="A490">
        <v>619394003</v>
      </c>
      <c r="B490" t="s">
        <v>956</v>
      </c>
      <c r="C490" t="s">
        <v>4168</v>
      </c>
      <c r="D490">
        <v>13</v>
      </c>
      <c r="E490" t="s">
        <v>4445</v>
      </c>
      <c r="F490" t="s">
        <v>1495</v>
      </c>
      <c r="G490" t="s">
        <v>5571</v>
      </c>
      <c r="H490" t="s">
        <v>4957</v>
      </c>
      <c r="I490" s="79" t="str">
        <f>IF(CARTERA_2026[[#This Row],[RUT]]=774097899,"DIST",_xlfn.XLOOKUP(CARTERA_2026[[#This Row],[VENDEDOR]],dimensiones!$C$21:$C$28,dimensiones!$D$21:$D$28,""))</f>
        <v>ATEL</v>
      </c>
      <c r="J490" s="125" t="str">
        <f>_xlfn.XLOOKUP(CARTERA_2026[[#This Row],[REGION]],dimensiones!C:C,dimensiones!D:D,"")</f>
        <v>Región de Metropolitana de Santiago</v>
      </c>
    </row>
    <row r="491" spans="1:10" ht="14.25" customHeight="1" x14ac:dyDescent="0.25">
      <c r="A491">
        <v>619523008</v>
      </c>
      <c r="B491" t="s">
        <v>262</v>
      </c>
      <c r="C491" t="s">
        <v>4186</v>
      </c>
      <c r="D491">
        <v>1</v>
      </c>
      <c r="E491" t="s">
        <v>4453</v>
      </c>
      <c r="F491" t="s">
        <v>1497</v>
      </c>
      <c r="G491" t="s">
        <v>5571</v>
      </c>
      <c r="H491" t="s">
        <v>4957</v>
      </c>
      <c r="I491" s="79" t="str">
        <f>IF(CARTERA_2026[[#This Row],[RUT]]=774097899,"DIST",_xlfn.XLOOKUP(CARTERA_2026[[#This Row],[VENDEDOR]],dimensiones!$C$21:$C$28,dimensiones!$D$21:$D$28,""))</f>
        <v>SANT2</v>
      </c>
      <c r="J491" s="125" t="str">
        <f>_xlfn.XLOOKUP(CARTERA_2026[[#This Row],[REGION]],dimensiones!C:C,dimensiones!D:D,"")</f>
        <v>Región de Tarapacá</v>
      </c>
    </row>
    <row r="492" spans="1:10" ht="14.25" customHeight="1" x14ac:dyDescent="0.25">
      <c r="A492">
        <v>619532007</v>
      </c>
      <c r="B492" t="s">
        <v>748</v>
      </c>
      <c r="C492" t="s">
        <v>4470</v>
      </c>
      <c r="D492">
        <v>13</v>
      </c>
      <c r="E492" t="s">
        <v>4445</v>
      </c>
      <c r="F492" t="s">
        <v>3149</v>
      </c>
      <c r="G492" t="s">
        <v>5572</v>
      </c>
      <c r="H492" t="s">
        <v>4957</v>
      </c>
      <c r="I492" s="79" t="str">
        <f>IF(CARTERA_2026[[#This Row],[RUT]]=774097899,"DIST",_xlfn.XLOOKUP(CARTERA_2026[[#This Row],[VENDEDOR]],dimensiones!$C$21:$C$28,dimensiones!$D$21:$D$28,""))</f>
        <v>ATEL</v>
      </c>
      <c r="J492" s="125" t="str">
        <f>_xlfn.XLOOKUP(CARTERA_2026[[#This Row],[REGION]],dimensiones!C:C,dimensiones!D:D,"")</f>
        <v>Región de Metropolitana de Santiago</v>
      </c>
    </row>
    <row r="493" spans="1:10" ht="14.25" customHeight="1" x14ac:dyDescent="0.25">
      <c r="A493">
        <v>619545001</v>
      </c>
      <c r="B493" t="s">
        <v>263</v>
      </c>
      <c r="C493" t="s">
        <v>4289</v>
      </c>
      <c r="D493">
        <v>8</v>
      </c>
      <c r="E493" t="s">
        <v>4445</v>
      </c>
      <c r="F493" t="s">
        <v>1501</v>
      </c>
      <c r="G493" t="s">
        <v>5571</v>
      </c>
      <c r="H493" t="s">
        <v>4957</v>
      </c>
      <c r="I493" s="79" t="str">
        <f>IF(CARTERA_2026[[#This Row],[RUT]]=774097899,"DIST",_xlfn.XLOOKUP(CARTERA_2026[[#This Row],[VENDEDOR]],dimensiones!$C$21:$C$28,dimensiones!$D$21:$D$28,""))</f>
        <v>ATEL</v>
      </c>
      <c r="J493" s="125" t="str">
        <f>_xlfn.XLOOKUP(CARTERA_2026[[#This Row],[REGION]],dimensiones!C:C,dimensiones!D:D,"")</f>
        <v>Región de Biobío</v>
      </c>
    </row>
    <row r="494" spans="1:10" ht="14.25" customHeight="1" x14ac:dyDescent="0.25">
      <c r="A494">
        <v>619550005</v>
      </c>
      <c r="B494" t="s">
        <v>65</v>
      </c>
      <c r="C494" t="s">
        <v>4290</v>
      </c>
      <c r="D494">
        <v>9</v>
      </c>
      <c r="E494" t="s">
        <v>4454</v>
      </c>
      <c r="F494" t="s">
        <v>1447</v>
      </c>
      <c r="G494" t="s">
        <v>5575</v>
      </c>
      <c r="H494" t="s">
        <v>4957</v>
      </c>
      <c r="I494" s="79" t="str">
        <f>IF(CARTERA_2026[[#This Row],[RUT]]=774097899,"DIST",_xlfn.XLOOKUP(CARTERA_2026[[#This Row],[VENDEDOR]],dimensiones!$C$21:$C$28,dimensiones!$D$21:$D$28,""))</f>
        <v>SUR2</v>
      </c>
      <c r="J494" s="125" t="str">
        <f>_xlfn.XLOOKUP(CARTERA_2026[[#This Row],[REGION]],dimensiones!C:C,dimensiones!D:D,"")</f>
        <v>Región de La Araucanía</v>
      </c>
    </row>
    <row r="495" spans="1:10" ht="14.25" customHeight="1" x14ac:dyDescent="0.25">
      <c r="A495">
        <v>619585003</v>
      </c>
      <c r="B495" t="s">
        <v>66</v>
      </c>
      <c r="C495" t="s">
        <v>4506</v>
      </c>
      <c r="D495">
        <v>13</v>
      </c>
      <c r="E495" t="s">
        <v>4457</v>
      </c>
      <c r="F495" t="s">
        <v>2413</v>
      </c>
      <c r="G495" t="s">
        <v>5572</v>
      </c>
      <c r="H495" t="s">
        <v>4957</v>
      </c>
      <c r="I495" s="79" t="str">
        <f>IF(CARTERA_2026[[#This Row],[RUT]]=774097899,"DIST",_xlfn.XLOOKUP(CARTERA_2026[[#This Row],[VENDEDOR]],dimensiones!$C$21:$C$28,dimensiones!$D$21:$D$28,""))</f>
        <v>SANT1</v>
      </c>
      <c r="J495" s="125" t="str">
        <f>_xlfn.XLOOKUP(CARTERA_2026[[#This Row],[REGION]],dimensiones!C:C,dimensiones!D:D,"")</f>
        <v>Región de Metropolitana de Santiago</v>
      </c>
    </row>
    <row r="496" spans="1:10" ht="14.25" customHeight="1" x14ac:dyDescent="0.25">
      <c r="A496">
        <v>619598008</v>
      </c>
      <c r="B496" t="s">
        <v>67</v>
      </c>
      <c r="C496" t="s">
        <v>4470</v>
      </c>
      <c r="D496">
        <v>13</v>
      </c>
      <c r="E496" t="s">
        <v>4457</v>
      </c>
      <c r="F496" t="s">
        <v>3702</v>
      </c>
      <c r="G496" t="s">
        <v>5572</v>
      </c>
      <c r="H496" t="s">
        <v>4957</v>
      </c>
      <c r="I496" s="79" t="str">
        <f>IF(CARTERA_2026[[#This Row],[RUT]]=774097899,"DIST",_xlfn.XLOOKUP(CARTERA_2026[[#This Row],[VENDEDOR]],dimensiones!$C$21:$C$28,dimensiones!$D$21:$D$28,""))</f>
        <v>SANT1</v>
      </c>
      <c r="J496" s="125" t="str">
        <f>_xlfn.XLOOKUP(CARTERA_2026[[#This Row],[REGION]],dimensiones!C:C,dimensiones!D:D,"")</f>
        <v>Región de Metropolitana de Santiago</v>
      </c>
    </row>
    <row r="497" spans="1:10" ht="14.25" customHeight="1" x14ac:dyDescent="0.25">
      <c r="A497">
        <v>619728009</v>
      </c>
      <c r="B497" t="s">
        <v>264</v>
      </c>
      <c r="C497" t="s">
        <v>4507</v>
      </c>
      <c r="D497">
        <v>16</v>
      </c>
      <c r="E497" t="s">
        <v>4445</v>
      </c>
      <c r="F497" t="s">
        <v>1508</v>
      </c>
      <c r="G497" t="s">
        <v>5575</v>
      </c>
      <c r="H497" t="s">
        <v>4957</v>
      </c>
      <c r="I497" s="79" t="str">
        <f>IF(CARTERA_2026[[#This Row],[RUT]]=774097899,"DIST",_xlfn.XLOOKUP(CARTERA_2026[[#This Row],[VENDEDOR]],dimensiones!$C$21:$C$28,dimensiones!$D$21:$D$28,""))</f>
        <v>ATEL</v>
      </c>
      <c r="J497" s="125" t="str">
        <f>_xlfn.XLOOKUP(CARTERA_2026[[#This Row],[REGION]],dimensiones!C:C,dimensiones!D:D,"")</f>
        <v>Región de Ñuble</v>
      </c>
    </row>
    <row r="498" spans="1:10" ht="14.25" customHeight="1" x14ac:dyDescent="0.25">
      <c r="A498">
        <v>619742001</v>
      </c>
      <c r="B498" t="s">
        <v>5589</v>
      </c>
      <c r="C498" t="s">
        <v>4463</v>
      </c>
      <c r="D498">
        <v>13</v>
      </c>
      <c r="E498" t="s">
        <v>4445</v>
      </c>
      <c r="F498" t="s">
        <v>4890</v>
      </c>
      <c r="G498" t="s">
        <v>5571</v>
      </c>
      <c r="H498" t="s">
        <v>4957</v>
      </c>
      <c r="I498" s="79" t="str">
        <f>IF(CARTERA_2026[[#This Row],[RUT]]=774097899,"DIST",_xlfn.XLOOKUP(CARTERA_2026[[#This Row],[VENDEDOR]],dimensiones!$C$21:$C$28,dimensiones!$D$21:$D$28,""))</f>
        <v>ATEL</v>
      </c>
      <c r="J498" s="125" t="str">
        <f>_xlfn.XLOOKUP(CARTERA_2026[[#This Row],[REGION]],dimensiones!C:C,dimensiones!D:D,"")</f>
        <v>Región de Metropolitana de Santiago</v>
      </c>
    </row>
    <row r="499" spans="1:10" ht="14.25" customHeight="1" x14ac:dyDescent="0.25">
      <c r="A499">
        <v>619746007</v>
      </c>
      <c r="B499" t="s">
        <v>265</v>
      </c>
      <c r="C499" t="s">
        <v>4232</v>
      </c>
      <c r="D499">
        <v>11</v>
      </c>
      <c r="E499" t="s">
        <v>4445</v>
      </c>
      <c r="F499" t="s">
        <v>1292</v>
      </c>
      <c r="G499" t="s">
        <v>5571</v>
      </c>
      <c r="H499" t="s">
        <v>4957</v>
      </c>
      <c r="I499" s="79" t="str">
        <f>IF(CARTERA_2026[[#This Row],[RUT]]=774097899,"DIST",_xlfn.XLOOKUP(CARTERA_2026[[#This Row],[VENDEDOR]],dimensiones!$C$21:$C$28,dimensiones!$D$21:$D$28,""))</f>
        <v>ATEL</v>
      </c>
      <c r="J499" s="125" t="str">
        <f>_xlfn.XLOOKUP(CARTERA_2026[[#This Row],[REGION]],dimensiones!C:C,dimensiones!D:D,"")</f>
        <v>Región de Aysén del General Carlos Ibáñez del Campo</v>
      </c>
    </row>
    <row r="500" spans="1:10" ht="14.25" customHeight="1" x14ac:dyDescent="0.25">
      <c r="A500">
        <v>619751000</v>
      </c>
      <c r="B500" t="s">
        <v>68</v>
      </c>
      <c r="C500" t="s">
        <v>4292</v>
      </c>
      <c r="D500">
        <v>10</v>
      </c>
      <c r="E500" t="s">
        <v>4454</v>
      </c>
      <c r="F500" t="s">
        <v>2149</v>
      </c>
      <c r="G500" t="s">
        <v>5572</v>
      </c>
      <c r="H500" t="s">
        <v>4957</v>
      </c>
      <c r="I500" s="79" t="str">
        <f>IF(CARTERA_2026[[#This Row],[RUT]]=774097899,"DIST",_xlfn.XLOOKUP(CARTERA_2026[[#This Row],[VENDEDOR]],dimensiones!$C$21:$C$28,dimensiones!$D$21:$D$28,""))</f>
        <v>SUR2</v>
      </c>
      <c r="J500" s="125" t="str">
        <f>_xlfn.XLOOKUP(CARTERA_2026[[#This Row],[REGION]],dimensiones!C:C,dimensiones!D:D,"")</f>
        <v>Región de Los Lagos</v>
      </c>
    </row>
    <row r="501" spans="1:10" ht="14.25" customHeight="1" x14ac:dyDescent="0.25">
      <c r="A501">
        <v>619758005</v>
      </c>
      <c r="B501" t="s">
        <v>782</v>
      </c>
      <c r="C501" t="s">
        <v>4293</v>
      </c>
      <c r="D501">
        <v>10</v>
      </c>
      <c r="E501" t="s">
        <v>4454</v>
      </c>
      <c r="F501" t="s">
        <v>3568</v>
      </c>
      <c r="G501" t="s">
        <v>5572</v>
      </c>
      <c r="H501" t="s">
        <v>4957</v>
      </c>
      <c r="I501" s="79" t="str">
        <f>IF(CARTERA_2026[[#This Row],[RUT]]=774097899,"DIST",_xlfn.XLOOKUP(CARTERA_2026[[#This Row],[VENDEDOR]],dimensiones!$C$21:$C$28,dimensiones!$D$21:$D$28,""))</f>
        <v>SUR2</v>
      </c>
      <c r="J501" s="125" t="str">
        <f>_xlfn.XLOOKUP(CARTERA_2026[[#This Row],[REGION]],dimensiones!C:C,dimensiones!D:D,"")</f>
        <v>Región de Los Lagos</v>
      </c>
    </row>
    <row r="502" spans="1:10" ht="14.25" customHeight="1" x14ac:dyDescent="0.25">
      <c r="A502" t="s">
        <v>1025</v>
      </c>
      <c r="B502" t="s">
        <v>3329</v>
      </c>
      <c r="C502" t="s">
        <v>4292</v>
      </c>
      <c r="D502">
        <v>10</v>
      </c>
      <c r="E502" t="s">
        <v>4445</v>
      </c>
      <c r="F502" t="s">
        <v>3328</v>
      </c>
      <c r="G502" t="s">
        <v>5572</v>
      </c>
      <c r="H502" t="s">
        <v>4957</v>
      </c>
      <c r="I502" s="79" t="str">
        <f>IF(CARTERA_2026[[#This Row],[RUT]]=774097899,"DIST",_xlfn.XLOOKUP(CARTERA_2026[[#This Row],[VENDEDOR]],dimensiones!$C$21:$C$28,dimensiones!$D$21:$D$28,""))</f>
        <v>ATEL</v>
      </c>
      <c r="J502" s="125" t="str">
        <f>_xlfn.XLOOKUP(CARTERA_2026[[#This Row],[REGION]],dimensiones!C:C,dimensiones!D:D,"")</f>
        <v>Región de Los Lagos</v>
      </c>
    </row>
    <row r="503" spans="1:10" ht="14.25" customHeight="1" x14ac:dyDescent="0.25">
      <c r="A503" t="s">
        <v>4421</v>
      </c>
      <c r="B503" t="s">
        <v>4422</v>
      </c>
      <c r="C503" t="s">
        <v>4456</v>
      </c>
      <c r="D503">
        <v>13</v>
      </c>
      <c r="E503" t="s">
        <v>4445</v>
      </c>
      <c r="F503" t="s">
        <v>4508</v>
      </c>
      <c r="G503" t="s">
        <v>5571</v>
      </c>
      <c r="H503" t="s">
        <v>4957</v>
      </c>
      <c r="I503" s="79" t="str">
        <f>IF(CARTERA_2026[[#This Row],[RUT]]=774097899,"DIST",_xlfn.XLOOKUP(CARTERA_2026[[#This Row],[VENDEDOR]],dimensiones!$C$21:$C$28,dimensiones!$D$21:$D$28,""))</f>
        <v>ATEL</v>
      </c>
      <c r="J503" s="125" t="str">
        <f>_xlfn.XLOOKUP(CARTERA_2026[[#This Row],[REGION]],dimensiones!C:C,dimensiones!D:D,"")</f>
        <v>Región de Metropolitana de Santiago</v>
      </c>
    </row>
    <row r="504" spans="1:10" ht="14.25" customHeight="1" x14ac:dyDescent="0.25">
      <c r="A504">
        <v>619787307</v>
      </c>
      <c r="B504" t="s">
        <v>266</v>
      </c>
      <c r="C504" t="s">
        <v>4509</v>
      </c>
      <c r="D504">
        <v>10</v>
      </c>
      <c r="E504" t="s">
        <v>4445</v>
      </c>
      <c r="F504" t="s">
        <v>1518</v>
      </c>
      <c r="G504" t="s">
        <v>5572</v>
      </c>
      <c r="H504" t="s">
        <v>4957</v>
      </c>
      <c r="I504" s="79" t="str">
        <f>IF(CARTERA_2026[[#This Row],[RUT]]=774097899,"DIST",_xlfn.XLOOKUP(CARTERA_2026[[#This Row],[VENDEDOR]],dimensiones!$C$21:$C$28,dimensiones!$D$21:$D$28,""))</f>
        <v>ATEL</v>
      </c>
      <c r="J504" s="125" t="str">
        <f>_xlfn.XLOOKUP(CARTERA_2026[[#This Row],[REGION]],dimensiones!C:C,dimensiones!D:D,"")</f>
        <v>Región de Los Lagos</v>
      </c>
    </row>
    <row r="505" spans="1:10" ht="14.25" customHeight="1" x14ac:dyDescent="0.25">
      <c r="A505">
        <v>619790200</v>
      </c>
      <c r="B505" t="s">
        <v>1030</v>
      </c>
      <c r="C505" t="s">
        <v>4181</v>
      </c>
      <c r="D505">
        <v>1</v>
      </c>
      <c r="E505" t="s">
        <v>4445</v>
      </c>
      <c r="F505" t="s">
        <v>1520</v>
      </c>
      <c r="G505" t="s">
        <v>5571</v>
      </c>
      <c r="H505" t="s">
        <v>4957</v>
      </c>
      <c r="I505" s="79" t="str">
        <f>IF(CARTERA_2026[[#This Row],[RUT]]=774097899,"DIST",_xlfn.XLOOKUP(CARTERA_2026[[#This Row],[VENDEDOR]],dimensiones!$C$21:$C$28,dimensiones!$D$21:$D$28,""))</f>
        <v>ATEL</v>
      </c>
      <c r="J505" s="125" t="str">
        <f>_xlfn.XLOOKUP(CARTERA_2026[[#This Row],[REGION]],dimensiones!C:C,dimensiones!D:D,"")</f>
        <v>Región de Tarapacá</v>
      </c>
    </row>
    <row r="506" spans="1:10" ht="14.25" customHeight="1" x14ac:dyDescent="0.25">
      <c r="A506">
        <v>619792106</v>
      </c>
      <c r="B506" t="s">
        <v>894</v>
      </c>
      <c r="C506" t="s">
        <v>4230</v>
      </c>
      <c r="D506">
        <v>10</v>
      </c>
      <c r="E506" t="s">
        <v>4445</v>
      </c>
      <c r="F506" t="s">
        <v>1522</v>
      </c>
      <c r="G506" t="s">
        <v>5571</v>
      </c>
      <c r="H506" t="s">
        <v>4957</v>
      </c>
      <c r="I506" s="79" t="str">
        <f>IF(CARTERA_2026[[#This Row],[RUT]]=774097899,"DIST",_xlfn.XLOOKUP(CARTERA_2026[[#This Row],[VENDEDOR]],dimensiones!$C$21:$C$28,dimensiones!$D$21:$D$28,""))</f>
        <v>ATEL</v>
      </c>
      <c r="J506" s="125" t="str">
        <f>_xlfn.XLOOKUP(CARTERA_2026[[#This Row],[REGION]],dimensiones!C:C,dimensiones!D:D,"")</f>
        <v>Región de Los Lagos</v>
      </c>
    </row>
    <row r="507" spans="1:10" ht="14.25" customHeight="1" x14ac:dyDescent="0.25">
      <c r="A507" t="s">
        <v>663</v>
      </c>
      <c r="B507" t="s">
        <v>876</v>
      </c>
      <c r="C507" t="s">
        <v>4402</v>
      </c>
      <c r="D507">
        <v>13</v>
      </c>
      <c r="E507" t="s">
        <v>4445</v>
      </c>
      <c r="F507" t="s">
        <v>2184</v>
      </c>
      <c r="G507" t="s">
        <v>5572</v>
      </c>
      <c r="H507" t="s">
        <v>4957</v>
      </c>
      <c r="I507" s="79" t="str">
        <f>IF(CARTERA_2026[[#This Row],[RUT]]=774097899,"DIST",_xlfn.XLOOKUP(CARTERA_2026[[#This Row],[VENDEDOR]],dimensiones!$C$21:$C$28,dimensiones!$D$21:$D$28,""))</f>
        <v>ATEL</v>
      </c>
      <c r="J507" s="125" t="str">
        <f>_xlfn.XLOOKUP(CARTERA_2026[[#This Row],[REGION]],dimensiones!C:C,dimensiones!D:D,"")</f>
        <v>Región de Metropolitana de Santiago</v>
      </c>
    </row>
    <row r="508" spans="1:10" ht="14.25" customHeight="1" x14ac:dyDescent="0.25">
      <c r="A508">
        <v>619794508</v>
      </c>
      <c r="B508" t="s">
        <v>267</v>
      </c>
      <c r="C508" t="s">
        <v>4391</v>
      </c>
      <c r="D508">
        <v>13</v>
      </c>
      <c r="E508" t="s">
        <v>5729</v>
      </c>
      <c r="F508" t="s">
        <v>2164</v>
      </c>
      <c r="G508" t="s">
        <v>5572</v>
      </c>
      <c r="H508" t="s">
        <v>4957</v>
      </c>
      <c r="I508" s="79" t="str">
        <f>IF(CARTERA_2026[[#This Row],[RUT]]=774097899,"DIST",_xlfn.XLOOKUP(CARTERA_2026[[#This Row],[VENDEDOR]],dimensiones!$C$21:$C$28,dimensiones!$D$21:$D$28,""))</f>
        <v>SANT3</v>
      </c>
      <c r="J508" s="125" t="str">
        <f>_xlfn.XLOOKUP(CARTERA_2026[[#This Row],[REGION]],dimensiones!C:C,dimensiones!D:D,"")</f>
        <v>Región de Metropolitana de Santiago</v>
      </c>
    </row>
    <row r="509" spans="1:10" ht="14.25" customHeight="1" x14ac:dyDescent="0.25">
      <c r="A509">
        <v>619799100</v>
      </c>
      <c r="B509" t="s">
        <v>35</v>
      </c>
      <c r="C509" t="s">
        <v>4459</v>
      </c>
      <c r="D509">
        <v>5</v>
      </c>
      <c r="E509" t="s">
        <v>4445</v>
      </c>
      <c r="F509" t="s">
        <v>1529</v>
      </c>
      <c r="G509" t="s">
        <v>5571</v>
      </c>
      <c r="H509" t="s">
        <v>4957</v>
      </c>
      <c r="I509" s="79" t="str">
        <f>IF(CARTERA_2026[[#This Row],[RUT]]=774097899,"DIST",_xlfn.XLOOKUP(CARTERA_2026[[#This Row],[VENDEDOR]],dimensiones!$C$21:$C$28,dimensiones!$D$21:$D$28,""))</f>
        <v>ATEL</v>
      </c>
      <c r="J509" s="125" t="str">
        <f>_xlfn.XLOOKUP(CARTERA_2026[[#This Row],[REGION]],dimensiones!C:C,dimensiones!D:D,"")</f>
        <v>Región de Valparaíso</v>
      </c>
    </row>
    <row r="510" spans="1:10" ht="14.25" customHeight="1" x14ac:dyDescent="0.25">
      <c r="A510">
        <v>619800702</v>
      </c>
      <c r="B510" t="s">
        <v>268</v>
      </c>
      <c r="C510" t="s">
        <v>4294</v>
      </c>
      <c r="D510">
        <v>10</v>
      </c>
      <c r="E510" t="s">
        <v>4445</v>
      </c>
      <c r="F510" t="s">
        <v>1531</v>
      </c>
      <c r="G510" t="s">
        <v>5572</v>
      </c>
      <c r="H510" t="s">
        <v>4957</v>
      </c>
      <c r="I510" s="79" t="str">
        <f>IF(CARTERA_2026[[#This Row],[RUT]]=774097899,"DIST",_xlfn.XLOOKUP(CARTERA_2026[[#This Row],[VENDEDOR]],dimensiones!$C$21:$C$28,dimensiones!$D$21:$D$28,""))</f>
        <v>ATEL</v>
      </c>
      <c r="J510" s="125" t="str">
        <f>_xlfn.XLOOKUP(CARTERA_2026[[#This Row],[REGION]],dimensiones!C:C,dimensiones!D:D,"")</f>
        <v>Región de Los Lagos</v>
      </c>
    </row>
    <row r="511" spans="1:10" ht="14.25" customHeight="1" x14ac:dyDescent="0.25">
      <c r="A511" t="s">
        <v>664</v>
      </c>
      <c r="B511" t="s">
        <v>665</v>
      </c>
      <c r="C511" t="s">
        <v>4295</v>
      </c>
      <c r="D511">
        <v>10</v>
      </c>
      <c r="E511" t="s">
        <v>4445</v>
      </c>
      <c r="F511" t="s">
        <v>1533</v>
      </c>
      <c r="G511" t="s">
        <v>5572</v>
      </c>
      <c r="H511" t="s">
        <v>4957</v>
      </c>
      <c r="I511" s="79" t="str">
        <f>IF(CARTERA_2026[[#This Row],[RUT]]=774097899,"DIST",_xlfn.XLOOKUP(CARTERA_2026[[#This Row],[VENDEDOR]],dimensiones!$C$21:$C$28,dimensiones!$D$21:$D$28,""))</f>
        <v>ATEL</v>
      </c>
      <c r="J511" s="125" t="str">
        <f>_xlfn.XLOOKUP(CARTERA_2026[[#This Row],[REGION]],dimensiones!C:C,dimensiones!D:D,"")</f>
        <v>Región de Los Lagos</v>
      </c>
    </row>
    <row r="512" spans="1:10" ht="14.25" customHeight="1" x14ac:dyDescent="0.25">
      <c r="A512">
        <v>619803205</v>
      </c>
      <c r="B512" t="s">
        <v>69</v>
      </c>
      <c r="C512" t="s">
        <v>4510</v>
      </c>
      <c r="D512">
        <v>13</v>
      </c>
      <c r="E512" t="s">
        <v>4457</v>
      </c>
      <c r="F512" t="s">
        <v>2288</v>
      </c>
      <c r="G512" t="s">
        <v>5572</v>
      </c>
      <c r="H512" t="s">
        <v>4957</v>
      </c>
      <c r="I512" s="79" t="str">
        <f>IF(CARTERA_2026[[#This Row],[RUT]]=774097899,"DIST",_xlfn.XLOOKUP(CARTERA_2026[[#This Row],[VENDEDOR]],dimensiones!$C$21:$C$28,dimensiones!$D$21:$D$28,""))</f>
        <v>SANT1</v>
      </c>
      <c r="J512" s="125" t="str">
        <f>_xlfn.XLOOKUP(CARTERA_2026[[#This Row],[REGION]],dimensiones!C:C,dimensiones!D:D,"")</f>
        <v>Región de Metropolitana de Santiago</v>
      </c>
    </row>
    <row r="513" spans="1:10" ht="14.25" customHeight="1" x14ac:dyDescent="0.25">
      <c r="A513">
        <v>619803701</v>
      </c>
      <c r="B513" t="s">
        <v>269</v>
      </c>
      <c r="C513" t="s">
        <v>4211</v>
      </c>
      <c r="D513">
        <v>8</v>
      </c>
      <c r="E513" t="s">
        <v>4445</v>
      </c>
      <c r="F513" t="s">
        <v>1538</v>
      </c>
      <c r="G513" t="s">
        <v>5571</v>
      </c>
      <c r="H513" t="s">
        <v>4957</v>
      </c>
      <c r="I513" s="79" t="str">
        <f>IF(CARTERA_2026[[#This Row],[RUT]]=774097899,"DIST",_xlfn.XLOOKUP(CARTERA_2026[[#This Row],[VENDEDOR]],dimensiones!$C$21:$C$28,dimensiones!$D$21:$D$28,""))</f>
        <v>ATEL</v>
      </c>
      <c r="J513" s="125" t="str">
        <f>_xlfn.XLOOKUP(CARTERA_2026[[#This Row],[REGION]],dimensiones!C:C,dimensiones!D:D,"")</f>
        <v>Región de Biobío</v>
      </c>
    </row>
    <row r="514" spans="1:10" ht="14.25" customHeight="1" x14ac:dyDescent="0.25">
      <c r="A514">
        <v>619804201</v>
      </c>
      <c r="B514" t="s">
        <v>270</v>
      </c>
      <c r="C514" t="s">
        <v>4175</v>
      </c>
      <c r="D514">
        <v>5</v>
      </c>
      <c r="E514" t="s">
        <v>4445</v>
      </c>
      <c r="F514" t="s">
        <v>3448</v>
      </c>
      <c r="G514" t="s">
        <v>5571</v>
      </c>
      <c r="H514" t="s">
        <v>4957</v>
      </c>
      <c r="I514" s="79" t="str">
        <f>IF(CARTERA_2026[[#This Row],[RUT]]=774097899,"DIST",_xlfn.XLOOKUP(CARTERA_2026[[#This Row],[VENDEDOR]],dimensiones!$C$21:$C$28,dimensiones!$D$21:$D$28,""))</f>
        <v>ATEL</v>
      </c>
      <c r="J514" s="125" t="str">
        <f>_xlfn.XLOOKUP(CARTERA_2026[[#This Row],[REGION]],dimensiones!C:C,dimensiones!D:D,"")</f>
        <v>Región de Valparaíso</v>
      </c>
    </row>
    <row r="515" spans="1:10" ht="14.25" customHeight="1" x14ac:dyDescent="0.25">
      <c r="A515">
        <v>619805208</v>
      </c>
      <c r="B515" t="s">
        <v>5600</v>
      </c>
      <c r="C515" t="s">
        <v>4232</v>
      </c>
      <c r="D515">
        <v>11</v>
      </c>
      <c r="E515" t="s">
        <v>4445</v>
      </c>
      <c r="F515" t="s">
        <v>5601</v>
      </c>
      <c r="G515" t="s">
        <v>5573</v>
      </c>
      <c r="H515" t="s">
        <v>4915</v>
      </c>
      <c r="I515" s="79" t="str">
        <f>IF(CARTERA_2026[[#This Row],[RUT]]=774097899,"DIST",_xlfn.XLOOKUP(CARTERA_2026[[#This Row],[VENDEDOR]],dimensiones!$C$21:$C$28,dimensiones!$D$21:$D$28,""))</f>
        <v>ATEL</v>
      </c>
      <c r="J515" s="125" t="str">
        <f>_xlfn.XLOOKUP(CARTERA_2026[[#This Row],[REGION]],dimensiones!C:C,dimensiones!D:D,"")</f>
        <v>Región de Aysén del General Carlos Ibáñez del Campo</v>
      </c>
    </row>
    <row r="516" spans="1:10" ht="14.25" customHeight="1" x14ac:dyDescent="0.25">
      <c r="A516">
        <v>619805305</v>
      </c>
      <c r="B516" t="s">
        <v>998</v>
      </c>
      <c r="C516" t="s">
        <v>4178</v>
      </c>
      <c r="D516">
        <v>6</v>
      </c>
      <c r="E516" t="s">
        <v>4445</v>
      </c>
      <c r="F516" t="s">
        <v>1542</v>
      </c>
      <c r="G516" t="s">
        <v>5573</v>
      </c>
      <c r="H516" t="s">
        <v>4957</v>
      </c>
      <c r="I516" s="79" t="str">
        <f>IF(CARTERA_2026[[#This Row],[RUT]]=774097899,"DIST",_xlfn.XLOOKUP(CARTERA_2026[[#This Row],[VENDEDOR]],dimensiones!$C$21:$C$28,dimensiones!$D$21:$D$28,""))</f>
        <v>ATEL</v>
      </c>
      <c r="J516" s="125" t="str">
        <f>_xlfn.XLOOKUP(CARTERA_2026[[#This Row],[REGION]],dimensiones!C:C,dimensiones!D:D,"")</f>
        <v>Región de Libertador General Bernardo O'Higgins</v>
      </c>
    </row>
    <row r="517" spans="1:10" ht="14.25" customHeight="1" x14ac:dyDescent="0.25">
      <c r="A517">
        <v>619806204</v>
      </c>
      <c r="B517" t="s">
        <v>70</v>
      </c>
      <c r="C517" t="s">
        <v>4381</v>
      </c>
      <c r="D517">
        <v>13</v>
      </c>
      <c r="E517" t="s">
        <v>4457</v>
      </c>
      <c r="F517" t="s">
        <v>4160</v>
      </c>
      <c r="G517" t="s">
        <v>5572</v>
      </c>
      <c r="H517" t="s">
        <v>4957</v>
      </c>
      <c r="I517" s="79" t="str">
        <f>IF(CARTERA_2026[[#This Row],[RUT]]=774097899,"DIST",_xlfn.XLOOKUP(CARTERA_2026[[#This Row],[VENDEDOR]],dimensiones!$C$21:$C$28,dimensiones!$D$21:$D$28,""))</f>
        <v>SANT1</v>
      </c>
      <c r="J517" s="125" t="str">
        <f>_xlfn.XLOOKUP(CARTERA_2026[[#This Row],[REGION]],dimensiones!C:C,dimensiones!D:D,"")</f>
        <v>Región de Metropolitana de Santiago</v>
      </c>
    </row>
    <row r="518" spans="1:10" ht="14.25" customHeight="1" x14ac:dyDescent="0.25">
      <c r="A518">
        <v>619806700</v>
      </c>
      <c r="B518" t="s">
        <v>271</v>
      </c>
      <c r="C518" t="s">
        <v>4296</v>
      </c>
      <c r="D518">
        <v>14</v>
      </c>
      <c r="E518" t="s">
        <v>4445</v>
      </c>
      <c r="F518" t="s">
        <v>1546</v>
      </c>
      <c r="G518" t="s">
        <v>5572</v>
      </c>
      <c r="H518" t="s">
        <v>4957</v>
      </c>
      <c r="I518" s="79" t="str">
        <f>IF(CARTERA_2026[[#This Row],[RUT]]=774097899,"DIST",_xlfn.XLOOKUP(CARTERA_2026[[#This Row],[VENDEDOR]],dimensiones!$C$21:$C$28,dimensiones!$D$21:$D$28,""))</f>
        <v>ATEL</v>
      </c>
      <c r="J518" s="125" t="str">
        <f>_xlfn.XLOOKUP(CARTERA_2026[[#This Row],[REGION]],dimensiones!C:C,dimensiones!D:D,"")</f>
        <v>Región de Los Ríos</v>
      </c>
    </row>
    <row r="519" spans="1:10" ht="14.25" customHeight="1" x14ac:dyDescent="0.25">
      <c r="A519">
        <v>619807200</v>
      </c>
      <c r="B519" t="s">
        <v>272</v>
      </c>
      <c r="C519" t="s">
        <v>4297</v>
      </c>
      <c r="D519">
        <v>12</v>
      </c>
      <c r="E519" t="s">
        <v>4445</v>
      </c>
      <c r="F519" t="s">
        <v>4118</v>
      </c>
      <c r="G519" t="s">
        <v>5572</v>
      </c>
      <c r="H519" t="s">
        <v>4957</v>
      </c>
      <c r="I519" s="79" t="str">
        <f>IF(CARTERA_2026[[#This Row],[RUT]]=774097899,"DIST",_xlfn.XLOOKUP(CARTERA_2026[[#This Row],[VENDEDOR]],dimensiones!$C$21:$C$28,dimensiones!$D$21:$D$28,""))</f>
        <v>ATEL</v>
      </c>
      <c r="J519" s="125" t="str">
        <f>_xlfn.XLOOKUP(CARTERA_2026[[#This Row],[REGION]],dimensiones!C:C,dimensiones!D:D,"")</f>
        <v>Región de Magallanes y de la Antártica Chilena</v>
      </c>
    </row>
    <row r="520" spans="1:10" ht="14.25" customHeight="1" x14ac:dyDescent="0.25">
      <c r="A520">
        <v>619807405</v>
      </c>
      <c r="B520" t="s">
        <v>273</v>
      </c>
      <c r="C520" t="s">
        <v>4830</v>
      </c>
      <c r="D520">
        <v>10</v>
      </c>
      <c r="E520" t="s">
        <v>4445</v>
      </c>
      <c r="F520" t="s">
        <v>1254</v>
      </c>
      <c r="G520" t="s">
        <v>5571</v>
      </c>
      <c r="H520" t="s">
        <v>4957</v>
      </c>
      <c r="I520" s="79" t="str">
        <f>IF(CARTERA_2026[[#This Row],[RUT]]=774097899,"DIST",_xlfn.XLOOKUP(CARTERA_2026[[#This Row],[VENDEDOR]],dimensiones!$C$21:$C$28,dimensiones!$D$21:$D$28,""))</f>
        <v>ATEL</v>
      </c>
      <c r="J520" s="125" t="str">
        <f>_xlfn.XLOOKUP(CARTERA_2026[[#This Row],[REGION]],dimensiones!C:C,dimensiones!D:D,"")</f>
        <v>Región de Los Lagos</v>
      </c>
    </row>
    <row r="521" spans="1:10" ht="14.25" customHeight="1" x14ac:dyDescent="0.25">
      <c r="A521">
        <v>619990307</v>
      </c>
      <c r="B521" t="s">
        <v>1554</v>
      </c>
      <c r="C521" t="s">
        <v>4168</v>
      </c>
      <c r="D521">
        <v>13</v>
      </c>
      <c r="E521" t="s">
        <v>4445</v>
      </c>
      <c r="F521" t="s">
        <v>1553</v>
      </c>
      <c r="G521" t="s">
        <v>5572</v>
      </c>
      <c r="H521" t="s">
        <v>4957</v>
      </c>
      <c r="I521" s="79" t="str">
        <f>IF(CARTERA_2026[[#This Row],[RUT]]=774097899,"DIST",_xlfn.XLOOKUP(CARTERA_2026[[#This Row],[VENDEDOR]],dimensiones!$C$21:$C$28,dimensiones!$D$21:$D$28,""))</f>
        <v>ATEL</v>
      </c>
      <c r="J521" s="125" t="str">
        <f>_xlfn.XLOOKUP(CARTERA_2026[[#This Row],[REGION]],dimensiones!C:C,dimensiones!D:D,"")</f>
        <v>Región de Metropolitana de Santiago</v>
      </c>
    </row>
    <row r="522" spans="1:10" ht="14.25" customHeight="1" x14ac:dyDescent="0.25">
      <c r="A522">
        <v>619991907</v>
      </c>
      <c r="B522" t="s">
        <v>274</v>
      </c>
      <c r="C522" t="s">
        <v>4460</v>
      </c>
      <c r="D522">
        <v>8</v>
      </c>
      <c r="E522" t="s">
        <v>4445</v>
      </c>
      <c r="F522" t="s">
        <v>2078</v>
      </c>
      <c r="G522" t="s">
        <v>5571</v>
      </c>
      <c r="H522" t="s">
        <v>4957</v>
      </c>
      <c r="I522" s="79" t="str">
        <f>IF(CARTERA_2026[[#This Row],[RUT]]=774097899,"DIST",_xlfn.XLOOKUP(CARTERA_2026[[#This Row],[VENDEDOR]],dimensiones!$C$21:$C$28,dimensiones!$D$21:$D$28,""))</f>
        <v>ATEL</v>
      </c>
      <c r="J522" s="125" t="str">
        <f>_xlfn.XLOOKUP(CARTERA_2026[[#This Row],[REGION]],dimensiones!C:C,dimensiones!D:D,"")</f>
        <v>Región de Biobío</v>
      </c>
    </row>
    <row r="523" spans="1:10" ht="14.25" customHeight="1" x14ac:dyDescent="0.25">
      <c r="A523">
        <v>619992601</v>
      </c>
      <c r="B523" t="s">
        <v>1560</v>
      </c>
      <c r="C523" t="s">
        <v>4497</v>
      </c>
      <c r="D523">
        <v>8</v>
      </c>
      <c r="E523" t="s">
        <v>4445</v>
      </c>
      <c r="F523" t="s">
        <v>1559</v>
      </c>
      <c r="G523" t="s">
        <v>5572</v>
      </c>
      <c r="H523" t="s">
        <v>4957</v>
      </c>
      <c r="I523" s="79" t="str">
        <f>IF(CARTERA_2026[[#This Row],[RUT]]=774097899,"DIST",_xlfn.XLOOKUP(CARTERA_2026[[#This Row],[VENDEDOR]],dimensiones!$C$21:$C$28,dimensiones!$D$21:$D$28,""))</f>
        <v>ATEL</v>
      </c>
      <c r="J523" s="125" t="str">
        <f>_xlfn.XLOOKUP(CARTERA_2026[[#This Row],[REGION]],dimensiones!C:C,dimensiones!D:D,"")</f>
        <v>Región de Biobío</v>
      </c>
    </row>
    <row r="524" spans="1:10" ht="14.25" customHeight="1" x14ac:dyDescent="0.25">
      <c r="A524">
        <v>620003808</v>
      </c>
      <c r="B524" t="s">
        <v>1425</v>
      </c>
      <c r="C524" t="s">
        <v>4182</v>
      </c>
      <c r="D524">
        <v>2</v>
      </c>
      <c r="E524" t="s">
        <v>4445</v>
      </c>
      <c r="F524" t="s">
        <v>1424</v>
      </c>
      <c r="G524" t="s">
        <v>5572</v>
      </c>
      <c r="H524" t="s">
        <v>4957</v>
      </c>
      <c r="I524" s="79" t="str">
        <f>IF(CARTERA_2026[[#This Row],[RUT]]=774097899,"DIST",_xlfn.XLOOKUP(CARTERA_2026[[#This Row],[VENDEDOR]],dimensiones!$C$21:$C$28,dimensiones!$D$21:$D$28,""))</f>
        <v>ATEL</v>
      </c>
      <c r="J524" s="125" t="str">
        <f>_xlfn.XLOOKUP(CARTERA_2026[[#This Row],[REGION]],dimensiones!C:C,dimensiones!D:D,"")</f>
        <v>Región de Antofagasta</v>
      </c>
    </row>
    <row r="525" spans="1:10" ht="14.25" customHeight="1" x14ac:dyDescent="0.25">
      <c r="A525">
        <v>620005304</v>
      </c>
      <c r="B525" t="s">
        <v>277</v>
      </c>
      <c r="C525" t="s">
        <v>4186</v>
      </c>
      <c r="D525">
        <v>1</v>
      </c>
      <c r="E525" t="s">
        <v>4453</v>
      </c>
      <c r="F525" t="s">
        <v>1738</v>
      </c>
      <c r="G525" t="s">
        <v>5572</v>
      </c>
      <c r="H525" t="s">
        <v>4957</v>
      </c>
      <c r="I525" s="79" t="str">
        <f>IF(CARTERA_2026[[#This Row],[RUT]]=774097899,"DIST",_xlfn.XLOOKUP(CARTERA_2026[[#This Row],[VENDEDOR]],dimensiones!$C$21:$C$28,dimensiones!$D$21:$D$28,""))</f>
        <v>SANT2</v>
      </c>
      <c r="J525" s="125" t="str">
        <f>_xlfn.XLOOKUP(CARTERA_2026[[#This Row],[REGION]],dimensiones!C:C,dimensiones!D:D,"")</f>
        <v>Región de Tarapacá</v>
      </c>
    </row>
    <row r="526" spans="1:10" ht="14.25" customHeight="1" x14ac:dyDescent="0.25">
      <c r="A526">
        <v>620005703</v>
      </c>
      <c r="B526" t="s">
        <v>1033</v>
      </c>
      <c r="C526" t="s">
        <v>4495</v>
      </c>
      <c r="D526">
        <v>16</v>
      </c>
      <c r="E526" t="s">
        <v>4445</v>
      </c>
      <c r="F526" t="s">
        <v>3284</v>
      </c>
      <c r="G526" t="s">
        <v>5571</v>
      </c>
      <c r="H526" t="s">
        <v>4957</v>
      </c>
      <c r="I526" s="79" t="str">
        <f>IF(CARTERA_2026[[#This Row],[RUT]]=774097899,"DIST",_xlfn.XLOOKUP(CARTERA_2026[[#This Row],[VENDEDOR]],dimensiones!$C$21:$C$28,dimensiones!$D$21:$D$28,""))</f>
        <v>ATEL</v>
      </c>
      <c r="J526" s="125" t="str">
        <f>_xlfn.XLOOKUP(CARTERA_2026[[#This Row],[REGION]],dimensiones!C:C,dimensiones!D:D,"")</f>
        <v>Región de Ñuble</v>
      </c>
    </row>
    <row r="527" spans="1:10" ht="14.25" customHeight="1" x14ac:dyDescent="0.25">
      <c r="A527">
        <v>620006203</v>
      </c>
      <c r="B527" t="s">
        <v>895</v>
      </c>
      <c r="C527" t="s">
        <v>4469</v>
      </c>
      <c r="D527">
        <v>5</v>
      </c>
      <c r="E527" t="s">
        <v>4445</v>
      </c>
      <c r="F527" t="s">
        <v>1644</v>
      </c>
      <c r="G527" t="s">
        <v>5571</v>
      </c>
      <c r="H527" t="s">
        <v>4957</v>
      </c>
      <c r="I527" s="79" t="str">
        <f>IF(CARTERA_2026[[#This Row],[RUT]]=774097899,"DIST",_xlfn.XLOOKUP(CARTERA_2026[[#This Row],[VENDEDOR]],dimensiones!$C$21:$C$28,dimensiones!$D$21:$D$28,""))</f>
        <v>ATEL</v>
      </c>
      <c r="J527" s="125" t="str">
        <f>_xlfn.XLOOKUP(CARTERA_2026[[#This Row],[REGION]],dimensiones!C:C,dimensiones!D:D,"")</f>
        <v>Región de Valparaíso</v>
      </c>
    </row>
    <row r="528" spans="1:10" ht="14.25" customHeight="1" x14ac:dyDescent="0.25">
      <c r="A528">
        <v>620007609</v>
      </c>
      <c r="B528" t="s">
        <v>4512</v>
      </c>
      <c r="C528" t="s">
        <v>4283</v>
      </c>
      <c r="D528">
        <v>12</v>
      </c>
      <c r="E528" t="s">
        <v>4445</v>
      </c>
      <c r="F528" t="s">
        <v>4511</v>
      </c>
      <c r="G528" t="s">
        <v>5571</v>
      </c>
      <c r="H528" t="s">
        <v>4957</v>
      </c>
      <c r="I528" s="79" t="str">
        <f>IF(CARTERA_2026[[#This Row],[RUT]]=774097899,"DIST",_xlfn.XLOOKUP(CARTERA_2026[[#This Row],[VENDEDOR]],dimensiones!$C$21:$C$28,dimensiones!$D$21:$D$28,""))</f>
        <v>ATEL</v>
      </c>
      <c r="J528" s="125" t="str">
        <f>_xlfn.XLOOKUP(CARTERA_2026[[#This Row],[REGION]],dimensiones!C:C,dimensiones!D:D,"")</f>
        <v>Región de Magallanes y de la Antártica Chilena</v>
      </c>
    </row>
    <row r="529" spans="1:10" ht="14.25" customHeight="1" x14ac:dyDescent="0.25">
      <c r="A529">
        <v>620008303</v>
      </c>
      <c r="B529" t="s">
        <v>71</v>
      </c>
      <c r="C529" t="s">
        <v>4291</v>
      </c>
      <c r="D529">
        <v>9</v>
      </c>
      <c r="E529" t="s">
        <v>4454</v>
      </c>
      <c r="F529" t="s">
        <v>3546</v>
      </c>
      <c r="G529" t="s">
        <v>5572</v>
      </c>
      <c r="H529" t="s">
        <v>4957</v>
      </c>
      <c r="I529" s="79" t="str">
        <f>IF(CARTERA_2026[[#This Row],[RUT]]=774097899,"DIST",_xlfn.XLOOKUP(CARTERA_2026[[#This Row],[VENDEDOR]],dimensiones!$C$21:$C$28,dimensiones!$D$21:$D$28,""))</f>
        <v>SUR2</v>
      </c>
      <c r="J529" s="125" t="str">
        <f>_xlfn.XLOOKUP(CARTERA_2026[[#This Row],[REGION]],dimensiones!C:C,dimensiones!D:D,"")</f>
        <v>Región de La Araucanía</v>
      </c>
    </row>
    <row r="530" spans="1:10" ht="14.25" customHeight="1" x14ac:dyDescent="0.25">
      <c r="A530">
        <v>620009407</v>
      </c>
      <c r="B530" t="s">
        <v>278</v>
      </c>
      <c r="C530" t="s">
        <v>4485</v>
      </c>
      <c r="D530">
        <v>11</v>
      </c>
      <c r="E530" t="s">
        <v>4445</v>
      </c>
      <c r="F530" t="s">
        <v>1861</v>
      </c>
      <c r="G530" t="s">
        <v>5571</v>
      </c>
      <c r="H530" t="s">
        <v>4957</v>
      </c>
      <c r="I530" s="79" t="str">
        <f>IF(CARTERA_2026[[#This Row],[RUT]]=774097899,"DIST",_xlfn.XLOOKUP(CARTERA_2026[[#This Row],[VENDEDOR]],dimensiones!$C$21:$C$28,dimensiones!$D$21:$D$28,""))</f>
        <v>ATEL</v>
      </c>
      <c r="J530" s="125" t="str">
        <f>_xlfn.XLOOKUP(CARTERA_2026[[#This Row],[REGION]],dimensiones!C:C,dimensiones!D:D,"")</f>
        <v>Región de Aysén del General Carlos Ibáñez del Campo</v>
      </c>
    </row>
    <row r="531" spans="1:10" ht="14.25" customHeight="1" x14ac:dyDescent="0.25">
      <c r="A531">
        <v>620009709</v>
      </c>
      <c r="B531" t="s">
        <v>5753</v>
      </c>
      <c r="C531" t="s">
        <v>4182</v>
      </c>
      <c r="D531">
        <v>2</v>
      </c>
      <c r="E531" t="s">
        <v>4445</v>
      </c>
      <c r="F531" t="s">
        <v>5754</v>
      </c>
      <c r="G531" t="s">
        <v>5574</v>
      </c>
      <c r="H531" t="s">
        <v>4957</v>
      </c>
      <c r="I531" s="79" t="str">
        <f>IF(CARTERA_2026[[#This Row],[RUT]]=774097899,"DIST",_xlfn.XLOOKUP(CARTERA_2026[[#This Row],[VENDEDOR]],dimensiones!$C$21:$C$28,dimensiones!$D$21:$D$28,""))</f>
        <v>ATEL</v>
      </c>
      <c r="J531" s="125" t="str">
        <f>_xlfn.XLOOKUP(CARTERA_2026[[#This Row],[REGION]],dimensiones!C:C,dimensiones!D:D,"")</f>
        <v>Región de Antofagasta</v>
      </c>
    </row>
    <row r="532" spans="1:10" ht="14.25" customHeight="1" x14ac:dyDescent="0.25">
      <c r="A532" t="s">
        <v>666</v>
      </c>
      <c r="B532" t="s">
        <v>667</v>
      </c>
      <c r="C532" t="s">
        <v>4391</v>
      </c>
      <c r="D532">
        <v>13</v>
      </c>
      <c r="E532" t="s">
        <v>4445</v>
      </c>
      <c r="F532" t="s">
        <v>4135</v>
      </c>
      <c r="G532" t="s">
        <v>5571</v>
      </c>
      <c r="H532" t="s">
        <v>4957</v>
      </c>
      <c r="I532" s="79" t="str">
        <f>IF(CARTERA_2026[[#This Row],[RUT]]=774097899,"DIST",_xlfn.XLOOKUP(CARTERA_2026[[#This Row],[VENDEDOR]],dimensiones!$C$21:$C$28,dimensiones!$D$21:$D$28,""))</f>
        <v>ATEL</v>
      </c>
      <c r="J532" s="125" t="str">
        <f>_xlfn.XLOOKUP(CARTERA_2026[[#This Row],[REGION]],dimensiones!C:C,dimensiones!D:D,"")</f>
        <v>Región de Metropolitana de Santiago</v>
      </c>
    </row>
    <row r="533" spans="1:10" ht="14.25" customHeight="1" x14ac:dyDescent="0.25">
      <c r="A533" t="s">
        <v>668</v>
      </c>
      <c r="B533" t="s">
        <v>669</v>
      </c>
      <c r="C533" t="s">
        <v>4510</v>
      </c>
      <c r="D533">
        <v>13</v>
      </c>
      <c r="E533" t="s">
        <v>4445</v>
      </c>
      <c r="F533" t="s">
        <v>1579</v>
      </c>
      <c r="G533" t="s">
        <v>5572</v>
      </c>
      <c r="H533" t="s">
        <v>4957</v>
      </c>
      <c r="I533" s="79" t="str">
        <f>IF(CARTERA_2026[[#This Row],[RUT]]=774097899,"DIST",_xlfn.XLOOKUP(CARTERA_2026[[#This Row],[VENDEDOR]],dimensiones!$C$21:$C$28,dimensiones!$D$21:$D$28,""))</f>
        <v>ATEL</v>
      </c>
      <c r="J533" s="125" t="str">
        <f>_xlfn.XLOOKUP(CARTERA_2026[[#This Row],[REGION]],dimensiones!C:C,dimensiones!D:D,"")</f>
        <v>Región de Metropolitana de Santiago</v>
      </c>
    </row>
    <row r="534" spans="1:10" ht="14.25" customHeight="1" x14ac:dyDescent="0.25">
      <c r="A534">
        <v>650628438</v>
      </c>
      <c r="B534" t="s">
        <v>896</v>
      </c>
      <c r="C534" t="s">
        <v>4292</v>
      </c>
      <c r="D534">
        <v>10</v>
      </c>
      <c r="E534" t="s">
        <v>4445</v>
      </c>
      <c r="F534" t="s">
        <v>2021</v>
      </c>
      <c r="G534" t="s">
        <v>5571</v>
      </c>
      <c r="H534" t="s">
        <v>4957</v>
      </c>
      <c r="I534" s="79" t="str">
        <f>IF(CARTERA_2026[[#This Row],[RUT]]=774097899,"DIST",_xlfn.XLOOKUP(CARTERA_2026[[#This Row],[VENDEDOR]],dimensiones!$C$21:$C$28,dimensiones!$D$21:$D$28,""))</f>
        <v>ATEL</v>
      </c>
      <c r="J534" s="125" t="str">
        <f>_xlfn.XLOOKUP(CARTERA_2026[[#This Row],[REGION]],dimensiones!C:C,dimensiones!D:D,"")</f>
        <v>Región de Los Lagos</v>
      </c>
    </row>
    <row r="535" spans="1:10" ht="14.25" customHeight="1" x14ac:dyDescent="0.25">
      <c r="A535" t="s">
        <v>5735</v>
      </c>
      <c r="B535" t="s">
        <v>5736</v>
      </c>
      <c r="C535" t="s">
        <v>4364</v>
      </c>
      <c r="D535">
        <v>9</v>
      </c>
      <c r="E535" t="s">
        <v>4445</v>
      </c>
      <c r="F535" t="s">
        <v>5737</v>
      </c>
      <c r="G535" t="s">
        <v>5574</v>
      </c>
      <c r="H535" t="s">
        <v>4957</v>
      </c>
      <c r="I535" s="79" t="str">
        <f>IF(CARTERA_2026[[#This Row],[RUT]]=774097899,"DIST",_xlfn.XLOOKUP(CARTERA_2026[[#This Row],[VENDEDOR]],dimensiones!$C$21:$C$28,dimensiones!$D$21:$D$28,""))</f>
        <v>ATEL</v>
      </c>
      <c r="J535" s="125" t="str">
        <f>_xlfn.XLOOKUP(CARTERA_2026[[#This Row],[REGION]],dimensiones!C:C,dimensiones!D:D,"")</f>
        <v>Región de La Araucanía</v>
      </c>
    </row>
    <row r="536" spans="1:10" ht="14.25" customHeight="1" x14ac:dyDescent="0.25">
      <c r="A536">
        <v>650754859</v>
      </c>
      <c r="B536" t="s">
        <v>72</v>
      </c>
      <c r="C536" t="s">
        <v>4394</v>
      </c>
      <c r="D536">
        <v>13</v>
      </c>
      <c r="E536" t="s">
        <v>4453</v>
      </c>
      <c r="F536" t="s">
        <v>3651</v>
      </c>
      <c r="G536" t="s">
        <v>5572</v>
      </c>
      <c r="H536" t="s">
        <v>4957</v>
      </c>
      <c r="I536" s="79" t="str">
        <f>IF(CARTERA_2026[[#This Row],[RUT]]=774097899,"DIST",_xlfn.XLOOKUP(CARTERA_2026[[#This Row],[VENDEDOR]],dimensiones!$C$21:$C$28,dimensiones!$D$21:$D$28,""))</f>
        <v>SANT2</v>
      </c>
      <c r="J536" s="125" t="str">
        <f>_xlfn.XLOOKUP(CARTERA_2026[[#This Row],[REGION]],dimensiones!C:C,dimensiones!D:D,"")</f>
        <v>Región de Metropolitana de Santiago</v>
      </c>
    </row>
    <row r="537" spans="1:10" ht="14.25" customHeight="1" x14ac:dyDescent="0.25">
      <c r="A537">
        <v>650842200</v>
      </c>
      <c r="B537" t="s">
        <v>5453</v>
      </c>
      <c r="C537" t="s">
        <v>4470</v>
      </c>
      <c r="D537">
        <v>13</v>
      </c>
      <c r="E537" t="s">
        <v>4445</v>
      </c>
      <c r="F537" t="s">
        <v>5454</v>
      </c>
      <c r="G537" t="s">
        <v>5571</v>
      </c>
      <c r="H537" t="s">
        <v>4957</v>
      </c>
      <c r="I537" s="79" t="str">
        <f>IF(CARTERA_2026[[#This Row],[RUT]]=774097899,"DIST",_xlfn.XLOOKUP(CARTERA_2026[[#This Row],[VENDEDOR]],dimensiones!$C$21:$C$28,dimensiones!$D$21:$D$28,""))</f>
        <v>ATEL</v>
      </c>
      <c r="J537" s="125" t="str">
        <f>_xlfn.XLOOKUP(CARTERA_2026[[#This Row],[REGION]],dimensiones!C:C,dimensiones!D:D,"")</f>
        <v>Región de Metropolitana de Santiago</v>
      </c>
    </row>
    <row r="538" spans="1:10" ht="14.25" customHeight="1" x14ac:dyDescent="0.25">
      <c r="A538">
        <v>651278236</v>
      </c>
      <c r="B538" t="s">
        <v>5812</v>
      </c>
      <c r="C538" t="s">
        <v>4170</v>
      </c>
      <c r="D538">
        <v>14</v>
      </c>
      <c r="E538" t="s">
        <v>4445</v>
      </c>
      <c r="F538" t="s">
        <v>5813</v>
      </c>
      <c r="H538" t="s">
        <v>4957</v>
      </c>
      <c r="I538" s="79" t="str">
        <f>IF(CARTERA_2026[[#This Row],[RUT]]=774097899,"DIST",_xlfn.XLOOKUP(CARTERA_2026[[#This Row],[VENDEDOR]],dimensiones!$C$21:$C$28,dimensiones!$D$21:$D$28,""))</f>
        <v>ATEL</v>
      </c>
      <c r="J538" s="125" t="str">
        <f>_xlfn.XLOOKUP(CARTERA_2026[[#This Row],[REGION]],dimensiones!C:C,dimensiones!D:D,"")</f>
        <v>Región de Los Ríos</v>
      </c>
    </row>
    <row r="539" spans="1:10" ht="14.25" customHeight="1" x14ac:dyDescent="0.25">
      <c r="A539">
        <v>651389259</v>
      </c>
      <c r="B539" t="s">
        <v>1582</v>
      </c>
      <c r="C539" t="s">
        <v>4287</v>
      </c>
      <c r="D539">
        <v>13</v>
      </c>
      <c r="E539" t="s">
        <v>4445</v>
      </c>
      <c r="F539" t="s">
        <v>1581</v>
      </c>
      <c r="G539" t="s">
        <v>5570</v>
      </c>
      <c r="H539" t="s">
        <v>4915</v>
      </c>
      <c r="I539" s="79" t="str">
        <f>IF(CARTERA_2026[[#This Row],[RUT]]=774097899,"DIST",_xlfn.XLOOKUP(CARTERA_2026[[#This Row],[VENDEDOR]],dimensiones!$C$21:$C$28,dimensiones!$D$21:$D$28,""))</f>
        <v>ATEL</v>
      </c>
      <c r="J539" s="125" t="str">
        <f>_xlfn.XLOOKUP(CARTERA_2026[[#This Row],[REGION]],dimensiones!C:C,dimensiones!D:D,"")</f>
        <v>Región de Metropolitana de Santiago</v>
      </c>
    </row>
    <row r="540" spans="1:10" ht="14.25" customHeight="1" x14ac:dyDescent="0.25">
      <c r="A540">
        <v>651442796</v>
      </c>
      <c r="B540" t="s">
        <v>5509</v>
      </c>
      <c r="C540" t="s">
        <v>4170</v>
      </c>
      <c r="D540">
        <v>14</v>
      </c>
      <c r="E540" t="s">
        <v>4445</v>
      </c>
      <c r="F540" t="s">
        <v>5510</v>
      </c>
      <c r="G540" t="s">
        <v>5571</v>
      </c>
      <c r="H540" t="s">
        <v>4957</v>
      </c>
      <c r="I540" s="79" t="str">
        <f>IF(CARTERA_2026[[#This Row],[RUT]]=774097899,"DIST",_xlfn.XLOOKUP(CARTERA_2026[[#This Row],[VENDEDOR]],dimensiones!$C$21:$C$28,dimensiones!$D$21:$D$28,""))</f>
        <v>ATEL</v>
      </c>
      <c r="J540" s="125" t="str">
        <f>_xlfn.XLOOKUP(CARTERA_2026[[#This Row],[REGION]],dimensiones!C:C,dimensiones!D:D,"")</f>
        <v>Región de Los Ríos</v>
      </c>
    </row>
    <row r="541" spans="1:10" ht="14.25" customHeight="1" x14ac:dyDescent="0.25">
      <c r="A541">
        <v>651911257</v>
      </c>
      <c r="B541" t="s">
        <v>4916</v>
      </c>
      <c r="C541" t="s">
        <v>4552</v>
      </c>
      <c r="D541">
        <v>13</v>
      </c>
      <c r="E541" t="s">
        <v>4445</v>
      </c>
      <c r="F541" t="s">
        <v>4926</v>
      </c>
      <c r="G541" t="s">
        <v>5568</v>
      </c>
      <c r="H541" t="s">
        <v>4915</v>
      </c>
      <c r="I541" s="79" t="str">
        <f>IF(CARTERA_2026[[#This Row],[RUT]]=774097899,"DIST",_xlfn.XLOOKUP(CARTERA_2026[[#This Row],[VENDEDOR]],dimensiones!$C$21:$C$28,dimensiones!$D$21:$D$28,""))</f>
        <v>ATEL</v>
      </c>
      <c r="J541" s="125" t="str">
        <f>_xlfn.XLOOKUP(CARTERA_2026[[#This Row],[REGION]],dimensiones!C:C,dimensiones!D:D,"")</f>
        <v>Región de Metropolitana de Santiago</v>
      </c>
    </row>
    <row r="542" spans="1:10" ht="14.25" customHeight="1" x14ac:dyDescent="0.25">
      <c r="A542">
        <v>652243002</v>
      </c>
      <c r="B542" t="s">
        <v>1096</v>
      </c>
      <c r="C542" t="s">
        <v>4232</v>
      </c>
      <c r="D542">
        <v>11</v>
      </c>
      <c r="E542" t="s">
        <v>4445</v>
      </c>
      <c r="F542" t="s">
        <v>1294</v>
      </c>
      <c r="G542" t="s">
        <v>5572</v>
      </c>
      <c r="H542" t="s">
        <v>4957</v>
      </c>
      <c r="I542" s="79" t="str">
        <f>IF(CARTERA_2026[[#This Row],[RUT]]=774097899,"DIST",_xlfn.XLOOKUP(CARTERA_2026[[#This Row],[VENDEDOR]],dimensiones!$C$21:$C$28,dimensiones!$D$21:$D$28,""))</f>
        <v>ATEL</v>
      </c>
      <c r="J542" s="125" t="str">
        <f>_xlfn.XLOOKUP(CARTERA_2026[[#This Row],[REGION]],dimensiones!C:C,dimensiones!D:D,"")</f>
        <v>Región de Aysén del General Carlos Ibáñez del Campo</v>
      </c>
    </row>
    <row r="543" spans="1:10" ht="14.25" customHeight="1" x14ac:dyDescent="0.25">
      <c r="A543">
        <v>652286941</v>
      </c>
      <c r="B543" t="s">
        <v>4432</v>
      </c>
      <c r="C543" t="s">
        <v>4414</v>
      </c>
      <c r="D543">
        <v>1</v>
      </c>
      <c r="E543" t="s">
        <v>4453</v>
      </c>
      <c r="F543" t="s">
        <v>4513</v>
      </c>
      <c r="G543" t="s">
        <v>5572</v>
      </c>
      <c r="H543" t="s">
        <v>4957</v>
      </c>
      <c r="I543" s="79" t="str">
        <f>IF(CARTERA_2026[[#This Row],[RUT]]=774097899,"DIST",_xlfn.XLOOKUP(CARTERA_2026[[#This Row],[VENDEDOR]],dimensiones!$C$21:$C$28,dimensiones!$D$21:$D$28,""))</f>
        <v>SANT2</v>
      </c>
      <c r="J543" s="125" t="str">
        <f>_xlfn.XLOOKUP(CARTERA_2026[[#This Row],[REGION]],dimensiones!C:C,dimensiones!D:D,"")</f>
        <v>Región de Tarapacá</v>
      </c>
    </row>
    <row r="544" spans="1:10" ht="14.25" customHeight="1" x14ac:dyDescent="0.25">
      <c r="A544">
        <v>652569307</v>
      </c>
      <c r="B544" t="s">
        <v>5721</v>
      </c>
      <c r="C544" t="s">
        <v>4395</v>
      </c>
      <c r="D544">
        <v>13</v>
      </c>
      <c r="E544" t="s">
        <v>4445</v>
      </c>
      <c r="F544" t="s">
        <v>5722</v>
      </c>
      <c r="G544" t="s">
        <v>5571</v>
      </c>
      <c r="H544" t="s">
        <v>4957</v>
      </c>
      <c r="I544" s="79" t="str">
        <f>IF(CARTERA_2026[[#This Row],[RUT]]=774097899,"DIST",_xlfn.XLOOKUP(CARTERA_2026[[#This Row],[VENDEDOR]],dimensiones!$C$21:$C$28,dimensiones!$D$21:$D$28,""))</f>
        <v>ATEL</v>
      </c>
      <c r="J544" s="125" t="str">
        <f>_xlfn.XLOOKUP(CARTERA_2026[[#This Row],[REGION]],dimensiones!C:C,dimensiones!D:D,"")</f>
        <v>Región de Metropolitana de Santiago</v>
      </c>
    </row>
    <row r="545" spans="1:10" ht="14.25" customHeight="1" x14ac:dyDescent="0.25">
      <c r="A545">
        <v>652730205</v>
      </c>
      <c r="B545" t="s">
        <v>996</v>
      </c>
      <c r="C545" t="s">
        <v>4170</v>
      </c>
      <c r="D545">
        <v>14</v>
      </c>
      <c r="E545" t="s">
        <v>4445</v>
      </c>
      <c r="F545" t="s">
        <v>1586</v>
      </c>
      <c r="G545" t="s">
        <v>5572</v>
      </c>
      <c r="H545" t="s">
        <v>4957</v>
      </c>
      <c r="I545" s="79" t="str">
        <f>IF(CARTERA_2026[[#This Row],[RUT]]=774097899,"DIST",_xlfn.XLOOKUP(CARTERA_2026[[#This Row],[VENDEDOR]],dimensiones!$C$21:$C$28,dimensiones!$D$21:$D$28,""))</f>
        <v>ATEL</v>
      </c>
      <c r="J545" s="125" t="str">
        <f>_xlfn.XLOOKUP(CARTERA_2026[[#This Row],[REGION]],dimensiones!C:C,dimensiones!D:D,"")</f>
        <v>Región de Los Ríos</v>
      </c>
    </row>
    <row r="546" spans="1:10" ht="14.25" customHeight="1" x14ac:dyDescent="0.25">
      <c r="A546" t="s">
        <v>670</v>
      </c>
      <c r="B546" t="s">
        <v>671</v>
      </c>
      <c r="C546" t="s">
        <v>4460</v>
      </c>
      <c r="D546">
        <v>8</v>
      </c>
      <c r="E546" t="s">
        <v>4445</v>
      </c>
      <c r="F546" t="s">
        <v>1357</v>
      </c>
      <c r="G546" t="s">
        <v>5571</v>
      </c>
      <c r="H546" t="s">
        <v>4957</v>
      </c>
      <c r="I546" s="79" t="str">
        <f>IF(CARTERA_2026[[#This Row],[RUT]]=774097899,"DIST",_xlfn.XLOOKUP(CARTERA_2026[[#This Row],[VENDEDOR]],dimensiones!$C$21:$C$28,dimensiones!$D$21:$D$28,""))</f>
        <v>ATEL</v>
      </c>
      <c r="J546" s="125" t="str">
        <f>_xlfn.XLOOKUP(CARTERA_2026[[#This Row],[REGION]],dimensiones!C:C,dimensiones!D:D,"")</f>
        <v>Región de Biobío</v>
      </c>
    </row>
    <row r="547" spans="1:10" ht="14.25" customHeight="1" x14ac:dyDescent="0.25">
      <c r="A547">
        <v>653218907</v>
      </c>
      <c r="B547" t="s">
        <v>73</v>
      </c>
      <c r="C547" t="s">
        <v>4229</v>
      </c>
      <c r="D547">
        <v>10</v>
      </c>
      <c r="E547" t="s">
        <v>4454</v>
      </c>
      <c r="F547" t="s">
        <v>1675</v>
      </c>
      <c r="G547" t="s">
        <v>5575</v>
      </c>
      <c r="H547" t="s">
        <v>4957</v>
      </c>
      <c r="I547" s="79" t="str">
        <f>IF(CARTERA_2026[[#This Row],[RUT]]=774097899,"DIST",_xlfn.XLOOKUP(CARTERA_2026[[#This Row],[VENDEDOR]],dimensiones!$C$21:$C$28,dimensiones!$D$21:$D$28,""))</f>
        <v>SUR2</v>
      </c>
      <c r="J547" s="125" t="str">
        <f>_xlfn.XLOOKUP(CARTERA_2026[[#This Row],[REGION]],dimensiones!C:C,dimensiones!D:D,"")</f>
        <v>Región de Los Lagos</v>
      </c>
    </row>
    <row r="548" spans="1:10" ht="14.25" customHeight="1" x14ac:dyDescent="0.25">
      <c r="A548">
        <v>654536201</v>
      </c>
      <c r="B548" t="s">
        <v>74</v>
      </c>
      <c r="C548" t="s">
        <v>4459</v>
      </c>
      <c r="D548">
        <v>5</v>
      </c>
      <c r="E548" t="s">
        <v>2372</v>
      </c>
      <c r="F548" t="s">
        <v>1592</v>
      </c>
      <c r="G548" t="s">
        <v>5571</v>
      </c>
      <c r="H548" t="s">
        <v>4957</v>
      </c>
      <c r="I548" s="79" t="str">
        <f>IF(CARTERA_2026[[#This Row],[RUT]]=774097899,"DIST",_xlfn.XLOOKUP(CARTERA_2026[[#This Row],[VENDEDOR]],dimensiones!$C$21:$C$28,dimensiones!$D$21:$D$28,""))</f>
        <v>NOR1</v>
      </c>
      <c r="J548" s="125" t="str">
        <f>_xlfn.XLOOKUP(CARTERA_2026[[#This Row],[REGION]],dimensiones!C:C,dimensiones!D:D,"")</f>
        <v>Región de Valparaíso</v>
      </c>
    </row>
    <row r="549" spans="1:10" ht="14.25" customHeight="1" x14ac:dyDescent="0.25">
      <c r="A549">
        <v>654787603</v>
      </c>
      <c r="B549" t="s">
        <v>4434</v>
      </c>
      <c r="C549" t="s">
        <v>4515</v>
      </c>
      <c r="D549">
        <v>8</v>
      </c>
      <c r="E549" t="s">
        <v>4445</v>
      </c>
      <c r="F549" t="s">
        <v>4514</v>
      </c>
      <c r="G549" t="s">
        <v>5575</v>
      </c>
      <c r="H549" t="s">
        <v>4957</v>
      </c>
      <c r="I549" s="79" t="str">
        <f>IF(CARTERA_2026[[#This Row],[RUT]]=774097899,"DIST",_xlfn.XLOOKUP(CARTERA_2026[[#This Row],[VENDEDOR]],dimensiones!$C$21:$C$28,dimensiones!$D$21:$D$28,""))</f>
        <v>ATEL</v>
      </c>
      <c r="J549" s="125" t="str">
        <f>_xlfn.XLOOKUP(CARTERA_2026[[#This Row],[REGION]],dimensiones!C:C,dimensiones!D:D,"")</f>
        <v>Región de Biobío</v>
      </c>
    </row>
    <row r="550" spans="1:10" ht="14.25" customHeight="1" x14ac:dyDescent="0.25">
      <c r="A550">
        <v>65624508</v>
      </c>
      <c r="B550" t="s">
        <v>5429</v>
      </c>
      <c r="C550" t="s">
        <v>4170</v>
      </c>
      <c r="D550">
        <v>14</v>
      </c>
      <c r="E550" t="s">
        <v>4445</v>
      </c>
      <c r="F550" t="s">
        <v>5430</v>
      </c>
      <c r="G550" t="s">
        <v>5568</v>
      </c>
      <c r="H550" t="s">
        <v>4915</v>
      </c>
      <c r="I550" s="79" t="str">
        <f>IF(CARTERA_2026[[#This Row],[RUT]]=774097899,"DIST",_xlfn.XLOOKUP(CARTERA_2026[[#This Row],[VENDEDOR]],dimensiones!$C$21:$C$28,dimensiones!$D$21:$D$28,""))</f>
        <v>ATEL</v>
      </c>
      <c r="J550" s="125" t="str">
        <f>_xlfn.XLOOKUP(CARTERA_2026[[#This Row],[REGION]],dimensiones!C:C,dimensiones!D:D,"")</f>
        <v>Región de Los Ríos</v>
      </c>
    </row>
    <row r="551" spans="1:10" ht="14.25" customHeight="1" x14ac:dyDescent="0.25">
      <c r="A551">
        <v>656371900</v>
      </c>
      <c r="B551" t="s">
        <v>279</v>
      </c>
      <c r="C551" t="s">
        <v>4409</v>
      </c>
      <c r="D551">
        <v>13</v>
      </c>
      <c r="E551" t="s">
        <v>4445</v>
      </c>
      <c r="F551" t="s">
        <v>1312</v>
      </c>
      <c r="G551" t="s">
        <v>5573</v>
      </c>
      <c r="H551" t="s">
        <v>4915</v>
      </c>
      <c r="I551" s="79" t="str">
        <f>IF(CARTERA_2026[[#This Row],[RUT]]=774097899,"DIST",_xlfn.XLOOKUP(CARTERA_2026[[#This Row],[VENDEDOR]],dimensiones!$C$21:$C$28,dimensiones!$D$21:$D$28,""))</f>
        <v>ATEL</v>
      </c>
      <c r="J551" s="125" t="str">
        <f>_xlfn.XLOOKUP(CARTERA_2026[[#This Row],[REGION]],dimensiones!C:C,dimensiones!D:D,"")</f>
        <v>Región de Metropolitana de Santiago</v>
      </c>
    </row>
    <row r="552" spans="1:10" ht="14.25" customHeight="1" x14ac:dyDescent="0.25">
      <c r="A552">
        <v>658811509</v>
      </c>
      <c r="B552" t="s">
        <v>5590</v>
      </c>
      <c r="C552" t="s">
        <v>4465</v>
      </c>
      <c r="D552">
        <v>13</v>
      </c>
      <c r="E552" t="s">
        <v>4445</v>
      </c>
      <c r="F552" t="s">
        <v>5591</v>
      </c>
      <c r="G552" t="s">
        <v>5570</v>
      </c>
      <c r="H552" t="s">
        <v>4915</v>
      </c>
      <c r="I552" s="79" t="str">
        <f>IF(CARTERA_2026[[#This Row],[RUT]]=774097899,"DIST",_xlfn.XLOOKUP(CARTERA_2026[[#This Row],[VENDEDOR]],dimensiones!$C$21:$C$28,dimensiones!$D$21:$D$28,""))</f>
        <v>ATEL</v>
      </c>
      <c r="J552" s="125" t="str">
        <f>_xlfn.XLOOKUP(CARTERA_2026[[#This Row],[REGION]],dimensiones!C:C,dimensiones!D:D,"")</f>
        <v>Región de Metropolitana de Santiago</v>
      </c>
    </row>
    <row r="553" spans="1:10" ht="14.25" customHeight="1" x14ac:dyDescent="0.25">
      <c r="A553">
        <v>676078003</v>
      </c>
      <c r="B553" t="s">
        <v>958</v>
      </c>
      <c r="C553" t="s">
        <v>4233</v>
      </c>
      <c r="D553">
        <v>11</v>
      </c>
      <c r="E553" t="s">
        <v>4445</v>
      </c>
      <c r="F553" t="s">
        <v>1596</v>
      </c>
      <c r="G553" t="s">
        <v>5571</v>
      </c>
      <c r="H553" t="s">
        <v>4957</v>
      </c>
      <c r="I553" s="79" t="str">
        <f>IF(CARTERA_2026[[#This Row],[RUT]]=774097899,"DIST",_xlfn.XLOOKUP(CARTERA_2026[[#This Row],[VENDEDOR]],dimensiones!$C$21:$C$28,dimensiones!$D$21:$D$28,""))</f>
        <v>ATEL</v>
      </c>
      <c r="J553" s="125" t="str">
        <f>_xlfn.XLOOKUP(CARTERA_2026[[#This Row],[REGION]],dimensiones!C:C,dimensiones!D:D,"")</f>
        <v>Región de Aysén del General Carlos Ibáñez del Campo</v>
      </c>
    </row>
    <row r="554" spans="1:10" ht="14.25" customHeight="1" x14ac:dyDescent="0.25">
      <c r="A554">
        <v>690101009</v>
      </c>
      <c r="B554" t="s">
        <v>280</v>
      </c>
      <c r="C554" t="s">
        <v>4181</v>
      </c>
      <c r="D554">
        <v>15</v>
      </c>
      <c r="E554" t="s">
        <v>4445</v>
      </c>
      <c r="F554" t="s">
        <v>1977</v>
      </c>
      <c r="G554" t="s">
        <v>5575</v>
      </c>
      <c r="H554" t="s">
        <v>4957</v>
      </c>
      <c r="I554" s="79" t="str">
        <f>IF(CARTERA_2026[[#This Row],[RUT]]=774097899,"DIST",_xlfn.XLOOKUP(CARTERA_2026[[#This Row],[VENDEDOR]],dimensiones!$C$21:$C$28,dimensiones!$D$21:$D$28,""))</f>
        <v>ATEL</v>
      </c>
      <c r="J554" s="125" t="str">
        <f>_xlfn.XLOOKUP(CARTERA_2026[[#This Row],[REGION]],dimensiones!C:C,dimensiones!D:D,"")</f>
        <v>Región de Arica y Parinacota</v>
      </c>
    </row>
    <row r="555" spans="1:10" ht="14.25" customHeight="1" x14ac:dyDescent="0.25">
      <c r="A555">
        <v>690102005</v>
      </c>
      <c r="B555" t="s">
        <v>281</v>
      </c>
      <c r="C555" t="s">
        <v>4298</v>
      </c>
      <c r="D555">
        <v>1</v>
      </c>
      <c r="E555" t="s">
        <v>4445</v>
      </c>
      <c r="F555" t="s">
        <v>1600</v>
      </c>
      <c r="G555" t="s">
        <v>5575</v>
      </c>
      <c r="H555" t="s">
        <v>4957</v>
      </c>
      <c r="I555" s="79" t="str">
        <f>IF(CARTERA_2026[[#This Row],[RUT]]=774097899,"DIST",_xlfn.XLOOKUP(CARTERA_2026[[#This Row],[VENDEDOR]],dimensiones!$C$21:$C$28,dimensiones!$D$21:$D$28,""))</f>
        <v>ATEL</v>
      </c>
      <c r="J555" s="125" t="str">
        <f>_xlfn.XLOOKUP(CARTERA_2026[[#This Row],[REGION]],dimensiones!C:C,dimensiones!D:D,"")</f>
        <v>Región de Tarapacá</v>
      </c>
    </row>
    <row r="556" spans="1:10" ht="14.25" customHeight="1" x14ac:dyDescent="0.25">
      <c r="A556">
        <v>690103001</v>
      </c>
      <c r="B556" t="s">
        <v>1037</v>
      </c>
      <c r="C556" t="s">
        <v>4186</v>
      </c>
      <c r="D556">
        <v>1</v>
      </c>
      <c r="E556" t="s">
        <v>4453</v>
      </c>
      <c r="F556" t="s">
        <v>2199</v>
      </c>
      <c r="G556" t="s">
        <v>5575</v>
      </c>
      <c r="H556" t="s">
        <v>4957</v>
      </c>
      <c r="I556" s="79" t="str">
        <f>IF(CARTERA_2026[[#This Row],[RUT]]=774097899,"DIST",_xlfn.XLOOKUP(CARTERA_2026[[#This Row],[VENDEDOR]],dimensiones!$C$21:$C$28,dimensiones!$D$21:$D$28,""))</f>
        <v>SANT2</v>
      </c>
      <c r="J556" s="125" t="str">
        <f>_xlfn.XLOOKUP(CARTERA_2026[[#This Row],[REGION]],dimensiones!C:C,dimensiones!D:D,"")</f>
        <v>Región de Tarapacá</v>
      </c>
    </row>
    <row r="557" spans="1:10" ht="14.25" customHeight="1" x14ac:dyDescent="0.25">
      <c r="A557">
        <v>690104008</v>
      </c>
      <c r="B557" t="s">
        <v>982</v>
      </c>
      <c r="C557" t="s">
        <v>4403</v>
      </c>
      <c r="D557">
        <v>1</v>
      </c>
      <c r="E557" t="s">
        <v>4445</v>
      </c>
      <c r="F557" t="s">
        <v>1819</v>
      </c>
      <c r="G557" t="s">
        <v>5575</v>
      </c>
      <c r="H557" t="s">
        <v>4957</v>
      </c>
      <c r="I557" s="79" t="str">
        <f>IF(CARTERA_2026[[#This Row],[RUT]]=774097899,"DIST",_xlfn.XLOOKUP(CARTERA_2026[[#This Row],[VENDEDOR]],dimensiones!$C$21:$C$28,dimensiones!$D$21:$D$28,""))</f>
        <v>ATEL</v>
      </c>
      <c r="J557" s="125" t="str">
        <f>_xlfn.XLOOKUP(CARTERA_2026[[#This Row],[REGION]],dimensiones!C:C,dimensiones!D:D,"")</f>
        <v>Región de Tarapacá</v>
      </c>
    </row>
    <row r="558" spans="1:10" ht="14.25" customHeight="1" x14ac:dyDescent="0.25">
      <c r="A558" t="s">
        <v>997</v>
      </c>
      <c r="B558" t="s">
        <v>993</v>
      </c>
      <c r="C558" t="s">
        <v>4237</v>
      </c>
      <c r="D558">
        <v>2</v>
      </c>
      <c r="E558" t="s">
        <v>4445</v>
      </c>
      <c r="F558" t="s">
        <v>1606</v>
      </c>
      <c r="G558" t="s">
        <v>5575</v>
      </c>
      <c r="H558" t="s">
        <v>4957</v>
      </c>
      <c r="I558" s="79" t="str">
        <f>IF(CARTERA_2026[[#This Row],[RUT]]=774097899,"DIST",_xlfn.XLOOKUP(CARTERA_2026[[#This Row],[VENDEDOR]],dimensiones!$C$21:$C$28,dimensiones!$D$21:$D$28,""))</f>
        <v>ATEL</v>
      </c>
      <c r="J558" s="125" t="str">
        <f>_xlfn.XLOOKUP(CARTERA_2026[[#This Row],[REGION]],dimensiones!C:C,dimensiones!D:D,"")</f>
        <v>Región de Antofagasta</v>
      </c>
    </row>
    <row r="559" spans="1:10" ht="14.25" customHeight="1" x14ac:dyDescent="0.25">
      <c r="A559">
        <v>690301008</v>
      </c>
      <c r="B559" t="s">
        <v>282</v>
      </c>
      <c r="C559" t="s">
        <v>4182</v>
      </c>
      <c r="D559">
        <v>2</v>
      </c>
      <c r="E559" t="s">
        <v>4445</v>
      </c>
      <c r="F559" t="s">
        <v>1608</v>
      </c>
      <c r="G559" t="s">
        <v>5575</v>
      </c>
      <c r="H559" t="s">
        <v>4957</v>
      </c>
      <c r="I559" s="79" t="str">
        <f>IF(CARTERA_2026[[#This Row],[RUT]]=774097899,"DIST",_xlfn.XLOOKUP(CARTERA_2026[[#This Row],[VENDEDOR]],dimensiones!$C$21:$C$28,dimensiones!$D$21:$D$28,""))</f>
        <v>ATEL</v>
      </c>
      <c r="J559" s="125" t="str">
        <f>_xlfn.XLOOKUP(CARTERA_2026[[#This Row],[REGION]],dimensiones!C:C,dimensiones!D:D,"")</f>
        <v>Región de Antofagasta</v>
      </c>
    </row>
    <row r="560" spans="1:10" ht="14.25" customHeight="1" x14ac:dyDescent="0.25">
      <c r="A560">
        <v>690302004</v>
      </c>
      <c r="B560" t="s">
        <v>283</v>
      </c>
      <c r="C560" t="s">
        <v>4466</v>
      </c>
      <c r="D560">
        <v>3</v>
      </c>
      <c r="E560" t="s">
        <v>4445</v>
      </c>
      <c r="F560" t="s">
        <v>1470</v>
      </c>
      <c r="G560" t="s">
        <v>5575</v>
      </c>
      <c r="H560" t="s">
        <v>4957</v>
      </c>
      <c r="I560" s="79" t="str">
        <f>IF(CARTERA_2026[[#This Row],[RUT]]=774097899,"DIST",_xlfn.XLOOKUP(CARTERA_2026[[#This Row],[VENDEDOR]],dimensiones!$C$21:$C$28,dimensiones!$D$21:$D$28,""))</f>
        <v>ATEL</v>
      </c>
      <c r="J560" s="125" t="str">
        <f>_xlfn.XLOOKUP(CARTERA_2026[[#This Row],[REGION]],dimensiones!C:C,dimensiones!D:D,"")</f>
        <v>Región de Atacama</v>
      </c>
    </row>
    <row r="561" spans="1:10" ht="14.25" customHeight="1" x14ac:dyDescent="0.25">
      <c r="A561">
        <v>690303000</v>
      </c>
      <c r="B561" t="s">
        <v>284</v>
      </c>
      <c r="C561" t="s">
        <v>4299</v>
      </c>
      <c r="D561">
        <v>3</v>
      </c>
      <c r="E561" t="s">
        <v>4445</v>
      </c>
      <c r="F561" t="s">
        <v>1895</v>
      </c>
      <c r="G561" t="s">
        <v>5575</v>
      </c>
      <c r="H561" t="s">
        <v>4957</v>
      </c>
      <c r="I561" s="79" t="str">
        <f>IF(CARTERA_2026[[#This Row],[RUT]]=774097899,"DIST",_xlfn.XLOOKUP(CARTERA_2026[[#This Row],[VENDEDOR]],dimensiones!$C$21:$C$28,dimensiones!$D$21:$D$28,""))</f>
        <v>ATEL</v>
      </c>
      <c r="J561" s="125" t="str">
        <f>_xlfn.XLOOKUP(CARTERA_2026[[#This Row],[REGION]],dimensiones!C:C,dimensiones!D:D,"")</f>
        <v>Región de Atacama</v>
      </c>
    </row>
    <row r="562" spans="1:10" ht="14.25" customHeight="1" x14ac:dyDescent="0.25">
      <c r="A562">
        <v>690304007</v>
      </c>
      <c r="B562" t="s">
        <v>285</v>
      </c>
      <c r="C562" t="s">
        <v>4300</v>
      </c>
      <c r="D562">
        <v>3</v>
      </c>
      <c r="E562" t="s">
        <v>4445</v>
      </c>
      <c r="F562" t="s">
        <v>1614</v>
      </c>
      <c r="G562" t="s">
        <v>5575</v>
      </c>
      <c r="H562" t="s">
        <v>4957</v>
      </c>
      <c r="I562" s="79" t="str">
        <f>IF(CARTERA_2026[[#This Row],[RUT]]=774097899,"DIST",_xlfn.XLOOKUP(CARTERA_2026[[#This Row],[VENDEDOR]],dimensiones!$C$21:$C$28,dimensiones!$D$21:$D$28,""))</f>
        <v>ATEL</v>
      </c>
      <c r="J562" s="125" t="str">
        <f>_xlfn.XLOOKUP(CARTERA_2026[[#This Row],[REGION]],dimensiones!C:C,dimensiones!D:D,"")</f>
        <v>Región de Atacama</v>
      </c>
    </row>
    <row r="563" spans="1:10" ht="14.25" customHeight="1" x14ac:dyDescent="0.25">
      <c r="A563">
        <v>690305003</v>
      </c>
      <c r="B563" t="s">
        <v>286</v>
      </c>
      <c r="C563" t="s">
        <v>4241</v>
      </c>
      <c r="D563">
        <v>3</v>
      </c>
      <c r="E563" t="s">
        <v>4445</v>
      </c>
      <c r="F563" t="s">
        <v>1803</v>
      </c>
      <c r="G563" t="s">
        <v>5575</v>
      </c>
      <c r="H563" t="s">
        <v>4957</v>
      </c>
      <c r="I563" s="79" t="str">
        <f>IF(CARTERA_2026[[#This Row],[RUT]]=774097899,"DIST",_xlfn.XLOOKUP(CARTERA_2026[[#This Row],[VENDEDOR]],dimensiones!$C$21:$C$28,dimensiones!$D$21:$D$28,""))</f>
        <v>ATEL</v>
      </c>
      <c r="J563" s="125" t="str">
        <f>_xlfn.XLOOKUP(CARTERA_2026[[#This Row],[REGION]],dimensiones!C:C,dimensiones!D:D,"")</f>
        <v>Región de Atacama</v>
      </c>
    </row>
    <row r="564" spans="1:10" ht="14.25" customHeight="1" x14ac:dyDescent="0.25">
      <c r="A564" t="s">
        <v>672</v>
      </c>
      <c r="B564" t="s">
        <v>673</v>
      </c>
      <c r="C564" t="s">
        <v>4301</v>
      </c>
      <c r="D564">
        <v>3</v>
      </c>
      <c r="E564" t="s">
        <v>4445</v>
      </c>
      <c r="F564" t="s">
        <v>1618</v>
      </c>
      <c r="G564" t="s">
        <v>5575</v>
      </c>
      <c r="H564" t="s">
        <v>4957</v>
      </c>
      <c r="I564" s="79" t="str">
        <f>IF(CARTERA_2026[[#This Row],[RUT]]=774097899,"DIST",_xlfn.XLOOKUP(CARTERA_2026[[#This Row],[VENDEDOR]],dimensiones!$C$21:$C$28,dimensiones!$D$21:$D$28,""))</f>
        <v>ATEL</v>
      </c>
      <c r="J564" s="125" t="str">
        <f>_xlfn.XLOOKUP(CARTERA_2026[[#This Row],[REGION]],dimensiones!C:C,dimensiones!D:D,"")</f>
        <v>Región de Atacama</v>
      </c>
    </row>
    <row r="565" spans="1:10" ht="14.25" customHeight="1" x14ac:dyDescent="0.25">
      <c r="A565">
        <v>690307006</v>
      </c>
      <c r="B565" t="s">
        <v>5627</v>
      </c>
      <c r="C565" t="s">
        <v>4396</v>
      </c>
      <c r="D565">
        <v>3</v>
      </c>
      <c r="E565" t="s">
        <v>4445</v>
      </c>
      <c r="F565" t="s">
        <v>5628</v>
      </c>
      <c r="G565" t="s">
        <v>5575</v>
      </c>
      <c r="H565" t="s">
        <v>4957</v>
      </c>
      <c r="I565" s="79" t="str">
        <f>IF(CARTERA_2026[[#This Row],[RUT]]=774097899,"DIST",_xlfn.XLOOKUP(CARTERA_2026[[#This Row],[VENDEDOR]],dimensiones!$C$21:$C$28,dimensiones!$D$21:$D$28,""))</f>
        <v>ATEL</v>
      </c>
      <c r="J565" s="125" t="str">
        <f>_xlfn.XLOOKUP(CARTERA_2026[[#This Row],[REGION]],dimensiones!C:C,dimensiones!D:D,"")</f>
        <v>Región de Atacama</v>
      </c>
    </row>
    <row r="566" spans="1:10" ht="14.25" customHeight="1" x14ac:dyDescent="0.25">
      <c r="A566">
        <v>690401002</v>
      </c>
      <c r="B566" t="s">
        <v>1621</v>
      </c>
      <c r="C566" t="s">
        <v>4171</v>
      </c>
      <c r="D566">
        <v>4</v>
      </c>
      <c r="E566" t="s">
        <v>4445</v>
      </c>
      <c r="F566" t="s">
        <v>1620</v>
      </c>
      <c r="G566" t="s">
        <v>5575</v>
      </c>
      <c r="H566" t="s">
        <v>4915</v>
      </c>
      <c r="I566" s="79" t="str">
        <f>IF(CARTERA_2026[[#This Row],[RUT]]=774097899,"DIST",_xlfn.XLOOKUP(CARTERA_2026[[#This Row],[VENDEDOR]],dimensiones!$C$21:$C$28,dimensiones!$D$21:$D$28,""))</f>
        <v>ATEL</v>
      </c>
      <c r="J566" s="125" t="str">
        <f>_xlfn.XLOOKUP(CARTERA_2026[[#This Row],[REGION]],dimensiones!C:C,dimensiones!D:D,"")</f>
        <v>Región de Coquimbo</v>
      </c>
    </row>
    <row r="567" spans="1:10" ht="14.25" customHeight="1" x14ac:dyDescent="0.25">
      <c r="A567">
        <v>690402009</v>
      </c>
      <c r="B567" t="s">
        <v>4517</v>
      </c>
      <c r="C567" t="s">
        <v>4518</v>
      </c>
      <c r="D567">
        <v>4</v>
      </c>
      <c r="E567" t="s">
        <v>4445</v>
      </c>
      <c r="F567" t="s">
        <v>4516</v>
      </c>
      <c r="G567" t="s">
        <v>5575</v>
      </c>
      <c r="H567" t="s">
        <v>4957</v>
      </c>
      <c r="I567" s="79" t="str">
        <f>IF(CARTERA_2026[[#This Row],[RUT]]=774097899,"DIST",_xlfn.XLOOKUP(CARTERA_2026[[#This Row],[VENDEDOR]],dimensiones!$C$21:$C$28,dimensiones!$D$21:$D$28,""))</f>
        <v>ATEL</v>
      </c>
      <c r="J567" s="125" t="str">
        <f>_xlfn.XLOOKUP(CARTERA_2026[[#This Row],[REGION]],dimensiones!C:C,dimensiones!D:D,"")</f>
        <v>Región de Coquimbo</v>
      </c>
    </row>
    <row r="568" spans="1:10" ht="14.25" customHeight="1" x14ac:dyDescent="0.25">
      <c r="A568">
        <v>690403005</v>
      </c>
      <c r="B568" t="s">
        <v>75</v>
      </c>
      <c r="C568" t="s">
        <v>4245</v>
      </c>
      <c r="D568">
        <v>4</v>
      </c>
      <c r="E568" t="s">
        <v>2372</v>
      </c>
      <c r="F568" t="s">
        <v>1612</v>
      </c>
      <c r="G568" t="s">
        <v>5575</v>
      </c>
      <c r="H568" t="s">
        <v>4957</v>
      </c>
      <c r="I568" s="79" t="str">
        <f>IF(CARTERA_2026[[#This Row],[RUT]]=774097899,"DIST",_xlfn.XLOOKUP(CARTERA_2026[[#This Row],[VENDEDOR]],dimensiones!$C$21:$C$28,dimensiones!$D$21:$D$28,""))</f>
        <v>NOR1</v>
      </c>
      <c r="J568" s="125" t="str">
        <f>_xlfn.XLOOKUP(CARTERA_2026[[#This Row],[REGION]],dimensiones!C:C,dimensiones!D:D,"")</f>
        <v>Región de Coquimbo</v>
      </c>
    </row>
    <row r="569" spans="1:10" ht="14.25" customHeight="1" x14ac:dyDescent="0.25">
      <c r="A569">
        <v>690405008</v>
      </c>
      <c r="B569" t="s">
        <v>1031</v>
      </c>
      <c r="C569" t="s">
        <v>4244</v>
      </c>
      <c r="D569">
        <v>4</v>
      </c>
      <c r="E569" t="s">
        <v>4445</v>
      </c>
      <c r="F569" t="s">
        <v>1625</v>
      </c>
      <c r="G569" t="s">
        <v>5575</v>
      </c>
      <c r="H569" t="s">
        <v>4957</v>
      </c>
      <c r="I569" s="79" t="str">
        <f>IF(CARTERA_2026[[#This Row],[RUT]]=774097899,"DIST",_xlfn.XLOOKUP(CARTERA_2026[[#This Row],[VENDEDOR]],dimensiones!$C$21:$C$28,dimensiones!$D$21:$D$28,""))</f>
        <v>ATEL</v>
      </c>
      <c r="J569" s="125" t="str">
        <f>_xlfn.XLOOKUP(CARTERA_2026[[#This Row],[REGION]],dimensiones!C:C,dimensiones!D:D,"")</f>
        <v>Región de Coquimbo</v>
      </c>
    </row>
    <row r="570" spans="1:10" ht="14.25" customHeight="1" x14ac:dyDescent="0.25">
      <c r="A570">
        <v>690406004</v>
      </c>
      <c r="B570" t="s">
        <v>897</v>
      </c>
      <c r="C570" t="s">
        <v>4302</v>
      </c>
      <c r="D570">
        <v>4</v>
      </c>
      <c r="E570" t="s">
        <v>4445</v>
      </c>
      <c r="F570" t="s">
        <v>1588</v>
      </c>
      <c r="G570" t="s">
        <v>5575</v>
      </c>
      <c r="H570" t="s">
        <v>4957</v>
      </c>
      <c r="I570" s="79" t="str">
        <f>IF(CARTERA_2026[[#This Row],[RUT]]=774097899,"DIST",_xlfn.XLOOKUP(CARTERA_2026[[#This Row],[VENDEDOR]],dimensiones!$C$21:$C$28,dimensiones!$D$21:$D$28,""))</f>
        <v>ATEL</v>
      </c>
      <c r="J570" s="125" t="str">
        <f>_xlfn.XLOOKUP(CARTERA_2026[[#This Row],[REGION]],dimensiones!C:C,dimensiones!D:D,"")</f>
        <v>Región de Coquimbo</v>
      </c>
    </row>
    <row r="571" spans="1:10" ht="14.25" customHeight="1" x14ac:dyDescent="0.25">
      <c r="A571">
        <v>690407000</v>
      </c>
      <c r="B571" t="s">
        <v>76</v>
      </c>
      <c r="C571" t="s">
        <v>4397</v>
      </c>
      <c r="D571">
        <v>4</v>
      </c>
      <c r="E571" t="s">
        <v>2372</v>
      </c>
      <c r="F571" t="s">
        <v>3077</v>
      </c>
      <c r="G571" t="s">
        <v>5575</v>
      </c>
      <c r="H571" t="s">
        <v>4957</v>
      </c>
      <c r="I571" s="79" t="str">
        <f>IF(CARTERA_2026[[#This Row],[RUT]]=774097899,"DIST",_xlfn.XLOOKUP(CARTERA_2026[[#This Row],[VENDEDOR]],dimensiones!$C$21:$C$28,dimensiones!$D$21:$D$28,""))</f>
        <v>NOR1</v>
      </c>
      <c r="J571" s="125" t="str">
        <f>_xlfn.XLOOKUP(CARTERA_2026[[#This Row],[REGION]],dimensiones!C:C,dimensiones!D:D,"")</f>
        <v>Región de Coquimbo</v>
      </c>
    </row>
    <row r="572" spans="1:10" ht="14.25" customHeight="1" x14ac:dyDescent="0.25">
      <c r="A572">
        <v>690408007</v>
      </c>
      <c r="B572" t="s">
        <v>287</v>
      </c>
      <c r="C572" t="s">
        <v>4303</v>
      </c>
      <c r="D572">
        <v>4</v>
      </c>
      <c r="E572" t="s">
        <v>4445</v>
      </c>
      <c r="F572" t="s">
        <v>1631</v>
      </c>
      <c r="G572" t="s">
        <v>5575</v>
      </c>
      <c r="H572" t="s">
        <v>4957</v>
      </c>
      <c r="I572" s="79" t="str">
        <f>IF(CARTERA_2026[[#This Row],[RUT]]=774097899,"DIST",_xlfn.XLOOKUP(CARTERA_2026[[#This Row],[VENDEDOR]],dimensiones!$C$21:$C$28,dimensiones!$D$21:$D$28,""))</f>
        <v>ATEL</v>
      </c>
      <c r="J572" s="125" t="str">
        <f>_xlfn.XLOOKUP(CARTERA_2026[[#This Row],[REGION]],dimensiones!C:C,dimensiones!D:D,"")</f>
        <v>Región de Coquimbo</v>
      </c>
    </row>
    <row r="573" spans="1:10" ht="14.25" customHeight="1" x14ac:dyDescent="0.25">
      <c r="A573">
        <v>690409003</v>
      </c>
      <c r="B573" t="s">
        <v>288</v>
      </c>
      <c r="C573" t="s">
        <v>4304</v>
      </c>
      <c r="D573">
        <v>4</v>
      </c>
      <c r="E573" t="s">
        <v>4445</v>
      </c>
      <c r="F573" t="s">
        <v>1633</v>
      </c>
      <c r="G573" t="s">
        <v>5575</v>
      </c>
      <c r="H573" t="s">
        <v>4957</v>
      </c>
      <c r="I573" s="79" t="str">
        <f>IF(CARTERA_2026[[#This Row],[RUT]]=774097899,"DIST",_xlfn.XLOOKUP(CARTERA_2026[[#This Row],[VENDEDOR]],dimensiones!$C$21:$C$28,dimensiones!$D$21:$D$28,""))</f>
        <v>ATEL</v>
      </c>
      <c r="J573" s="125" t="str">
        <f>_xlfn.XLOOKUP(CARTERA_2026[[#This Row],[REGION]],dimensiones!C:C,dimensiones!D:D,"")</f>
        <v>Región de Coquimbo</v>
      </c>
    </row>
    <row r="574" spans="1:10" ht="14.25" customHeight="1" x14ac:dyDescent="0.25">
      <c r="A574">
        <v>690410001</v>
      </c>
      <c r="B574" t="s">
        <v>784</v>
      </c>
      <c r="C574" t="s">
        <v>4519</v>
      </c>
      <c r="D574">
        <v>4</v>
      </c>
      <c r="E574" t="s">
        <v>4445</v>
      </c>
      <c r="F574" t="s">
        <v>1635</v>
      </c>
      <c r="G574" t="s">
        <v>5575</v>
      </c>
      <c r="H574" t="s">
        <v>4957</v>
      </c>
      <c r="I574" s="79" t="str">
        <f>IF(CARTERA_2026[[#This Row],[RUT]]=774097899,"DIST",_xlfn.XLOOKUP(CARTERA_2026[[#This Row],[VENDEDOR]],dimensiones!$C$21:$C$28,dimensiones!$D$21:$D$28,""))</f>
        <v>ATEL</v>
      </c>
      <c r="J574" s="125" t="str">
        <f>_xlfn.XLOOKUP(CARTERA_2026[[#This Row],[REGION]],dimensiones!C:C,dimensiones!D:D,"")</f>
        <v>Región de Coquimbo</v>
      </c>
    </row>
    <row r="575" spans="1:10" ht="14.25" customHeight="1" x14ac:dyDescent="0.25">
      <c r="A575">
        <v>690411008</v>
      </c>
      <c r="B575" t="s">
        <v>289</v>
      </c>
      <c r="C575" t="s">
        <v>4489</v>
      </c>
      <c r="D575">
        <v>4</v>
      </c>
      <c r="E575" t="s">
        <v>4445</v>
      </c>
      <c r="F575" t="s">
        <v>1213</v>
      </c>
      <c r="G575" t="s">
        <v>5575</v>
      </c>
      <c r="H575" t="s">
        <v>4957</v>
      </c>
      <c r="I575" s="79" t="str">
        <f>IF(CARTERA_2026[[#This Row],[RUT]]=774097899,"DIST",_xlfn.XLOOKUP(CARTERA_2026[[#This Row],[VENDEDOR]],dimensiones!$C$21:$C$28,dimensiones!$D$21:$D$28,""))</f>
        <v>ATEL</v>
      </c>
      <c r="J575" s="125" t="str">
        <f>_xlfn.XLOOKUP(CARTERA_2026[[#This Row],[REGION]],dimensiones!C:C,dimensiones!D:D,"")</f>
        <v>Región de Coquimbo</v>
      </c>
    </row>
    <row r="576" spans="1:10" ht="14.25" customHeight="1" x14ac:dyDescent="0.25">
      <c r="A576">
        <v>690412004</v>
      </c>
      <c r="B576" t="s">
        <v>290</v>
      </c>
      <c r="C576" t="s">
        <v>4398</v>
      </c>
      <c r="D576">
        <v>4</v>
      </c>
      <c r="E576" t="s">
        <v>4445</v>
      </c>
      <c r="F576" t="s">
        <v>3618</v>
      </c>
      <c r="G576" t="s">
        <v>5575</v>
      </c>
      <c r="H576" t="s">
        <v>4957</v>
      </c>
      <c r="I576" s="79" t="str">
        <f>IF(CARTERA_2026[[#This Row],[RUT]]=774097899,"DIST",_xlfn.XLOOKUP(CARTERA_2026[[#This Row],[VENDEDOR]],dimensiones!$C$21:$C$28,dimensiones!$D$21:$D$28,""))</f>
        <v>ATEL</v>
      </c>
      <c r="J576" s="125" t="str">
        <f>_xlfn.XLOOKUP(CARTERA_2026[[#This Row],[REGION]],dimensiones!C:C,dimensiones!D:D,"")</f>
        <v>Región de Coquimbo</v>
      </c>
    </row>
    <row r="577" spans="1:10" ht="14.25" customHeight="1" x14ac:dyDescent="0.25">
      <c r="A577">
        <v>690413000</v>
      </c>
      <c r="B577" t="s">
        <v>4420</v>
      </c>
      <c r="C577" t="s">
        <v>4521</v>
      </c>
      <c r="D577">
        <v>4</v>
      </c>
      <c r="E577" t="s">
        <v>4445</v>
      </c>
      <c r="F577" t="s">
        <v>4520</v>
      </c>
      <c r="G577" t="s">
        <v>5575</v>
      </c>
      <c r="H577" t="s">
        <v>4957</v>
      </c>
      <c r="I577" s="79" t="str">
        <f>IF(CARTERA_2026[[#This Row],[RUT]]=774097899,"DIST",_xlfn.XLOOKUP(CARTERA_2026[[#This Row],[VENDEDOR]],dimensiones!$C$21:$C$28,dimensiones!$D$21:$D$28,""))</f>
        <v>ATEL</v>
      </c>
      <c r="J577" s="125" t="str">
        <f>_xlfn.XLOOKUP(CARTERA_2026[[#This Row],[REGION]],dimensiones!C:C,dimensiones!D:D,"")</f>
        <v>Región de Coquimbo</v>
      </c>
    </row>
    <row r="578" spans="1:10" ht="14.25" customHeight="1" x14ac:dyDescent="0.25">
      <c r="A578">
        <v>690414007</v>
      </c>
      <c r="B578" t="s">
        <v>898</v>
      </c>
      <c r="C578" t="s">
        <v>4247</v>
      </c>
      <c r="D578">
        <v>4</v>
      </c>
      <c r="E578" t="s">
        <v>4445</v>
      </c>
      <c r="F578" t="s">
        <v>1270</v>
      </c>
      <c r="G578" t="s">
        <v>5575</v>
      </c>
      <c r="H578" t="s">
        <v>4957</v>
      </c>
      <c r="I578" s="79" t="str">
        <f>IF(CARTERA_2026[[#This Row],[RUT]]=774097899,"DIST",_xlfn.XLOOKUP(CARTERA_2026[[#This Row],[VENDEDOR]],dimensiones!$C$21:$C$28,dimensiones!$D$21:$D$28,""))</f>
        <v>ATEL</v>
      </c>
      <c r="J578" s="125" t="str">
        <f>_xlfn.XLOOKUP(CARTERA_2026[[#This Row],[REGION]],dimensiones!C:C,dimensiones!D:D,"")</f>
        <v>Región de Coquimbo</v>
      </c>
    </row>
    <row r="579" spans="1:10" ht="14.25" customHeight="1" x14ac:dyDescent="0.25">
      <c r="A579">
        <v>690415003</v>
      </c>
      <c r="B579" t="s">
        <v>899</v>
      </c>
      <c r="C579" t="s">
        <v>4248</v>
      </c>
      <c r="D579">
        <v>4</v>
      </c>
      <c r="E579" t="s">
        <v>4445</v>
      </c>
      <c r="F579" t="s">
        <v>1642</v>
      </c>
      <c r="G579" t="s">
        <v>5575</v>
      </c>
      <c r="H579" t="s">
        <v>4957</v>
      </c>
      <c r="I579" s="79" t="str">
        <f>IF(CARTERA_2026[[#This Row],[RUT]]=774097899,"DIST",_xlfn.XLOOKUP(CARTERA_2026[[#This Row],[VENDEDOR]],dimensiones!$C$21:$C$28,dimensiones!$D$21:$D$28,""))</f>
        <v>ATEL</v>
      </c>
      <c r="J579" s="125" t="str">
        <f>_xlfn.XLOOKUP(CARTERA_2026[[#This Row],[REGION]],dimensiones!C:C,dimensiones!D:D,"")</f>
        <v>Región de Coquimbo</v>
      </c>
    </row>
    <row r="580" spans="1:10" ht="14.25" customHeight="1" x14ac:dyDescent="0.25">
      <c r="A580">
        <v>690501007</v>
      </c>
      <c r="B580" t="s">
        <v>77</v>
      </c>
      <c r="C580" t="s">
        <v>4305</v>
      </c>
      <c r="D580">
        <v>5</v>
      </c>
      <c r="E580" t="s">
        <v>4445</v>
      </c>
      <c r="F580" t="s">
        <v>1540</v>
      </c>
      <c r="G580" t="s">
        <v>5575</v>
      </c>
      <c r="H580" t="s">
        <v>4957</v>
      </c>
      <c r="I580" s="79" t="str">
        <f>IF(CARTERA_2026[[#This Row],[RUT]]=774097899,"DIST",_xlfn.XLOOKUP(CARTERA_2026[[#This Row],[VENDEDOR]],dimensiones!$C$21:$C$28,dimensiones!$D$21:$D$28,""))</f>
        <v>ATEL</v>
      </c>
      <c r="J580" s="125" t="str">
        <f>_xlfn.XLOOKUP(CARTERA_2026[[#This Row],[REGION]],dimensiones!C:C,dimensiones!D:D,"")</f>
        <v>Región de Valparaíso</v>
      </c>
    </row>
    <row r="581" spans="1:10" ht="14.25" customHeight="1" x14ac:dyDescent="0.25">
      <c r="A581">
        <v>690502003</v>
      </c>
      <c r="B581" t="s">
        <v>5431</v>
      </c>
      <c r="C581" t="s">
        <v>4253</v>
      </c>
      <c r="D581">
        <v>5</v>
      </c>
      <c r="E581" t="s">
        <v>4445</v>
      </c>
      <c r="F581" t="s">
        <v>5432</v>
      </c>
      <c r="G581" t="s">
        <v>5575</v>
      </c>
      <c r="H581" t="s">
        <v>4957</v>
      </c>
      <c r="I581" s="79" t="str">
        <f>IF(CARTERA_2026[[#This Row],[RUT]]=774097899,"DIST",_xlfn.XLOOKUP(CARTERA_2026[[#This Row],[VENDEDOR]],dimensiones!$C$21:$C$28,dimensiones!$D$21:$D$28,""))</f>
        <v>ATEL</v>
      </c>
      <c r="J581" s="125" t="str">
        <f>_xlfn.XLOOKUP(CARTERA_2026[[#This Row],[REGION]],dimensiones!C:C,dimensiones!D:D,"")</f>
        <v>Región de Valparaíso</v>
      </c>
    </row>
    <row r="582" spans="1:10" ht="14.25" customHeight="1" x14ac:dyDescent="0.25">
      <c r="A582" t="s">
        <v>674</v>
      </c>
      <c r="B582" t="s">
        <v>675</v>
      </c>
      <c r="C582" t="s">
        <v>4306</v>
      </c>
      <c r="D582">
        <v>5</v>
      </c>
      <c r="E582" t="s">
        <v>4445</v>
      </c>
      <c r="F582" t="s">
        <v>2794</v>
      </c>
      <c r="G582" t="s">
        <v>5575</v>
      </c>
      <c r="H582" t="s">
        <v>4957</v>
      </c>
      <c r="I582" s="79" t="str">
        <f>IF(CARTERA_2026[[#This Row],[RUT]]=774097899,"DIST",_xlfn.XLOOKUP(CARTERA_2026[[#This Row],[VENDEDOR]],dimensiones!$C$21:$C$28,dimensiones!$D$21:$D$28,""))</f>
        <v>ATEL</v>
      </c>
      <c r="J582" s="125" t="str">
        <f>_xlfn.XLOOKUP(CARTERA_2026[[#This Row],[REGION]],dimensiones!C:C,dimensiones!D:D,"")</f>
        <v>Región de Valparaíso</v>
      </c>
    </row>
    <row r="583" spans="1:10" ht="14.25" customHeight="1" x14ac:dyDescent="0.25">
      <c r="A583">
        <v>690504006</v>
      </c>
      <c r="B583" t="s">
        <v>785</v>
      </c>
      <c r="C583" t="s">
        <v>4307</v>
      </c>
      <c r="D583">
        <v>5</v>
      </c>
      <c r="E583" t="s">
        <v>4445</v>
      </c>
      <c r="F583" t="s">
        <v>1648</v>
      </c>
      <c r="G583" t="s">
        <v>5575</v>
      </c>
      <c r="H583" t="s">
        <v>4957</v>
      </c>
      <c r="I583" s="79" t="str">
        <f>IF(CARTERA_2026[[#This Row],[RUT]]=774097899,"DIST",_xlfn.XLOOKUP(CARTERA_2026[[#This Row],[VENDEDOR]],dimensiones!$C$21:$C$28,dimensiones!$D$21:$D$28,""))</f>
        <v>ATEL</v>
      </c>
      <c r="J583" s="125" t="str">
        <f>_xlfn.XLOOKUP(CARTERA_2026[[#This Row],[REGION]],dimensiones!C:C,dimensiones!D:D,"")</f>
        <v>Región de Valparaíso</v>
      </c>
    </row>
    <row r="584" spans="1:10" ht="14.25" customHeight="1" x14ac:dyDescent="0.25">
      <c r="A584">
        <v>690505002</v>
      </c>
      <c r="B584" t="s">
        <v>291</v>
      </c>
      <c r="C584" t="s">
        <v>4255</v>
      </c>
      <c r="D584">
        <v>5</v>
      </c>
      <c r="E584" t="s">
        <v>4445</v>
      </c>
      <c r="F584" t="s">
        <v>1664</v>
      </c>
      <c r="G584" t="s">
        <v>5575</v>
      </c>
      <c r="H584" t="s">
        <v>4957</v>
      </c>
      <c r="I584" s="79" t="str">
        <f>IF(CARTERA_2026[[#This Row],[RUT]]=774097899,"DIST",_xlfn.XLOOKUP(CARTERA_2026[[#This Row],[VENDEDOR]],dimensiones!$C$21:$C$28,dimensiones!$D$21:$D$28,""))</f>
        <v>ATEL</v>
      </c>
      <c r="J584" s="125" t="str">
        <f>_xlfn.XLOOKUP(CARTERA_2026[[#This Row],[REGION]],dimensiones!C:C,dimensiones!D:D,"")</f>
        <v>Región de Valparaíso</v>
      </c>
    </row>
    <row r="585" spans="1:10" ht="14.25" customHeight="1" x14ac:dyDescent="0.25">
      <c r="A585">
        <v>690506009</v>
      </c>
      <c r="B585" t="s">
        <v>292</v>
      </c>
      <c r="C585" t="s">
        <v>4174</v>
      </c>
      <c r="D585">
        <v>5</v>
      </c>
      <c r="E585" t="s">
        <v>4445</v>
      </c>
      <c r="F585" t="s">
        <v>1652</v>
      </c>
      <c r="G585" t="s">
        <v>5575</v>
      </c>
      <c r="H585" t="s">
        <v>4957</v>
      </c>
      <c r="I585" s="79" t="str">
        <f>IF(CARTERA_2026[[#This Row],[RUT]]=774097899,"DIST",_xlfn.XLOOKUP(CARTERA_2026[[#This Row],[VENDEDOR]],dimensiones!$C$21:$C$28,dimensiones!$D$21:$D$28,""))</f>
        <v>ATEL</v>
      </c>
      <c r="J585" s="125" t="str">
        <f>_xlfn.XLOOKUP(CARTERA_2026[[#This Row],[REGION]],dimensiones!C:C,dimensiones!D:D,"")</f>
        <v>Región de Valparaíso</v>
      </c>
    </row>
    <row r="586" spans="1:10" ht="14.25" customHeight="1" x14ac:dyDescent="0.25">
      <c r="A586">
        <v>690507005</v>
      </c>
      <c r="B586" t="s">
        <v>900</v>
      </c>
      <c r="C586" t="s">
        <v>4256</v>
      </c>
      <c r="D586">
        <v>5</v>
      </c>
      <c r="E586" t="s">
        <v>4445</v>
      </c>
      <c r="F586" t="s">
        <v>1654</v>
      </c>
      <c r="G586" t="s">
        <v>5575</v>
      </c>
      <c r="H586" t="s">
        <v>4957</v>
      </c>
      <c r="I586" s="79" t="str">
        <f>IF(CARTERA_2026[[#This Row],[RUT]]=774097899,"DIST",_xlfn.XLOOKUP(CARTERA_2026[[#This Row],[VENDEDOR]],dimensiones!$C$21:$C$28,dimensiones!$D$21:$D$28,""))</f>
        <v>ATEL</v>
      </c>
      <c r="J586" s="125" t="str">
        <f>_xlfn.XLOOKUP(CARTERA_2026[[#This Row],[REGION]],dimensiones!C:C,dimensiones!D:D,"")</f>
        <v>Región de Valparaíso</v>
      </c>
    </row>
    <row r="587" spans="1:10" ht="14.25" customHeight="1" x14ac:dyDescent="0.25">
      <c r="A587">
        <v>690508001</v>
      </c>
      <c r="B587" t="s">
        <v>901</v>
      </c>
      <c r="C587" t="s">
        <v>4522</v>
      </c>
      <c r="D587">
        <v>5</v>
      </c>
      <c r="E587" t="s">
        <v>4445</v>
      </c>
      <c r="F587" t="s">
        <v>1198</v>
      </c>
      <c r="G587" t="s">
        <v>5575</v>
      </c>
      <c r="H587" t="s">
        <v>4957</v>
      </c>
      <c r="I587" s="79" t="str">
        <f>IF(CARTERA_2026[[#This Row],[RUT]]=774097899,"DIST",_xlfn.XLOOKUP(CARTERA_2026[[#This Row],[VENDEDOR]],dimensiones!$C$21:$C$28,dimensiones!$D$21:$D$28,""))</f>
        <v>ATEL</v>
      </c>
      <c r="J587" s="125" t="str">
        <f>_xlfn.XLOOKUP(CARTERA_2026[[#This Row],[REGION]],dimensiones!C:C,dimensiones!D:D,"")</f>
        <v>Región de Valparaíso</v>
      </c>
    </row>
    <row r="588" spans="1:10" ht="14.25" customHeight="1" x14ac:dyDescent="0.25">
      <c r="A588">
        <v>690509008</v>
      </c>
      <c r="B588" t="s">
        <v>786</v>
      </c>
      <c r="C588" t="s">
        <v>4308</v>
      </c>
      <c r="D588">
        <v>5</v>
      </c>
      <c r="E588" t="s">
        <v>4445</v>
      </c>
      <c r="F588" t="s">
        <v>1659</v>
      </c>
      <c r="G588" t="s">
        <v>5575</v>
      </c>
      <c r="H588" t="s">
        <v>4957</v>
      </c>
      <c r="I588" s="79" t="str">
        <f>IF(CARTERA_2026[[#This Row],[RUT]]=774097899,"DIST",_xlfn.XLOOKUP(CARTERA_2026[[#This Row],[VENDEDOR]],dimensiones!$C$21:$C$28,dimensiones!$D$21:$D$28,""))</f>
        <v>ATEL</v>
      </c>
      <c r="J588" s="125" t="str">
        <f>_xlfn.XLOOKUP(CARTERA_2026[[#This Row],[REGION]],dimensiones!C:C,dimensiones!D:D,"")</f>
        <v>Región de Valparaíso</v>
      </c>
    </row>
    <row r="589" spans="1:10" ht="14.25" customHeight="1" x14ac:dyDescent="0.25">
      <c r="A589">
        <v>690510006</v>
      </c>
      <c r="B589" t="s">
        <v>293</v>
      </c>
      <c r="C589" t="s">
        <v>4523</v>
      </c>
      <c r="D589">
        <v>5</v>
      </c>
      <c r="E589" t="s">
        <v>4445</v>
      </c>
      <c r="F589" t="s">
        <v>1179</v>
      </c>
      <c r="G589" t="s">
        <v>5575</v>
      </c>
      <c r="H589" t="s">
        <v>4957</v>
      </c>
      <c r="I589" s="79" t="str">
        <f>IF(CARTERA_2026[[#This Row],[RUT]]=774097899,"DIST",_xlfn.XLOOKUP(CARTERA_2026[[#This Row],[VENDEDOR]],dimensiones!$C$21:$C$28,dimensiones!$D$21:$D$28,""))</f>
        <v>ATEL</v>
      </c>
      <c r="J589" s="125" t="str">
        <f>_xlfn.XLOOKUP(CARTERA_2026[[#This Row],[REGION]],dimensiones!C:C,dimensiones!D:D,"")</f>
        <v>Región de Valparaíso</v>
      </c>
    </row>
    <row r="590" spans="1:10" ht="14.25" customHeight="1" x14ac:dyDescent="0.25">
      <c r="A590">
        <v>690511002</v>
      </c>
      <c r="B590" t="s">
        <v>294</v>
      </c>
      <c r="C590" t="s">
        <v>4192</v>
      </c>
      <c r="D590">
        <v>5</v>
      </c>
      <c r="E590" t="s">
        <v>4445</v>
      </c>
      <c r="F590" t="s">
        <v>1677</v>
      </c>
      <c r="G590" t="s">
        <v>5575</v>
      </c>
      <c r="H590" t="s">
        <v>4957</v>
      </c>
      <c r="I590" s="79" t="str">
        <f>IF(CARTERA_2026[[#This Row],[RUT]]=774097899,"DIST",_xlfn.XLOOKUP(CARTERA_2026[[#This Row],[VENDEDOR]],dimensiones!$C$21:$C$28,dimensiones!$D$21:$D$28,""))</f>
        <v>ATEL</v>
      </c>
      <c r="J590" s="125" t="str">
        <f>_xlfn.XLOOKUP(CARTERA_2026[[#This Row],[REGION]],dimensiones!C:C,dimensiones!D:D,"")</f>
        <v>Región de Valparaíso</v>
      </c>
    </row>
    <row r="591" spans="1:10" ht="14.25" customHeight="1" x14ac:dyDescent="0.25">
      <c r="A591">
        <v>690512009</v>
      </c>
      <c r="B591" t="s">
        <v>295</v>
      </c>
      <c r="C591" t="s">
        <v>4524</v>
      </c>
      <c r="D591">
        <v>5</v>
      </c>
      <c r="E591" t="s">
        <v>4445</v>
      </c>
      <c r="F591" t="s">
        <v>1246</v>
      </c>
      <c r="G591" t="s">
        <v>5575</v>
      </c>
      <c r="H591" t="s">
        <v>4957</v>
      </c>
      <c r="I591" s="79" t="str">
        <f>IF(CARTERA_2026[[#This Row],[RUT]]=774097899,"DIST",_xlfn.XLOOKUP(CARTERA_2026[[#This Row],[VENDEDOR]],dimensiones!$C$21:$C$28,dimensiones!$D$21:$D$28,""))</f>
        <v>ATEL</v>
      </c>
      <c r="J591" s="125" t="str">
        <f>_xlfn.XLOOKUP(CARTERA_2026[[#This Row],[REGION]],dimensiones!C:C,dimensiones!D:D,"")</f>
        <v>Región de Valparaíso</v>
      </c>
    </row>
    <row r="592" spans="1:10" ht="14.25" customHeight="1" x14ac:dyDescent="0.25">
      <c r="A592">
        <v>690513005</v>
      </c>
      <c r="B592" t="s">
        <v>296</v>
      </c>
      <c r="C592" t="s">
        <v>4309</v>
      </c>
      <c r="D592">
        <v>5</v>
      </c>
      <c r="E592" t="s">
        <v>4445</v>
      </c>
      <c r="F592" t="s">
        <v>4126</v>
      </c>
      <c r="G592" t="s">
        <v>5575</v>
      </c>
      <c r="H592" t="s">
        <v>4957</v>
      </c>
      <c r="I592" s="79" t="str">
        <f>IF(CARTERA_2026[[#This Row],[RUT]]=774097899,"DIST",_xlfn.XLOOKUP(CARTERA_2026[[#This Row],[VENDEDOR]],dimensiones!$C$21:$C$28,dimensiones!$D$21:$D$28,""))</f>
        <v>ATEL</v>
      </c>
      <c r="J592" s="125" t="str">
        <f>_xlfn.XLOOKUP(CARTERA_2026[[#This Row],[REGION]],dimensiones!C:C,dimensiones!D:D,"")</f>
        <v>Región de Valparaíso</v>
      </c>
    </row>
    <row r="593" spans="1:10" ht="14.25" customHeight="1" x14ac:dyDescent="0.25">
      <c r="A593">
        <v>690514001</v>
      </c>
      <c r="B593" t="s">
        <v>78</v>
      </c>
      <c r="C593" t="s">
        <v>4310</v>
      </c>
      <c r="D593">
        <v>5</v>
      </c>
      <c r="E593" t="s">
        <v>4445</v>
      </c>
      <c r="F593" t="s">
        <v>1670</v>
      </c>
      <c r="G593" t="s">
        <v>5575</v>
      </c>
      <c r="H593" t="s">
        <v>4957</v>
      </c>
      <c r="I593" s="79" t="str">
        <f>IF(CARTERA_2026[[#This Row],[RUT]]=774097899,"DIST",_xlfn.XLOOKUP(CARTERA_2026[[#This Row],[VENDEDOR]],dimensiones!$C$21:$C$28,dimensiones!$D$21:$D$28,""))</f>
        <v>ATEL</v>
      </c>
      <c r="J593" s="125" t="str">
        <f>_xlfn.XLOOKUP(CARTERA_2026[[#This Row],[REGION]],dimensiones!C:C,dimensiones!D:D,"")</f>
        <v>Región de Valparaíso</v>
      </c>
    </row>
    <row r="594" spans="1:10" ht="14.25" customHeight="1" x14ac:dyDescent="0.25">
      <c r="A594">
        <v>690602008</v>
      </c>
      <c r="B594" t="s">
        <v>297</v>
      </c>
      <c r="C594" t="s">
        <v>4311</v>
      </c>
      <c r="D594">
        <v>5</v>
      </c>
      <c r="E594" t="s">
        <v>4445</v>
      </c>
      <c r="F594" t="s">
        <v>1353</v>
      </c>
      <c r="G594" t="s">
        <v>5575</v>
      </c>
      <c r="H594" t="s">
        <v>4957</v>
      </c>
      <c r="I594" s="79" t="str">
        <f>IF(CARTERA_2026[[#This Row],[RUT]]=774097899,"DIST",_xlfn.XLOOKUP(CARTERA_2026[[#This Row],[VENDEDOR]],dimensiones!$C$21:$C$28,dimensiones!$D$21:$D$28,""))</f>
        <v>ATEL</v>
      </c>
      <c r="J594" s="125" t="str">
        <f>_xlfn.XLOOKUP(CARTERA_2026[[#This Row],[REGION]],dimensiones!C:C,dimensiones!D:D,"")</f>
        <v>Región de Valparaíso</v>
      </c>
    </row>
    <row r="595" spans="1:10" ht="14.25" customHeight="1" x14ac:dyDescent="0.25">
      <c r="A595">
        <v>690603004</v>
      </c>
      <c r="B595" t="s">
        <v>298</v>
      </c>
      <c r="C595" t="s">
        <v>4252</v>
      </c>
      <c r="D595">
        <v>5</v>
      </c>
      <c r="E595" t="s">
        <v>4445</v>
      </c>
      <c r="F595" t="s">
        <v>2349</v>
      </c>
      <c r="G595" t="s">
        <v>5575</v>
      </c>
      <c r="H595" t="s">
        <v>4957</v>
      </c>
      <c r="I595" s="79" t="str">
        <f>IF(CARTERA_2026[[#This Row],[RUT]]=774097899,"DIST",_xlfn.XLOOKUP(CARTERA_2026[[#This Row],[VENDEDOR]],dimensiones!$C$21:$C$28,dimensiones!$D$21:$D$28,""))</f>
        <v>ATEL</v>
      </c>
      <c r="J595" s="125" t="str">
        <f>_xlfn.XLOOKUP(CARTERA_2026[[#This Row],[REGION]],dimensiones!C:C,dimensiones!D:D,"")</f>
        <v>Región de Valparaíso</v>
      </c>
    </row>
    <row r="596" spans="1:10" ht="14.25" customHeight="1" x14ac:dyDescent="0.25">
      <c r="A596">
        <v>690605007</v>
      </c>
      <c r="B596" t="s">
        <v>79</v>
      </c>
      <c r="C596" t="s">
        <v>4312</v>
      </c>
      <c r="D596">
        <v>5</v>
      </c>
      <c r="E596" t="s">
        <v>4445</v>
      </c>
      <c r="F596" t="s">
        <v>2107</v>
      </c>
      <c r="G596" t="s">
        <v>5575</v>
      </c>
      <c r="H596" t="s">
        <v>4957</v>
      </c>
      <c r="I596" s="79" t="str">
        <f>IF(CARTERA_2026[[#This Row],[RUT]]=774097899,"DIST",_xlfn.XLOOKUP(CARTERA_2026[[#This Row],[VENDEDOR]],dimensiones!$C$21:$C$28,dimensiones!$D$21:$D$28,""))</f>
        <v>ATEL</v>
      </c>
      <c r="J596" s="125" t="str">
        <f>_xlfn.XLOOKUP(CARTERA_2026[[#This Row],[REGION]],dimensiones!C:C,dimensiones!D:D,"")</f>
        <v>Región de Valparaíso</v>
      </c>
    </row>
    <row r="597" spans="1:10" ht="14.25" customHeight="1" x14ac:dyDescent="0.25">
      <c r="A597">
        <v>690606003</v>
      </c>
      <c r="B597" t="s">
        <v>299</v>
      </c>
      <c r="C597" t="s">
        <v>4404</v>
      </c>
      <c r="D597">
        <v>5</v>
      </c>
      <c r="E597" t="s">
        <v>4445</v>
      </c>
      <c r="F597" t="s">
        <v>1831</v>
      </c>
      <c r="G597" t="s">
        <v>5575</v>
      </c>
      <c r="H597" t="s">
        <v>4957</v>
      </c>
      <c r="I597" s="79" t="str">
        <f>IF(CARTERA_2026[[#This Row],[RUT]]=774097899,"DIST",_xlfn.XLOOKUP(CARTERA_2026[[#This Row],[VENDEDOR]],dimensiones!$C$21:$C$28,dimensiones!$D$21:$D$28,""))</f>
        <v>ATEL</v>
      </c>
      <c r="J597" s="125" t="str">
        <f>_xlfn.XLOOKUP(CARTERA_2026[[#This Row],[REGION]],dimensiones!C:C,dimensiones!D:D,"")</f>
        <v>Región de Valparaíso</v>
      </c>
    </row>
    <row r="598" spans="1:10" ht="14.25" customHeight="1" x14ac:dyDescent="0.25">
      <c r="A598" t="s">
        <v>4764</v>
      </c>
      <c r="B598" t="s">
        <v>1680</v>
      </c>
      <c r="C598" t="s">
        <v>4313</v>
      </c>
      <c r="D598">
        <v>5</v>
      </c>
      <c r="E598" t="s">
        <v>4445</v>
      </c>
      <c r="F598" t="s">
        <v>1679</v>
      </c>
      <c r="G598" t="s">
        <v>5575</v>
      </c>
      <c r="H598" t="s">
        <v>4957</v>
      </c>
      <c r="I598" s="79" t="str">
        <f>IF(CARTERA_2026[[#This Row],[RUT]]=774097899,"DIST",_xlfn.XLOOKUP(CARTERA_2026[[#This Row],[VENDEDOR]],dimensiones!$C$21:$C$28,dimensiones!$D$21:$D$28,""))</f>
        <v>ATEL</v>
      </c>
      <c r="J598" s="125" t="str">
        <f>_xlfn.XLOOKUP(CARTERA_2026[[#This Row],[REGION]],dimensiones!C:C,dimensiones!D:D,"")</f>
        <v>Región de Valparaíso</v>
      </c>
    </row>
    <row r="599" spans="1:10" ht="14.25" customHeight="1" x14ac:dyDescent="0.25">
      <c r="A599">
        <v>690608006</v>
      </c>
      <c r="B599" t="s">
        <v>80</v>
      </c>
      <c r="C599" t="s">
        <v>4525</v>
      </c>
      <c r="D599">
        <v>5</v>
      </c>
      <c r="E599" t="s">
        <v>4445</v>
      </c>
      <c r="F599" t="s">
        <v>2031</v>
      </c>
      <c r="G599" t="s">
        <v>5575</v>
      </c>
      <c r="H599" t="s">
        <v>4957</v>
      </c>
      <c r="I599" s="79" t="str">
        <f>IF(CARTERA_2026[[#This Row],[RUT]]=774097899,"DIST",_xlfn.XLOOKUP(CARTERA_2026[[#This Row],[VENDEDOR]],dimensiones!$C$21:$C$28,dimensiones!$D$21:$D$28,""))</f>
        <v>ATEL</v>
      </c>
      <c r="J599" s="125" t="str">
        <f>_xlfn.XLOOKUP(CARTERA_2026[[#This Row],[REGION]],dimensiones!C:C,dimensiones!D:D,"")</f>
        <v>Región de Valparaíso</v>
      </c>
    </row>
    <row r="600" spans="1:10" ht="14.25" customHeight="1" x14ac:dyDescent="0.25">
      <c r="A600">
        <v>690611007</v>
      </c>
      <c r="B600" t="s">
        <v>1683</v>
      </c>
      <c r="C600" t="s">
        <v>4249</v>
      </c>
      <c r="D600">
        <v>5</v>
      </c>
      <c r="E600" t="s">
        <v>4445</v>
      </c>
      <c r="F600" t="s">
        <v>1682</v>
      </c>
      <c r="G600" t="s">
        <v>5575</v>
      </c>
      <c r="H600" t="s">
        <v>4957</v>
      </c>
      <c r="I600" s="79" t="str">
        <f>IF(CARTERA_2026[[#This Row],[RUT]]=774097899,"DIST",_xlfn.XLOOKUP(CARTERA_2026[[#This Row],[VENDEDOR]],dimensiones!$C$21:$C$28,dimensiones!$D$21:$D$28,""))</f>
        <v>ATEL</v>
      </c>
      <c r="J600" s="125" t="str">
        <f>_xlfn.XLOOKUP(CARTERA_2026[[#This Row],[REGION]],dimensiones!C:C,dimensiones!D:D,"")</f>
        <v>Región de Valparaíso</v>
      </c>
    </row>
    <row r="601" spans="1:10" ht="14.25" customHeight="1" x14ac:dyDescent="0.25">
      <c r="A601">
        <v>690612003</v>
      </c>
      <c r="B601" t="s">
        <v>300</v>
      </c>
      <c r="C601" t="s">
        <v>4526</v>
      </c>
      <c r="D601">
        <v>5</v>
      </c>
      <c r="E601" t="s">
        <v>4445</v>
      </c>
      <c r="F601" t="s">
        <v>1685</v>
      </c>
      <c r="G601" t="s">
        <v>5575</v>
      </c>
      <c r="H601" t="s">
        <v>4957</v>
      </c>
      <c r="I601" s="79" t="str">
        <f>IF(CARTERA_2026[[#This Row],[RUT]]=774097899,"DIST",_xlfn.XLOOKUP(CARTERA_2026[[#This Row],[VENDEDOR]],dimensiones!$C$21:$C$28,dimensiones!$D$21:$D$28,""))</f>
        <v>ATEL</v>
      </c>
      <c r="J601" s="125" t="str">
        <f>_xlfn.XLOOKUP(CARTERA_2026[[#This Row],[REGION]],dimensiones!C:C,dimensiones!D:D,"")</f>
        <v>Región de Valparaíso</v>
      </c>
    </row>
    <row r="602" spans="1:10" ht="14.25" customHeight="1" x14ac:dyDescent="0.25">
      <c r="A602">
        <v>690614006</v>
      </c>
      <c r="B602" t="s">
        <v>301</v>
      </c>
      <c r="C602" t="s">
        <v>4193</v>
      </c>
      <c r="D602">
        <v>5</v>
      </c>
      <c r="E602" t="s">
        <v>4445</v>
      </c>
      <c r="F602" t="s">
        <v>1687</v>
      </c>
      <c r="G602" t="s">
        <v>5575</v>
      </c>
      <c r="H602" t="s">
        <v>4957</v>
      </c>
      <c r="I602" s="79" t="str">
        <f>IF(CARTERA_2026[[#This Row],[RUT]]=774097899,"DIST",_xlfn.XLOOKUP(CARTERA_2026[[#This Row],[VENDEDOR]],dimensiones!$C$21:$C$28,dimensiones!$D$21:$D$28,""))</f>
        <v>ATEL</v>
      </c>
      <c r="J602" s="125" t="str">
        <f>_xlfn.XLOOKUP(CARTERA_2026[[#This Row],[REGION]],dimensiones!C:C,dimensiones!D:D,"")</f>
        <v>Región de Valparaíso</v>
      </c>
    </row>
    <row r="603" spans="1:10" ht="14.25" customHeight="1" x14ac:dyDescent="0.25">
      <c r="A603">
        <v>690616009</v>
      </c>
      <c r="B603" t="s">
        <v>81</v>
      </c>
      <c r="C603" t="s">
        <v>4314</v>
      </c>
      <c r="D603">
        <v>5</v>
      </c>
      <c r="E603" t="s">
        <v>4445</v>
      </c>
      <c r="F603" t="s">
        <v>1418</v>
      </c>
      <c r="G603" t="s">
        <v>5575</v>
      </c>
      <c r="H603" t="s">
        <v>4957</v>
      </c>
      <c r="I603" s="79" t="str">
        <f>IF(CARTERA_2026[[#This Row],[RUT]]=774097899,"DIST",_xlfn.XLOOKUP(CARTERA_2026[[#This Row],[VENDEDOR]],dimensiones!$C$21:$C$28,dimensiones!$D$21:$D$28,""))</f>
        <v>ATEL</v>
      </c>
      <c r="J603" s="125" t="str">
        <f>_xlfn.XLOOKUP(CARTERA_2026[[#This Row],[REGION]],dimensiones!C:C,dimensiones!D:D,"")</f>
        <v>Región de Valparaíso</v>
      </c>
    </row>
    <row r="604" spans="1:10" ht="14.25" customHeight="1" x14ac:dyDescent="0.25">
      <c r="A604">
        <v>690617005</v>
      </c>
      <c r="B604" t="s">
        <v>749</v>
      </c>
      <c r="C604" t="s">
        <v>4527</v>
      </c>
      <c r="D604">
        <v>5</v>
      </c>
      <c r="E604" t="s">
        <v>4445</v>
      </c>
      <c r="F604" t="s">
        <v>1691</v>
      </c>
      <c r="G604" t="s">
        <v>5575</v>
      </c>
      <c r="H604" t="s">
        <v>4957</v>
      </c>
      <c r="I604" s="79" t="str">
        <f>IF(CARTERA_2026[[#This Row],[RUT]]=774097899,"DIST",_xlfn.XLOOKUP(CARTERA_2026[[#This Row],[VENDEDOR]],dimensiones!$C$21:$C$28,dimensiones!$D$21:$D$28,""))</f>
        <v>ATEL</v>
      </c>
      <c r="J604" s="125" t="str">
        <f>_xlfn.XLOOKUP(CARTERA_2026[[#This Row],[REGION]],dimensiones!C:C,dimensiones!D:D,"")</f>
        <v>Región de Valparaíso</v>
      </c>
    </row>
    <row r="605" spans="1:10" ht="14.25" customHeight="1" x14ac:dyDescent="0.25">
      <c r="A605">
        <v>690701006</v>
      </c>
      <c r="B605" t="s">
        <v>302</v>
      </c>
      <c r="C605" t="s">
        <v>4168</v>
      </c>
      <c r="D605">
        <v>13</v>
      </c>
      <c r="E605" t="s">
        <v>4445</v>
      </c>
      <c r="F605" t="s">
        <v>1562</v>
      </c>
      <c r="G605" t="s">
        <v>5575</v>
      </c>
      <c r="H605" t="s">
        <v>4957</v>
      </c>
      <c r="I605" s="79" t="str">
        <f>IF(CARTERA_2026[[#This Row],[RUT]]=774097899,"DIST",_xlfn.XLOOKUP(CARTERA_2026[[#This Row],[VENDEDOR]],dimensiones!$C$21:$C$28,dimensiones!$D$21:$D$28,""))</f>
        <v>ATEL</v>
      </c>
      <c r="J605" s="125" t="str">
        <f>_xlfn.XLOOKUP(CARTERA_2026[[#This Row],[REGION]],dimensiones!C:C,dimensiones!D:D,"")</f>
        <v>Región de Metropolitana de Santiago</v>
      </c>
    </row>
    <row r="606" spans="1:10" ht="14.25" customHeight="1" x14ac:dyDescent="0.25">
      <c r="A606">
        <v>690703017</v>
      </c>
      <c r="B606" t="s">
        <v>303</v>
      </c>
      <c r="C606" t="s">
        <v>4391</v>
      </c>
      <c r="D606">
        <v>13</v>
      </c>
      <c r="E606" t="s">
        <v>4445</v>
      </c>
      <c r="F606" t="s">
        <v>3576</v>
      </c>
      <c r="G606" t="s">
        <v>5574</v>
      </c>
      <c r="H606" t="s">
        <v>4957</v>
      </c>
      <c r="I606" s="79" t="str">
        <f>IF(CARTERA_2026[[#This Row],[RUT]]=774097899,"DIST",_xlfn.XLOOKUP(CARTERA_2026[[#This Row],[VENDEDOR]],dimensiones!$C$21:$C$28,dimensiones!$D$21:$D$28,""))</f>
        <v>ATEL</v>
      </c>
      <c r="J606" s="125" t="str">
        <f>_xlfn.XLOOKUP(CARTERA_2026[[#This Row],[REGION]],dimensiones!C:C,dimensiones!D:D,"")</f>
        <v>Región de Metropolitana de Santiago</v>
      </c>
    </row>
    <row r="607" spans="1:10" ht="14.25" customHeight="1" x14ac:dyDescent="0.25">
      <c r="A607">
        <v>690707004</v>
      </c>
      <c r="B607" t="s">
        <v>5490</v>
      </c>
      <c r="C607" t="s">
        <v>4394</v>
      </c>
      <c r="D607">
        <v>13</v>
      </c>
      <c r="E607" t="s">
        <v>4445</v>
      </c>
      <c r="F607" t="s">
        <v>5491</v>
      </c>
      <c r="G607" t="s">
        <v>5575</v>
      </c>
      <c r="H607" t="s">
        <v>4957</v>
      </c>
      <c r="I607" s="79" t="str">
        <f>IF(CARTERA_2026[[#This Row],[RUT]]=774097899,"DIST",_xlfn.XLOOKUP(CARTERA_2026[[#This Row],[VENDEDOR]],dimensiones!$C$21:$C$28,dimensiones!$D$21:$D$28,""))</f>
        <v>ATEL</v>
      </c>
      <c r="J607" s="125" t="str">
        <f>_xlfn.XLOOKUP(CARTERA_2026[[#This Row],[REGION]],dimensiones!C:C,dimensiones!D:D,"")</f>
        <v>Región de Metropolitana de Santiago</v>
      </c>
    </row>
    <row r="608" spans="1:10" ht="14.25" customHeight="1" x14ac:dyDescent="0.25">
      <c r="A608">
        <v>690709007</v>
      </c>
      <c r="B608" t="s">
        <v>304</v>
      </c>
      <c r="C608" t="s">
        <v>4510</v>
      </c>
      <c r="D608">
        <v>13</v>
      </c>
      <c r="E608" t="s">
        <v>4445</v>
      </c>
      <c r="F608" t="s">
        <v>2169</v>
      </c>
      <c r="G608" t="s">
        <v>5575</v>
      </c>
      <c r="H608" t="s">
        <v>4957</v>
      </c>
      <c r="I608" s="79" t="str">
        <f>IF(CARTERA_2026[[#This Row],[RUT]]=774097899,"DIST",_xlfn.XLOOKUP(CARTERA_2026[[#This Row],[VENDEDOR]],dimensiones!$C$21:$C$28,dimensiones!$D$21:$D$28,""))</f>
        <v>ATEL</v>
      </c>
      <c r="J608" s="125" t="str">
        <f>_xlfn.XLOOKUP(CARTERA_2026[[#This Row],[REGION]],dimensiones!C:C,dimensiones!D:D,"")</f>
        <v>Región de Metropolitana de Santiago</v>
      </c>
    </row>
    <row r="609" spans="1:10" ht="14.25" customHeight="1" x14ac:dyDescent="0.25">
      <c r="A609">
        <v>690713004</v>
      </c>
      <c r="B609" t="s">
        <v>305</v>
      </c>
      <c r="C609" t="s">
        <v>4528</v>
      </c>
      <c r="D609">
        <v>13</v>
      </c>
      <c r="E609" t="s">
        <v>4445</v>
      </c>
      <c r="F609" t="s">
        <v>3996</v>
      </c>
      <c r="G609" t="s">
        <v>5575</v>
      </c>
      <c r="H609" t="s">
        <v>4957</v>
      </c>
      <c r="I609" s="79" t="str">
        <f>IF(CARTERA_2026[[#This Row],[RUT]]=774097899,"DIST",_xlfn.XLOOKUP(CARTERA_2026[[#This Row],[VENDEDOR]],dimensiones!$C$21:$C$28,dimensiones!$D$21:$D$28,""))</f>
        <v>ATEL</v>
      </c>
      <c r="J609" s="125" t="str">
        <f>_xlfn.XLOOKUP(CARTERA_2026[[#This Row],[REGION]],dimensiones!C:C,dimensiones!D:D,"")</f>
        <v>Región de Metropolitana de Santiago</v>
      </c>
    </row>
    <row r="610" spans="1:10" ht="14.25" customHeight="1" x14ac:dyDescent="0.25">
      <c r="A610">
        <v>690713012</v>
      </c>
      <c r="B610" t="s">
        <v>305</v>
      </c>
      <c r="C610" t="s">
        <v>4315</v>
      </c>
      <c r="D610">
        <v>13</v>
      </c>
      <c r="E610" t="s">
        <v>4445</v>
      </c>
      <c r="F610" t="s">
        <v>1689</v>
      </c>
      <c r="G610" t="s">
        <v>5575</v>
      </c>
      <c r="H610" t="s">
        <v>4957</v>
      </c>
      <c r="I610" s="79" t="str">
        <f>IF(CARTERA_2026[[#This Row],[RUT]]=774097899,"DIST",_xlfn.XLOOKUP(CARTERA_2026[[#This Row],[VENDEDOR]],dimensiones!$C$21:$C$28,dimensiones!$D$21:$D$28,""))</f>
        <v>ATEL</v>
      </c>
      <c r="J610" s="125" t="str">
        <f>_xlfn.XLOOKUP(CARTERA_2026[[#This Row],[REGION]],dimensiones!C:C,dimensiones!D:D,"")</f>
        <v>Región de Metropolitana de Santiago</v>
      </c>
    </row>
    <row r="611" spans="1:10" ht="14.25" customHeight="1" x14ac:dyDescent="0.25">
      <c r="A611" t="s">
        <v>676</v>
      </c>
      <c r="B611" t="s">
        <v>677</v>
      </c>
      <c r="C611" t="s">
        <v>4194</v>
      </c>
      <c r="D611">
        <v>13</v>
      </c>
      <c r="E611" t="s">
        <v>4445</v>
      </c>
      <c r="F611" t="s">
        <v>2070</v>
      </c>
      <c r="G611" t="s">
        <v>5575</v>
      </c>
      <c r="H611" t="s">
        <v>4957</v>
      </c>
      <c r="I611" s="79" t="str">
        <f>IF(CARTERA_2026[[#This Row],[RUT]]=774097899,"DIST",_xlfn.XLOOKUP(CARTERA_2026[[#This Row],[VENDEDOR]],dimensiones!$C$21:$C$28,dimensiones!$D$21:$D$28,""))</f>
        <v>ATEL</v>
      </c>
      <c r="J611" s="125" t="str">
        <f>_xlfn.XLOOKUP(CARTERA_2026[[#This Row],[REGION]],dimensiones!C:C,dimensiones!D:D,"")</f>
        <v>Región de Metropolitana de Santiago</v>
      </c>
    </row>
    <row r="612" spans="1:10" ht="14.25" customHeight="1" x14ac:dyDescent="0.25">
      <c r="A612">
        <v>690718006</v>
      </c>
      <c r="B612" t="s">
        <v>306</v>
      </c>
      <c r="C612" t="s">
        <v>4196</v>
      </c>
      <c r="D612">
        <v>13</v>
      </c>
      <c r="E612" t="s">
        <v>4445</v>
      </c>
      <c r="F612" t="s">
        <v>2306</v>
      </c>
      <c r="G612" t="s">
        <v>5575</v>
      </c>
      <c r="H612" t="s">
        <v>4957</v>
      </c>
      <c r="I612" s="79" t="str">
        <f>IF(CARTERA_2026[[#This Row],[RUT]]=774097899,"DIST",_xlfn.XLOOKUP(CARTERA_2026[[#This Row],[VENDEDOR]],dimensiones!$C$21:$C$28,dimensiones!$D$21:$D$28,""))</f>
        <v>ATEL</v>
      </c>
      <c r="J612" s="125" t="str">
        <f>_xlfn.XLOOKUP(CARTERA_2026[[#This Row],[REGION]],dimensiones!C:C,dimensiones!D:D,"")</f>
        <v>Región de Metropolitana de Santiago</v>
      </c>
    </row>
    <row r="613" spans="1:10" ht="14.25" customHeight="1" x14ac:dyDescent="0.25">
      <c r="A613">
        <v>690720000</v>
      </c>
      <c r="B613" t="s">
        <v>307</v>
      </c>
      <c r="C613" t="s">
        <v>4529</v>
      </c>
      <c r="D613">
        <v>13</v>
      </c>
      <c r="E613" t="s">
        <v>4445</v>
      </c>
      <c r="F613" t="s">
        <v>2477</v>
      </c>
      <c r="G613" t="s">
        <v>5575</v>
      </c>
      <c r="H613" t="s">
        <v>4957</v>
      </c>
      <c r="I613" s="79" t="str">
        <f>IF(CARTERA_2026[[#This Row],[RUT]]=774097899,"DIST",_xlfn.XLOOKUP(CARTERA_2026[[#This Row],[VENDEDOR]],dimensiones!$C$21:$C$28,dimensiones!$D$21:$D$28,""))</f>
        <v>ATEL</v>
      </c>
      <c r="J613" s="125" t="str">
        <f>_xlfn.XLOOKUP(CARTERA_2026[[#This Row],[REGION]],dimensiones!C:C,dimensiones!D:D,"")</f>
        <v>Región de Metropolitana de Santiago</v>
      </c>
    </row>
    <row r="614" spans="1:10" ht="14.25" customHeight="1" x14ac:dyDescent="0.25">
      <c r="A614">
        <v>690724006</v>
      </c>
      <c r="B614" t="s">
        <v>308</v>
      </c>
      <c r="C614" t="s">
        <v>4530</v>
      </c>
      <c r="D614">
        <v>13</v>
      </c>
      <c r="E614" t="s">
        <v>4445</v>
      </c>
      <c r="F614" t="s">
        <v>1899</v>
      </c>
      <c r="G614" t="s">
        <v>5575</v>
      </c>
      <c r="H614" t="s">
        <v>4957</v>
      </c>
      <c r="I614" s="79" t="str">
        <f>IF(CARTERA_2026[[#This Row],[RUT]]=774097899,"DIST",_xlfn.XLOOKUP(CARTERA_2026[[#This Row],[VENDEDOR]],dimensiones!$C$21:$C$28,dimensiones!$D$21:$D$28,""))</f>
        <v>ATEL</v>
      </c>
      <c r="J614" s="125" t="str">
        <f>_xlfn.XLOOKUP(CARTERA_2026[[#This Row],[REGION]],dimensiones!C:C,dimensiones!D:D,"")</f>
        <v>Región de Metropolitana de Santiago</v>
      </c>
    </row>
    <row r="615" spans="1:10" ht="14.25" customHeight="1" x14ac:dyDescent="0.25">
      <c r="A615">
        <v>690726009</v>
      </c>
      <c r="B615" t="s">
        <v>309</v>
      </c>
      <c r="C615" t="s">
        <v>4316</v>
      </c>
      <c r="D615">
        <v>13</v>
      </c>
      <c r="E615" t="s">
        <v>4445</v>
      </c>
      <c r="F615" t="s">
        <v>3425</v>
      </c>
      <c r="G615" t="s">
        <v>5575</v>
      </c>
      <c r="H615" t="s">
        <v>4957</v>
      </c>
      <c r="I615" s="79" t="str">
        <f>IF(CARTERA_2026[[#This Row],[RUT]]=774097899,"DIST",_xlfn.XLOOKUP(CARTERA_2026[[#This Row],[VENDEDOR]],dimensiones!$C$21:$C$28,dimensiones!$D$21:$D$28,""))</f>
        <v>ATEL</v>
      </c>
      <c r="J615" s="125" t="str">
        <f>_xlfn.XLOOKUP(CARTERA_2026[[#This Row],[REGION]],dimensiones!C:C,dimensiones!D:D,"")</f>
        <v>Región de Metropolitana de Santiago</v>
      </c>
    </row>
    <row r="616" spans="1:10" ht="14.25" customHeight="1" x14ac:dyDescent="0.25">
      <c r="A616">
        <v>690728001</v>
      </c>
      <c r="B616" t="s">
        <v>4065</v>
      </c>
      <c r="C616" t="s">
        <v>4490</v>
      </c>
      <c r="D616">
        <v>5</v>
      </c>
      <c r="E616" t="s">
        <v>4445</v>
      </c>
      <c r="F616" t="s">
        <v>4064</v>
      </c>
      <c r="G616" t="s">
        <v>5575</v>
      </c>
      <c r="H616" t="s">
        <v>4957</v>
      </c>
      <c r="I616" s="79" t="str">
        <f>IF(CARTERA_2026[[#This Row],[RUT]]=774097899,"DIST",_xlfn.XLOOKUP(CARTERA_2026[[#This Row],[VENDEDOR]],dimensiones!$C$21:$C$28,dimensiones!$D$21:$D$28,""))</f>
        <v>ATEL</v>
      </c>
      <c r="J616" s="125" t="str">
        <f>_xlfn.XLOOKUP(CARTERA_2026[[#This Row],[REGION]],dimensiones!C:C,dimensiones!D:D,"")</f>
        <v>Región de Valparaíso</v>
      </c>
    </row>
    <row r="617" spans="1:10" ht="14.25" customHeight="1" x14ac:dyDescent="0.25">
      <c r="A617">
        <v>690730006</v>
      </c>
      <c r="B617" t="s">
        <v>310</v>
      </c>
      <c r="C617" t="s">
        <v>4317</v>
      </c>
      <c r="D617">
        <v>13</v>
      </c>
      <c r="E617" t="s">
        <v>4445</v>
      </c>
      <c r="F617" t="s">
        <v>1594</v>
      </c>
      <c r="G617" t="s">
        <v>5575</v>
      </c>
      <c r="H617" t="s">
        <v>4957</v>
      </c>
      <c r="I617" s="79" t="str">
        <f>IF(CARTERA_2026[[#This Row],[RUT]]=774097899,"DIST",_xlfn.XLOOKUP(CARTERA_2026[[#This Row],[VENDEDOR]],dimensiones!$C$21:$C$28,dimensiones!$D$21:$D$28,""))</f>
        <v>ATEL</v>
      </c>
      <c r="J617" s="125" t="str">
        <f>_xlfn.XLOOKUP(CARTERA_2026[[#This Row],[REGION]],dimensiones!C:C,dimensiones!D:D,"")</f>
        <v>Región de Metropolitana de Santiago</v>
      </c>
    </row>
    <row r="618" spans="1:10" ht="14.25" customHeight="1" x14ac:dyDescent="0.25">
      <c r="A618">
        <v>690731002</v>
      </c>
      <c r="B618" t="s">
        <v>311</v>
      </c>
      <c r="C618" t="s">
        <v>4318</v>
      </c>
      <c r="D618">
        <v>13</v>
      </c>
      <c r="E618" t="s">
        <v>4445</v>
      </c>
      <c r="F618" t="s">
        <v>4067</v>
      </c>
      <c r="G618" t="s">
        <v>5575</v>
      </c>
      <c r="H618" t="s">
        <v>4957</v>
      </c>
      <c r="I618" s="79" t="str">
        <f>IF(CARTERA_2026[[#This Row],[RUT]]=774097899,"DIST",_xlfn.XLOOKUP(CARTERA_2026[[#This Row],[VENDEDOR]],dimensiones!$C$21:$C$28,dimensiones!$D$21:$D$28,""))</f>
        <v>ATEL</v>
      </c>
      <c r="J618" s="125" t="str">
        <f>_xlfn.XLOOKUP(CARTERA_2026[[#This Row],[REGION]],dimensiones!C:C,dimensiones!D:D,"")</f>
        <v>Región de Metropolitana de Santiago</v>
      </c>
    </row>
    <row r="619" spans="1:10" ht="14.25" customHeight="1" x14ac:dyDescent="0.25">
      <c r="A619">
        <v>690732009</v>
      </c>
      <c r="B619" t="s">
        <v>950</v>
      </c>
      <c r="C619" t="s">
        <v>4814</v>
      </c>
      <c r="D619">
        <v>13</v>
      </c>
      <c r="E619" t="s">
        <v>4445</v>
      </c>
      <c r="F619" t="s">
        <v>2487</v>
      </c>
      <c r="G619" t="s">
        <v>5575</v>
      </c>
      <c r="H619" t="s">
        <v>4957</v>
      </c>
      <c r="I619" s="79" t="str">
        <f>IF(CARTERA_2026[[#This Row],[RUT]]=774097899,"DIST",_xlfn.XLOOKUP(CARTERA_2026[[#This Row],[VENDEDOR]],dimensiones!$C$21:$C$28,dimensiones!$D$21:$D$28,""))</f>
        <v>ATEL</v>
      </c>
      <c r="J619" s="125" t="str">
        <f>_xlfn.XLOOKUP(CARTERA_2026[[#This Row],[REGION]],dimensiones!C:C,dimensiones!D:D,"")</f>
        <v>Región de Metropolitana de Santiago</v>
      </c>
    </row>
    <row r="620" spans="1:10" ht="14.25" customHeight="1" x14ac:dyDescent="0.25">
      <c r="A620">
        <v>690734001</v>
      </c>
      <c r="B620" t="s">
        <v>82</v>
      </c>
      <c r="C620" t="s">
        <v>4198</v>
      </c>
      <c r="D620">
        <v>5</v>
      </c>
      <c r="E620" t="s">
        <v>4445</v>
      </c>
      <c r="F620" t="s">
        <v>1722</v>
      </c>
      <c r="G620" t="s">
        <v>5575</v>
      </c>
      <c r="H620" t="s">
        <v>4957</v>
      </c>
      <c r="I620" s="79" t="str">
        <f>IF(CARTERA_2026[[#This Row],[RUT]]=774097899,"DIST",_xlfn.XLOOKUP(CARTERA_2026[[#This Row],[VENDEDOR]],dimensiones!$C$21:$C$28,dimensiones!$D$21:$D$28,""))</f>
        <v>ATEL</v>
      </c>
      <c r="J620" s="125" t="str">
        <f>_xlfn.XLOOKUP(CARTERA_2026[[#This Row],[REGION]],dimensiones!C:C,dimensiones!D:D,"")</f>
        <v>Región de Valparaíso</v>
      </c>
    </row>
    <row r="621" spans="1:10" ht="14.25" customHeight="1" x14ac:dyDescent="0.25">
      <c r="A621">
        <v>690735008</v>
      </c>
      <c r="B621" t="s">
        <v>787</v>
      </c>
      <c r="C621" t="s">
        <v>4319</v>
      </c>
      <c r="D621">
        <v>5</v>
      </c>
      <c r="E621" t="s">
        <v>4445</v>
      </c>
      <c r="F621" t="s">
        <v>1704</v>
      </c>
      <c r="G621" t="s">
        <v>5575</v>
      </c>
      <c r="H621" t="s">
        <v>4957</v>
      </c>
      <c r="I621" s="79" t="str">
        <f>IF(CARTERA_2026[[#This Row],[RUT]]=774097899,"DIST",_xlfn.XLOOKUP(CARTERA_2026[[#This Row],[VENDEDOR]],dimensiones!$C$21:$C$28,dimensiones!$D$21:$D$28,""))</f>
        <v>ATEL</v>
      </c>
      <c r="J621" s="125" t="str">
        <f>_xlfn.XLOOKUP(CARTERA_2026[[#This Row],[REGION]],dimensiones!C:C,dimensiones!D:D,"")</f>
        <v>Región de Valparaíso</v>
      </c>
    </row>
    <row r="622" spans="1:10" ht="14.25" customHeight="1" x14ac:dyDescent="0.25">
      <c r="A622">
        <v>690736004</v>
      </c>
      <c r="B622" t="s">
        <v>312</v>
      </c>
      <c r="C622" t="s">
        <v>4320</v>
      </c>
      <c r="D622">
        <v>5</v>
      </c>
      <c r="E622" t="s">
        <v>4445</v>
      </c>
      <c r="F622" t="s">
        <v>1727</v>
      </c>
      <c r="G622" t="s">
        <v>5575</v>
      </c>
      <c r="H622" t="s">
        <v>4957</v>
      </c>
      <c r="I622" s="79" t="str">
        <f>IF(CARTERA_2026[[#This Row],[RUT]]=774097899,"DIST",_xlfn.XLOOKUP(CARTERA_2026[[#This Row],[VENDEDOR]],dimensiones!$C$21:$C$28,dimensiones!$D$21:$D$28,""))</f>
        <v>ATEL</v>
      </c>
      <c r="J622" s="125" t="str">
        <f>_xlfn.XLOOKUP(CARTERA_2026[[#This Row],[REGION]],dimensiones!C:C,dimensiones!D:D,"")</f>
        <v>Región de Valparaíso</v>
      </c>
    </row>
    <row r="623" spans="1:10" ht="14.25" customHeight="1" x14ac:dyDescent="0.25">
      <c r="A623">
        <v>690737000</v>
      </c>
      <c r="B623" t="s">
        <v>313</v>
      </c>
      <c r="C623" t="s">
        <v>4321</v>
      </c>
      <c r="D623">
        <v>5</v>
      </c>
      <c r="E623" t="s">
        <v>4445</v>
      </c>
      <c r="F623" t="s">
        <v>1326</v>
      </c>
      <c r="G623" t="s">
        <v>5575</v>
      </c>
      <c r="H623" t="s">
        <v>4957</v>
      </c>
      <c r="I623" s="79" t="str">
        <f>IF(CARTERA_2026[[#This Row],[RUT]]=774097899,"DIST",_xlfn.XLOOKUP(CARTERA_2026[[#This Row],[VENDEDOR]],dimensiones!$C$21:$C$28,dimensiones!$D$21:$D$28,""))</f>
        <v>ATEL</v>
      </c>
      <c r="J623" s="125" t="str">
        <f>_xlfn.XLOOKUP(CARTERA_2026[[#This Row],[REGION]],dimensiones!C:C,dimensiones!D:D,"")</f>
        <v>Región de Valparaíso</v>
      </c>
    </row>
    <row r="624" spans="1:10" ht="14.25" customHeight="1" x14ac:dyDescent="0.25">
      <c r="A624">
        <v>690738007</v>
      </c>
      <c r="B624" t="s">
        <v>314</v>
      </c>
      <c r="C624" t="s">
        <v>4322</v>
      </c>
      <c r="D624">
        <v>6</v>
      </c>
      <c r="E624" t="s">
        <v>4445</v>
      </c>
      <c r="F624" t="s">
        <v>1627</v>
      </c>
      <c r="G624" t="s">
        <v>5575</v>
      </c>
      <c r="H624" t="s">
        <v>4957</v>
      </c>
      <c r="I624" s="79" t="str">
        <f>IF(CARTERA_2026[[#This Row],[RUT]]=774097899,"DIST",_xlfn.XLOOKUP(CARTERA_2026[[#This Row],[VENDEDOR]],dimensiones!$C$21:$C$28,dimensiones!$D$21:$D$28,""))</f>
        <v>ATEL</v>
      </c>
      <c r="J624" s="125" t="str">
        <f>_xlfn.XLOOKUP(CARTERA_2026[[#This Row],[REGION]],dimensiones!C:C,dimensiones!D:D,"")</f>
        <v>Región de Libertador General Bernardo O'Higgins</v>
      </c>
    </row>
    <row r="625" spans="1:10" ht="14.25" customHeight="1" x14ac:dyDescent="0.25">
      <c r="A625">
        <v>690802007</v>
      </c>
      <c r="B625" t="s">
        <v>315</v>
      </c>
      <c r="C625" t="s">
        <v>4531</v>
      </c>
      <c r="D625">
        <v>6</v>
      </c>
      <c r="E625" t="s">
        <v>4445</v>
      </c>
      <c r="F625" t="s">
        <v>1407</v>
      </c>
      <c r="G625" t="s">
        <v>5575</v>
      </c>
      <c r="H625" t="s">
        <v>4957</v>
      </c>
      <c r="I625" s="79" t="str">
        <f>IF(CARTERA_2026[[#This Row],[RUT]]=774097899,"DIST",_xlfn.XLOOKUP(CARTERA_2026[[#This Row],[VENDEDOR]],dimensiones!$C$21:$C$28,dimensiones!$D$21:$D$28,""))</f>
        <v>ATEL</v>
      </c>
      <c r="J625" s="125" t="str">
        <f>_xlfn.XLOOKUP(CARTERA_2026[[#This Row],[REGION]],dimensiones!C:C,dimensiones!D:D,"")</f>
        <v>Región de Libertador General Bernardo O'Higgins</v>
      </c>
    </row>
    <row r="626" spans="1:10" ht="14.25" customHeight="1" x14ac:dyDescent="0.25">
      <c r="A626" t="s">
        <v>678</v>
      </c>
      <c r="B626" t="s">
        <v>877</v>
      </c>
      <c r="C626" t="s">
        <v>4323</v>
      </c>
      <c r="D626">
        <v>6</v>
      </c>
      <c r="E626" t="s">
        <v>4445</v>
      </c>
      <c r="F626" t="s">
        <v>1893</v>
      </c>
      <c r="G626" t="s">
        <v>5575</v>
      </c>
      <c r="H626" t="s">
        <v>4957</v>
      </c>
      <c r="I626" s="79" t="str">
        <f>IF(CARTERA_2026[[#This Row],[RUT]]=774097899,"DIST",_xlfn.XLOOKUP(CARTERA_2026[[#This Row],[VENDEDOR]],dimensiones!$C$21:$C$28,dimensiones!$D$21:$D$28,""))</f>
        <v>ATEL</v>
      </c>
      <c r="J626" s="125" t="str">
        <f>_xlfn.XLOOKUP(CARTERA_2026[[#This Row],[REGION]],dimensiones!C:C,dimensiones!D:D,"")</f>
        <v>Región de Libertador General Bernardo O'Higgins</v>
      </c>
    </row>
    <row r="627" spans="1:10" ht="14.25" customHeight="1" x14ac:dyDescent="0.25">
      <c r="A627">
        <v>690805006</v>
      </c>
      <c r="B627" t="s">
        <v>316</v>
      </c>
      <c r="C627" t="s">
        <v>4324</v>
      </c>
      <c r="D627">
        <v>6</v>
      </c>
      <c r="E627" t="s">
        <v>4445</v>
      </c>
      <c r="F627" t="s">
        <v>1769</v>
      </c>
      <c r="G627" t="s">
        <v>5575</v>
      </c>
      <c r="H627" t="s">
        <v>4957</v>
      </c>
      <c r="I627" s="79" t="str">
        <f>IF(CARTERA_2026[[#This Row],[RUT]]=774097899,"DIST",_xlfn.XLOOKUP(CARTERA_2026[[#This Row],[VENDEDOR]],dimensiones!$C$21:$C$28,dimensiones!$D$21:$D$28,""))</f>
        <v>ATEL</v>
      </c>
      <c r="J627" s="125" t="str">
        <f>_xlfn.XLOOKUP(CARTERA_2026[[#This Row],[REGION]],dimensiones!C:C,dimensiones!D:D,"")</f>
        <v>Región de Libertador General Bernardo O'Higgins</v>
      </c>
    </row>
    <row r="628" spans="1:10" ht="14.25" customHeight="1" x14ac:dyDescent="0.25">
      <c r="A628">
        <v>690806002</v>
      </c>
      <c r="B628" t="s">
        <v>317</v>
      </c>
      <c r="C628" t="s">
        <v>4325</v>
      </c>
      <c r="D628">
        <v>6</v>
      </c>
      <c r="E628" t="s">
        <v>4445</v>
      </c>
      <c r="F628" t="s">
        <v>1510</v>
      </c>
      <c r="G628" t="s">
        <v>5575</v>
      </c>
      <c r="H628" t="s">
        <v>4957</v>
      </c>
      <c r="I628" s="79" t="str">
        <f>IF(CARTERA_2026[[#This Row],[RUT]]=774097899,"DIST",_xlfn.XLOOKUP(CARTERA_2026[[#This Row],[VENDEDOR]],dimensiones!$C$21:$C$28,dimensiones!$D$21:$D$28,""))</f>
        <v>ATEL</v>
      </c>
      <c r="J628" s="125" t="str">
        <f>_xlfn.XLOOKUP(CARTERA_2026[[#This Row],[REGION]],dimensiones!C:C,dimensiones!D:D,"")</f>
        <v>Región de Libertador General Bernardo O'Higgins</v>
      </c>
    </row>
    <row r="629" spans="1:10" ht="14.25" customHeight="1" x14ac:dyDescent="0.25">
      <c r="A629">
        <v>690807009</v>
      </c>
      <c r="B629" t="s">
        <v>318</v>
      </c>
      <c r="C629" t="s">
        <v>4326</v>
      </c>
      <c r="D629">
        <v>6</v>
      </c>
      <c r="E629" t="s">
        <v>4445</v>
      </c>
      <c r="F629" t="s">
        <v>2345</v>
      </c>
      <c r="G629" t="s">
        <v>5575</v>
      </c>
      <c r="H629" t="s">
        <v>4957</v>
      </c>
      <c r="I629" s="79" t="str">
        <f>IF(CARTERA_2026[[#This Row],[RUT]]=774097899,"DIST",_xlfn.XLOOKUP(CARTERA_2026[[#This Row],[VENDEDOR]],dimensiones!$C$21:$C$28,dimensiones!$D$21:$D$28,""))</f>
        <v>ATEL</v>
      </c>
      <c r="J629" s="125" t="str">
        <f>_xlfn.XLOOKUP(CARTERA_2026[[#This Row],[REGION]],dimensiones!C:C,dimensiones!D:D,"")</f>
        <v>Región de Libertador General Bernardo O'Higgins</v>
      </c>
    </row>
    <row r="630" spans="1:10" ht="14.25" customHeight="1" x14ac:dyDescent="0.25">
      <c r="A630">
        <v>690808005</v>
      </c>
      <c r="B630" t="s">
        <v>902</v>
      </c>
      <c r="C630" t="s">
        <v>4327</v>
      </c>
      <c r="D630">
        <v>6</v>
      </c>
      <c r="E630" t="s">
        <v>4445</v>
      </c>
      <c r="F630" t="s">
        <v>1429</v>
      </c>
      <c r="G630" t="s">
        <v>5575</v>
      </c>
      <c r="H630" t="s">
        <v>4957</v>
      </c>
      <c r="I630" s="79" t="str">
        <f>IF(CARTERA_2026[[#This Row],[RUT]]=774097899,"DIST",_xlfn.XLOOKUP(CARTERA_2026[[#This Row],[VENDEDOR]],dimensiones!$C$21:$C$28,dimensiones!$D$21:$D$28,""))</f>
        <v>ATEL</v>
      </c>
      <c r="J630" s="125" t="str">
        <f>_xlfn.XLOOKUP(CARTERA_2026[[#This Row],[REGION]],dimensiones!C:C,dimensiones!D:D,"")</f>
        <v>Región de Libertador General Bernardo O'Higgins</v>
      </c>
    </row>
    <row r="631" spans="1:10" ht="14.25" customHeight="1" x14ac:dyDescent="0.25">
      <c r="A631">
        <v>690809001</v>
      </c>
      <c r="B631" t="s">
        <v>1747</v>
      </c>
      <c r="C631" t="s">
        <v>4201</v>
      </c>
      <c r="D631">
        <v>6</v>
      </c>
      <c r="E631" t="s">
        <v>4445</v>
      </c>
      <c r="F631" t="s">
        <v>1746</v>
      </c>
      <c r="G631" t="s">
        <v>5575</v>
      </c>
      <c r="H631" t="s">
        <v>4957</v>
      </c>
      <c r="I631" s="79" t="str">
        <f>IF(CARTERA_2026[[#This Row],[RUT]]=774097899,"DIST",_xlfn.XLOOKUP(CARTERA_2026[[#This Row],[VENDEDOR]],dimensiones!$C$21:$C$28,dimensiones!$D$21:$D$28,""))</f>
        <v>ATEL</v>
      </c>
      <c r="J631" s="125" t="str">
        <f>_xlfn.XLOOKUP(CARTERA_2026[[#This Row],[REGION]],dimensiones!C:C,dimensiones!D:D,"")</f>
        <v>Región de Libertador General Bernardo O'Higgins</v>
      </c>
    </row>
    <row r="632" spans="1:10" ht="14.25" customHeight="1" x14ac:dyDescent="0.25">
      <c r="A632" t="s">
        <v>679</v>
      </c>
      <c r="B632" t="s">
        <v>878</v>
      </c>
      <c r="C632" t="s">
        <v>4473</v>
      </c>
      <c r="D632">
        <v>6</v>
      </c>
      <c r="E632" t="s">
        <v>4445</v>
      </c>
      <c r="F632" t="s">
        <v>2360</v>
      </c>
      <c r="G632" t="s">
        <v>5575</v>
      </c>
      <c r="H632" t="s">
        <v>4957</v>
      </c>
      <c r="I632" s="79" t="str">
        <f>IF(CARTERA_2026[[#This Row],[RUT]]=774097899,"DIST",_xlfn.XLOOKUP(CARTERA_2026[[#This Row],[VENDEDOR]],dimensiones!$C$21:$C$28,dimensiones!$D$21:$D$28,""))</f>
        <v>ATEL</v>
      </c>
      <c r="J632" s="125" t="str">
        <f>_xlfn.XLOOKUP(CARTERA_2026[[#This Row],[REGION]],dimensiones!C:C,dimensiones!D:D,"")</f>
        <v>Región de Libertador General Bernardo O'Higgins</v>
      </c>
    </row>
    <row r="633" spans="1:10" ht="14.25" customHeight="1" x14ac:dyDescent="0.25">
      <c r="A633">
        <v>690811006</v>
      </c>
      <c r="B633" t="s">
        <v>788</v>
      </c>
      <c r="C633" t="s">
        <v>4202</v>
      </c>
      <c r="D633">
        <v>6</v>
      </c>
      <c r="E633" t="s">
        <v>4445</v>
      </c>
      <c r="F633" t="s">
        <v>4149</v>
      </c>
      <c r="G633" t="s">
        <v>5575</v>
      </c>
      <c r="H633" t="s">
        <v>4957</v>
      </c>
      <c r="I633" s="79" t="str">
        <f>IF(CARTERA_2026[[#This Row],[RUT]]=774097899,"DIST",_xlfn.XLOOKUP(CARTERA_2026[[#This Row],[VENDEDOR]],dimensiones!$C$21:$C$28,dimensiones!$D$21:$D$28,""))</f>
        <v>ATEL</v>
      </c>
      <c r="J633" s="125" t="str">
        <f>_xlfn.XLOOKUP(CARTERA_2026[[#This Row],[REGION]],dimensiones!C:C,dimensiones!D:D,"")</f>
        <v>Región de Libertador General Bernardo O'Higgins</v>
      </c>
    </row>
    <row r="634" spans="1:10" ht="14.25" customHeight="1" x14ac:dyDescent="0.25">
      <c r="A634">
        <v>690812002</v>
      </c>
      <c r="B634" t="s">
        <v>319</v>
      </c>
      <c r="C634" t="s">
        <v>4200</v>
      </c>
      <c r="D634">
        <v>6</v>
      </c>
      <c r="E634" t="s">
        <v>4445</v>
      </c>
      <c r="F634" t="s">
        <v>1396</v>
      </c>
      <c r="G634" t="s">
        <v>5575</v>
      </c>
      <c r="H634" t="s">
        <v>4957</v>
      </c>
      <c r="I634" s="79" t="str">
        <f>IF(CARTERA_2026[[#This Row],[RUT]]=774097899,"DIST",_xlfn.XLOOKUP(CARTERA_2026[[#This Row],[VENDEDOR]],dimensiones!$C$21:$C$28,dimensiones!$D$21:$D$28,""))</f>
        <v>ATEL</v>
      </c>
      <c r="J634" s="125" t="str">
        <f>_xlfn.XLOOKUP(CARTERA_2026[[#This Row],[REGION]],dimensiones!C:C,dimensiones!D:D,"")</f>
        <v>Región de Libertador General Bernardo O'Higgins</v>
      </c>
    </row>
    <row r="635" spans="1:10" ht="14.25" customHeight="1" x14ac:dyDescent="0.25">
      <c r="A635">
        <v>690813009</v>
      </c>
      <c r="B635" t="s">
        <v>320</v>
      </c>
      <c r="C635" t="s">
        <v>4532</v>
      </c>
      <c r="D635">
        <v>6</v>
      </c>
      <c r="E635" t="s">
        <v>4445</v>
      </c>
      <c r="F635" t="s">
        <v>1387</v>
      </c>
      <c r="G635" t="s">
        <v>5575</v>
      </c>
      <c r="H635" t="s">
        <v>4957</v>
      </c>
      <c r="I635" s="79" t="str">
        <f>IF(CARTERA_2026[[#This Row],[RUT]]=774097899,"DIST",_xlfn.XLOOKUP(CARTERA_2026[[#This Row],[VENDEDOR]],dimensiones!$C$21:$C$28,dimensiones!$D$21:$D$28,""))</f>
        <v>ATEL</v>
      </c>
      <c r="J635" s="125" t="str">
        <f>_xlfn.XLOOKUP(CARTERA_2026[[#This Row],[REGION]],dimensiones!C:C,dimensiones!D:D,"")</f>
        <v>Región de Libertador General Bernardo O'Higgins</v>
      </c>
    </row>
    <row r="636" spans="1:10" ht="14.25" customHeight="1" x14ac:dyDescent="0.25">
      <c r="A636">
        <v>690814005</v>
      </c>
      <c r="B636" t="s">
        <v>903</v>
      </c>
      <c r="C636" t="s">
        <v>4533</v>
      </c>
      <c r="D636">
        <v>6</v>
      </c>
      <c r="E636" t="s">
        <v>4445</v>
      </c>
      <c r="F636" t="s">
        <v>1756</v>
      </c>
      <c r="G636" t="s">
        <v>5575</v>
      </c>
      <c r="H636" t="s">
        <v>4957</v>
      </c>
      <c r="I636" s="79" t="str">
        <f>IF(CARTERA_2026[[#This Row],[RUT]]=774097899,"DIST",_xlfn.XLOOKUP(CARTERA_2026[[#This Row],[VENDEDOR]],dimensiones!$C$21:$C$28,dimensiones!$D$21:$D$28,""))</f>
        <v>ATEL</v>
      </c>
      <c r="J636" s="125" t="str">
        <f>_xlfn.XLOOKUP(CARTERA_2026[[#This Row],[REGION]],dimensiones!C:C,dimensiones!D:D,"")</f>
        <v>Región de Libertador General Bernardo O'Higgins</v>
      </c>
    </row>
    <row r="637" spans="1:10" ht="14.25" customHeight="1" x14ac:dyDescent="0.25">
      <c r="A637">
        <v>690815001</v>
      </c>
      <c r="B637" t="s">
        <v>789</v>
      </c>
      <c r="C637" t="s">
        <v>4328</v>
      </c>
      <c r="D637">
        <v>6</v>
      </c>
      <c r="E637" t="s">
        <v>4445</v>
      </c>
      <c r="F637" t="s">
        <v>2626</v>
      </c>
      <c r="G637" t="s">
        <v>5575</v>
      </c>
      <c r="H637" t="s">
        <v>4957</v>
      </c>
      <c r="I637" s="79" t="str">
        <f>IF(CARTERA_2026[[#This Row],[RUT]]=774097899,"DIST",_xlfn.XLOOKUP(CARTERA_2026[[#This Row],[VENDEDOR]],dimensiones!$C$21:$C$28,dimensiones!$D$21:$D$28,""))</f>
        <v>ATEL</v>
      </c>
      <c r="J637" s="125" t="str">
        <f>_xlfn.XLOOKUP(CARTERA_2026[[#This Row],[REGION]],dimensiones!C:C,dimensiones!D:D,"")</f>
        <v>Región de Libertador General Bernardo O'Higgins</v>
      </c>
    </row>
    <row r="638" spans="1:10" ht="14.25" customHeight="1" x14ac:dyDescent="0.25">
      <c r="A638">
        <v>690817004</v>
      </c>
      <c r="B638" t="s">
        <v>321</v>
      </c>
      <c r="C638" t="s">
        <v>4329</v>
      </c>
      <c r="D638">
        <v>6</v>
      </c>
      <c r="E638" t="s">
        <v>4445</v>
      </c>
      <c r="F638" t="s">
        <v>1761</v>
      </c>
      <c r="G638" t="s">
        <v>5575</v>
      </c>
      <c r="H638" t="s">
        <v>4957</v>
      </c>
      <c r="I638" s="79" t="str">
        <f>IF(CARTERA_2026[[#This Row],[RUT]]=774097899,"DIST",_xlfn.XLOOKUP(CARTERA_2026[[#This Row],[VENDEDOR]],dimensiones!$C$21:$C$28,dimensiones!$D$21:$D$28,""))</f>
        <v>ATEL</v>
      </c>
      <c r="J638" s="125" t="str">
        <f>_xlfn.XLOOKUP(CARTERA_2026[[#This Row],[REGION]],dimensiones!C:C,dimensiones!D:D,"")</f>
        <v>Región de Libertador General Bernardo O'Higgins</v>
      </c>
    </row>
    <row r="639" spans="1:10" ht="14.25" customHeight="1" x14ac:dyDescent="0.25">
      <c r="A639">
        <v>690902001</v>
      </c>
      <c r="B639" t="s">
        <v>790</v>
      </c>
      <c r="C639" t="s">
        <v>4330</v>
      </c>
      <c r="D639">
        <v>6</v>
      </c>
      <c r="E639" t="s">
        <v>4445</v>
      </c>
      <c r="F639" t="s">
        <v>1763</v>
      </c>
      <c r="G639" t="s">
        <v>5575</v>
      </c>
      <c r="H639" t="s">
        <v>4957</v>
      </c>
      <c r="I639" s="79" t="str">
        <f>IF(CARTERA_2026[[#This Row],[RUT]]=774097899,"DIST",_xlfn.XLOOKUP(CARTERA_2026[[#This Row],[VENDEDOR]],dimensiones!$C$21:$C$28,dimensiones!$D$21:$D$28,""))</f>
        <v>ATEL</v>
      </c>
      <c r="J639" s="125" t="str">
        <f>_xlfn.XLOOKUP(CARTERA_2026[[#This Row],[REGION]],dimensiones!C:C,dimensiones!D:D,"")</f>
        <v>Región de Libertador General Bernardo O'Higgins</v>
      </c>
    </row>
    <row r="640" spans="1:10" ht="14.25" customHeight="1" x14ac:dyDescent="0.25">
      <c r="A640">
        <v>690903008</v>
      </c>
      <c r="B640" t="s">
        <v>322</v>
      </c>
      <c r="C640" t="s">
        <v>4204</v>
      </c>
      <c r="D640">
        <v>6</v>
      </c>
      <c r="E640" t="s">
        <v>4445</v>
      </c>
      <c r="F640" t="s">
        <v>1765</v>
      </c>
      <c r="G640" t="s">
        <v>5575</v>
      </c>
      <c r="H640" t="s">
        <v>4957</v>
      </c>
      <c r="I640" s="79" t="str">
        <f>IF(CARTERA_2026[[#This Row],[RUT]]=774097899,"DIST",_xlfn.XLOOKUP(CARTERA_2026[[#This Row],[VENDEDOR]],dimensiones!$C$21:$C$28,dimensiones!$D$21:$D$28,""))</f>
        <v>ATEL</v>
      </c>
      <c r="J640" s="125" t="str">
        <f>_xlfn.XLOOKUP(CARTERA_2026[[#This Row],[REGION]],dimensiones!C:C,dimensiones!D:D,"")</f>
        <v>Región de Libertador General Bernardo O'Higgins</v>
      </c>
    </row>
    <row r="641" spans="1:10" ht="14.25" customHeight="1" x14ac:dyDescent="0.25">
      <c r="A641">
        <v>690904004</v>
      </c>
      <c r="B641" t="s">
        <v>323</v>
      </c>
      <c r="C641" t="s">
        <v>4205</v>
      </c>
      <c r="D641">
        <v>6</v>
      </c>
      <c r="E641" t="s">
        <v>4445</v>
      </c>
      <c r="F641" t="s">
        <v>1767</v>
      </c>
      <c r="G641" t="s">
        <v>5575</v>
      </c>
      <c r="H641" t="s">
        <v>4957</v>
      </c>
      <c r="I641" s="79" t="str">
        <f>IF(CARTERA_2026[[#This Row],[RUT]]=774097899,"DIST",_xlfn.XLOOKUP(CARTERA_2026[[#This Row],[VENDEDOR]],dimensiones!$C$21:$C$28,dimensiones!$D$21:$D$28,""))</f>
        <v>ATEL</v>
      </c>
      <c r="J641" s="125" t="str">
        <f>_xlfn.XLOOKUP(CARTERA_2026[[#This Row],[REGION]],dimensiones!C:C,dimensiones!D:D,"")</f>
        <v>Región de Libertador General Bernardo O'Higgins</v>
      </c>
    </row>
    <row r="642" spans="1:10" ht="14.25" customHeight="1" x14ac:dyDescent="0.25">
      <c r="A642">
        <v>690905000</v>
      </c>
      <c r="B642" t="s">
        <v>904</v>
      </c>
      <c r="C642" t="s">
        <v>4207</v>
      </c>
      <c r="D642">
        <v>6</v>
      </c>
      <c r="E642" t="s">
        <v>4445</v>
      </c>
      <c r="F642" t="s">
        <v>1298</v>
      </c>
      <c r="G642" t="s">
        <v>5575</v>
      </c>
      <c r="H642" t="s">
        <v>4957</v>
      </c>
      <c r="I642" s="79" t="str">
        <f>IF(CARTERA_2026[[#This Row],[RUT]]=774097899,"DIST",_xlfn.XLOOKUP(CARTERA_2026[[#This Row],[VENDEDOR]],dimensiones!$C$21:$C$28,dimensiones!$D$21:$D$28,""))</f>
        <v>ATEL</v>
      </c>
      <c r="J642" s="125" t="str">
        <f>_xlfn.XLOOKUP(CARTERA_2026[[#This Row],[REGION]],dimensiones!C:C,dimensiones!D:D,"")</f>
        <v>Región de Libertador General Bernardo O'Higgins</v>
      </c>
    </row>
    <row r="643" spans="1:10" ht="14.25" customHeight="1" x14ac:dyDescent="0.25">
      <c r="A643">
        <v>690906007</v>
      </c>
      <c r="B643" t="s">
        <v>324</v>
      </c>
      <c r="C643" t="s">
        <v>4206</v>
      </c>
      <c r="D643">
        <v>6</v>
      </c>
      <c r="E643" t="s">
        <v>4445</v>
      </c>
      <c r="F643" t="s">
        <v>1976</v>
      </c>
      <c r="G643" t="s">
        <v>5575</v>
      </c>
      <c r="H643" t="s">
        <v>4957</v>
      </c>
      <c r="I643" s="79" t="str">
        <f>IF(CARTERA_2026[[#This Row],[RUT]]=774097899,"DIST",_xlfn.XLOOKUP(CARTERA_2026[[#This Row],[VENDEDOR]],dimensiones!$C$21:$C$28,dimensiones!$D$21:$D$28,""))</f>
        <v>ATEL</v>
      </c>
      <c r="J643" s="125" t="str">
        <f>_xlfn.XLOOKUP(CARTERA_2026[[#This Row],[REGION]],dimensiones!C:C,dimensiones!D:D,"")</f>
        <v>Región de Libertador General Bernardo O'Higgins</v>
      </c>
    </row>
    <row r="644" spans="1:10" ht="14.25" customHeight="1" x14ac:dyDescent="0.25">
      <c r="A644">
        <v>690907003</v>
      </c>
      <c r="B644" t="s">
        <v>325</v>
      </c>
      <c r="C644" t="s">
        <v>4534</v>
      </c>
      <c r="D644">
        <v>6</v>
      </c>
      <c r="E644" t="s">
        <v>4445</v>
      </c>
      <c r="F644" t="s">
        <v>1774</v>
      </c>
      <c r="G644" t="s">
        <v>5575</v>
      </c>
      <c r="H644" t="s">
        <v>4957</v>
      </c>
      <c r="I644" s="79" t="str">
        <f>IF(CARTERA_2026[[#This Row],[RUT]]=774097899,"DIST",_xlfn.XLOOKUP(CARTERA_2026[[#This Row],[VENDEDOR]],dimensiones!$C$21:$C$28,dimensiones!$D$21:$D$28,""))</f>
        <v>ATEL</v>
      </c>
      <c r="J644" s="125" t="str">
        <f>_xlfn.XLOOKUP(CARTERA_2026[[#This Row],[REGION]],dimensiones!C:C,dimensiones!D:D,"")</f>
        <v>Región de Libertador General Bernardo O'Higgins</v>
      </c>
    </row>
    <row r="645" spans="1:10" ht="14.25" customHeight="1" x14ac:dyDescent="0.25">
      <c r="A645" t="s">
        <v>680</v>
      </c>
      <c r="B645" t="s">
        <v>681</v>
      </c>
      <c r="C645" t="s">
        <v>4331</v>
      </c>
      <c r="D645">
        <v>6</v>
      </c>
      <c r="E645" t="s">
        <v>4445</v>
      </c>
      <c r="F645" t="s">
        <v>1296</v>
      </c>
      <c r="G645" t="s">
        <v>5575</v>
      </c>
      <c r="H645" t="s">
        <v>4957</v>
      </c>
      <c r="I645" s="79" t="str">
        <f>IF(CARTERA_2026[[#This Row],[RUT]]=774097899,"DIST",_xlfn.XLOOKUP(CARTERA_2026[[#This Row],[VENDEDOR]],dimensiones!$C$21:$C$28,dimensiones!$D$21:$D$28,""))</f>
        <v>ATEL</v>
      </c>
      <c r="J645" s="125" t="str">
        <f>_xlfn.XLOOKUP(CARTERA_2026[[#This Row],[REGION]],dimensiones!C:C,dimensiones!D:D,"")</f>
        <v>Región de Libertador General Bernardo O'Higgins</v>
      </c>
    </row>
    <row r="646" spans="1:10" ht="14.25" customHeight="1" x14ac:dyDescent="0.25">
      <c r="A646">
        <v>690909006</v>
      </c>
      <c r="B646" t="s">
        <v>326</v>
      </c>
      <c r="C646" t="s">
        <v>4332</v>
      </c>
      <c r="D646">
        <v>6</v>
      </c>
      <c r="E646" t="s">
        <v>4445</v>
      </c>
      <c r="F646" t="s">
        <v>1778</v>
      </c>
      <c r="G646" t="s">
        <v>5575</v>
      </c>
      <c r="H646" t="s">
        <v>4957</v>
      </c>
      <c r="I646" s="79" t="str">
        <f>IF(CARTERA_2026[[#This Row],[RUT]]=774097899,"DIST",_xlfn.XLOOKUP(CARTERA_2026[[#This Row],[VENDEDOR]],dimensiones!$C$21:$C$28,dimensiones!$D$21:$D$28,""))</f>
        <v>ATEL</v>
      </c>
      <c r="J646" s="125" t="str">
        <f>_xlfn.XLOOKUP(CARTERA_2026[[#This Row],[REGION]],dimensiones!C:C,dimensiones!D:D,"")</f>
        <v>Región de Libertador General Bernardo O'Higgins</v>
      </c>
    </row>
    <row r="647" spans="1:10" ht="14.25" customHeight="1" x14ac:dyDescent="0.25">
      <c r="A647">
        <v>690910004</v>
      </c>
      <c r="B647" t="s">
        <v>905</v>
      </c>
      <c r="C647" t="s">
        <v>4254</v>
      </c>
      <c r="D647">
        <v>6</v>
      </c>
      <c r="E647" t="s">
        <v>4445</v>
      </c>
      <c r="F647" t="s">
        <v>4057</v>
      </c>
      <c r="G647" t="s">
        <v>5575</v>
      </c>
      <c r="H647" t="s">
        <v>4957</v>
      </c>
      <c r="I647" s="79" t="str">
        <f>IF(CARTERA_2026[[#This Row],[RUT]]=774097899,"DIST",_xlfn.XLOOKUP(CARTERA_2026[[#This Row],[VENDEDOR]],dimensiones!$C$21:$C$28,dimensiones!$D$21:$D$28,""))</f>
        <v>ATEL</v>
      </c>
      <c r="J647" s="125" t="str">
        <f>_xlfn.XLOOKUP(CARTERA_2026[[#This Row],[REGION]],dimensiones!C:C,dimensiones!D:D,"")</f>
        <v>Región de Libertador General Bernardo O'Higgins</v>
      </c>
    </row>
    <row r="648" spans="1:10" ht="14.25" customHeight="1" x14ac:dyDescent="0.25">
      <c r="A648">
        <v>690911000</v>
      </c>
      <c r="B648" t="s">
        <v>1783</v>
      </c>
      <c r="C648" t="s">
        <v>4208</v>
      </c>
      <c r="D648">
        <v>6</v>
      </c>
      <c r="E648" t="s">
        <v>4445</v>
      </c>
      <c r="F648" t="s">
        <v>1782</v>
      </c>
      <c r="G648" t="s">
        <v>5575</v>
      </c>
      <c r="H648" t="s">
        <v>4957</v>
      </c>
      <c r="I648" s="79" t="str">
        <f>IF(CARTERA_2026[[#This Row],[RUT]]=774097899,"DIST",_xlfn.XLOOKUP(CARTERA_2026[[#This Row],[VENDEDOR]],dimensiones!$C$21:$C$28,dimensiones!$D$21:$D$28,""))</f>
        <v>ATEL</v>
      </c>
      <c r="J648" s="125" t="str">
        <f>_xlfn.XLOOKUP(CARTERA_2026[[#This Row],[REGION]],dimensiones!C:C,dimensiones!D:D,"")</f>
        <v>Región de Libertador General Bernardo O'Higgins</v>
      </c>
    </row>
    <row r="649" spans="1:10" ht="14.25" customHeight="1" x14ac:dyDescent="0.25">
      <c r="A649">
        <v>690912007</v>
      </c>
      <c r="B649" t="s">
        <v>327</v>
      </c>
      <c r="C649" t="s">
        <v>4209</v>
      </c>
      <c r="D649">
        <v>6</v>
      </c>
      <c r="E649" t="s">
        <v>4445</v>
      </c>
      <c r="F649" t="s">
        <v>1221</v>
      </c>
      <c r="G649" t="s">
        <v>5575</v>
      </c>
      <c r="H649" t="s">
        <v>4957</v>
      </c>
      <c r="I649" s="79" t="str">
        <f>IF(CARTERA_2026[[#This Row],[RUT]]=774097899,"DIST",_xlfn.XLOOKUP(CARTERA_2026[[#This Row],[VENDEDOR]],dimensiones!$C$21:$C$28,dimensiones!$D$21:$D$28,""))</f>
        <v>ATEL</v>
      </c>
      <c r="J649" s="125" t="str">
        <f>_xlfn.XLOOKUP(CARTERA_2026[[#This Row],[REGION]],dimensiones!C:C,dimensiones!D:D,"")</f>
        <v>Región de Libertador General Bernardo O'Higgins</v>
      </c>
    </row>
    <row r="650" spans="1:10" ht="14.25" customHeight="1" x14ac:dyDescent="0.25">
      <c r="A650">
        <v>690913003</v>
      </c>
      <c r="B650" t="s">
        <v>4417</v>
      </c>
      <c r="C650" t="s">
        <v>4474</v>
      </c>
      <c r="D650">
        <v>6</v>
      </c>
      <c r="E650" t="s">
        <v>4445</v>
      </c>
      <c r="F650" t="s">
        <v>4535</v>
      </c>
      <c r="G650" t="s">
        <v>5575</v>
      </c>
      <c r="H650" t="s">
        <v>4957</v>
      </c>
      <c r="I650" s="79" t="str">
        <f>IF(CARTERA_2026[[#This Row],[RUT]]=774097899,"DIST",_xlfn.XLOOKUP(CARTERA_2026[[#This Row],[VENDEDOR]],dimensiones!$C$21:$C$28,dimensiones!$D$21:$D$28,""))</f>
        <v>ATEL</v>
      </c>
      <c r="J650" s="125" t="str">
        <f>_xlfn.XLOOKUP(CARTERA_2026[[#This Row],[REGION]],dimensiones!C:C,dimensiones!D:D,"")</f>
        <v>Región de Libertador General Bernardo O'Higgins</v>
      </c>
    </row>
    <row r="651" spans="1:10" ht="14.25" customHeight="1" x14ac:dyDescent="0.25">
      <c r="A651" t="s">
        <v>682</v>
      </c>
      <c r="B651" t="s">
        <v>683</v>
      </c>
      <c r="C651" t="s">
        <v>4333</v>
      </c>
      <c r="D651">
        <v>6</v>
      </c>
      <c r="E651" t="s">
        <v>4445</v>
      </c>
      <c r="F651" t="s">
        <v>1736</v>
      </c>
      <c r="G651" t="s">
        <v>5575</v>
      </c>
      <c r="H651" t="s">
        <v>4957</v>
      </c>
      <c r="I651" s="79" t="str">
        <f>IF(CARTERA_2026[[#This Row],[RUT]]=774097899,"DIST",_xlfn.XLOOKUP(CARTERA_2026[[#This Row],[VENDEDOR]],dimensiones!$C$21:$C$28,dimensiones!$D$21:$D$28,""))</f>
        <v>ATEL</v>
      </c>
      <c r="J651" s="125" t="str">
        <f>_xlfn.XLOOKUP(CARTERA_2026[[#This Row],[REGION]],dimensiones!C:C,dimensiones!D:D,"")</f>
        <v>Región de Libertador General Bernardo O'Higgins</v>
      </c>
    </row>
    <row r="652" spans="1:10" ht="14.25" customHeight="1" x14ac:dyDescent="0.25">
      <c r="A652">
        <v>690915006</v>
      </c>
      <c r="B652" t="s">
        <v>328</v>
      </c>
      <c r="C652" t="s">
        <v>4334</v>
      </c>
      <c r="D652">
        <v>6</v>
      </c>
      <c r="E652" t="s">
        <v>4445</v>
      </c>
      <c r="F652" t="s">
        <v>1787</v>
      </c>
      <c r="G652" t="s">
        <v>5575</v>
      </c>
      <c r="H652" t="s">
        <v>4957</v>
      </c>
      <c r="I652" s="79" t="str">
        <f>IF(CARTERA_2026[[#This Row],[RUT]]=774097899,"DIST",_xlfn.XLOOKUP(CARTERA_2026[[#This Row],[VENDEDOR]],dimensiones!$C$21:$C$28,dimensiones!$D$21:$D$28,""))</f>
        <v>ATEL</v>
      </c>
      <c r="J652" s="125" t="str">
        <f>_xlfn.XLOOKUP(CARTERA_2026[[#This Row],[REGION]],dimensiones!C:C,dimensiones!D:D,"")</f>
        <v>Región de Libertador General Bernardo O'Higgins</v>
      </c>
    </row>
    <row r="653" spans="1:10" ht="14.25" customHeight="1" x14ac:dyDescent="0.25">
      <c r="A653">
        <v>691001008</v>
      </c>
      <c r="B653" t="s">
        <v>329</v>
      </c>
      <c r="C653" t="s">
        <v>4491</v>
      </c>
      <c r="D653">
        <v>7</v>
      </c>
      <c r="E653" t="s">
        <v>5729</v>
      </c>
      <c r="F653" t="s">
        <v>1789</v>
      </c>
      <c r="G653" t="s">
        <v>5575</v>
      </c>
      <c r="H653" t="s">
        <v>4957</v>
      </c>
      <c r="I653" s="79" t="str">
        <f>IF(CARTERA_2026[[#This Row],[RUT]]=774097899,"DIST",_xlfn.XLOOKUP(CARTERA_2026[[#This Row],[VENDEDOR]],dimensiones!$C$21:$C$28,dimensiones!$D$21:$D$28,""))</f>
        <v>SANT3</v>
      </c>
      <c r="J653" s="125" t="str">
        <f>_xlfn.XLOOKUP(CARTERA_2026[[#This Row],[REGION]],dimensiones!C:C,dimensiones!D:D,"")</f>
        <v>Región de Maule</v>
      </c>
    </row>
    <row r="654" spans="1:10" ht="14.25" customHeight="1" x14ac:dyDescent="0.25">
      <c r="A654">
        <v>691002004</v>
      </c>
      <c r="B654" t="s">
        <v>330</v>
      </c>
      <c r="C654" t="s">
        <v>4335</v>
      </c>
      <c r="D654">
        <v>7</v>
      </c>
      <c r="E654" t="s">
        <v>4445</v>
      </c>
      <c r="F654" t="s">
        <v>1183</v>
      </c>
      <c r="G654" t="s">
        <v>5575</v>
      </c>
      <c r="H654" t="s">
        <v>4957</v>
      </c>
      <c r="I654" s="79" t="str">
        <f>IF(CARTERA_2026[[#This Row],[RUT]]=774097899,"DIST",_xlfn.XLOOKUP(CARTERA_2026[[#This Row],[VENDEDOR]],dimensiones!$C$21:$C$28,dimensiones!$D$21:$D$28,""))</f>
        <v>ATEL</v>
      </c>
      <c r="J654" s="125" t="str">
        <f>_xlfn.XLOOKUP(CARTERA_2026[[#This Row],[REGION]],dimensiones!C:C,dimensiones!D:D,"")</f>
        <v>Región de Maule</v>
      </c>
    </row>
    <row r="655" spans="1:10" ht="14.25" customHeight="1" x14ac:dyDescent="0.25">
      <c r="A655">
        <v>691003000</v>
      </c>
      <c r="B655" t="s">
        <v>331</v>
      </c>
      <c r="C655" t="s">
        <v>4258</v>
      </c>
      <c r="D655">
        <v>7</v>
      </c>
      <c r="E655" t="s">
        <v>4445</v>
      </c>
      <c r="F655" t="s">
        <v>1791</v>
      </c>
      <c r="G655" t="s">
        <v>5575</v>
      </c>
      <c r="H655" t="s">
        <v>4957</v>
      </c>
      <c r="I655" s="79" t="str">
        <f>IF(CARTERA_2026[[#This Row],[RUT]]=774097899,"DIST",_xlfn.XLOOKUP(CARTERA_2026[[#This Row],[VENDEDOR]],dimensiones!$C$21:$C$28,dimensiones!$D$21:$D$28,""))</f>
        <v>ATEL</v>
      </c>
      <c r="J655" s="125" t="str">
        <f>_xlfn.XLOOKUP(CARTERA_2026[[#This Row],[REGION]],dimensiones!C:C,dimensiones!D:D,"")</f>
        <v>Región de Maule</v>
      </c>
    </row>
    <row r="656" spans="1:10" ht="14.25" customHeight="1" x14ac:dyDescent="0.25">
      <c r="A656">
        <v>691004007</v>
      </c>
      <c r="B656" t="s">
        <v>332</v>
      </c>
      <c r="C656" t="s">
        <v>4336</v>
      </c>
      <c r="D656">
        <v>7</v>
      </c>
      <c r="E656" t="s">
        <v>4445</v>
      </c>
      <c r="F656" t="s">
        <v>1794</v>
      </c>
      <c r="G656" t="s">
        <v>5575</v>
      </c>
      <c r="H656" t="s">
        <v>4957</v>
      </c>
      <c r="I656" s="79" t="str">
        <f>IF(CARTERA_2026[[#This Row],[RUT]]=774097899,"DIST",_xlfn.XLOOKUP(CARTERA_2026[[#This Row],[VENDEDOR]],dimensiones!$C$21:$C$28,dimensiones!$D$21:$D$28,""))</f>
        <v>ATEL</v>
      </c>
      <c r="J656" s="125" t="str">
        <f>_xlfn.XLOOKUP(CARTERA_2026[[#This Row],[REGION]],dimensiones!C:C,dimensiones!D:D,"")</f>
        <v>Región de Maule</v>
      </c>
    </row>
    <row r="657" spans="1:10" ht="14.25" customHeight="1" x14ac:dyDescent="0.25">
      <c r="A657">
        <v>691005003</v>
      </c>
      <c r="B657" t="s">
        <v>333</v>
      </c>
      <c r="C657" t="s">
        <v>4492</v>
      </c>
      <c r="D657">
        <v>7</v>
      </c>
      <c r="E657" t="s">
        <v>4445</v>
      </c>
      <c r="F657" t="s">
        <v>1796</v>
      </c>
      <c r="G657" t="s">
        <v>5575</v>
      </c>
      <c r="H657" t="s">
        <v>4957</v>
      </c>
      <c r="I657" s="79" t="str">
        <f>IF(CARTERA_2026[[#This Row],[RUT]]=774097899,"DIST",_xlfn.XLOOKUP(CARTERA_2026[[#This Row],[VENDEDOR]],dimensiones!$C$21:$C$28,dimensiones!$D$21:$D$28,""))</f>
        <v>ATEL</v>
      </c>
      <c r="J657" s="125" t="str">
        <f>_xlfn.XLOOKUP(CARTERA_2026[[#This Row],[REGION]],dimensiones!C:C,dimensiones!D:D,"")</f>
        <v>Región de Maule</v>
      </c>
    </row>
    <row r="658" spans="1:10" ht="14.25" customHeight="1" x14ac:dyDescent="0.25">
      <c r="A658">
        <v>691007006</v>
      </c>
      <c r="B658" t="s">
        <v>4537</v>
      </c>
      <c r="C658" t="s">
        <v>4538</v>
      </c>
      <c r="D658">
        <v>7</v>
      </c>
      <c r="E658" t="s">
        <v>4445</v>
      </c>
      <c r="F658" t="s">
        <v>4536</v>
      </c>
      <c r="G658" t="s">
        <v>5575</v>
      </c>
      <c r="H658" t="s">
        <v>4957</v>
      </c>
      <c r="I658" s="79" t="str">
        <f>IF(CARTERA_2026[[#This Row],[RUT]]=774097899,"DIST",_xlfn.XLOOKUP(CARTERA_2026[[#This Row],[VENDEDOR]],dimensiones!$C$21:$C$28,dimensiones!$D$21:$D$28,""))</f>
        <v>ATEL</v>
      </c>
      <c r="J658" s="125" t="str">
        <f>_xlfn.XLOOKUP(CARTERA_2026[[#This Row],[REGION]],dimensiones!C:C,dimensiones!D:D,"")</f>
        <v>Región de Maule</v>
      </c>
    </row>
    <row r="659" spans="1:10" ht="14.25" customHeight="1" x14ac:dyDescent="0.25">
      <c r="A659">
        <v>691101002</v>
      </c>
      <c r="B659" t="s">
        <v>334</v>
      </c>
      <c r="C659" t="s">
        <v>4259</v>
      </c>
      <c r="D659">
        <v>7</v>
      </c>
      <c r="E659" t="s">
        <v>4445</v>
      </c>
      <c r="F659" t="s">
        <v>1798</v>
      </c>
      <c r="G659" t="s">
        <v>5575</v>
      </c>
      <c r="H659" t="s">
        <v>4957</v>
      </c>
      <c r="I659" s="79" t="str">
        <f>IF(CARTERA_2026[[#This Row],[RUT]]=774097899,"DIST",_xlfn.XLOOKUP(CARTERA_2026[[#This Row],[VENDEDOR]],dimensiones!$C$21:$C$28,dimensiones!$D$21:$D$28,""))</f>
        <v>ATEL</v>
      </c>
      <c r="J659" s="125" t="str">
        <f>_xlfn.XLOOKUP(CARTERA_2026[[#This Row],[REGION]],dimensiones!C:C,dimensiones!D:D,"")</f>
        <v>Región de Maule</v>
      </c>
    </row>
    <row r="660" spans="1:10" ht="14.25" customHeight="1" x14ac:dyDescent="0.25">
      <c r="A660">
        <v>691102009</v>
      </c>
      <c r="B660" t="s">
        <v>335</v>
      </c>
      <c r="C660" t="s">
        <v>4337</v>
      </c>
      <c r="D660">
        <v>7</v>
      </c>
      <c r="E660" t="s">
        <v>4445</v>
      </c>
      <c r="F660" t="s">
        <v>1799</v>
      </c>
      <c r="G660" t="s">
        <v>5575</v>
      </c>
      <c r="H660" t="s">
        <v>4957</v>
      </c>
      <c r="I660" s="79" t="str">
        <f>IF(CARTERA_2026[[#This Row],[RUT]]=774097899,"DIST",_xlfn.XLOOKUP(CARTERA_2026[[#This Row],[VENDEDOR]],dimensiones!$C$21:$C$28,dimensiones!$D$21:$D$28,""))</f>
        <v>ATEL</v>
      </c>
      <c r="J660" s="125" t="str">
        <f>_xlfn.XLOOKUP(CARTERA_2026[[#This Row],[REGION]],dimensiones!C:C,dimensiones!D:D,"")</f>
        <v>Región de Maule</v>
      </c>
    </row>
    <row r="661" spans="1:10" ht="14.25" customHeight="1" x14ac:dyDescent="0.25">
      <c r="A661">
        <v>691103005</v>
      </c>
      <c r="B661" t="s">
        <v>336</v>
      </c>
      <c r="C661" t="s">
        <v>4261</v>
      </c>
      <c r="D661">
        <v>7</v>
      </c>
      <c r="E661" t="s">
        <v>4445</v>
      </c>
      <c r="F661" t="s">
        <v>1801</v>
      </c>
      <c r="G661" t="s">
        <v>5575</v>
      </c>
      <c r="H661" t="s">
        <v>4957</v>
      </c>
      <c r="I661" s="79" t="str">
        <f>IF(CARTERA_2026[[#This Row],[RUT]]=774097899,"DIST",_xlfn.XLOOKUP(CARTERA_2026[[#This Row],[VENDEDOR]],dimensiones!$C$21:$C$28,dimensiones!$D$21:$D$28,""))</f>
        <v>ATEL</v>
      </c>
      <c r="J661" s="125" t="str">
        <f>_xlfn.XLOOKUP(CARTERA_2026[[#This Row],[REGION]],dimensiones!C:C,dimensiones!D:D,"")</f>
        <v>Región de Maule</v>
      </c>
    </row>
    <row r="662" spans="1:10" ht="14.25" customHeight="1" x14ac:dyDescent="0.25">
      <c r="A662">
        <v>691104001</v>
      </c>
      <c r="B662" t="s">
        <v>337</v>
      </c>
      <c r="C662" t="s">
        <v>4257</v>
      </c>
      <c r="D662">
        <v>7</v>
      </c>
      <c r="E662" t="s">
        <v>5729</v>
      </c>
      <c r="F662" t="s">
        <v>1177</v>
      </c>
      <c r="G662" t="s">
        <v>5575</v>
      </c>
      <c r="H662" t="s">
        <v>4957</v>
      </c>
      <c r="I662" s="79" t="str">
        <f>IF(CARTERA_2026[[#This Row],[RUT]]=774097899,"DIST",_xlfn.XLOOKUP(CARTERA_2026[[#This Row],[VENDEDOR]],dimensiones!$C$21:$C$28,dimensiones!$D$21:$D$28,""))</f>
        <v>SANT3</v>
      </c>
      <c r="J662" s="125" t="str">
        <f>_xlfn.XLOOKUP(CARTERA_2026[[#This Row],[REGION]],dimensiones!C:C,dimensiones!D:D,"")</f>
        <v>Región de Maule</v>
      </c>
    </row>
    <row r="663" spans="1:10" ht="14.25" customHeight="1" x14ac:dyDescent="0.25">
      <c r="A663">
        <v>691105008</v>
      </c>
      <c r="B663" t="s">
        <v>338</v>
      </c>
      <c r="C663" t="s">
        <v>4405</v>
      </c>
      <c r="D663">
        <v>7</v>
      </c>
      <c r="E663" t="s">
        <v>4445</v>
      </c>
      <c r="F663" t="s">
        <v>3523</v>
      </c>
      <c r="G663" t="s">
        <v>5575</v>
      </c>
      <c r="H663" t="s">
        <v>4957</v>
      </c>
      <c r="I663" s="79" t="str">
        <f>IF(CARTERA_2026[[#This Row],[RUT]]=774097899,"DIST",_xlfn.XLOOKUP(CARTERA_2026[[#This Row],[VENDEDOR]],dimensiones!$C$21:$C$28,dimensiones!$D$21:$D$28,""))</f>
        <v>ATEL</v>
      </c>
      <c r="J663" s="125" t="str">
        <f>_xlfn.XLOOKUP(CARTERA_2026[[#This Row],[REGION]],dimensiones!C:C,dimensiones!D:D,"")</f>
        <v>Región de Maule</v>
      </c>
    </row>
    <row r="664" spans="1:10" ht="14.25" customHeight="1" x14ac:dyDescent="0.25">
      <c r="A664">
        <v>691106004</v>
      </c>
      <c r="B664" t="s">
        <v>339</v>
      </c>
      <c r="C664" t="s">
        <v>4338</v>
      </c>
      <c r="D664">
        <v>7</v>
      </c>
      <c r="E664" t="s">
        <v>4445</v>
      </c>
      <c r="F664" t="s">
        <v>1453</v>
      </c>
      <c r="G664" t="s">
        <v>5575</v>
      </c>
      <c r="H664" t="s">
        <v>4957</v>
      </c>
      <c r="I664" s="79" t="str">
        <f>IF(CARTERA_2026[[#This Row],[RUT]]=774097899,"DIST",_xlfn.XLOOKUP(CARTERA_2026[[#This Row],[VENDEDOR]],dimensiones!$C$21:$C$28,dimensiones!$D$21:$D$28,""))</f>
        <v>ATEL</v>
      </c>
      <c r="J664" s="125" t="str">
        <f>_xlfn.XLOOKUP(CARTERA_2026[[#This Row],[REGION]],dimensiones!C:C,dimensiones!D:D,"")</f>
        <v>Región de Maule</v>
      </c>
    </row>
    <row r="665" spans="1:10" ht="14.25" customHeight="1" x14ac:dyDescent="0.25">
      <c r="A665">
        <v>691107000</v>
      </c>
      <c r="B665" t="s">
        <v>1192</v>
      </c>
      <c r="C665" t="s">
        <v>4539</v>
      </c>
      <c r="D665">
        <v>7</v>
      </c>
      <c r="E665" t="s">
        <v>4445</v>
      </c>
      <c r="F665" t="s">
        <v>1191</v>
      </c>
      <c r="G665" t="s">
        <v>5575</v>
      </c>
      <c r="H665" t="s">
        <v>4957</v>
      </c>
      <c r="I665" s="79" t="str">
        <f>IF(CARTERA_2026[[#This Row],[RUT]]=774097899,"DIST",_xlfn.XLOOKUP(CARTERA_2026[[#This Row],[VENDEDOR]],dimensiones!$C$21:$C$28,dimensiones!$D$21:$D$28,""))</f>
        <v>ATEL</v>
      </c>
      <c r="J665" s="125" t="str">
        <f>_xlfn.XLOOKUP(CARTERA_2026[[#This Row],[REGION]],dimensiones!C:C,dimensiones!D:D,"")</f>
        <v>Región de Maule</v>
      </c>
    </row>
    <row r="666" spans="1:10" ht="14.25" customHeight="1" x14ac:dyDescent="0.25">
      <c r="A666">
        <v>691108007</v>
      </c>
      <c r="B666" t="s">
        <v>951</v>
      </c>
      <c r="C666" t="s">
        <v>4339</v>
      </c>
      <c r="D666">
        <v>7</v>
      </c>
      <c r="E666" t="s">
        <v>4445</v>
      </c>
      <c r="F666" t="s">
        <v>1811</v>
      </c>
      <c r="G666" t="s">
        <v>5575</v>
      </c>
      <c r="H666" t="s">
        <v>4957</v>
      </c>
      <c r="I666" s="79" t="str">
        <f>IF(CARTERA_2026[[#This Row],[RUT]]=774097899,"DIST",_xlfn.XLOOKUP(CARTERA_2026[[#This Row],[VENDEDOR]],dimensiones!$C$21:$C$28,dimensiones!$D$21:$D$28,""))</f>
        <v>ATEL</v>
      </c>
      <c r="J666" s="125" t="str">
        <f>_xlfn.XLOOKUP(CARTERA_2026[[#This Row],[REGION]],dimensiones!C:C,dimensiones!D:D,"")</f>
        <v>Región de Maule</v>
      </c>
    </row>
    <row r="667" spans="1:10" ht="14.25" customHeight="1" x14ac:dyDescent="0.25">
      <c r="A667">
        <v>691201007</v>
      </c>
      <c r="B667" t="s">
        <v>1814</v>
      </c>
      <c r="C667" t="s">
        <v>4494</v>
      </c>
      <c r="D667">
        <v>7</v>
      </c>
      <c r="E667" t="s">
        <v>4445</v>
      </c>
      <c r="F667" t="s">
        <v>1813</v>
      </c>
      <c r="G667" t="s">
        <v>5575</v>
      </c>
      <c r="H667" t="s">
        <v>4957</v>
      </c>
      <c r="I667" s="79" t="str">
        <f>IF(CARTERA_2026[[#This Row],[RUT]]=774097899,"DIST",_xlfn.XLOOKUP(CARTERA_2026[[#This Row],[VENDEDOR]],dimensiones!$C$21:$C$28,dimensiones!$D$21:$D$28,""))</f>
        <v>ATEL</v>
      </c>
      <c r="J667" s="125" t="str">
        <f>_xlfn.XLOOKUP(CARTERA_2026[[#This Row],[REGION]],dimensiones!C:C,dimensiones!D:D,"")</f>
        <v>Región de Maule</v>
      </c>
    </row>
    <row r="668" spans="1:10" ht="14.25" customHeight="1" x14ac:dyDescent="0.25">
      <c r="A668">
        <v>691202003</v>
      </c>
      <c r="B668" t="s">
        <v>906</v>
      </c>
      <c r="C668" t="s">
        <v>4340</v>
      </c>
      <c r="D668">
        <v>7</v>
      </c>
      <c r="E668" t="s">
        <v>4445</v>
      </c>
      <c r="F668" t="s">
        <v>1816</v>
      </c>
      <c r="G668" t="s">
        <v>5575</v>
      </c>
      <c r="H668" t="s">
        <v>4957</v>
      </c>
      <c r="I668" s="79" t="str">
        <f>IF(CARTERA_2026[[#This Row],[RUT]]=774097899,"DIST",_xlfn.XLOOKUP(CARTERA_2026[[#This Row],[VENDEDOR]],dimensiones!$C$21:$C$28,dimensiones!$D$21:$D$28,""))</f>
        <v>ATEL</v>
      </c>
      <c r="J668" s="125" t="str">
        <f>_xlfn.XLOOKUP(CARTERA_2026[[#This Row],[REGION]],dimensiones!C:C,dimensiones!D:D,"")</f>
        <v>Región de Maule</v>
      </c>
    </row>
    <row r="669" spans="1:10" ht="14.25" customHeight="1" x14ac:dyDescent="0.25">
      <c r="A669" t="s">
        <v>4748</v>
      </c>
      <c r="B669" t="s">
        <v>4749</v>
      </c>
      <c r="C669" t="s">
        <v>4263</v>
      </c>
      <c r="D669">
        <v>7</v>
      </c>
      <c r="E669" t="s">
        <v>4445</v>
      </c>
      <c r="F669" t="s">
        <v>4907</v>
      </c>
      <c r="G669" t="s">
        <v>5575</v>
      </c>
      <c r="H669" t="s">
        <v>4957</v>
      </c>
      <c r="I669" s="79" t="str">
        <f>IF(CARTERA_2026[[#This Row],[RUT]]=774097899,"DIST",_xlfn.XLOOKUP(CARTERA_2026[[#This Row],[VENDEDOR]],dimensiones!$C$21:$C$28,dimensiones!$D$21:$D$28,""))</f>
        <v>ATEL</v>
      </c>
      <c r="J669" s="125" t="str">
        <f>_xlfn.XLOOKUP(CARTERA_2026[[#This Row],[REGION]],dimensiones!C:C,dimensiones!D:D,"")</f>
        <v>Región de Maule</v>
      </c>
    </row>
    <row r="670" spans="1:10" ht="14.25" customHeight="1" x14ac:dyDescent="0.25">
      <c r="A670">
        <v>691204006</v>
      </c>
      <c r="B670" t="s">
        <v>341</v>
      </c>
      <c r="C670" t="s">
        <v>4341</v>
      </c>
      <c r="D670">
        <v>7</v>
      </c>
      <c r="E670" t="s">
        <v>4445</v>
      </c>
      <c r="F670" t="s">
        <v>3387</v>
      </c>
      <c r="G670" t="s">
        <v>5575</v>
      </c>
      <c r="H670" t="s">
        <v>4957</v>
      </c>
      <c r="I670" s="79" t="str">
        <f>IF(CARTERA_2026[[#This Row],[RUT]]=774097899,"DIST",_xlfn.XLOOKUP(CARTERA_2026[[#This Row],[VENDEDOR]],dimensiones!$C$21:$C$28,dimensiones!$D$21:$D$28,""))</f>
        <v>ATEL</v>
      </c>
      <c r="J670" s="125" t="str">
        <f>_xlfn.XLOOKUP(CARTERA_2026[[#This Row],[REGION]],dimensiones!C:C,dimensiones!D:D,"")</f>
        <v>Región de Maule</v>
      </c>
    </row>
    <row r="671" spans="1:10" ht="14.25" customHeight="1" x14ac:dyDescent="0.25">
      <c r="A671">
        <v>691301001</v>
      </c>
      <c r="B671" t="s">
        <v>342</v>
      </c>
      <c r="C671" t="s">
        <v>4262</v>
      </c>
      <c r="D671">
        <v>7</v>
      </c>
      <c r="E671" t="s">
        <v>4445</v>
      </c>
      <c r="F671" t="s">
        <v>3839</v>
      </c>
      <c r="G671" t="s">
        <v>5575</v>
      </c>
      <c r="H671" t="s">
        <v>4957</v>
      </c>
      <c r="I671" s="79" t="str">
        <f>IF(CARTERA_2026[[#This Row],[RUT]]=774097899,"DIST",_xlfn.XLOOKUP(CARTERA_2026[[#This Row],[VENDEDOR]],dimensiones!$C$21:$C$28,dimensiones!$D$21:$D$28,""))</f>
        <v>ATEL</v>
      </c>
      <c r="J671" s="125" t="str">
        <f>_xlfn.XLOOKUP(CARTERA_2026[[#This Row],[REGION]],dimensiones!C:C,dimensiones!D:D,"")</f>
        <v>Región de Maule</v>
      </c>
    </row>
    <row r="672" spans="1:10" ht="14.25" customHeight="1" x14ac:dyDescent="0.25">
      <c r="A672">
        <v>691302008</v>
      </c>
      <c r="B672" t="s">
        <v>792</v>
      </c>
      <c r="C672" t="s">
        <v>4342</v>
      </c>
      <c r="D672">
        <v>7</v>
      </c>
      <c r="E672" t="s">
        <v>4445</v>
      </c>
      <c r="F672" t="s">
        <v>1820</v>
      </c>
      <c r="G672" t="s">
        <v>5575</v>
      </c>
      <c r="H672" t="s">
        <v>4957</v>
      </c>
      <c r="I672" s="79" t="str">
        <f>IF(CARTERA_2026[[#This Row],[RUT]]=774097899,"DIST",_xlfn.XLOOKUP(CARTERA_2026[[#This Row],[VENDEDOR]],dimensiones!$C$21:$C$28,dimensiones!$D$21:$D$28,""))</f>
        <v>ATEL</v>
      </c>
      <c r="J672" s="125" t="str">
        <f>_xlfn.XLOOKUP(CARTERA_2026[[#This Row],[REGION]],dimensiones!C:C,dimensiones!D:D,"")</f>
        <v>Región de Maule</v>
      </c>
    </row>
    <row r="673" spans="1:10" ht="14.25" customHeight="1" x14ac:dyDescent="0.25">
      <c r="A673">
        <v>691303012</v>
      </c>
      <c r="B673" t="s">
        <v>343</v>
      </c>
      <c r="C673" t="s">
        <v>4264</v>
      </c>
      <c r="D673">
        <v>7</v>
      </c>
      <c r="E673" t="s">
        <v>5729</v>
      </c>
      <c r="F673" t="s">
        <v>3987</v>
      </c>
      <c r="G673" t="s">
        <v>5575</v>
      </c>
      <c r="H673" t="s">
        <v>4957</v>
      </c>
      <c r="I673" s="79" t="str">
        <f>IF(CARTERA_2026[[#This Row],[RUT]]=774097899,"DIST",_xlfn.XLOOKUP(CARTERA_2026[[#This Row],[VENDEDOR]],dimensiones!$C$21:$C$28,dimensiones!$D$21:$D$28,""))</f>
        <v>SANT3</v>
      </c>
      <c r="J673" s="125" t="str">
        <f>_xlfn.XLOOKUP(CARTERA_2026[[#This Row],[REGION]],dimensiones!C:C,dimensiones!D:D,"")</f>
        <v>Región de Maule</v>
      </c>
    </row>
    <row r="674" spans="1:10" ht="14.25" customHeight="1" x14ac:dyDescent="0.25">
      <c r="A674">
        <v>691304027</v>
      </c>
      <c r="B674" t="s">
        <v>793</v>
      </c>
      <c r="C674" t="s">
        <v>4343</v>
      </c>
      <c r="D674">
        <v>7</v>
      </c>
      <c r="E674" t="s">
        <v>4445</v>
      </c>
      <c r="F674" t="s">
        <v>1824</v>
      </c>
      <c r="G674" t="s">
        <v>5575</v>
      </c>
      <c r="H674" t="s">
        <v>4957</v>
      </c>
      <c r="I674" s="79" t="str">
        <f>IF(CARTERA_2026[[#This Row],[RUT]]=774097899,"DIST",_xlfn.XLOOKUP(CARTERA_2026[[#This Row],[VENDEDOR]],dimensiones!$C$21:$C$28,dimensiones!$D$21:$D$28,""))</f>
        <v>ATEL</v>
      </c>
      <c r="J674" s="125" t="str">
        <f>_xlfn.XLOOKUP(CARTERA_2026[[#This Row],[REGION]],dimensiones!C:C,dimensiones!D:D,"")</f>
        <v>Región de Maule</v>
      </c>
    </row>
    <row r="675" spans="1:10" ht="14.25" customHeight="1" x14ac:dyDescent="0.25">
      <c r="A675">
        <v>691305007</v>
      </c>
      <c r="B675" t="s">
        <v>344</v>
      </c>
      <c r="C675" t="s">
        <v>4836</v>
      </c>
      <c r="D675">
        <v>7</v>
      </c>
      <c r="E675" t="s">
        <v>4445</v>
      </c>
      <c r="F675" t="s">
        <v>1826</v>
      </c>
      <c r="G675" t="s">
        <v>5575</v>
      </c>
      <c r="H675" t="s">
        <v>4957</v>
      </c>
      <c r="I675" s="79" t="str">
        <f>IF(CARTERA_2026[[#This Row],[RUT]]=774097899,"DIST",_xlfn.XLOOKUP(CARTERA_2026[[#This Row],[VENDEDOR]],dimensiones!$C$21:$C$28,dimensiones!$D$21:$D$28,""))</f>
        <v>ATEL</v>
      </c>
      <c r="J675" s="125" t="str">
        <f>_xlfn.XLOOKUP(CARTERA_2026[[#This Row],[REGION]],dimensiones!C:C,dimensiones!D:D,"")</f>
        <v>Región de Maule</v>
      </c>
    </row>
    <row r="676" spans="1:10" ht="14.25" customHeight="1" x14ac:dyDescent="0.25">
      <c r="A676" t="s">
        <v>5110</v>
      </c>
      <c r="B676" t="s">
        <v>5798</v>
      </c>
      <c r="C676" t="s">
        <v>5799</v>
      </c>
      <c r="D676">
        <v>7</v>
      </c>
      <c r="E676" t="s">
        <v>4445</v>
      </c>
      <c r="F676" t="s">
        <v>5332</v>
      </c>
      <c r="H676" t="s">
        <v>4957</v>
      </c>
      <c r="I676" s="79" t="str">
        <f>IF(CARTERA_2026[[#This Row],[RUT]]=774097899,"DIST",_xlfn.XLOOKUP(CARTERA_2026[[#This Row],[VENDEDOR]],dimensiones!$C$21:$C$28,dimensiones!$D$21:$D$28,""))</f>
        <v>ATEL</v>
      </c>
      <c r="J676" s="125" t="str">
        <f>_xlfn.XLOOKUP(CARTERA_2026[[#This Row],[REGION]],dimensiones!C:C,dimensiones!D:D,"")</f>
        <v>Región de Maule</v>
      </c>
    </row>
    <row r="677" spans="1:10" ht="14.25" customHeight="1" x14ac:dyDescent="0.25">
      <c r="A677" t="s">
        <v>4765</v>
      </c>
      <c r="B677" t="s">
        <v>1829</v>
      </c>
      <c r="C677" t="s">
        <v>4265</v>
      </c>
      <c r="D677">
        <v>7</v>
      </c>
      <c r="E677" t="s">
        <v>4445</v>
      </c>
      <c r="F677" t="s">
        <v>1828</v>
      </c>
      <c r="G677" t="s">
        <v>5575</v>
      </c>
      <c r="H677" t="s">
        <v>4957</v>
      </c>
      <c r="I677" s="79" t="str">
        <f>IF(CARTERA_2026[[#This Row],[RUT]]=774097899,"DIST",_xlfn.XLOOKUP(CARTERA_2026[[#This Row],[VENDEDOR]],dimensiones!$C$21:$C$28,dimensiones!$D$21:$D$28,""))</f>
        <v>ATEL</v>
      </c>
      <c r="J677" s="125" t="str">
        <f>_xlfn.XLOOKUP(CARTERA_2026[[#This Row],[REGION]],dimensiones!C:C,dimensiones!D:D,"")</f>
        <v>Región de Maule</v>
      </c>
    </row>
    <row r="678" spans="1:10" ht="14.25" customHeight="1" x14ac:dyDescent="0.25">
      <c r="A678">
        <v>691308006</v>
      </c>
      <c r="B678" t="s">
        <v>5481</v>
      </c>
      <c r="C678" t="s">
        <v>5482</v>
      </c>
      <c r="D678">
        <v>7</v>
      </c>
      <c r="E678" t="s">
        <v>4445</v>
      </c>
      <c r="F678" t="s">
        <v>5483</v>
      </c>
      <c r="G678" t="s">
        <v>5575</v>
      </c>
      <c r="H678" t="s">
        <v>4957</v>
      </c>
      <c r="I678" s="79" t="str">
        <f>IF(CARTERA_2026[[#This Row],[RUT]]=774097899,"DIST",_xlfn.XLOOKUP(CARTERA_2026[[#This Row],[VENDEDOR]],dimensiones!$C$21:$C$28,dimensiones!$D$21:$D$28,""))</f>
        <v>ATEL</v>
      </c>
      <c r="J678" s="125" t="str">
        <f>_xlfn.XLOOKUP(CARTERA_2026[[#This Row],[REGION]],dimensiones!C:C,dimensiones!D:D,"")</f>
        <v>Región de Maule</v>
      </c>
    </row>
    <row r="679" spans="1:10" ht="14.25" customHeight="1" x14ac:dyDescent="0.25">
      <c r="A679">
        <v>691401006</v>
      </c>
      <c r="B679" t="s">
        <v>5645</v>
      </c>
      <c r="C679" t="s">
        <v>4269</v>
      </c>
      <c r="D679">
        <v>16</v>
      </c>
      <c r="E679" t="s">
        <v>4445</v>
      </c>
      <c r="F679" t="s">
        <v>5646</v>
      </c>
      <c r="G679" t="s">
        <v>5575</v>
      </c>
      <c r="H679" t="s">
        <v>4957</v>
      </c>
      <c r="I679" s="79" t="str">
        <f>IF(CARTERA_2026[[#This Row],[RUT]]=774097899,"DIST",_xlfn.XLOOKUP(CARTERA_2026[[#This Row],[VENDEDOR]],dimensiones!$C$21:$C$28,dimensiones!$D$21:$D$28,""))</f>
        <v>ATEL</v>
      </c>
      <c r="J679" s="125" t="str">
        <f>_xlfn.XLOOKUP(CARTERA_2026[[#This Row],[REGION]],dimensiones!C:C,dimensiones!D:D,"")</f>
        <v>Región de Ñuble</v>
      </c>
    </row>
    <row r="680" spans="1:10" ht="14.25" customHeight="1" x14ac:dyDescent="0.25">
      <c r="A680">
        <v>691402010</v>
      </c>
      <c r="B680" t="s">
        <v>907</v>
      </c>
      <c r="C680" t="s">
        <v>4344</v>
      </c>
      <c r="D680">
        <v>16</v>
      </c>
      <c r="E680" t="s">
        <v>4445</v>
      </c>
      <c r="F680" t="s">
        <v>1209</v>
      </c>
      <c r="G680" t="s">
        <v>5575</v>
      </c>
      <c r="H680" t="s">
        <v>4957</v>
      </c>
      <c r="I680" s="79" t="str">
        <f>IF(CARTERA_2026[[#This Row],[RUT]]=774097899,"DIST",_xlfn.XLOOKUP(CARTERA_2026[[#This Row],[VENDEDOR]],dimensiones!$C$21:$C$28,dimensiones!$D$21:$D$28,""))</f>
        <v>ATEL</v>
      </c>
      <c r="J680" s="125" t="str">
        <f>_xlfn.XLOOKUP(CARTERA_2026[[#This Row],[REGION]],dimensiones!C:C,dimensiones!D:D,"")</f>
        <v>Región de Ñuble</v>
      </c>
    </row>
    <row r="681" spans="1:10" ht="14.25" customHeight="1" x14ac:dyDescent="0.25">
      <c r="A681">
        <v>691403025</v>
      </c>
      <c r="B681" t="s">
        <v>794</v>
      </c>
      <c r="C681" t="s">
        <v>4406</v>
      </c>
      <c r="D681">
        <v>16</v>
      </c>
      <c r="E681" t="s">
        <v>4445</v>
      </c>
      <c r="F681" t="s">
        <v>1217</v>
      </c>
      <c r="G681" t="s">
        <v>5575</v>
      </c>
      <c r="H681" t="s">
        <v>4957</v>
      </c>
      <c r="I681" s="79" t="str">
        <f>IF(CARTERA_2026[[#This Row],[RUT]]=774097899,"DIST",_xlfn.XLOOKUP(CARTERA_2026[[#This Row],[VENDEDOR]],dimensiones!$C$21:$C$28,dimensiones!$D$21:$D$28,""))</f>
        <v>ATEL</v>
      </c>
      <c r="J681" s="125" t="str">
        <f>_xlfn.XLOOKUP(CARTERA_2026[[#This Row],[REGION]],dimensiones!C:C,dimensiones!D:D,"")</f>
        <v>Región de Ñuble</v>
      </c>
    </row>
    <row r="682" spans="1:10" ht="14.25" customHeight="1" x14ac:dyDescent="0.25">
      <c r="A682">
        <v>691404005</v>
      </c>
      <c r="B682" t="s">
        <v>345</v>
      </c>
      <c r="C682" t="s">
        <v>4191</v>
      </c>
      <c r="D682">
        <v>14</v>
      </c>
      <c r="E682" t="s">
        <v>4445</v>
      </c>
      <c r="F682" t="s">
        <v>1268</v>
      </c>
      <c r="G682" t="s">
        <v>5575</v>
      </c>
      <c r="H682" t="s">
        <v>4957</v>
      </c>
      <c r="I682" s="79" t="str">
        <f>IF(CARTERA_2026[[#This Row],[RUT]]=774097899,"DIST",_xlfn.XLOOKUP(CARTERA_2026[[#This Row],[VENDEDOR]],dimensiones!$C$21:$C$28,dimensiones!$D$21:$D$28,""))</f>
        <v>ATEL</v>
      </c>
      <c r="J682" s="125" t="str">
        <f>_xlfn.XLOOKUP(CARTERA_2026[[#This Row],[REGION]],dimensiones!C:C,dimensiones!D:D,"")</f>
        <v>Región de Los Ríos</v>
      </c>
    </row>
    <row r="683" spans="1:10" ht="14.25" customHeight="1" x14ac:dyDescent="0.25">
      <c r="A683">
        <v>691405001</v>
      </c>
      <c r="B683" t="s">
        <v>346</v>
      </c>
      <c r="C683" t="s">
        <v>4345</v>
      </c>
      <c r="D683">
        <v>16</v>
      </c>
      <c r="E683" t="s">
        <v>4445</v>
      </c>
      <c r="F683" t="s">
        <v>1551</v>
      </c>
      <c r="G683" t="s">
        <v>5575</v>
      </c>
      <c r="H683" t="s">
        <v>4957</v>
      </c>
      <c r="I683" s="79" t="str">
        <f>IF(CARTERA_2026[[#This Row],[RUT]]=774097899,"DIST",_xlfn.XLOOKUP(CARTERA_2026[[#This Row],[VENDEDOR]],dimensiones!$C$21:$C$28,dimensiones!$D$21:$D$28,""))</f>
        <v>ATEL</v>
      </c>
      <c r="J683" s="125" t="str">
        <f>_xlfn.XLOOKUP(CARTERA_2026[[#This Row],[REGION]],dimensiones!C:C,dimensiones!D:D,"")</f>
        <v>Región de Ñuble</v>
      </c>
    </row>
    <row r="684" spans="1:10" ht="14.25" customHeight="1" x14ac:dyDescent="0.25">
      <c r="A684">
        <v>691406008</v>
      </c>
      <c r="B684" t="s">
        <v>347</v>
      </c>
      <c r="C684" t="s">
        <v>4540</v>
      </c>
      <c r="D684">
        <v>16</v>
      </c>
      <c r="E684" t="s">
        <v>4445</v>
      </c>
      <c r="F684" t="s">
        <v>1840</v>
      </c>
      <c r="G684" t="s">
        <v>5575</v>
      </c>
      <c r="H684" t="s">
        <v>4957</v>
      </c>
      <c r="I684" s="79" t="str">
        <f>IF(CARTERA_2026[[#This Row],[RUT]]=774097899,"DIST",_xlfn.XLOOKUP(CARTERA_2026[[#This Row],[VENDEDOR]],dimensiones!$C$21:$C$28,dimensiones!$D$21:$D$28,""))</f>
        <v>ATEL</v>
      </c>
      <c r="J684" s="125" t="str">
        <f>_xlfn.XLOOKUP(CARTERA_2026[[#This Row],[REGION]],dimensiones!C:C,dimensiones!D:D,"")</f>
        <v>Región de Ñuble</v>
      </c>
    </row>
    <row r="685" spans="1:10" ht="14.25" customHeight="1" x14ac:dyDescent="0.25">
      <c r="A685">
        <v>691408027</v>
      </c>
      <c r="B685" t="s">
        <v>348</v>
      </c>
      <c r="C685" t="s">
        <v>4811</v>
      </c>
      <c r="D685">
        <v>16</v>
      </c>
      <c r="E685" t="s">
        <v>4445</v>
      </c>
      <c r="F685" t="s">
        <v>2341</v>
      </c>
      <c r="G685" t="s">
        <v>5575</v>
      </c>
      <c r="H685" t="s">
        <v>4957</v>
      </c>
      <c r="I685" s="79" t="str">
        <f>IF(CARTERA_2026[[#This Row],[RUT]]=774097899,"DIST",_xlfn.XLOOKUP(CARTERA_2026[[#This Row],[VENDEDOR]],dimensiones!$C$21:$C$28,dimensiones!$D$21:$D$28,""))</f>
        <v>ATEL</v>
      </c>
      <c r="J685" s="125" t="str">
        <f>_xlfn.XLOOKUP(CARTERA_2026[[#This Row],[REGION]],dimensiones!C:C,dimensiones!D:D,"")</f>
        <v>Región de Ñuble</v>
      </c>
    </row>
    <row r="686" spans="1:10" ht="14.25" customHeight="1" x14ac:dyDescent="0.25">
      <c r="A686">
        <v>691411028</v>
      </c>
      <c r="B686" t="s">
        <v>349</v>
      </c>
      <c r="C686" t="s">
        <v>4346</v>
      </c>
      <c r="D686">
        <v>16</v>
      </c>
      <c r="E686" t="s">
        <v>4445</v>
      </c>
      <c r="F686" t="s">
        <v>1844</v>
      </c>
      <c r="G686" t="s">
        <v>5575</v>
      </c>
      <c r="H686" t="s">
        <v>4957</v>
      </c>
      <c r="I686" s="79" t="str">
        <f>IF(CARTERA_2026[[#This Row],[RUT]]=774097899,"DIST",_xlfn.XLOOKUP(CARTERA_2026[[#This Row],[VENDEDOR]],dimensiones!$C$21:$C$28,dimensiones!$D$21:$D$28,""))</f>
        <v>ATEL</v>
      </c>
      <c r="J686" s="125" t="str">
        <f>_xlfn.XLOOKUP(CARTERA_2026[[#This Row],[REGION]],dimensiones!C:C,dimensiones!D:D,"")</f>
        <v>Región de Ñuble</v>
      </c>
    </row>
    <row r="687" spans="1:10" ht="14.25" customHeight="1" x14ac:dyDescent="0.25">
      <c r="A687">
        <v>691412008</v>
      </c>
      <c r="B687" t="s">
        <v>350</v>
      </c>
      <c r="C687" t="s">
        <v>4267</v>
      </c>
      <c r="D687">
        <v>16</v>
      </c>
      <c r="E687" t="s">
        <v>4445</v>
      </c>
      <c r="F687" t="s">
        <v>1846</v>
      </c>
      <c r="G687" t="s">
        <v>5575</v>
      </c>
      <c r="H687" t="s">
        <v>4957</v>
      </c>
      <c r="I687" s="79" t="str">
        <f>IF(CARTERA_2026[[#This Row],[RUT]]=774097899,"DIST",_xlfn.XLOOKUP(CARTERA_2026[[#This Row],[VENDEDOR]],dimensiones!$C$21:$C$28,dimensiones!$D$21:$D$28,""))</f>
        <v>ATEL</v>
      </c>
      <c r="J687" s="125" t="str">
        <f>_xlfn.XLOOKUP(CARTERA_2026[[#This Row],[REGION]],dimensiones!C:C,dimensiones!D:D,"")</f>
        <v>Región de Ñuble</v>
      </c>
    </row>
    <row r="688" spans="1:10" ht="14.25" customHeight="1" x14ac:dyDescent="0.25">
      <c r="A688">
        <v>691413004</v>
      </c>
      <c r="B688" t="s">
        <v>351</v>
      </c>
      <c r="C688" t="s">
        <v>4407</v>
      </c>
      <c r="D688">
        <v>16</v>
      </c>
      <c r="E688" t="s">
        <v>4445</v>
      </c>
      <c r="F688" t="s">
        <v>1695</v>
      </c>
      <c r="G688" t="s">
        <v>5575</v>
      </c>
      <c r="H688" t="s">
        <v>4957</v>
      </c>
      <c r="I688" s="79" t="str">
        <f>IF(CARTERA_2026[[#This Row],[RUT]]=774097899,"DIST",_xlfn.XLOOKUP(CARTERA_2026[[#This Row],[VENDEDOR]],dimensiones!$C$21:$C$28,dimensiones!$D$21:$D$28,""))</f>
        <v>ATEL</v>
      </c>
      <c r="J688" s="125" t="str">
        <f>_xlfn.XLOOKUP(CARTERA_2026[[#This Row],[REGION]],dimensiones!C:C,dimensiones!D:D,"")</f>
        <v>Región de Ñuble</v>
      </c>
    </row>
    <row r="689" spans="1:10" ht="14.25" customHeight="1" x14ac:dyDescent="0.25">
      <c r="A689">
        <v>691415007</v>
      </c>
      <c r="B689" t="s">
        <v>4115</v>
      </c>
      <c r="C689" t="s">
        <v>4268</v>
      </c>
      <c r="D689">
        <v>16</v>
      </c>
      <c r="E689" t="s">
        <v>4445</v>
      </c>
      <c r="F689" t="s">
        <v>4114</v>
      </c>
      <c r="G689" t="s">
        <v>5575</v>
      </c>
      <c r="H689" t="s">
        <v>4957</v>
      </c>
      <c r="I689" s="79" t="str">
        <f>IF(CARTERA_2026[[#This Row],[RUT]]=774097899,"DIST",_xlfn.XLOOKUP(CARTERA_2026[[#This Row],[VENDEDOR]],dimensiones!$C$21:$C$28,dimensiones!$D$21:$D$28,""))</f>
        <v>ATEL</v>
      </c>
      <c r="J689" s="125" t="str">
        <f>_xlfn.XLOOKUP(CARTERA_2026[[#This Row],[REGION]],dimensiones!C:C,dimensiones!D:D,"")</f>
        <v>Región de Ñuble</v>
      </c>
    </row>
    <row r="690" spans="1:10" ht="14.25" customHeight="1" x14ac:dyDescent="0.25">
      <c r="A690" t="s">
        <v>5606</v>
      </c>
      <c r="B690" t="s">
        <v>5607</v>
      </c>
      <c r="C690" t="s">
        <v>4270</v>
      </c>
      <c r="D690">
        <v>16</v>
      </c>
      <c r="E690" t="s">
        <v>4445</v>
      </c>
      <c r="F690" t="s">
        <v>5608</v>
      </c>
      <c r="G690" t="s">
        <v>5575</v>
      </c>
      <c r="H690" t="s">
        <v>4957</v>
      </c>
      <c r="I690" s="79" t="str">
        <f>IF(CARTERA_2026[[#This Row],[RUT]]=774097899,"DIST",_xlfn.XLOOKUP(CARTERA_2026[[#This Row],[VENDEDOR]],dimensiones!$C$21:$C$28,dimensiones!$D$21:$D$28,""))</f>
        <v>ATEL</v>
      </c>
      <c r="J690" s="125" t="str">
        <f>_xlfn.XLOOKUP(CARTERA_2026[[#This Row],[REGION]],dimensiones!C:C,dimensiones!D:D,"")</f>
        <v>Región de Ñuble</v>
      </c>
    </row>
    <row r="691" spans="1:10" ht="14.25" customHeight="1" x14ac:dyDescent="0.25">
      <c r="A691">
        <v>691418022</v>
      </c>
      <c r="B691" t="s">
        <v>352</v>
      </c>
      <c r="C691" t="s">
        <v>4347</v>
      </c>
      <c r="D691">
        <v>8</v>
      </c>
      <c r="E691" t="s">
        <v>4445</v>
      </c>
      <c r="F691" t="s">
        <v>1852</v>
      </c>
      <c r="G691" t="s">
        <v>5575</v>
      </c>
      <c r="H691" t="s">
        <v>4957</v>
      </c>
      <c r="I691" s="79" t="str">
        <f>IF(CARTERA_2026[[#This Row],[RUT]]=774097899,"DIST",_xlfn.XLOOKUP(CARTERA_2026[[#This Row],[VENDEDOR]],dimensiones!$C$21:$C$28,dimensiones!$D$21:$D$28,""))</f>
        <v>ATEL</v>
      </c>
      <c r="J691" s="125" t="str">
        <f>_xlfn.XLOOKUP(CARTERA_2026[[#This Row],[REGION]],dimensiones!C:C,dimensiones!D:D,"")</f>
        <v>Región de Biobío</v>
      </c>
    </row>
    <row r="692" spans="1:10" ht="14.25" customHeight="1" x14ac:dyDescent="0.25">
      <c r="A692">
        <v>691501019</v>
      </c>
      <c r="B692" t="s">
        <v>1855</v>
      </c>
      <c r="C692" t="s">
        <v>4496</v>
      </c>
      <c r="D692">
        <v>8</v>
      </c>
      <c r="E692" t="s">
        <v>4445</v>
      </c>
      <c r="F692" t="s">
        <v>1854</v>
      </c>
      <c r="G692" t="s">
        <v>5575</v>
      </c>
      <c r="H692" t="s">
        <v>4957</v>
      </c>
      <c r="I692" s="79" t="str">
        <f>IF(CARTERA_2026[[#This Row],[RUT]]=774097899,"DIST",_xlfn.XLOOKUP(CARTERA_2026[[#This Row],[VENDEDOR]],dimensiones!$C$21:$C$28,dimensiones!$D$21:$D$28,""))</f>
        <v>ATEL</v>
      </c>
      <c r="J692" s="125" t="str">
        <f>_xlfn.XLOOKUP(CARTERA_2026[[#This Row],[REGION]],dimensiones!C:C,dimensiones!D:D,"")</f>
        <v>Región de Biobío</v>
      </c>
    </row>
    <row r="693" spans="1:10" ht="14.25" customHeight="1" x14ac:dyDescent="0.25">
      <c r="A693">
        <v>691501027</v>
      </c>
      <c r="B693" t="s">
        <v>5433</v>
      </c>
      <c r="C693" t="s">
        <v>4496</v>
      </c>
      <c r="D693">
        <v>8</v>
      </c>
      <c r="E693" t="s">
        <v>4464</v>
      </c>
      <c r="F693" t="s">
        <v>1472</v>
      </c>
      <c r="G693" t="s">
        <v>5575</v>
      </c>
      <c r="H693" t="s">
        <v>4957</v>
      </c>
      <c r="I693" s="79" t="str">
        <f>IF(CARTERA_2026[[#This Row],[RUT]]=774097899,"DIST",_xlfn.XLOOKUP(CARTERA_2026[[#This Row],[VENDEDOR]],dimensiones!$C$21:$C$28,dimensiones!$D$21:$D$28,""))</f>
        <v>SUR1</v>
      </c>
      <c r="J693" s="125" t="str">
        <f>_xlfn.XLOOKUP(CARTERA_2026[[#This Row],[REGION]],dimensiones!C:C,dimensiones!D:D,"")</f>
        <v>Región de Biobío</v>
      </c>
    </row>
    <row r="694" spans="1:10" ht="14.25" customHeight="1" x14ac:dyDescent="0.25">
      <c r="A694">
        <v>691502007</v>
      </c>
      <c r="B694" t="s">
        <v>353</v>
      </c>
      <c r="C694" t="s">
        <v>4210</v>
      </c>
      <c r="D694">
        <v>16</v>
      </c>
      <c r="E694" t="s">
        <v>4445</v>
      </c>
      <c r="F694" t="s">
        <v>1859</v>
      </c>
      <c r="G694" t="s">
        <v>5575</v>
      </c>
      <c r="H694" t="s">
        <v>4957</v>
      </c>
      <c r="I694" s="79" t="str">
        <f>IF(CARTERA_2026[[#This Row],[RUT]]=774097899,"DIST",_xlfn.XLOOKUP(CARTERA_2026[[#This Row],[VENDEDOR]],dimensiones!$C$21:$C$28,dimensiones!$D$21:$D$28,""))</f>
        <v>ATEL</v>
      </c>
      <c r="J694" s="125" t="str">
        <f>_xlfn.XLOOKUP(CARTERA_2026[[#This Row],[REGION]],dimensiones!C:C,dimensiones!D:D,"")</f>
        <v>Región de Ñuble</v>
      </c>
    </row>
    <row r="695" spans="1:10" ht="14.25" customHeight="1" x14ac:dyDescent="0.25">
      <c r="A695">
        <v>691503003</v>
      </c>
      <c r="B695" t="s">
        <v>354</v>
      </c>
      <c r="C695" t="s">
        <v>4541</v>
      </c>
      <c r="D695">
        <v>16</v>
      </c>
      <c r="E695" t="s">
        <v>4445</v>
      </c>
      <c r="F695" t="s">
        <v>1805</v>
      </c>
      <c r="G695" t="s">
        <v>5575</v>
      </c>
      <c r="H695" t="s">
        <v>4957</v>
      </c>
      <c r="I695" s="79" t="str">
        <f>IF(CARTERA_2026[[#This Row],[RUT]]=774097899,"DIST",_xlfn.XLOOKUP(CARTERA_2026[[#This Row],[VENDEDOR]],dimensiones!$C$21:$C$28,dimensiones!$D$21:$D$28,""))</f>
        <v>ATEL</v>
      </c>
      <c r="J695" s="125" t="str">
        <f>_xlfn.XLOOKUP(CARTERA_2026[[#This Row],[REGION]],dimensiones!C:C,dimensiones!D:D,"")</f>
        <v>Región de Ñuble</v>
      </c>
    </row>
    <row r="696" spans="1:10" ht="14.25" customHeight="1" x14ac:dyDescent="0.25">
      <c r="A696">
        <v>691505022</v>
      </c>
      <c r="B696" t="s">
        <v>355</v>
      </c>
      <c r="C696" t="s">
        <v>4211</v>
      </c>
      <c r="D696">
        <v>8</v>
      </c>
      <c r="E696" t="s">
        <v>4445</v>
      </c>
      <c r="F696" t="s">
        <v>3262</v>
      </c>
      <c r="G696" t="s">
        <v>5575</v>
      </c>
      <c r="H696" t="s">
        <v>4957</v>
      </c>
      <c r="I696" s="79" t="str">
        <f>IF(CARTERA_2026[[#This Row],[RUT]]=774097899,"DIST",_xlfn.XLOOKUP(CARTERA_2026[[#This Row],[VENDEDOR]],dimensiones!$C$21:$C$28,dimensiones!$D$21:$D$28,""))</f>
        <v>ATEL</v>
      </c>
      <c r="J696" s="125" t="str">
        <f>_xlfn.XLOOKUP(CARTERA_2026[[#This Row],[REGION]],dimensiones!C:C,dimensiones!D:D,"")</f>
        <v>Región de Biobío</v>
      </c>
    </row>
    <row r="697" spans="1:10" ht="14.25" customHeight="1" x14ac:dyDescent="0.25">
      <c r="A697">
        <v>691506010</v>
      </c>
      <c r="B697" t="s">
        <v>795</v>
      </c>
      <c r="C697" t="s">
        <v>4349</v>
      </c>
      <c r="D697">
        <v>8</v>
      </c>
      <c r="E697" t="s">
        <v>4445</v>
      </c>
      <c r="F697" t="s">
        <v>1863</v>
      </c>
      <c r="G697" t="s">
        <v>5575</v>
      </c>
      <c r="H697" t="s">
        <v>4957</v>
      </c>
      <c r="I697" s="79" t="str">
        <f>IF(CARTERA_2026[[#This Row],[RUT]]=774097899,"DIST",_xlfn.XLOOKUP(CARTERA_2026[[#This Row],[VENDEDOR]],dimensiones!$C$21:$C$28,dimensiones!$D$21:$D$28,""))</f>
        <v>ATEL</v>
      </c>
      <c r="J697" s="125" t="str">
        <f>_xlfn.XLOOKUP(CARTERA_2026[[#This Row],[REGION]],dimensiones!C:C,dimensiones!D:D,"")</f>
        <v>Región de Biobío</v>
      </c>
    </row>
    <row r="698" spans="1:10" ht="14.25" customHeight="1" x14ac:dyDescent="0.25">
      <c r="A698">
        <v>691508005</v>
      </c>
      <c r="B698" t="s">
        <v>84</v>
      </c>
      <c r="C698" t="s">
        <v>4183</v>
      </c>
      <c r="D698">
        <v>8</v>
      </c>
      <c r="E698" t="s">
        <v>4464</v>
      </c>
      <c r="F698" t="s">
        <v>1308</v>
      </c>
      <c r="G698" t="s">
        <v>5575</v>
      </c>
      <c r="H698" t="s">
        <v>4957</v>
      </c>
      <c r="I698" s="79" t="str">
        <f>IF(CARTERA_2026[[#This Row],[RUT]]=774097899,"DIST",_xlfn.XLOOKUP(CARTERA_2026[[#This Row],[VENDEDOR]],dimensiones!$C$21:$C$28,dimensiones!$D$21:$D$28,""))</f>
        <v>SUR1</v>
      </c>
      <c r="J698" s="125" t="str">
        <f>_xlfn.XLOOKUP(CARTERA_2026[[#This Row],[REGION]],dimensiones!C:C,dimensiones!D:D,"")</f>
        <v>Región de Biobío</v>
      </c>
    </row>
    <row r="699" spans="1:10" ht="14.25" customHeight="1" x14ac:dyDescent="0.25">
      <c r="A699" t="s">
        <v>908</v>
      </c>
      <c r="B699" t="s">
        <v>909</v>
      </c>
      <c r="C699" t="s">
        <v>4275</v>
      </c>
      <c r="D699">
        <v>8</v>
      </c>
      <c r="E699" t="s">
        <v>4445</v>
      </c>
      <c r="F699" t="s">
        <v>1616</v>
      </c>
      <c r="G699" t="s">
        <v>5575</v>
      </c>
      <c r="H699" t="s">
        <v>4957</v>
      </c>
      <c r="I699" s="79" t="str">
        <f>IF(CARTERA_2026[[#This Row],[RUT]]=774097899,"DIST",_xlfn.XLOOKUP(CARTERA_2026[[#This Row],[VENDEDOR]],dimensiones!$C$21:$C$28,dimensiones!$D$21:$D$28,""))</f>
        <v>ATEL</v>
      </c>
      <c r="J699" s="125" t="str">
        <f>_xlfn.XLOOKUP(CARTERA_2026[[#This Row],[REGION]],dimensiones!C:C,dimensiones!D:D,"")</f>
        <v>Región de Biobío</v>
      </c>
    </row>
    <row r="700" spans="1:10" ht="14.25" customHeight="1" x14ac:dyDescent="0.25">
      <c r="A700" t="s">
        <v>1023</v>
      </c>
      <c r="B700" t="s">
        <v>1024</v>
      </c>
      <c r="C700" t="s">
        <v>4350</v>
      </c>
      <c r="D700">
        <v>8</v>
      </c>
      <c r="E700" t="s">
        <v>4445</v>
      </c>
      <c r="F700" t="s">
        <v>2197</v>
      </c>
      <c r="G700" t="s">
        <v>5575</v>
      </c>
      <c r="H700" t="s">
        <v>4957</v>
      </c>
      <c r="I700" s="79" t="str">
        <f>IF(CARTERA_2026[[#This Row],[RUT]]=774097899,"DIST",_xlfn.XLOOKUP(CARTERA_2026[[#This Row],[VENDEDOR]],dimensiones!$C$21:$C$28,dimensiones!$D$21:$D$28,""))</f>
        <v>ATEL</v>
      </c>
      <c r="J700" s="125" t="str">
        <f>_xlfn.XLOOKUP(CARTERA_2026[[#This Row],[REGION]],dimensiones!C:C,dimensiones!D:D,"")</f>
        <v>Región de Biobío</v>
      </c>
    </row>
    <row r="701" spans="1:10" ht="14.25" customHeight="1" x14ac:dyDescent="0.25">
      <c r="A701">
        <v>691510026</v>
      </c>
      <c r="B701" t="s">
        <v>85</v>
      </c>
      <c r="C701" t="s">
        <v>4350</v>
      </c>
      <c r="D701">
        <v>8</v>
      </c>
      <c r="E701" t="s">
        <v>4464</v>
      </c>
      <c r="F701" t="s">
        <v>2182</v>
      </c>
      <c r="G701" t="s">
        <v>5575</v>
      </c>
      <c r="H701" t="s">
        <v>4957</v>
      </c>
      <c r="I701" s="79" t="str">
        <f>IF(CARTERA_2026[[#This Row],[RUT]]=774097899,"DIST",_xlfn.XLOOKUP(CARTERA_2026[[#This Row],[VENDEDOR]],dimensiones!$C$21:$C$28,dimensiones!$D$21:$D$28,""))</f>
        <v>SUR1</v>
      </c>
      <c r="J701" s="125" t="str">
        <f>_xlfn.XLOOKUP(CARTERA_2026[[#This Row],[REGION]],dimensiones!C:C,dimensiones!D:D,"")</f>
        <v>Región de Biobío</v>
      </c>
    </row>
    <row r="702" spans="1:10" ht="14.25" customHeight="1" x14ac:dyDescent="0.25">
      <c r="A702">
        <v>691511006</v>
      </c>
      <c r="B702" t="s">
        <v>356</v>
      </c>
      <c r="C702" t="s">
        <v>4351</v>
      </c>
      <c r="D702">
        <v>8</v>
      </c>
      <c r="E702" t="s">
        <v>4445</v>
      </c>
      <c r="F702" t="s">
        <v>1873</v>
      </c>
      <c r="G702" t="s">
        <v>5575</v>
      </c>
      <c r="H702" t="s">
        <v>4957</v>
      </c>
      <c r="I702" s="79" t="str">
        <f>IF(CARTERA_2026[[#This Row],[RUT]]=774097899,"DIST",_xlfn.XLOOKUP(CARTERA_2026[[#This Row],[VENDEDOR]],dimensiones!$C$21:$C$28,dimensiones!$D$21:$D$28,""))</f>
        <v>ATEL</v>
      </c>
      <c r="J702" s="125" t="str">
        <f>_xlfn.XLOOKUP(CARTERA_2026[[#This Row],[REGION]],dimensiones!C:C,dimensiones!D:D,"")</f>
        <v>Región de Biobío</v>
      </c>
    </row>
    <row r="703" spans="1:10" ht="14.25" customHeight="1" x14ac:dyDescent="0.25">
      <c r="A703">
        <v>691512029</v>
      </c>
      <c r="B703" t="s">
        <v>86</v>
      </c>
      <c r="C703" t="s">
        <v>4352</v>
      </c>
      <c r="D703">
        <v>8</v>
      </c>
      <c r="E703" t="s">
        <v>4464</v>
      </c>
      <c r="F703" t="s">
        <v>1884</v>
      </c>
      <c r="G703" t="s">
        <v>5575</v>
      </c>
      <c r="H703" t="s">
        <v>4957</v>
      </c>
      <c r="I703" s="79" t="str">
        <f>IF(CARTERA_2026[[#This Row],[RUT]]=774097899,"DIST",_xlfn.XLOOKUP(CARTERA_2026[[#This Row],[VENDEDOR]],dimensiones!$C$21:$C$28,dimensiones!$D$21:$D$28,""))</f>
        <v>SUR1</v>
      </c>
      <c r="J703" s="125" t="str">
        <f>_xlfn.XLOOKUP(CARTERA_2026[[#This Row],[REGION]],dimensiones!C:C,dimensiones!D:D,"")</f>
        <v>Región de Biobío</v>
      </c>
    </row>
    <row r="704" spans="1:10" ht="14.25" customHeight="1" x14ac:dyDescent="0.25">
      <c r="A704">
        <v>691514005</v>
      </c>
      <c r="B704" t="s">
        <v>910</v>
      </c>
      <c r="C704" t="s">
        <v>4213</v>
      </c>
      <c r="D704">
        <v>8</v>
      </c>
      <c r="E704" t="s">
        <v>4445</v>
      </c>
      <c r="F704" t="s">
        <v>1877</v>
      </c>
      <c r="G704" t="s">
        <v>5575</v>
      </c>
      <c r="H704" t="s">
        <v>4957</v>
      </c>
      <c r="I704" s="79" t="str">
        <f>IF(CARTERA_2026[[#This Row],[RUT]]=774097899,"DIST",_xlfn.XLOOKUP(CARTERA_2026[[#This Row],[VENDEDOR]],dimensiones!$C$21:$C$28,dimensiones!$D$21:$D$28,""))</f>
        <v>ATEL</v>
      </c>
      <c r="J704" s="125" t="str">
        <f>_xlfn.XLOOKUP(CARTERA_2026[[#This Row],[REGION]],dimensiones!C:C,dimensiones!D:D,"")</f>
        <v>Región de Biobío</v>
      </c>
    </row>
    <row r="705" spans="1:10" ht="14.25" customHeight="1" x14ac:dyDescent="0.25">
      <c r="A705">
        <v>691601005</v>
      </c>
      <c r="B705" t="s">
        <v>357</v>
      </c>
      <c r="C705" t="s">
        <v>4214</v>
      </c>
      <c r="D705">
        <v>8</v>
      </c>
      <c r="E705" t="s">
        <v>4445</v>
      </c>
      <c r="F705" t="s">
        <v>4110</v>
      </c>
      <c r="G705" t="s">
        <v>5575</v>
      </c>
      <c r="H705" t="s">
        <v>4957</v>
      </c>
      <c r="I705" s="79" t="str">
        <f>IF(CARTERA_2026[[#This Row],[RUT]]=774097899,"DIST",_xlfn.XLOOKUP(CARTERA_2026[[#This Row],[VENDEDOR]],dimensiones!$C$21:$C$28,dimensiones!$D$21:$D$28,""))</f>
        <v>ATEL</v>
      </c>
      <c r="J705" s="125" t="str">
        <f>_xlfn.XLOOKUP(CARTERA_2026[[#This Row],[REGION]],dimensiones!C:C,dimensiones!D:D,"")</f>
        <v>Región de Biobío</v>
      </c>
    </row>
    <row r="706" spans="1:10" ht="14.25" customHeight="1" x14ac:dyDescent="0.25">
      <c r="A706" t="s">
        <v>5689</v>
      </c>
      <c r="B706" t="s">
        <v>5690</v>
      </c>
      <c r="C706" t="s">
        <v>4215</v>
      </c>
      <c r="D706">
        <v>8</v>
      </c>
      <c r="E706" t="s">
        <v>4445</v>
      </c>
      <c r="F706" t="s">
        <v>5691</v>
      </c>
      <c r="G706" t="s">
        <v>5575</v>
      </c>
      <c r="H706" t="s">
        <v>4957</v>
      </c>
      <c r="I706" s="79" t="str">
        <f>IF(CARTERA_2026[[#This Row],[RUT]]=774097899,"DIST",_xlfn.XLOOKUP(CARTERA_2026[[#This Row],[VENDEDOR]],dimensiones!$C$21:$C$28,dimensiones!$D$21:$D$28,""))</f>
        <v>ATEL</v>
      </c>
      <c r="J706" s="125" t="str">
        <f>_xlfn.XLOOKUP(CARTERA_2026[[#This Row],[REGION]],dimensiones!C:C,dimensiones!D:D,"")</f>
        <v>Región de Biobío</v>
      </c>
    </row>
    <row r="707" spans="1:10" ht="14.25" customHeight="1" x14ac:dyDescent="0.25">
      <c r="A707">
        <v>691602028</v>
      </c>
      <c r="B707" t="s">
        <v>796</v>
      </c>
      <c r="C707" t="s">
        <v>4215</v>
      </c>
      <c r="D707">
        <v>8</v>
      </c>
      <c r="E707" t="s">
        <v>4445</v>
      </c>
      <c r="F707" t="s">
        <v>2516</v>
      </c>
      <c r="G707" t="s">
        <v>5575</v>
      </c>
      <c r="H707" t="s">
        <v>4957</v>
      </c>
      <c r="I707" s="79" t="str">
        <f>IF(CARTERA_2026[[#This Row],[RUT]]=774097899,"DIST",_xlfn.XLOOKUP(CARTERA_2026[[#This Row],[VENDEDOR]],dimensiones!$C$21:$C$28,dimensiones!$D$21:$D$28,""))</f>
        <v>ATEL</v>
      </c>
      <c r="J707" s="125" t="str">
        <f>_xlfn.XLOOKUP(CARTERA_2026[[#This Row],[REGION]],dimensiones!C:C,dimensiones!D:D,"")</f>
        <v>Región de Biobío</v>
      </c>
    </row>
    <row r="708" spans="1:10" ht="14.25" customHeight="1" x14ac:dyDescent="0.25">
      <c r="A708">
        <v>691603008</v>
      </c>
      <c r="B708" t="s">
        <v>358</v>
      </c>
      <c r="C708" t="s">
        <v>4289</v>
      </c>
      <c r="D708">
        <v>8</v>
      </c>
      <c r="E708" t="s">
        <v>4445</v>
      </c>
      <c r="F708" t="s">
        <v>1215</v>
      </c>
      <c r="G708" t="s">
        <v>5575</v>
      </c>
      <c r="H708" t="s">
        <v>4957</v>
      </c>
      <c r="I708" s="79" t="str">
        <f>IF(CARTERA_2026[[#This Row],[RUT]]=774097899,"DIST",_xlfn.XLOOKUP(CARTERA_2026[[#This Row],[VENDEDOR]],dimensiones!$C$21:$C$28,dimensiones!$D$21:$D$28,""))</f>
        <v>ATEL</v>
      </c>
      <c r="J708" s="125" t="str">
        <f>_xlfn.XLOOKUP(CARTERA_2026[[#This Row],[REGION]],dimensiones!C:C,dimensiones!D:D,"")</f>
        <v>Región de Biobío</v>
      </c>
    </row>
    <row r="709" spans="1:10" ht="14.25" customHeight="1" x14ac:dyDescent="0.25">
      <c r="A709">
        <v>691604020</v>
      </c>
      <c r="B709" t="s">
        <v>359</v>
      </c>
      <c r="C709" t="s">
        <v>4927</v>
      </c>
      <c r="D709">
        <v>8</v>
      </c>
      <c r="E709" t="s">
        <v>4445</v>
      </c>
      <c r="F709" t="s">
        <v>1848</v>
      </c>
      <c r="G709" t="s">
        <v>5575</v>
      </c>
      <c r="H709" t="s">
        <v>4957</v>
      </c>
      <c r="I709" s="79" t="str">
        <f>IF(CARTERA_2026[[#This Row],[RUT]]=774097899,"DIST",_xlfn.XLOOKUP(CARTERA_2026[[#This Row],[VENDEDOR]],dimensiones!$C$21:$C$28,dimensiones!$D$21:$D$28,""))</f>
        <v>ATEL</v>
      </c>
      <c r="J709" s="125" t="str">
        <f>_xlfn.XLOOKUP(CARTERA_2026[[#This Row],[REGION]],dimensiones!C:C,dimensiones!D:D,"")</f>
        <v>Región de Biobío</v>
      </c>
    </row>
    <row r="710" spans="1:10" ht="14.25" customHeight="1" x14ac:dyDescent="0.25">
      <c r="A710">
        <v>691605000</v>
      </c>
      <c r="B710" t="s">
        <v>911</v>
      </c>
      <c r="C710" t="s">
        <v>4353</v>
      </c>
      <c r="D710">
        <v>8</v>
      </c>
      <c r="E710" t="s">
        <v>4445</v>
      </c>
      <c r="F710" t="s">
        <v>3180</v>
      </c>
      <c r="G710" t="s">
        <v>5575</v>
      </c>
      <c r="H710" t="s">
        <v>4957</v>
      </c>
      <c r="I710" s="79" t="str">
        <f>IF(CARTERA_2026[[#This Row],[RUT]]=774097899,"DIST",_xlfn.XLOOKUP(CARTERA_2026[[#This Row],[VENDEDOR]],dimensiones!$C$21:$C$28,dimensiones!$D$21:$D$28,""))</f>
        <v>ATEL</v>
      </c>
      <c r="J710" s="125" t="str">
        <f>_xlfn.XLOOKUP(CARTERA_2026[[#This Row],[REGION]],dimensiones!C:C,dimensiones!D:D,"")</f>
        <v>Región de Biobío</v>
      </c>
    </row>
    <row r="711" spans="1:10" ht="14.25" customHeight="1" x14ac:dyDescent="0.25">
      <c r="A711">
        <v>691607003</v>
      </c>
      <c r="B711" t="s">
        <v>3927</v>
      </c>
      <c r="C711" t="s">
        <v>4542</v>
      </c>
      <c r="D711">
        <v>8</v>
      </c>
      <c r="E711" t="s">
        <v>4445</v>
      </c>
      <c r="F711" t="s">
        <v>3926</v>
      </c>
      <c r="G711" t="s">
        <v>5575</v>
      </c>
      <c r="H711" t="s">
        <v>4957</v>
      </c>
      <c r="I711" s="79" t="str">
        <f>IF(CARTERA_2026[[#This Row],[RUT]]=774097899,"DIST",_xlfn.XLOOKUP(CARTERA_2026[[#This Row],[VENDEDOR]],dimensiones!$C$21:$C$28,dimensiones!$D$21:$D$28,""))</f>
        <v>ATEL</v>
      </c>
      <c r="J711" s="125" t="str">
        <f>_xlfn.XLOOKUP(CARTERA_2026[[#This Row],[REGION]],dimensiones!C:C,dimensiones!D:D,"")</f>
        <v>Región de Biobío</v>
      </c>
    </row>
    <row r="712" spans="1:10" ht="14.25" customHeight="1" x14ac:dyDescent="0.25">
      <c r="A712">
        <v>691701026</v>
      </c>
      <c r="B712" t="s">
        <v>87</v>
      </c>
      <c r="C712" t="s">
        <v>4497</v>
      </c>
      <c r="D712">
        <v>8</v>
      </c>
      <c r="E712" t="s">
        <v>4464</v>
      </c>
      <c r="F712" t="s">
        <v>3832</v>
      </c>
      <c r="G712" t="s">
        <v>5575</v>
      </c>
      <c r="H712" t="s">
        <v>4957</v>
      </c>
      <c r="I712" s="79" t="str">
        <f>IF(CARTERA_2026[[#This Row],[RUT]]=774097899,"DIST",_xlfn.XLOOKUP(CARTERA_2026[[#This Row],[VENDEDOR]],dimensiones!$C$21:$C$28,dimensiones!$D$21:$D$28,""))</f>
        <v>SUR1</v>
      </c>
      <c r="J712" s="125" t="str">
        <f>_xlfn.XLOOKUP(CARTERA_2026[[#This Row],[REGION]],dimensiones!C:C,dimensiones!D:D,"")</f>
        <v>Región de Biobío</v>
      </c>
    </row>
    <row r="713" spans="1:10" ht="14.25" customHeight="1" x14ac:dyDescent="0.25">
      <c r="A713">
        <v>691702022</v>
      </c>
      <c r="B713" t="s">
        <v>360</v>
      </c>
      <c r="C713" t="s">
        <v>4499</v>
      </c>
      <c r="D713">
        <v>8</v>
      </c>
      <c r="E713" t="s">
        <v>4445</v>
      </c>
      <c r="F713" t="s">
        <v>1696</v>
      </c>
      <c r="G713" t="s">
        <v>5571</v>
      </c>
      <c r="H713" t="s">
        <v>4957</v>
      </c>
      <c r="I713" s="79" t="str">
        <f>IF(CARTERA_2026[[#This Row],[RUT]]=774097899,"DIST",_xlfn.XLOOKUP(CARTERA_2026[[#This Row],[VENDEDOR]],dimensiones!$C$21:$C$28,dimensiones!$D$21:$D$28,""))</f>
        <v>ATEL</v>
      </c>
      <c r="J713" s="125" t="str">
        <f>_xlfn.XLOOKUP(CARTERA_2026[[#This Row],[REGION]],dimensiones!C:C,dimensiones!D:D,"")</f>
        <v>Región de Biobío</v>
      </c>
    </row>
    <row r="714" spans="1:10" ht="14.25" customHeight="1" x14ac:dyDescent="0.25">
      <c r="A714">
        <v>691703002</v>
      </c>
      <c r="B714" t="s">
        <v>912</v>
      </c>
      <c r="C714" t="s">
        <v>4273</v>
      </c>
      <c r="D714">
        <v>8</v>
      </c>
      <c r="E714" t="s">
        <v>4445</v>
      </c>
      <c r="F714" t="s">
        <v>1897</v>
      </c>
      <c r="G714" t="s">
        <v>5575</v>
      </c>
      <c r="H714" t="s">
        <v>4957</v>
      </c>
      <c r="I714" s="79" t="str">
        <f>IF(CARTERA_2026[[#This Row],[RUT]]=774097899,"DIST",_xlfn.XLOOKUP(CARTERA_2026[[#This Row],[VENDEDOR]],dimensiones!$C$21:$C$28,dimensiones!$D$21:$D$28,""))</f>
        <v>ATEL</v>
      </c>
      <c r="J714" s="125" t="str">
        <f>_xlfn.XLOOKUP(CARTERA_2026[[#This Row],[REGION]],dimensiones!C:C,dimensiones!D:D,"")</f>
        <v>Región de Biobío</v>
      </c>
    </row>
    <row r="715" spans="1:10" ht="14.25" customHeight="1" x14ac:dyDescent="0.25">
      <c r="A715">
        <v>691704025</v>
      </c>
      <c r="B715" t="s">
        <v>361</v>
      </c>
      <c r="C715" t="s">
        <v>4355</v>
      </c>
      <c r="D715">
        <v>8</v>
      </c>
      <c r="E715" t="s">
        <v>4445</v>
      </c>
      <c r="F715" t="s">
        <v>1189</v>
      </c>
      <c r="G715" t="s">
        <v>5575</v>
      </c>
      <c r="H715" t="s">
        <v>4957</v>
      </c>
      <c r="I715" s="79" t="str">
        <f>IF(CARTERA_2026[[#This Row],[RUT]]=774097899,"DIST",_xlfn.XLOOKUP(CARTERA_2026[[#This Row],[VENDEDOR]],dimensiones!$C$21:$C$28,dimensiones!$D$21:$D$28,""))</f>
        <v>ATEL</v>
      </c>
      <c r="J715" s="125" t="str">
        <f>_xlfn.XLOOKUP(CARTERA_2026[[#This Row],[REGION]],dimensiones!C:C,dimensiones!D:D,"")</f>
        <v>Región de Biobío</v>
      </c>
    </row>
    <row r="716" spans="1:10" ht="14.25" customHeight="1" x14ac:dyDescent="0.25">
      <c r="A716">
        <v>691707008</v>
      </c>
      <c r="B716" t="s">
        <v>362</v>
      </c>
      <c r="C716" t="s">
        <v>4216</v>
      </c>
      <c r="D716">
        <v>8</v>
      </c>
      <c r="E716" t="s">
        <v>4445</v>
      </c>
      <c r="F716" t="s">
        <v>1901</v>
      </c>
      <c r="G716" t="s">
        <v>5575</v>
      </c>
      <c r="H716" t="s">
        <v>4957</v>
      </c>
      <c r="I716" s="79" t="str">
        <f>IF(CARTERA_2026[[#This Row],[RUT]]=774097899,"DIST",_xlfn.XLOOKUP(CARTERA_2026[[#This Row],[VENDEDOR]],dimensiones!$C$21:$C$28,dimensiones!$D$21:$D$28,""))</f>
        <v>ATEL</v>
      </c>
      <c r="J716" s="125" t="str">
        <f>_xlfn.XLOOKUP(CARTERA_2026[[#This Row],[REGION]],dimensiones!C:C,dimensiones!D:D,"")</f>
        <v>Región de Biobío</v>
      </c>
    </row>
    <row r="717" spans="1:10" ht="14.25" customHeight="1" x14ac:dyDescent="0.25">
      <c r="A717">
        <v>691708004</v>
      </c>
      <c r="B717" t="s">
        <v>363</v>
      </c>
      <c r="C717" t="s">
        <v>4356</v>
      </c>
      <c r="D717">
        <v>8</v>
      </c>
      <c r="E717" t="s">
        <v>4445</v>
      </c>
      <c r="F717" t="s">
        <v>1903</v>
      </c>
      <c r="G717" t="s">
        <v>5575</v>
      </c>
      <c r="H717" t="s">
        <v>4957</v>
      </c>
      <c r="I717" s="79" t="str">
        <f>IF(CARTERA_2026[[#This Row],[RUT]]=774097899,"DIST",_xlfn.XLOOKUP(CARTERA_2026[[#This Row],[VENDEDOR]],dimensiones!$C$21:$C$28,dimensiones!$D$21:$D$28,""))</f>
        <v>ATEL</v>
      </c>
      <c r="J717" s="125" t="str">
        <f>_xlfn.XLOOKUP(CARTERA_2026[[#This Row],[REGION]],dimensiones!C:C,dimensiones!D:D,"")</f>
        <v>Región de Biobío</v>
      </c>
    </row>
    <row r="718" spans="1:10" ht="14.25" customHeight="1" x14ac:dyDescent="0.25">
      <c r="A718">
        <v>691726002</v>
      </c>
      <c r="B718" t="s">
        <v>364</v>
      </c>
      <c r="C718" t="s">
        <v>4408</v>
      </c>
      <c r="D718">
        <v>8</v>
      </c>
      <c r="E718" t="s">
        <v>4445</v>
      </c>
      <c r="F718" t="s">
        <v>4117</v>
      </c>
      <c r="G718" t="s">
        <v>5575</v>
      </c>
      <c r="H718" t="s">
        <v>4957</v>
      </c>
      <c r="I718" s="79" t="str">
        <f>IF(CARTERA_2026[[#This Row],[RUT]]=774097899,"DIST",_xlfn.XLOOKUP(CARTERA_2026[[#This Row],[VENDEDOR]],dimensiones!$C$21:$C$28,dimensiones!$D$21:$D$28,""))</f>
        <v>ATEL</v>
      </c>
      <c r="J718" s="125" t="str">
        <f>_xlfn.XLOOKUP(CARTERA_2026[[#This Row],[REGION]],dimensiones!C:C,dimensiones!D:D,"")</f>
        <v>Región de Biobío</v>
      </c>
    </row>
    <row r="719" spans="1:10" ht="14.25" customHeight="1" x14ac:dyDescent="0.25">
      <c r="A719">
        <v>691801004</v>
      </c>
      <c r="B719" t="s">
        <v>88</v>
      </c>
      <c r="C719" t="s">
        <v>4389</v>
      </c>
      <c r="D719">
        <v>9</v>
      </c>
      <c r="E719" t="s">
        <v>4464</v>
      </c>
      <c r="F719" t="s">
        <v>2185</v>
      </c>
      <c r="G719" t="s">
        <v>5575</v>
      </c>
      <c r="H719" t="s">
        <v>4957</v>
      </c>
      <c r="I719" s="79" t="str">
        <f>IF(CARTERA_2026[[#This Row],[RUT]]=774097899,"DIST",_xlfn.XLOOKUP(CARTERA_2026[[#This Row],[VENDEDOR]],dimensiones!$C$21:$C$28,dimensiones!$D$21:$D$28,""))</f>
        <v>SUR1</v>
      </c>
      <c r="J719" s="125" t="str">
        <f>_xlfn.XLOOKUP(CARTERA_2026[[#This Row],[REGION]],dimensiones!C:C,dimensiones!D:D,"")</f>
        <v>Región de La Araucanía</v>
      </c>
    </row>
    <row r="720" spans="1:10" ht="14.25" customHeight="1" x14ac:dyDescent="0.25">
      <c r="A720">
        <v>691803007</v>
      </c>
      <c r="B720" t="s">
        <v>365</v>
      </c>
      <c r="C720" t="s">
        <v>4357</v>
      </c>
      <c r="D720">
        <v>9</v>
      </c>
      <c r="E720" t="s">
        <v>4445</v>
      </c>
      <c r="F720" t="s">
        <v>1908</v>
      </c>
      <c r="G720" t="s">
        <v>5575</v>
      </c>
      <c r="H720" t="s">
        <v>4957</v>
      </c>
      <c r="I720" s="79" t="str">
        <f>IF(CARTERA_2026[[#This Row],[RUT]]=774097899,"DIST",_xlfn.XLOOKUP(CARTERA_2026[[#This Row],[VENDEDOR]],dimensiones!$C$21:$C$28,dimensiones!$D$21:$D$28,""))</f>
        <v>ATEL</v>
      </c>
      <c r="J720" s="125" t="str">
        <f>_xlfn.XLOOKUP(CARTERA_2026[[#This Row],[REGION]],dimensiones!C:C,dimensiones!D:D,"")</f>
        <v>Región de La Araucanía</v>
      </c>
    </row>
    <row r="721" spans="1:10" ht="14.25" customHeight="1" x14ac:dyDescent="0.25">
      <c r="A721">
        <v>691804003</v>
      </c>
      <c r="B721" t="s">
        <v>977</v>
      </c>
      <c r="C721" t="s">
        <v>4358</v>
      </c>
      <c r="D721">
        <v>9</v>
      </c>
      <c r="E721" t="s">
        <v>4445</v>
      </c>
      <c r="F721" t="s">
        <v>4041</v>
      </c>
      <c r="G721" t="s">
        <v>5575</v>
      </c>
      <c r="H721" t="s">
        <v>4957</v>
      </c>
      <c r="I721" s="79" t="str">
        <f>IF(CARTERA_2026[[#This Row],[RUT]]=774097899,"DIST",_xlfn.XLOOKUP(CARTERA_2026[[#This Row],[VENDEDOR]],dimensiones!$C$21:$C$28,dimensiones!$D$21:$D$28,""))</f>
        <v>ATEL</v>
      </c>
      <c r="J721" s="125" t="str">
        <f>_xlfn.XLOOKUP(CARTERA_2026[[#This Row],[REGION]],dimensiones!C:C,dimensiones!D:D,"")</f>
        <v>Región de La Araucanía</v>
      </c>
    </row>
    <row r="722" spans="1:10" ht="14.25" customHeight="1" x14ac:dyDescent="0.25">
      <c r="A722" t="s">
        <v>684</v>
      </c>
      <c r="B722" t="s">
        <v>685</v>
      </c>
      <c r="C722" t="s">
        <v>4217</v>
      </c>
      <c r="D722">
        <v>9</v>
      </c>
      <c r="E722" t="s">
        <v>4445</v>
      </c>
      <c r="F722" t="s">
        <v>1910</v>
      </c>
      <c r="G722" t="s">
        <v>5575</v>
      </c>
      <c r="H722" t="s">
        <v>4957</v>
      </c>
      <c r="I722" s="79" t="str">
        <f>IF(CARTERA_2026[[#This Row],[RUT]]=774097899,"DIST",_xlfn.XLOOKUP(CARTERA_2026[[#This Row],[VENDEDOR]],dimensiones!$C$21:$C$28,dimensiones!$D$21:$D$28,""))</f>
        <v>ATEL</v>
      </c>
      <c r="J722" s="125" t="str">
        <f>_xlfn.XLOOKUP(CARTERA_2026[[#This Row],[REGION]],dimensiones!C:C,dimensiones!D:D,"")</f>
        <v>Región de La Araucanía</v>
      </c>
    </row>
    <row r="723" spans="1:10" ht="14.25" customHeight="1" x14ac:dyDescent="0.25">
      <c r="A723">
        <v>691806006</v>
      </c>
      <c r="B723" t="s">
        <v>366</v>
      </c>
      <c r="C723" t="s">
        <v>4359</v>
      </c>
      <c r="D723">
        <v>9</v>
      </c>
      <c r="E723" t="s">
        <v>4445</v>
      </c>
      <c r="F723" t="s">
        <v>2754</v>
      </c>
      <c r="G723" t="s">
        <v>5575</v>
      </c>
      <c r="H723" t="s">
        <v>4957</v>
      </c>
      <c r="I723" s="79" t="str">
        <f>IF(CARTERA_2026[[#This Row],[RUT]]=774097899,"DIST",_xlfn.XLOOKUP(CARTERA_2026[[#This Row],[VENDEDOR]],dimensiones!$C$21:$C$28,dimensiones!$D$21:$D$28,""))</f>
        <v>ATEL</v>
      </c>
      <c r="J723" s="125" t="str">
        <f>_xlfn.XLOOKUP(CARTERA_2026[[#This Row],[REGION]],dimensiones!C:C,dimensiones!D:D,"")</f>
        <v>Región de La Araucanía</v>
      </c>
    </row>
    <row r="724" spans="1:10" ht="14.25" customHeight="1" x14ac:dyDescent="0.25">
      <c r="A724">
        <v>691807002</v>
      </c>
      <c r="B724" t="s">
        <v>913</v>
      </c>
      <c r="C724" t="s">
        <v>4477</v>
      </c>
      <c r="D724">
        <v>9</v>
      </c>
      <c r="E724" t="s">
        <v>4445</v>
      </c>
      <c r="F724" t="s">
        <v>1914</v>
      </c>
      <c r="G724" t="s">
        <v>5575</v>
      </c>
      <c r="H724" t="s">
        <v>4957</v>
      </c>
      <c r="I724" s="79" t="str">
        <f>IF(CARTERA_2026[[#This Row],[RUT]]=774097899,"DIST",_xlfn.XLOOKUP(CARTERA_2026[[#This Row],[VENDEDOR]],dimensiones!$C$21:$C$28,dimensiones!$D$21:$D$28,""))</f>
        <v>ATEL</v>
      </c>
      <c r="J724" s="125" t="str">
        <f>_xlfn.XLOOKUP(CARTERA_2026[[#This Row],[REGION]],dimensiones!C:C,dimensiones!D:D,"")</f>
        <v>Región de La Araucanía</v>
      </c>
    </row>
    <row r="725" spans="1:10" ht="14.25" customHeight="1" x14ac:dyDescent="0.25">
      <c r="A725">
        <v>691808009</v>
      </c>
      <c r="B725" t="s">
        <v>367</v>
      </c>
      <c r="C725" t="s">
        <v>4360</v>
      </c>
      <c r="D725">
        <v>9</v>
      </c>
      <c r="E725" t="s">
        <v>4445</v>
      </c>
      <c r="F725" t="s">
        <v>2333</v>
      </c>
      <c r="G725" t="s">
        <v>5575</v>
      </c>
      <c r="H725" t="s">
        <v>4957</v>
      </c>
      <c r="I725" s="79" t="str">
        <f>IF(CARTERA_2026[[#This Row],[RUT]]=774097899,"DIST",_xlfn.XLOOKUP(CARTERA_2026[[#This Row],[VENDEDOR]],dimensiones!$C$21:$C$28,dimensiones!$D$21:$D$28,""))</f>
        <v>ATEL</v>
      </c>
      <c r="J725" s="125" t="str">
        <f>_xlfn.XLOOKUP(CARTERA_2026[[#This Row],[REGION]],dimensiones!C:C,dimensiones!D:D,"")</f>
        <v>Región de La Araucanía</v>
      </c>
    </row>
    <row r="726" spans="1:10" ht="14.25" customHeight="1" x14ac:dyDescent="0.25">
      <c r="A726">
        <v>691809005</v>
      </c>
      <c r="B726" t="s">
        <v>89</v>
      </c>
      <c r="C726" t="s">
        <v>4361</v>
      </c>
      <c r="D726">
        <v>9</v>
      </c>
      <c r="E726" t="s">
        <v>4454</v>
      </c>
      <c r="F726" t="s">
        <v>1919</v>
      </c>
      <c r="G726" t="s">
        <v>5575</v>
      </c>
      <c r="H726" t="s">
        <v>4957</v>
      </c>
      <c r="I726" s="79" t="str">
        <f>IF(CARTERA_2026[[#This Row],[RUT]]=774097899,"DIST",_xlfn.XLOOKUP(CARTERA_2026[[#This Row],[VENDEDOR]],dimensiones!$C$21:$C$28,dimensiones!$D$21:$D$28,""))</f>
        <v>SUR2</v>
      </c>
      <c r="J726" s="125" t="str">
        <f>_xlfn.XLOOKUP(CARTERA_2026[[#This Row],[REGION]],dimensiones!C:C,dimensiones!D:D,"")</f>
        <v>Región de La Araucanía</v>
      </c>
    </row>
    <row r="727" spans="1:10" ht="14.25" customHeight="1" x14ac:dyDescent="0.25">
      <c r="A727">
        <v>691810003</v>
      </c>
      <c r="B727" t="s">
        <v>368</v>
      </c>
      <c r="C727" t="s">
        <v>4479</v>
      </c>
      <c r="D727">
        <v>9</v>
      </c>
      <c r="E727" t="s">
        <v>4445</v>
      </c>
      <c r="F727" t="s">
        <v>1921</v>
      </c>
      <c r="G727" t="s">
        <v>5575</v>
      </c>
      <c r="H727" t="s">
        <v>4957</v>
      </c>
      <c r="I727" s="79" t="str">
        <f>IF(CARTERA_2026[[#This Row],[RUT]]=774097899,"DIST",_xlfn.XLOOKUP(CARTERA_2026[[#This Row],[VENDEDOR]],dimensiones!$C$21:$C$28,dimensiones!$D$21:$D$28,""))</f>
        <v>ATEL</v>
      </c>
      <c r="J727" s="125" t="str">
        <f>_xlfn.XLOOKUP(CARTERA_2026[[#This Row],[REGION]],dimensiones!C:C,dimensiones!D:D,"")</f>
        <v>Región de La Araucanía</v>
      </c>
    </row>
    <row r="728" spans="1:10" ht="14.25" customHeight="1" x14ac:dyDescent="0.25">
      <c r="A728" t="s">
        <v>914</v>
      </c>
      <c r="B728" t="s">
        <v>915</v>
      </c>
      <c r="C728" t="s">
        <v>4276</v>
      </c>
      <c r="D728">
        <v>9</v>
      </c>
      <c r="E728" t="s">
        <v>4445</v>
      </c>
      <c r="F728" t="s">
        <v>1485</v>
      </c>
      <c r="G728" t="s">
        <v>5575</v>
      </c>
      <c r="H728" t="s">
        <v>4957</v>
      </c>
      <c r="I728" s="79" t="str">
        <f>IF(CARTERA_2026[[#This Row],[RUT]]=774097899,"DIST",_xlfn.XLOOKUP(CARTERA_2026[[#This Row],[VENDEDOR]],dimensiones!$C$21:$C$28,dimensiones!$D$21:$D$28,""))</f>
        <v>ATEL</v>
      </c>
      <c r="J728" s="125" t="str">
        <f>_xlfn.XLOOKUP(CARTERA_2026[[#This Row],[REGION]],dimensiones!C:C,dimensiones!D:D,"")</f>
        <v>Región de La Araucanía</v>
      </c>
    </row>
    <row r="729" spans="1:10" ht="14.25" customHeight="1" x14ac:dyDescent="0.25">
      <c r="A729">
        <v>691901009</v>
      </c>
      <c r="B729" t="s">
        <v>90</v>
      </c>
      <c r="C729" t="s">
        <v>4362</v>
      </c>
      <c r="D729">
        <v>9</v>
      </c>
      <c r="E729" t="s">
        <v>4454</v>
      </c>
      <c r="F729" t="s">
        <v>3372</v>
      </c>
      <c r="G729" t="s">
        <v>5575</v>
      </c>
      <c r="H729" t="s">
        <v>4957</v>
      </c>
      <c r="I729" s="79" t="str">
        <f>IF(CARTERA_2026[[#This Row],[RUT]]=774097899,"DIST",_xlfn.XLOOKUP(CARTERA_2026[[#This Row],[VENDEDOR]],dimensiones!$C$21:$C$28,dimensiones!$D$21:$D$28,""))</f>
        <v>SUR2</v>
      </c>
      <c r="J729" s="125" t="str">
        <f>_xlfn.XLOOKUP(CARTERA_2026[[#This Row],[REGION]],dimensiones!C:C,dimensiones!D:D,"")</f>
        <v>Región de La Araucanía</v>
      </c>
    </row>
    <row r="730" spans="1:10" ht="14.25" customHeight="1" x14ac:dyDescent="0.25">
      <c r="A730">
        <v>691902005</v>
      </c>
      <c r="B730" t="s">
        <v>916</v>
      </c>
      <c r="C730" t="s">
        <v>4219</v>
      </c>
      <c r="D730">
        <v>9</v>
      </c>
      <c r="E730" t="s">
        <v>4445</v>
      </c>
      <c r="F730" t="s">
        <v>2087</v>
      </c>
      <c r="G730" t="s">
        <v>5575</v>
      </c>
      <c r="H730" t="s">
        <v>4957</v>
      </c>
      <c r="I730" s="79" t="str">
        <f>IF(CARTERA_2026[[#This Row],[RUT]]=774097899,"DIST",_xlfn.XLOOKUP(CARTERA_2026[[#This Row],[VENDEDOR]],dimensiones!$C$21:$C$28,dimensiones!$D$21:$D$28,""))</f>
        <v>ATEL</v>
      </c>
      <c r="J730" s="125" t="str">
        <f>_xlfn.XLOOKUP(CARTERA_2026[[#This Row],[REGION]],dimensiones!C:C,dimensiones!D:D,"")</f>
        <v>Región de La Araucanía</v>
      </c>
    </row>
    <row r="731" spans="1:10" ht="14.25" customHeight="1" x14ac:dyDescent="0.25">
      <c r="A731">
        <v>691903001</v>
      </c>
      <c r="B731" t="s">
        <v>369</v>
      </c>
      <c r="C731" t="s">
        <v>4363</v>
      </c>
      <c r="D731">
        <v>9</v>
      </c>
      <c r="E731" t="s">
        <v>4445</v>
      </c>
      <c r="F731" t="s">
        <v>1314</v>
      </c>
      <c r="G731" t="s">
        <v>5575</v>
      </c>
      <c r="H731" t="s">
        <v>4957</v>
      </c>
      <c r="I731" s="79" t="str">
        <f>IF(CARTERA_2026[[#This Row],[RUT]]=774097899,"DIST",_xlfn.XLOOKUP(CARTERA_2026[[#This Row],[VENDEDOR]],dimensiones!$C$21:$C$28,dimensiones!$D$21:$D$28,""))</f>
        <v>ATEL</v>
      </c>
      <c r="J731" s="125" t="str">
        <f>_xlfn.XLOOKUP(CARTERA_2026[[#This Row],[REGION]],dimensiones!C:C,dimensiones!D:D,"")</f>
        <v>Región de La Araucanía</v>
      </c>
    </row>
    <row r="732" spans="1:10" ht="14.25" customHeight="1" x14ac:dyDescent="0.25">
      <c r="A732">
        <v>691904008</v>
      </c>
      <c r="B732" t="s">
        <v>91</v>
      </c>
      <c r="C732" t="s">
        <v>4364</v>
      </c>
      <c r="D732">
        <v>9</v>
      </c>
      <c r="E732" t="s">
        <v>4454</v>
      </c>
      <c r="F732" t="s">
        <v>1930</v>
      </c>
      <c r="G732" t="s">
        <v>5575</v>
      </c>
      <c r="H732" t="s">
        <v>4957</v>
      </c>
      <c r="I732" s="79" t="str">
        <f>IF(CARTERA_2026[[#This Row],[RUT]]=774097899,"DIST",_xlfn.XLOOKUP(CARTERA_2026[[#This Row],[VENDEDOR]],dimensiones!$C$21:$C$28,dimensiones!$D$21:$D$28,""))</f>
        <v>SUR2</v>
      </c>
      <c r="J732" s="125" t="str">
        <f>_xlfn.XLOOKUP(CARTERA_2026[[#This Row],[REGION]],dimensiones!C:C,dimensiones!D:D,"")</f>
        <v>Región de La Araucanía</v>
      </c>
    </row>
    <row r="733" spans="1:10" ht="14.25" customHeight="1" x14ac:dyDescent="0.25">
      <c r="A733">
        <v>691905004</v>
      </c>
      <c r="B733" t="s">
        <v>370</v>
      </c>
      <c r="C733" t="s">
        <v>4222</v>
      </c>
      <c r="D733">
        <v>9</v>
      </c>
      <c r="E733" t="s">
        <v>4445</v>
      </c>
      <c r="F733" t="s">
        <v>1932</v>
      </c>
      <c r="G733" t="s">
        <v>5575</v>
      </c>
      <c r="H733" t="s">
        <v>4957</v>
      </c>
      <c r="I733" s="79" t="str">
        <f>IF(CARTERA_2026[[#This Row],[RUT]]=774097899,"DIST",_xlfn.XLOOKUP(CARTERA_2026[[#This Row],[VENDEDOR]],dimensiones!$C$21:$C$28,dimensiones!$D$21:$D$28,""))</f>
        <v>ATEL</v>
      </c>
      <c r="J733" s="125" t="str">
        <f>_xlfn.XLOOKUP(CARTERA_2026[[#This Row],[REGION]],dimensiones!C:C,dimensiones!D:D,"")</f>
        <v>Región de La Araucanía</v>
      </c>
    </row>
    <row r="734" spans="1:10" ht="14.25" customHeight="1" x14ac:dyDescent="0.25">
      <c r="A734">
        <v>691906000</v>
      </c>
      <c r="B734" t="s">
        <v>371</v>
      </c>
      <c r="C734" t="s">
        <v>4487</v>
      </c>
      <c r="D734">
        <v>9</v>
      </c>
      <c r="E734" t="s">
        <v>4445</v>
      </c>
      <c r="F734" t="s">
        <v>1934</v>
      </c>
      <c r="G734" t="s">
        <v>5575</v>
      </c>
      <c r="H734" t="s">
        <v>4957</v>
      </c>
      <c r="I734" s="79" t="str">
        <f>IF(CARTERA_2026[[#This Row],[RUT]]=774097899,"DIST",_xlfn.XLOOKUP(CARTERA_2026[[#This Row],[VENDEDOR]],dimensiones!$C$21:$C$28,dimensiones!$D$21:$D$28,""))</f>
        <v>ATEL</v>
      </c>
      <c r="J734" s="125" t="str">
        <f>_xlfn.XLOOKUP(CARTERA_2026[[#This Row],[REGION]],dimensiones!C:C,dimensiones!D:D,"")</f>
        <v>Región de La Araucanía</v>
      </c>
    </row>
    <row r="735" spans="1:10" ht="14.25" customHeight="1" x14ac:dyDescent="0.25">
      <c r="A735">
        <v>691907007</v>
      </c>
      <c r="B735" t="s">
        <v>92</v>
      </c>
      <c r="C735" t="s">
        <v>4218</v>
      </c>
      <c r="D735">
        <v>9</v>
      </c>
      <c r="E735" t="s">
        <v>4454</v>
      </c>
      <c r="F735" t="s">
        <v>1879</v>
      </c>
      <c r="G735" t="s">
        <v>5575</v>
      </c>
      <c r="H735" t="s">
        <v>4957</v>
      </c>
      <c r="I735" s="79" t="str">
        <f>IF(CARTERA_2026[[#This Row],[RUT]]=774097899,"DIST",_xlfn.XLOOKUP(CARTERA_2026[[#This Row],[VENDEDOR]],dimensiones!$C$21:$C$28,dimensiones!$D$21:$D$28,""))</f>
        <v>SUR2</v>
      </c>
      <c r="J735" s="125" t="str">
        <f>_xlfn.XLOOKUP(CARTERA_2026[[#This Row],[REGION]],dimensiones!C:C,dimensiones!D:D,"")</f>
        <v>Región de La Araucanía</v>
      </c>
    </row>
    <row r="736" spans="1:10" ht="14.25" customHeight="1" x14ac:dyDescent="0.25">
      <c r="A736">
        <v>691908003</v>
      </c>
      <c r="B736" t="s">
        <v>372</v>
      </c>
      <c r="C736" t="s">
        <v>4480</v>
      </c>
      <c r="D736">
        <v>9</v>
      </c>
      <c r="E736" t="s">
        <v>4445</v>
      </c>
      <c r="F736" t="s">
        <v>3471</v>
      </c>
      <c r="G736" t="s">
        <v>5575</v>
      </c>
      <c r="H736" t="s">
        <v>4957</v>
      </c>
      <c r="I736" s="79" t="str">
        <f>IF(CARTERA_2026[[#This Row],[RUT]]=774097899,"DIST",_xlfn.XLOOKUP(CARTERA_2026[[#This Row],[VENDEDOR]],dimensiones!$C$21:$C$28,dimensiones!$D$21:$D$28,""))</f>
        <v>ATEL</v>
      </c>
      <c r="J736" s="125" t="str">
        <f>_xlfn.XLOOKUP(CARTERA_2026[[#This Row],[REGION]],dimensiones!C:C,dimensiones!D:D,"")</f>
        <v>Región de La Araucanía</v>
      </c>
    </row>
    <row r="737" spans="1:10" ht="14.25" customHeight="1" x14ac:dyDescent="0.25">
      <c r="A737" s="135" t="s">
        <v>686</v>
      </c>
      <c r="B737" t="s">
        <v>687</v>
      </c>
      <c r="C737" t="s">
        <v>4365</v>
      </c>
      <c r="D737">
        <v>9</v>
      </c>
      <c r="E737" t="s">
        <v>4445</v>
      </c>
      <c r="F737" t="s">
        <v>1809</v>
      </c>
      <c r="G737" t="s">
        <v>5575</v>
      </c>
      <c r="H737" t="s">
        <v>4957</v>
      </c>
      <c r="I737" s="79" t="str">
        <f>IF(CARTERA_2026[[#This Row],[RUT]]=774097899,"DIST",_xlfn.XLOOKUP(CARTERA_2026[[#This Row],[VENDEDOR]],dimensiones!$C$21:$C$28,dimensiones!$D$21:$D$28,""))</f>
        <v>ATEL</v>
      </c>
      <c r="J737" s="125" t="str">
        <f>_xlfn.XLOOKUP(CARTERA_2026[[#This Row],[REGION]],dimensiones!C:C,dimensiones!D:D,"")</f>
        <v>Región de La Araucanía</v>
      </c>
    </row>
    <row r="738" spans="1:10" ht="14.25" customHeight="1" x14ac:dyDescent="0.25">
      <c r="A738" s="135">
        <v>691910008</v>
      </c>
      <c r="B738" t="s">
        <v>373</v>
      </c>
      <c r="C738" t="s">
        <v>4220</v>
      </c>
      <c r="D738">
        <v>9</v>
      </c>
      <c r="E738" t="s">
        <v>4445</v>
      </c>
      <c r="F738" t="s">
        <v>1712</v>
      </c>
      <c r="G738" t="s">
        <v>5575</v>
      </c>
      <c r="H738" t="s">
        <v>4957</v>
      </c>
      <c r="I738" s="79" t="str">
        <f>IF(CARTERA_2026[[#This Row],[RUT]]=774097899,"DIST",_xlfn.XLOOKUP(CARTERA_2026[[#This Row],[VENDEDOR]],dimensiones!$C$21:$C$28,dimensiones!$D$21:$D$28,""))</f>
        <v>ATEL</v>
      </c>
      <c r="J738" s="125" t="str">
        <f>_xlfn.XLOOKUP(CARTERA_2026[[#This Row],[REGION]],dimensiones!C:C,dimensiones!D:D,"")</f>
        <v>Región de La Araucanía</v>
      </c>
    </row>
    <row r="739" spans="1:10" ht="14.25" customHeight="1" x14ac:dyDescent="0.25">
      <c r="A739">
        <v>691911004</v>
      </c>
      <c r="B739" t="s">
        <v>374</v>
      </c>
      <c r="C739" t="s">
        <v>4366</v>
      </c>
      <c r="D739">
        <v>9</v>
      </c>
      <c r="E739" t="s">
        <v>4445</v>
      </c>
      <c r="F739" t="s">
        <v>1944</v>
      </c>
      <c r="G739" t="s">
        <v>5575</v>
      </c>
      <c r="H739" t="s">
        <v>4957</v>
      </c>
      <c r="I739" s="79" t="str">
        <f>IF(CARTERA_2026[[#This Row],[RUT]]=774097899,"DIST",_xlfn.XLOOKUP(CARTERA_2026[[#This Row],[VENDEDOR]],dimensiones!$C$21:$C$28,dimensiones!$D$21:$D$28,""))</f>
        <v>ATEL</v>
      </c>
      <c r="J739" s="125" t="str">
        <f>_xlfn.XLOOKUP(CARTERA_2026[[#This Row],[REGION]],dimensiones!C:C,dimensiones!D:D,"")</f>
        <v>Región de La Araucanía</v>
      </c>
    </row>
    <row r="740" spans="1:10" ht="14.25" customHeight="1" x14ac:dyDescent="0.25">
      <c r="A740">
        <v>691912000</v>
      </c>
      <c r="B740" t="s">
        <v>375</v>
      </c>
      <c r="C740" t="s">
        <v>4221</v>
      </c>
      <c r="D740">
        <v>9</v>
      </c>
      <c r="E740" t="s">
        <v>4445</v>
      </c>
      <c r="F740" t="s">
        <v>1348</v>
      </c>
      <c r="G740" t="s">
        <v>5575</v>
      </c>
      <c r="H740" t="s">
        <v>4957</v>
      </c>
      <c r="I740" s="79" t="str">
        <f>IF(CARTERA_2026[[#This Row],[RUT]]=774097899,"DIST",_xlfn.XLOOKUP(CARTERA_2026[[#This Row],[VENDEDOR]],dimensiones!$C$21:$C$28,dimensiones!$D$21:$D$28,""))</f>
        <v>ATEL</v>
      </c>
      <c r="J740" s="125" t="str">
        <f>_xlfn.XLOOKUP(CARTERA_2026[[#This Row],[REGION]],dimensiones!C:C,dimensiones!D:D,"")</f>
        <v>Región de La Araucanía</v>
      </c>
    </row>
    <row r="741" spans="1:10" ht="14.25" customHeight="1" x14ac:dyDescent="0.25">
      <c r="A741">
        <v>691913007</v>
      </c>
      <c r="B741" t="s">
        <v>93</v>
      </c>
      <c r="C741" t="s">
        <v>4478</v>
      </c>
      <c r="D741">
        <v>9</v>
      </c>
      <c r="E741" t="s">
        <v>4454</v>
      </c>
      <c r="F741" t="s">
        <v>1948</v>
      </c>
      <c r="G741" t="s">
        <v>5575</v>
      </c>
      <c r="H741" t="s">
        <v>4957</v>
      </c>
      <c r="I741" s="79" t="str">
        <f>IF(CARTERA_2026[[#This Row],[RUT]]=774097899,"DIST",_xlfn.XLOOKUP(CARTERA_2026[[#This Row],[VENDEDOR]],dimensiones!$C$21:$C$28,dimensiones!$D$21:$D$28,""))</f>
        <v>SUR2</v>
      </c>
      <c r="J741" s="125" t="str">
        <f>_xlfn.XLOOKUP(CARTERA_2026[[#This Row],[REGION]],dimensiones!C:C,dimensiones!D:D,"")</f>
        <v>Región de La Araucanía</v>
      </c>
    </row>
    <row r="742" spans="1:10" ht="14.25" customHeight="1" x14ac:dyDescent="0.25">
      <c r="A742">
        <v>691914003</v>
      </c>
      <c r="B742" t="s">
        <v>987</v>
      </c>
      <c r="C742" t="s">
        <v>4481</v>
      </c>
      <c r="D742">
        <v>9</v>
      </c>
      <c r="E742" t="s">
        <v>4445</v>
      </c>
      <c r="F742" t="s">
        <v>4543</v>
      </c>
      <c r="G742" t="s">
        <v>5575</v>
      </c>
      <c r="H742" t="s">
        <v>4957</v>
      </c>
      <c r="I742" s="79" t="str">
        <f>IF(CARTERA_2026[[#This Row],[RUT]]=774097899,"DIST",_xlfn.XLOOKUP(CARTERA_2026[[#This Row],[VENDEDOR]],dimensiones!$C$21:$C$28,dimensiones!$D$21:$D$28,""))</f>
        <v>ATEL</v>
      </c>
      <c r="J742" s="125" t="str">
        <f>_xlfn.XLOOKUP(CARTERA_2026[[#This Row],[REGION]],dimensiones!C:C,dimensiones!D:D,"")</f>
        <v>Región de La Araucanía</v>
      </c>
    </row>
    <row r="743" spans="1:10" ht="14.25" customHeight="1" x14ac:dyDescent="0.25">
      <c r="A743" t="s">
        <v>150</v>
      </c>
      <c r="B743" t="s">
        <v>151</v>
      </c>
      <c r="C743" t="s">
        <v>4223</v>
      </c>
      <c r="D743">
        <v>9</v>
      </c>
      <c r="E743" t="s">
        <v>4454</v>
      </c>
      <c r="F743" t="s">
        <v>2030</v>
      </c>
      <c r="G743" t="s">
        <v>5575</v>
      </c>
      <c r="H743" t="s">
        <v>4957</v>
      </c>
      <c r="I743" s="79" t="str">
        <f>IF(CARTERA_2026[[#This Row],[RUT]]=774097899,"DIST",_xlfn.XLOOKUP(CARTERA_2026[[#This Row],[VENDEDOR]],dimensiones!$C$21:$C$28,dimensiones!$D$21:$D$28,""))</f>
        <v>SUR2</v>
      </c>
      <c r="J743" s="125" t="str">
        <f>_xlfn.XLOOKUP(CARTERA_2026[[#This Row],[REGION]],dimensiones!C:C,dimensiones!D:D,"")</f>
        <v>Región de La Araucanía</v>
      </c>
    </row>
    <row r="744" spans="1:10" ht="14.25" customHeight="1" x14ac:dyDescent="0.25">
      <c r="A744">
        <v>691916006</v>
      </c>
      <c r="B744" t="s">
        <v>94</v>
      </c>
      <c r="C744" t="s">
        <v>4544</v>
      </c>
      <c r="D744">
        <v>9</v>
      </c>
      <c r="E744" t="s">
        <v>4454</v>
      </c>
      <c r="F744" t="s">
        <v>1637</v>
      </c>
      <c r="G744" t="s">
        <v>5575</v>
      </c>
      <c r="H744" t="s">
        <v>4957</v>
      </c>
      <c r="I744" s="79" t="str">
        <f>IF(CARTERA_2026[[#This Row],[RUT]]=774097899,"DIST",_xlfn.XLOOKUP(CARTERA_2026[[#This Row],[VENDEDOR]],dimensiones!$C$21:$C$28,dimensiones!$D$21:$D$28,""))</f>
        <v>SUR2</v>
      </c>
      <c r="J744" s="125" t="str">
        <f>_xlfn.XLOOKUP(CARTERA_2026[[#This Row],[REGION]],dimensiones!C:C,dimensiones!D:D,"")</f>
        <v>Región de La Araucanía</v>
      </c>
    </row>
    <row r="745" spans="1:10" ht="14.25" customHeight="1" x14ac:dyDescent="0.25">
      <c r="A745">
        <v>692001001</v>
      </c>
      <c r="B745" t="s">
        <v>95</v>
      </c>
      <c r="C745" t="s">
        <v>4170</v>
      </c>
      <c r="D745">
        <v>14</v>
      </c>
      <c r="E745" t="s">
        <v>4454</v>
      </c>
      <c r="F745" t="s">
        <v>1954</v>
      </c>
      <c r="G745" t="s">
        <v>5575</v>
      </c>
      <c r="H745" t="s">
        <v>4957</v>
      </c>
      <c r="I745" s="79" t="str">
        <f>IF(CARTERA_2026[[#This Row],[RUT]]=774097899,"DIST",_xlfn.XLOOKUP(CARTERA_2026[[#This Row],[VENDEDOR]],dimensiones!$C$21:$C$28,dimensiones!$D$21:$D$28,""))</f>
        <v>SUR2</v>
      </c>
      <c r="J745" s="125" t="str">
        <f>_xlfn.XLOOKUP(CARTERA_2026[[#This Row],[REGION]],dimensiones!C:C,dimensiones!D:D,"")</f>
        <v>Región de Los Ríos</v>
      </c>
    </row>
    <row r="746" spans="1:10" ht="14.25" customHeight="1" x14ac:dyDescent="0.25">
      <c r="A746">
        <v>692003004</v>
      </c>
      <c r="B746" t="s">
        <v>376</v>
      </c>
      <c r="C746" t="s">
        <v>4277</v>
      </c>
      <c r="D746">
        <v>14</v>
      </c>
      <c r="E746" t="s">
        <v>4445</v>
      </c>
      <c r="F746" t="s">
        <v>1351</v>
      </c>
      <c r="G746" t="s">
        <v>5575</v>
      </c>
      <c r="H746" t="s">
        <v>4957</v>
      </c>
      <c r="I746" s="79" t="str">
        <f>IF(CARTERA_2026[[#This Row],[RUT]]=774097899,"DIST",_xlfn.XLOOKUP(CARTERA_2026[[#This Row],[VENDEDOR]],dimensiones!$C$21:$C$28,dimensiones!$D$21:$D$28,""))</f>
        <v>ATEL</v>
      </c>
      <c r="J746" s="125" t="str">
        <f>_xlfn.XLOOKUP(CARTERA_2026[[#This Row],[REGION]],dimensiones!C:C,dimensiones!D:D,"")</f>
        <v>Región de Los Ríos</v>
      </c>
    </row>
    <row r="747" spans="1:10" ht="14.25" customHeight="1" x14ac:dyDescent="0.25">
      <c r="A747">
        <v>692004000</v>
      </c>
      <c r="B747" t="s">
        <v>5050</v>
      </c>
      <c r="C747" t="s">
        <v>4296</v>
      </c>
      <c r="D747">
        <v>14</v>
      </c>
      <c r="E747" t="s">
        <v>4445</v>
      </c>
      <c r="F747" t="s">
        <v>5220</v>
      </c>
      <c r="G747" t="s">
        <v>5575</v>
      </c>
      <c r="H747" t="s">
        <v>4957</v>
      </c>
      <c r="I747" s="79" t="str">
        <f>IF(CARTERA_2026[[#This Row],[RUT]]=774097899,"DIST",_xlfn.XLOOKUP(CARTERA_2026[[#This Row],[VENDEDOR]],dimensiones!$C$21:$C$28,dimensiones!$D$21:$D$28,""))</f>
        <v>ATEL</v>
      </c>
      <c r="J747" s="125" t="str">
        <f>_xlfn.XLOOKUP(CARTERA_2026[[#This Row],[REGION]],dimensiones!C:C,dimensiones!D:D,"")</f>
        <v>Región de Los Ríos</v>
      </c>
    </row>
    <row r="748" spans="1:10" ht="14.25" customHeight="1" x14ac:dyDescent="0.25">
      <c r="A748">
        <v>692005007</v>
      </c>
      <c r="B748" t="s">
        <v>377</v>
      </c>
      <c r="C748" t="s">
        <v>4545</v>
      </c>
      <c r="D748">
        <v>14</v>
      </c>
      <c r="E748" t="s">
        <v>4445</v>
      </c>
      <c r="F748" t="s">
        <v>1957</v>
      </c>
      <c r="G748" t="s">
        <v>5575</v>
      </c>
      <c r="H748" t="s">
        <v>4957</v>
      </c>
      <c r="I748" s="79" t="str">
        <f>IF(CARTERA_2026[[#This Row],[RUT]]=774097899,"DIST",_xlfn.XLOOKUP(CARTERA_2026[[#This Row],[VENDEDOR]],dimensiones!$C$21:$C$28,dimensiones!$D$21:$D$28,""))</f>
        <v>ATEL</v>
      </c>
      <c r="J748" s="125" t="str">
        <f>_xlfn.XLOOKUP(CARTERA_2026[[#This Row],[REGION]],dimensiones!C:C,dimensiones!D:D,"")</f>
        <v>Región de Los Ríos</v>
      </c>
    </row>
    <row r="749" spans="1:10" ht="14.25" customHeight="1" x14ac:dyDescent="0.25">
      <c r="A749">
        <v>692006003</v>
      </c>
      <c r="B749" t="s">
        <v>378</v>
      </c>
      <c r="C749" t="s">
        <v>4281</v>
      </c>
      <c r="D749">
        <v>14</v>
      </c>
      <c r="E749" t="s">
        <v>4445</v>
      </c>
      <c r="F749" t="s">
        <v>1959</v>
      </c>
      <c r="G749" t="s">
        <v>5575</v>
      </c>
      <c r="H749" t="s">
        <v>4957</v>
      </c>
      <c r="I749" s="79" t="str">
        <f>IF(CARTERA_2026[[#This Row],[RUT]]=774097899,"DIST",_xlfn.XLOOKUP(CARTERA_2026[[#This Row],[VENDEDOR]],dimensiones!$C$21:$C$28,dimensiones!$D$21:$D$28,""))</f>
        <v>ATEL</v>
      </c>
      <c r="J749" s="125" t="str">
        <f>_xlfn.XLOOKUP(CARTERA_2026[[#This Row],[REGION]],dimensiones!C:C,dimensiones!D:D,"")</f>
        <v>Región de Los Ríos</v>
      </c>
    </row>
    <row r="750" spans="1:10" ht="14.25" customHeight="1" x14ac:dyDescent="0.25">
      <c r="A750" t="s">
        <v>688</v>
      </c>
      <c r="B750" t="s">
        <v>689</v>
      </c>
      <c r="C750" t="s">
        <v>4367</v>
      </c>
      <c r="D750">
        <v>14</v>
      </c>
      <c r="E750" t="s">
        <v>4445</v>
      </c>
      <c r="F750" t="s">
        <v>1749</v>
      </c>
      <c r="G750" t="s">
        <v>5575</v>
      </c>
      <c r="H750" t="s">
        <v>4957</v>
      </c>
      <c r="I750" s="79" t="str">
        <f>IF(CARTERA_2026[[#This Row],[RUT]]=774097899,"DIST",_xlfn.XLOOKUP(CARTERA_2026[[#This Row],[VENDEDOR]],dimensiones!$C$21:$C$28,dimensiones!$D$21:$D$28,""))</f>
        <v>ATEL</v>
      </c>
      <c r="J750" s="125" t="str">
        <f>_xlfn.XLOOKUP(CARTERA_2026[[#This Row],[REGION]],dimensiones!C:C,dimensiones!D:D,"")</f>
        <v>Región de Los Ríos</v>
      </c>
    </row>
    <row r="751" spans="1:10" ht="14.25" customHeight="1" x14ac:dyDescent="0.25">
      <c r="A751">
        <v>692008006</v>
      </c>
      <c r="B751" t="s">
        <v>3320</v>
      </c>
      <c r="C751" t="s">
        <v>4467</v>
      </c>
      <c r="D751">
        <v>14</v>
      </c>
      <c r="E751" t="s">
        <v>4454</v>
      </c>
      <c r="F751" t="s">
        <v>3319</v>
      </c>
      <c r="G751" t="s">
        <v>5575</v>
      </c>
      <c r="H751" t="s">
        <v>4957</v>
      </c>
      <c r="I751" s="79" t="str">
        <f>IF(CARTERA_2026[[#This Row],[RUT]]=774097899,"DIST",_xlfn.XLOOKUP(CARTERA_2026[[#This Row],[VENDEDOR]],dimensiones!$C$21:$C$28,dimensiones!$D$21:$D$28,""))</f>
        <v>SUR2</v>
      </c>
      <c r="J751" s="125" t="str">
        <f>_xlfn.XLOOKUP(CARTERA_2026[[#This Row],[REGION]],dimensiones!C:C,dimensiones!D:D,"")</f>
        <v>Región de Los Ríos</v>
      </c>
    </row>
    <row r="752" spans="1:10" ht="14.25" customHeight="1" x14ac:dyDescent="0.25">
      <c r="A752">
        <v>692009002</v>
      </c>
      <c r="B752" t="s">
        <v>798</v>
      </c>
      <c r="C752" t="s">
        <v>4279</v>
      </c>
      <c r="D752">
        <v>14</v>
      </c>
      <c r="E752" t="s">
        <v>4445</v>
      </c>
      <c r="F752" t="s">
        <v>2174</v>
      </c>
      <c r="G752" t="s">
        <v>5575</v>
      </c>
      <c r="H752" t="s">
        <v>4957</v>
      </c>
      <c r="I752" s="79" t="str">
        <f>IF(CARTERA_2026[[#This Row],[RUT]]=774097899,"DIST",_xlfn.XLOOKUP(CARTERA_2026[[#This Row],[VENDEDOR]],dimensiones!$C$21:$C$28,dimensiones!$D$21:$D$28,""))</f>
        <v>ATEL</v>
      </c>
      <c r="J752" s="125" t="str">
        <f>_xlfn.XLOOKUP(CARTERA_2026[[#This Row],[REGION]],dimensiones!C:C,dimensiones!D:D,"")</f>
        <v>Región de Los Ríos</v>
      </c>
    </row>
    <row r="753" spans="1:10" ht="14.25" customHeight="1" x14ac:dyDescent="0.25">
      <c r="A753">
        <v>692010000</v>
      </c>
      <c r="B753" t="s">
        <v>379</v>
      </c>
      <c r="C753" t="s">
        <v>4500</v>
      </c>
      <c r="D753">
        <v>14</v>
      </c>
      <c r="E753" t="s">
        <v>4445</v>
      </c>
      <c r="F753" t="s">
        <v>3962</v>
      </c>
      <c r="G753" t="s">
        <v>5575</v>
      </c>
      <c r="H753" t="s">
        <v>4957</v>
      </c>
      <c r="I753" s="79" t="str">
        <f>IF(CARTERA_2026[[#This Row],[RUT]]=774097899,"DIST",_xlfn.XLOOKUP(CARTERA_2026[[#This Row],[VENDEDOR]],dimensiones!$C$21:$C$28,dimensiones!$D$21:$D$28,""))</f>
        <v>ATEL</v>
      </c>
      <c r="J753" s="125" t="str">
        <f>_xlfn.XLOOKUP(CARTERA_2026[[#This Row],[REGION]],dimensiones!C:C,dimensiones!D:D,"")</f>
        <v>Región de Los Ríos</v>
      </c>
    </row>
    <row r="754" spans="1:10" ht="14.25" customHeight="1" x14ac:dyDescent="0.25">
      <c r="A754">
        <v>692011007</v>
      </c>
      <c r="B754" t="s">
        <v>380</v>
      </c>
      <c r="C754" t="s">
        <v>4368</v>
      </c>
      <c r="D754">
        <v>14</v>
      </c>
      <c r="E754" t="s">
        <v>4445</v>
      </c>
      <c r="F754" t="s">
        <v>2009</v>
      </c>
      <c r="G754" t="s">
        <v>5571</v>
      </c>
      <c r="H754" t="s">
        <v>4957</v>
      </c>
      <c r="I754" s="79" t="str">
        <f>IF(CARTERA_2026[[#This Row],[RUT]]=774097899,"DIST",_xlfn.XLOOKUP(CARTERA_2026[[#This Row],[VENDEDOR]],dimensiones!$C$21:$C$28,dimensiones!$D$21:$D$28,""))</f>
        <v>ATEL</v>
      </c>
      <c r="J754" s="125" t="str">
        <f>_xlfn.XLOOKUP(CARTERA_2026[[#This Row],[REGION]],dimensiones!C:C,dimensiones!D:D,"")</f>
        <v>Región de Los Ríos</v>
      </c>
    </row>
    <row r="755" spans="1:10" ht="14.25" customHeight="1" x14ac:dyDescent="0.25">
      <c r="A755">
        <v>692101006</v>
      </c>
      <c r="B755" t="s">
        <v>96</v>
      </c>
      <c r="C755" t="s">
        <v>4224</v>
      </c>
      <c r="D755">
        <v>10</v>
      </c>
      <c r="E755" t="s">
        <v>4454</v>
      </c>
      <c r="F755" t="s">
        <v>1290</v>
      </c>
      <c r="G755" t="s">
        <v>5575</v>
      </c>
      <c r="H755" t="s">
        <v>4957</v>
      </c>
      <c r="I755" s="79" t="str">
        <f>IF(CARTERA_2026[[#This Row],[RUT]]=774097899,"DIST",_xlfn.XLOOKUP(CARTERA_2026[[#This Row],[VENDEDOR]],dimensiones!$C$21:$C$28,dimensiones!$D$21:$D$28,""))</f>
        <v>SUR2</v>
      </c>
      <c r="J755" s="125" t="str">
        <f>_xlfn.XLOOKUP(CARTERA_2026[[#This Row],[REGION]],dimensiones!C:C,dimensiones!D:D,"")</f>
        <v>Región de Los Lagos</v>
      </c>
    </row>
    <row r="756" spans="1:10" ht="14.25" customHeight="1" x14ac:dyDescent="0.25">
      <c r="A756">
        <v>692102029</v>
      </c>
      <c r="B756" t="s">
        <v>381</v>
      </c>
      <c r="C756" t="s">
        <v>4295</v>
      </c>
      <c r="D756">
        <v>10</v>
      </c>
      <c r="E756" t="s">
        <v>4445</v>
      </c>
      <c r="F756" t="s">
        <v>1273</v>
      </c>
      <c r="G756" t="s">
        <v>5571</v>
      </c>
      <c r="H756" t="s">
        <v>4957</v>
      </c>
      <c r="I756" s="79" t="str">
        <f>IF(CARTERA_2026[[#This Row],[RUT]]=774097899,"DIST",_xlfn.XLOOKUP(CARTERA_2026[[#This Row],[VENDEDOR]],dimensiones!$C$21:$C$28,dimensiones!$D$21:$D$28,""))</f>
        <v>ATEL</v>
      </c>
      <c r="J756" s="125" t="str">
        <f>_xlfn.XLOOKUP(CARTERA_2026[[#This Row],[REGION]],dimensiones!C:C,dimensiones!D:D,"")</f>
        <v>Región de Los Lagos</v>
      </c>
    </row>
    <row r="757" spans="1:10" ht="14.25" customHeight="1" x14ac:dyDescent="0.25">
      <c r="A757" s="135">
        <v>692103025</v>
      </c>
      <c r="B757" t="s">
        <v>382</v>
      </c>
      <c r="C757" t="s">
        <v>4482</v>
      </c>
      <c r="D757">
        <v>10</v>
      </c>
      <c r="E757" t="s">
        <v>4445</v>
      </c>
      <c r="F757" t="s">
        <v>2011</v>
      </c>
      <c r="G757" t="s">
        <v>5575</v>
      </c>
      <c r="H757" t="s">
        <v>4957</v>
      </c>
      <c r="I757" s="79" t="str">
        <f>IF(CARTERA_2026[[#This Row],[RUT]]=774097899,"DIST",_xlfn.XLOOKUP(CARTERA_2026[[#This Row],[VENDEDOR]],dimensiones!$C$21:$C$28,dimensiones!$D$21:$D$28,""))</f>
        <v>ATEL</v>
      </c>
      <c r="J757" s="125" t="str">
        <f>_xlfn.XLOOKUP(CARTERA_2026[[#This Row],[REGION]],dimensiones!C:C,dimensiones!D:D,"")</f>
        <v>Región de Los Lagos</v>
      </c>
    </row>
    <row r="758" spans="1:10" ht="14.25" customHeight="1" x14ac:dyDescent="0.25">
      <c r="A758" s="135">
        <v>692104005</v>
      </c>
      <c r="B758" t="s">
        <v>5807</v>
      </c>
      <c r="C758" t="s">
        <v>4225</v>
      </c>
      <c r="D758">
        <v>10</v>
      </c>
      <c r="E758" t="s">
        <v>5808</v>
      </c>
      <c r="F758" t="s">
        <v>5809</v>
      </c>
      <c r="H758" t="s">
        <v>4957</v>
      </c>
      <c r="I758" s="79" t="str">
        <f>IF(CARTERA_2026[[#This Row],[RUT]]=774097899,"DIST",_xlfn.XLOOKUP(CARTERA_2026[[#This Row],[VENDEDOR]],dimensiones!$C$21:$C$28,dimensiones!$D$21:$D$28,""))</f>
        <v/>
      </c>
      <c r="J758" s="125" t="str">
        <f>_xlfn.XLOOKUP(CARTERA_2026[[#This Row],[REGION]],dimensiones!C:C,dimensiones!D:D,"")</f>
        <v>Región de Los Lagos</v>
      </c>
    </row>
    <row r="759" spans="1:10" ht="14.25" customHeight="1" x14ac:dyDescent="0.25">
      <c r="A759">
        <v>692105001</v>
      </c>
      <c r="B759" t="s">
        <v>799</v>
      </c>
      <c r="C759" t="s">
        <v>4282</v>
      </c>
      <c r="D759">
        <v>10</v>
      </c>
      <c r="E759" t="s">
        <v>4445</v>
      </c>
      <c r="F759" t="s">
        <v>1516</v>
      </c>
      <c r="G759" t="s">
        <v>5575</v>
      </c>
      <c r="H759" t="s">
        <v>4957</v>
      </c>
      <c r="I759" s="79" t="str">
        <f>IF(CARTERA_2026[[#This Row],[RUT]]=774097899,"DIST",_xlfn.XLOOKUP(CARTERA_2026[[#This Row],[VENDEDOR]],dimensiones!$C$21:$C$28,dimensiones!$D$21:$D$28,""))</f>
        <v>ATEL</v>
      </c>
      <c r="J759" s="125" t="str">
        <f>_xlfn.XLOOKUP(CARTERA_2026[[#This Row],[REGION]],dimensiones!C:C,dimensiones!D:D,"")</f>
        <v>Región de Los Lagos</v>
      </c>
    </row>
    <row r="760" spans="1:10" ht="14.25" customHeight="1" x14ac:dyDescent="0.25">
      <c r="A760">
        <v>692106008</v>
      </c>
      <c r="B760" t="s">
        <v>383</v>
      </c>
      <c r="C760" t="s">
        <v>4369</v>
      </c>
      <c r="D760">
        <v>10</v>
      </c>
      <c r="E760" t="s">
        <v>4445</v>
      </c>
      <c r="F760" t="s">
        <v>3922</v>
      </c>
      <c r="G760" t="s">
        <v>5575</v>
      </c>
      <c r="H760" t="s">
        <v>4957</v>
      </c>
      <c r="I760" s="79" t="str">
        <f>IF(CARTERA_2026[[#This Row],[RUT]]=774097899,"DIST",_xlfn.XLOOKUP(CARTERA_2026[[#This Row],[VENDEDOR]],dimensiones!$C$21:$C$28,dimensiones!$D$21:$D$28,""))</f>
        <v>ATEL</v>
      </c>
      <c r="J760" s="125" t="str">
        <f>_xlfn.XLOOKUP(CARTERA_2026[[#This Row],[REGION]],dimensiones!C:C,dimensiones!D:D,"")</f>
        <v>Región de Los Lagos</v>
      </c>
    </row>
    <row r="761" spans="1:10" ht="14.25" customHeight="1" x14ac:dyDescent="0.25">
      <c r="A761">
        <v>692201000</v>
      </c>
      <c r="B761" t="s">
        <v>97</v>
      </c>
      <c r="C761" t="s">
        <v>4292</v>
      </c>
      <c r="D761">
        <v>10</v>
      </c>
      <c r="E761" t="s">
        <v>4454</v>
      </c>
      <c r="F761" t="s">
        <v>2038</v>
      </c>
      <c r="G761" t="s">
        <v>5575</v>
      </c>
      <c r="H761" t="s">
        <v>4957</v>
      </c>
      <c r="I761" s="79" t="str">
        <f>IF(CARTERA_2026[[#This Row],[RUT]]=774097899,"DIST",_xlfn.XLOOKUP(CARTERA_2026[[#This Row],[VENDEDOR]],dimensiones!$C$21:$C$28,dimensiones!$D$21:$D$28,""))</f>
        <v>SUR2</v>
      </c>
      <c r="J761" s="125" t="str">
        <f>_xlfn.XLOOKUP(CARTERA_2026[[#This Row],[REGION]],dimensiones!C:C,dimensiones!D:D,"")</f>
        <v>Región de Los Lagos</v>
      </c>
    </row>
    <row r="762" spans="1:10" ht="14.25" customHeight="1" x14ac:dyDescent="0.25">
      <c r="A762">
        <v>692202007</v>
      </c>
      <c r="B762" t="s">
        <v>1981</v>
      </c>
      <c r="C762" t="s">
        <v>4190</v>
      </c>
      <c r="D762">
        <v>10</v>
      </c>
      <c r="E762" t="s">
        <v>4445</v>
      </c>
      <c r="F762" t="s">
        <v>1980</v>
      </c>
      <c r="G762" t="s">
        <v>5575</v>
      </c>
      <c r="H762" t="s">
        <v>4957</v>
      </c>
      <c r="I762" s="79" t="str">
        <f>IF(CARTERA_2026[[#This Row],[RUT]]=774097899,"DIST",_xlfn.XLOOKUP(CARTERA_2026[[#This Row],[VENDEDOR]],dimensiones!$C$21:$C$28,dimensiones!$D$21:$D$28,""))</f>
        <v>ATEL</v>
      </c>
      <c r="J762" s="125" t="str">
        <f>_xlfn.XLOOKUP(CARTERA_2026[[#This Row],[REGION]],dimensiones!C:C,dimensiones!D:D,"")</f>
        <v>Región de Los Lagos</v>
      </c>
    </row>
    <row r="763" spans="1:10" ht="14.25" customHeight="1" x14ac:dyDescent="0.25">
      <c r="A763" t="s">
        <v>917</v>
      </c>
      <c r="B763" t="s">
        <v>918</v>
      </c>
      <c r="C763" t="s">
        <v>4226</v>
      </c>
      <c r="D763">
        <v>10</v>
      </c>
      <c r="E763" t="s">
        <v>4445</v>
      </c>
      <c r="F763" t="s">
        <v>1982</v>
      </c>
      <c r="G763" t="s">
        <v>5575</v>
      </c>
      <c r="H763" t="s">
        <v>4957</v>
      </c>
      <c r="I763" s="79" t="str">
        <f>IF(CARTERA_2026[[#This Row],[RUT]]=774097899,"DIST",_xlfn.XLOOKUP(CARTERA_2026[[#This Row],[VENDEDOR]],dimensiones!$C$21:$C$28,dimensiones!$D$21:$D$28,""))</f>
        <v>ATEL</v>
      </c>
      <c r="J763" s="125" t="str">
        <f>_xlfn.XLOOKUP(CARTERA_2026[[#This Row],[REGION]],dimensiones!C:C,dimensiones!D:D,"")</f>
        <v>Región de Los Lagos</v>
      </c>
    </row>
    <row r="764" spans="1:10" ht="14.25" customHeight="1" x14ac:dyDescent="0.25">
      <c r="A764">
        <v>692204026</v>
      </c>
      <c r="B764" t="s">
        <v>800</v>
      </c>
      <c r="C764" t="s">
        <v>4228</v>
      </c>
      <c r="D764">
        <v>10</v>
      </c>
      <c r="E764" t="s">
        <v>4445</v>
      </c>
      <c r="F764" t="s">
        <v>1984</v>
      </c>
      <c r="G764" t="s">
        <v>5575</v>
      </c>
      <c r="H764" t="s">
        <v>4957</v>
      </c>
      <c r="I764" s="79" t="str">
        <f>IF(CARTERA_2026[[#This Row],[RUT]]=774097899,"DIST",_xlfn.XLOOKUP(CARTERA_2026[[#This Row],[VENDEDOR]],dimensiones!$C$21:$C$28,dimensiones!$D$21:$D$28,""))</f>
        <v>ATEL</v>
      </c>
      <c r="J764" s="125" t="str">
        <f>_xlfn.XLOOKUP(CARTERA_2026[[#This Row],[REGION]],dimensiones!C:C,dimensiones!D:D,"")</f>
        <v>Región de Los Lagos</v>
      </c>
    </row>
    <row r="765" spans="1:10" ht="14.25" customHeight="1" x14ac:dyDescent="0.25">
      <c r="A765">
        <v>692205006</v>
      </c>
      <c r="B765" t="s">
        <v>919</v>
      </c>
      <c r="C765" t="s">
        <v>4483</v>
      </c>
      <c r="D765">
        <v>10</v>
      </c>
      <c r="E765" t="s">
        <v>4445</v>
      </c>
      <c r="F765" t="s">
        <v>2023</v>
      </c>
      <c r="G765" t="s">
        <v>5575</v>
      </c>
      <c r="H765" t="s">
        <v>4957</v>
      </c>
      <c r="I765" s="79" t="str">
        <f>IF(CARTERA_2026[[#This Row],[RUT]]=774097899,"DIST",_xlfn.XLOOKUP(CARTERA_2026[[#This Row],[VENDEDOR]],dimensiones!$C$21:$C$28,dimensiones!$D$21:$D$28,""))</f>
        <v>ATEL</v>
      </c>
      <c r="J765" s="125" t="str">
        <f>_xlfn.XLOOKUP(CARTERA_2026[[#This Row],[REGION]],dimensiones!C:C,dimensiones!D:D,"")</f>
        <v>Región de Los Lagos</v>
      </c>
    </row>
    <row r="766" spans="1:10" ht="14.25" customHeight="1" x14ac:dyDescent="0.25">
      <c r="A766">
        <v>692207025</v>
      </c>
      <c r="B766" t="s">
        <v>801</v>
      </c>
      <c r="C766" t="s">
        <v>4227</v>
      </c>
      <c r="D766">
        <v>10</v>
      </c>
      <c r="E766" t="s">
        <v>4445</v>
      </c>
      <c r="F766" t="s">
        <v>2347</v>
      </c>
      <c r="G766" t="s">
        <v>5575</v>
      </c>
      <c r="H766" t="s">
        <v>4957</v>
      </c>
      <c r="I766" s="79" t="str">
        <f>IF(CARTERA_2026[[#This Row],[RUT]]=774097899,"DIST",_xlfn.XLOOKUP(CARTERA_2026[[#This Row],[VENDEDOR]],dimensiones!$C$21:$C$28,dimensiones!$D$21:$D$28,""))</f>
        <v>ATEL</v>
      </c>
      <c r="J766" s="125" t="str">
        <f>_xlfn.XLOOKUP(CARTERA_2026[[#This Row],[REGION]],dimensiones!C:C,dimensiones!D:D,"")</f>
        <v>Región de Los Lagos</v>
      </c>
    </row>
    <row r="767" spans="1:10" ht="14.25" customHeight="1" x14ac:dyDescent="0.25">
      <c r="A767">
        <v>692208005</v>
      </c>
      <c r="B767" t="s">
        <v>802</v>
      </c>
      <c r="C767" t="s">
        <v>4370</v>
      </c>
      <c r="D767">
        <v>10</v>
      </c>
      <c r="E767" t="s">
        <v>4445</v>
      </c>
      <c r="F767" t="s">
        <v>1187</v>
      </c>
      <c r="G767" t="s">
        <v>5575</v>
      </c>
      <c r="H767" t="s">
        <v>4957</v>
      </c>
      <c r="I767" s="79" t="str">
        <f>IF(CARTERA_2026[[#This Row],[RUT]]=774097899,"DIST",_xlfn.XLOOKUP(CARTERA_2026[[#This Row],[VENDEDOR]],dimensiones!$C$21:$C$28,dimensiones!$D$21:$D$28,""))</f>
        <v>ATEL</v>
      </c>
      <c r="J767" s="125" t="str">
        <f>_xlfn.XLOOKUP(CARTERA_2026[[#This Row],[REGION]],dimensiones!C:C,dimensiones!D:D,"")</f>
        <v>Región de Los Lagos</v>
      </c>
    </row>
    <row r="768" spans="1:10" ht="14.25" customHeight="1" x14ac:dyDescent="0.25">
      <c r="A768">
        <v>692302001</v>
      </c>
      <c r="B768" t="s">
        <v>384</v>
      </c>
      <c r="C768" t="s">
        <v>4371</v>
      </c>
      <c r="D768">
        <v>10</v>
      </c>
      <c r="E768" t="s">
        <v>4445</v>
      </c>
      <c r="F768" t="s">
        <v>2047</v>
      </c>
      <c r="G768" t="s">
        <v>5575</v>
      </c>
      <c r="H768" t="s">
        <v>4957</v>
      </c>
      <c r="I768" s="79" t="str">
        <f>IF(CARTERA_2026[[#This Row],[RUT]]=774097899,"DIST",_xlfn.XLOOKUP(CARTERA_2026[[#This Row],[VENDEDOR]],dimensiones!$C$21:$C$28,dimensiones!$D$21:$D$28,""))</f>
        <v>ATEL</v>
      </c>
      <c r="J768" s="125" t="str">
        <f>_xlfn.XLOOKUP(CARTERA_2026[[#This Row],[REGION]],dimensiones!C:C,dimensiones!D:D,"")</f>
        <v>Región de Los Lagos</v>
      </c>
    </row>
    <row r="769" spans="1:10" ht="14.25" customHeight="1" x14ac:dyDescent="0.25">
      <c r="A769">
        <v>692311000</v>
      </c>
      <c r="B769" t="s">
        <v>920</v>
      </c>
      <c r="C769" t="s">
        <v>4488</v>
      </c>
      <c r="D769">
        <v>10</v>
      </c>
      <c r="E769" t="s">
        <v>4445</v>
      </c>
      <c r="F769" t="s">
        <v>1280</v>
      </c>
      <c r="G769" t="s">
        <v>5575</v>
      </c>
      <c r="H769" t="s">
        <v>4957</v>
      </c>
      <c r="I769" s="79" t="str">
        <f>IF(CARTERA_2026[[#This Row],[RUT]]=774097899,"DIST",_xlfn.XLOOKUP(CARTERA_2026[[#This Row],[VENDEDOR]],dimensiones!$C$21:$C$28,dimensiones!$D$21:$D$28,""))</f>
        <v>ATEL</v>
      </c>
      <c r="J769" s="125" t="str">
        <f>_xlfn.XLOOKUP(CARTERA_2026[[#This Row],[REGION]],dimensiones!C:C,dimensiones!D:D,"")</f>
        <v>Región de Los Lagos</v>
      </c>
    </row>
    <row r="770" spans="1:10" ht="14.25" customHeight="1" x14ac:dyDescent="0.25">
      <c r="A770">
        <v>692312007</v>
      </c>
      <c r="B770" t="s">
        <v>4751</v>
      </c>
      <c r="C770" t="s">
        <v>4826</v>
      </c>
      <c r="D770">
        <v>10</v>
      </c>
      <c r="E770" t="s">
        <v>4445</v>
      </c>
      <c r="F770" t="s">
        <v>4908</v>
      </c>
      <c r="G770" t="s">
        <v>5575</v>
      </c>
      <c r="H770" t="s">
        <v>4957</v>
      </c>
      <c r="I770" s="79" t="str">
        <f>IF(CARTERA_2026[[#This Row],[RUT]]=774097899,"DIST",_xlfn.XLOOKUP(CARTERA_2026[[#This Row],[VENDEDOR]],dimensiones!$C$21:$C$28,dimensiones!$D$21:$D$28,""))</f>
        <v>ATEL</v>
      </c>
      <c r="J770" s="125" t="str">
        <f>_xlfn.XLOOKUP(CARTERA_2026[[#This Row],[REGION]],dimensiones!C:C,dimensiones!D:D,"")</f>
        <v>Región de Los Lagos</v>
      </c>
    </row>
    <row r="771" spans="1:10" ht="14.25" customHeight="1" x14ac:dyDescent="0.25">
      <c r="A771">
        <v>692404009</v>
      </c>
      <c r="B771" t="s">
        <v>1086</v>
      </c>
      <c r="C771" t="s">
        <v>4234</v>
      </c>
      <c r="D771">
        <v>11</v>
      </c>
      <c r="E771" t="s">
        <v>4445</v>
      </c>
      <c r="F771" t="s">
        <v>1573</v>
      </c>
      <c r="G771" t="s">
        <v>5575</v>
      </c>
      <c r="H771" t="s">
        <v>4915</v>
      </c>
      <c r="I771" s="79" t="str">
        <f>IF(CARTERA_2026[[#This Row],[RUT]]=774097899,"DIST",_xlfn.XLOOKUP(CARTERA_2026[[#This Row],[VENDEDOR]],dimensiones!$C$21:$C$28,dimensiones!$D$21:$D$28,""))</f>
        <v>ATEL</v>
      </c>
      <c r="J771" s="125" t="str">
        <f>_xlfn.XLOOKUP(CARTERA_2026[[#This Row],[REGION]],dimensiones!C:C,dimensiones!D:D,"")</f>
        <v>Región de Aysén del General Carlos Ibáñez del Campo</v>
      </c>
    </row>
    <row r="772" spans="1:10" ht="14.25" customHeight="1" x14ac:dyDescent="0.25">
      <c r="A772">
        <v>692502000</v>
      </c>
      <c r="B772" t="s">
        <v>385</v>
      </c>
      <c r="C772" t="s">
        <v>4185</v>
      </c>
      <c r="D772">
        <v>12</v>
      </c>
      <c r="E772" t="s">
        <v>4445</v>
      </c>
      <c r="F772" t="s">
        <v>1998</v>
      </c>
      <c r="G772" t="s">
        <v>5575</v>
      </c>
      <c r="H772" t="s">
        <v>4957</v>
      </c>
      <c r="I772" s="79" t="str">
        <f>IF(CARTERA_2026[[#This Row],[RUT]]=774097899,"DIST",_xlfn.XLOOKUP(CARTERA_2026[[#This Row],[VENDEDOR]],dimensiones!$C$21:$C$28,dimensiones!$D$21:$D$28,""))</f>
        <v>ATEL</v>
      </c>
      <c r="J772" s="125" t="str">
        <f>_xlfn.XLOOKUP(CARTERA_2026[[#This Row],[REGION]],dimensiones!C:C,dimensiones!D:D,"")</f>
        <v>Región de Magallanes y de la Antártica Chilena</v>
      </c>
    </row>
    <row r="773" spans="1:10" ht="14.25" customHeight="1" x14ac:dyDescent="0.25">
      <c r="A773" t="s">
        <v>4766</v>
      </c>
      <c r="B773" t="s">
        <v>2001</v>
      </c>
      <c r="C773" t="s">
        <v>4243</v>
      </c>
      <c r="D773">
        <v>3</v>
      </c>
      <c r="E773" t="s">
        <v>4445</v>
      </c>
      <c r="F773" t="s">
        <v>2000</v>
      </c>
      <c r="G773" t="s">
        <v>5575</v>
      </c>
      <c r="H773" t="s">
        <v>4957</v>
      </c>
      <c r="I773" s="79" t="str">
        <f>IF(CARTERA_2026[[#This Row],[RUT]]=774097899,"DIST",_xlfn.XLOOKUP(CARTERA_2026[[#This Row],[VENDEDOR]],dimensiones!$C$21:$C$28,dimensiones!$D$21:$D$28,""))</f>
        <v>ATEL</v>
      </c>
      <c r="J773" s="125" t="str">
        <f>_xlfn.XLOOKUP(CARTERA_2026[[#This Row],[REGION]],dimensiones!C:C,dimensiones!D:D,"")</f>
        <v>Región de Atacama</v>
      </c>
    </row>
    <row r="774" spans="1:10" ht="14.25" customHeight="1" x14ac:dyDescent="0.25">
      <c r="A774">
        <v>692508009</v>
      </c>
      <c r="B774" t="s">
        <v>921</v>
      </c>
      <c r="C774" t="s">
        <v>4372</v>
      </c>
      <c r="D774">
        <v>15</v>
      </c>
      <c r="E774" t="s">
        <v>4445</v>
      </c>
      <c r="F774" t="s">
        <v>1503</v>
      </c>
      <c r="G774" t="s">
        <v>5575</v>
      </c>
      <c r="H774" t="s">
        <v>4957</v>
      </c>
      <c r="I774" s="79" t="str">
        <f>IF(CARTERA_2026[[#This Row],[RUT]]=774097899,"DIST",_xlfn.XLOOKUP(CARTERA_2026[[#This Row],[VENDEDOR]],dimensiones!$C$21:$C$28,dimensiones!$D$21:$D$28,""))</f>
        <v>ATEL</v>
      </c>
      <c r="J774" s="125" t="str">
        <f>_xlfn.XLOOKUP(CARTERA_2026[[#This Row],[REGION]],dimensiones!C:C,dimensiones!D:D,"")</f>
        <v>Región de Arica y Parinacota</v>
      </c>
    </row>
    <row r="775" spans="1:10" ht="14.25" customHeight="1" x14ac:dyDescent="0.25">
      <c r="A775">
        <v>692510003</v>
      </c>
      <c r="B775" t="s">
        <v>4962</v>
      </c>
      <c r="C775" t="s">
        <v>4963</v>
      </c>
      <c r="D775">
        <v>15</v>
      </c>
      <c r="E775" t="s">
        <v>4445</v>
      </c>
      <c r="F775" t="s">
        <v>4964</v>
      </c>
      <c r="G775" t="s">
        <v>5575</v>
      </c>
      <c r="H775" t="s">
        <v>4957</v>
      </c>
      <c r="I775" s="79" t="str">
        <f>IF(CARTERA_2026[[#This Row],[RUT]]=774097899,"DIST",_xlfn.XLOOKUP(CARTERA_2026[[#This Row],[VENDEDOR]],dimensiones!$C$21:$C$28,dimensiones!$D$21:$D$28,""))</f>
        <v>ATEL</v>
      </c>
      <c r="J775" s="125" t="str">
        <f>_xlfn.XLOOKUP(CARTERA_2026[[#This Row],[REGION]],dimensiones!C:C,dimensiones!D:D,"")</f>
        <v>Región de Arica y Parinacota</v>
      </c>
    </row>
    <row r="776" spans="1:10" ht="14.25" customHeight="1" x14ac:dyDescent="0.25">
      <c r="A776">
        <v>692515005</v>
      </c>
      <c r="B776" t="s">
        <v>922</v>
      </c>
      <c r="C776" t="s">
        <v>4546</v>
      </c>
      <c r="D776">
        <v>12</v>
      </c>
      <c r="E776" t="s">
        <v>4445</v>
      </c>
      <c r="F776" t="s">
        <v>4141</v>
      </c>
      <c r="G776" t="s">
        <v>5575</v>
      </c>
      <c r="H776" t="s">
        <v>4957</v>
      </c>
      <c r="I776" s="79" t="str">
        <f>IF(CARTERA_2026[[#This Row],[RUT]]=774097899,"DIST",_xlfn.XLOOKUP(CARTERA_2026[[#This Row],[VENDEDOR]],dimensiones!$C$21:$C$28,dimensiones!$D$21:$D$28,""))</f>
        <v>ATEL</v>
      </c>
      <c r="J776" s="125" t="str">
        <f>_xlfn.XLOOKUP(CARTERA_2026[[#This Row],[REGION]],dimensiones!C:C,dimensiones!D:D,"")</f>
        <v>Región de Magallanes y de la Antártica Chilena</v>
      </c>
    </row>
    <row r="777" spans="1:10" ht="14.25" customHeight="1" x14ac:dyDescent="0.25">
      <c r="A777">
        <v>692516001</v>
      </c>
      <c r="B777" t="s">
        <v>386</v>
      </c>
      <c r="C777" t="s">
        <v>4373</v>
      </c>
      <c r="D777">
        <v>12</v>
      </c>
      <c r="E777" t="s">
        <v>4445</v>
      </c>
      <c r="F777" t="s">
        <v>2005</v>
      </c>
      <c r="G777" t="s">
        <v>5575</v>
      </c>
      <c r="H777" t="s">
        <v>4957</v>
      </c>
      <c r="I777" s="79" t="str">
        <f>IF(CARTERA_2026[[#This Row],[RUT]]=774097899,"DIST",_xlfn.XLOOKUP(CARTERA_2026[[#This Row],[VENDEDOR]],dimensiones!$C$21:$C$28,dimensiones!$D$21:$D$28,""))</f>
        <v>ATEL</v>
      </c>
      <c r="J777" s="125" t="str">
        <f>_xlfn.XLOOKUP(CARTERA_2026[[#This Row],[REGION]],dimensiones!C:C,dimensiones!D:D,"")</f>
        <v>Región de Magallanes y de la Antártica Chilena</v>
      </c>
    </row>
    <row r="778" spans="1:10" ht="14.25" customHeight="1" x14ac:dyDescent="0.25">
      <c r="A778">
        <v>692518004</v>
      </c>
      <c r="B778" t="s">
        <v>387</v>
      </c>
      <c r="C778" t="s">
        <v>4294</v>
      </c>
      <c r="D778">
        <v>10</v>
      </c>
      <c r="E778" t="s">
        <v>4445</v>
      </c>
      <c r="F778" t="s">
        <v>1711</v>
      </c>
      <c r="G778" t="s">
        <v>5575</v>
      </c>
      <c r="H778" t="s">
        <v>4957</v>
      </c>
      <c r="I778" s="79" t="str">
        <f>IF(CARTERA_2026[[#This Row],[RUT]]=774097899,"DIST",_xlfn.XLOOKUP(CARTERA_2026[[#This Row],[VENDEDOR]],dimensiones!$C$21:$C$28,dimensiones!$D$21:$D$28,""))</f>
        <v>ATEL</v>
      </c>
      <c r="J778" s="125" t="str">
        <f>_xlfn.XLOOKUP(CARTERA_2026[[#This Row],[REGION]],dimensiones!C:C,dimensiones!D:D,"")</f>
        <v>Región de Los Lagos</v>
      </c>
    </row>
    <row r="779" spans="1:10" ht="14.25" customHeight="1" x14ac:dyDescent="0.25">
      <c r="A779">
        <v>692519000</v>
      </c>
      <c r="B779" t="s">
        <v>949</v>
      </c>
      <c r="C779" t="s">
        <v>4547</v>
      </c>
      <c r="D779">
        <v>3</v>
      </c>
      <c r="E779" t="s">
        <v>4445</v>
      </c>
      <c r="F779" t="s">
        <v>1367</v>
      </c>
      <c r="G779" t="s">
        <v>5575</v>
      </c>
      <c r="H779" t="s">
        <v>4957</v>
      </c>
      <c r="I779" s="79" t="str">
        <f>IF(CARTERA_2026[[#This Row],[RUT]]=774097899,"DIST",_xlfn.XLOOKUP(CARTERA_2026[[#This Row],[VENDEDOR]],dimensiones!$C$21:$C$28,dimensiones!$D$21:$D$28,""))</f>
        <v>ATEL</v>
      </c>
      <c r="J779" s="125" t="str">
        <f>_xlfn.XLOOKUP(CARTERA_2026[[#This Row],[REGION]],dimensiones!C:C,dimensiones!D:D,"")</f>
        <v>Región de Atacama</v>
      </c>
    </row>
    <row r="780" spans="1:10" ht="14.25" customHeight="1" x14ac:dyDescent="0.25">
      <c r="A780">
        <v>692521005</v>
      </c>
      <c r="B780" t="s">
        <v>388</v>
      </c>
      <c r="C780" t="s">
        <v>4374</v>
      </c>
      <c r="D780">
        <v>9</v>
      </c>
      <c r="E780" t="s">
        <v>4445</v>
      </c>
      <c r="F780" t="s">
        <v>3265</v>
      </c>
      <c r="G780" t="s">
        <v>5575</v>
      </c>
      <c r="H780" t="s">
        <v>4957</v>
      </c>
      <c r="I780" s="79" t="str">
        <f>IF(CARTERA_2026[[#This Row],[RUT]]=774097899,"DIST",_xlfn.XLOOKUP(CARTERA_2026[[#This Row],[VENDEDOR]],dimensiones!$C$21:$C$28,dimensiones!$D$21:$D$28,""))</f>
        <v>ATEL</v>
      </c>
      <c r="J780" s="125" t="str">
        <f>_xlfn.XLOOKUP(CARTERA_2026[[#This Row],[REGION]],dimensiones!C:C,dimensiones!D:D,"")</f>
        <v>Región de La Araucanía</v>
      </c>
    </row>
    <row r="781" spans="1:10" ht="14.25" customHeight="1" x14ac:dyDescent="0.25">
      <c r="A781">
        <v>692523008</v>
      </c>
      <c r="B781" t="s">
        <v>389</v>
      </c>
      <c r="C781" t="s">
        <v>4548</v>
      </c>
      <c r="D781">
        <v>5</v>
      </c>
      <c r="E781" t="s">
        <v>4445</v>
      </c>
      <c r="F781" t="s">
        <v>2012</v>
      </c>
      <c r="G781" t="s">
        <v>5575</v>
      </c>
      <c r="H781" t="s">
        <v>4957</v>
      </c>
      <c r="I781" s="79" t="str">
        <f>IF(CARTERA_2026[[#This Row],[RUT]]=774097899,"DIST",_xlfn.XLOOKUP(CARTERA_2026[[#This Row],[VENDEDOR]],dimensiones!$C$21:$C$28,dimensiones!$D$21:$D$28,""))</f>
        <v>ATEL</v>
      </c>
      <c r="J781" s="125" t="str">
        <f>_xlfn.XLOOKUP(CARTERA_2026[[#This Row],[REGION]],dimensiones!C:C,dimensiones!D:D,"")</f>
        <v>Región de Valparaíso</v>
      </c>
    </row>
    <row r="782" spans="1:10" ht="14.25" customHeight="1" x14ac:dyDescent="0.25">
      <c r="A782">
        <v>692525000</v>
      </c>
      <c r="B782" t="s">
        <v>923</v>
      </c>
      <c r="C782" t="s">
        <v>4375</v>
      </c>
      <c r="D782">
        <v>2</v>
      </c>
      <c r="E782" t="s">
        <v>4445</v>
      </c>
      <c r="F782" t="s">
        <v>2085</v>
      </c>
      <c r="G782" t="s">
        <v>5575</v>
      </c>
      <c r="H782" t="s">
        <v>4957</v>
      </c>
      <c r="I782" s="79" t="str">
        <f>IF(CARTERA_2026[[#This Row],[RUT]]=774097899,"DIST",_xlfn.XLOOKUP(CARTERA_2026[[#This Row],[VENDEDOR]],dimensiones!$C$21:$C$28,dimensiones!$D$21:$D$28,""))</f>
        <v>ATEL</v>
      </c>
      <c r="J782" s="125" t="str">
        <f>_xlfn.XLOOKUP(CARTERA_2026[[#This Row],[REGION]],dimensiones!C:C,dimensiones!D:D,"")</f>
        <v>Región de Antofagasta</v>
      </c>
    </row>
    <row r="783" spans="1:10" ht="14.25" customHeight="1" x14ac:dyDescent="0.25">
      <c r="A783">
        <v>692527003</v>
      </c>
      <c r="B783" t="s">
        <v>390</v>
      </c>
      <c r="C783" t="s">
        <v>4376</v>
      </c>
      <c r="D783">
        <v>7</v>
      </c>
      <c r="E783" t="s">
        <v>4445</v>
      </c>
      <c r="F783" t="s">
        <v>4112</v>
      </c>
      <c r="G783" t="s">
        <v>5575</v>
      </c>
      <c r="H783" t="s">
        <v>4957</v>
      </c>
      <c r="I783" s="79" t="str">
        <f>IF(CARTERA_2026[[#This Row],[RUT]]=774097899,"DIST",_xlfn.XLOOKUP(CARTERA_2026[[#This Row],[VENDEDOR]],dimensiones!$C$21:$C$28,dimensiones!$D$21:$D$28,""))</f>
        <v>ATEL</v>
      </c>
      <c r="J783" s="125" t="str">
        <f>_xlfn.XLOOKUP(CARTERA_2026[[#This Row],[REGION]],dimensiones!C:C,dimensiones!D:D,"")</f>
        <v>Región de Maule</v>
      </c>
    </row>
    <row r="784" spans="1:10" ht="14.25" customHeight="1" x14ac:dyDescent="0.25">
      <c r="A784">
        <v>692536002</v>
      </c>
      <c r="B784" t="s">
        <v>957</v>
      </c>
      <c r="C784" t="s">
        <v>4549</v>
      </c>
      <c r="D784">
        <v>2</v>
      </c>
      <c r="E784" t="s">
        <v>4445</v>
      </c>
      <c r="F784" t="s">
        <v>2017</v>
      </c>
      <c r="G784" t="s">
        <v>5575</v>
      </c>
      <c r="H784" t="s">
        <v>4957</v>
      </c>
      <c r="I784" s="79" t="str">
        <f>IF(CARTERA_2026[[#This Row],[RUT]]=774097899,"DIST",_xlfn.XLOOKUP(CARTERA_2026[[#This Row],[VENDEDOR]],dimensiones!$C$21:$C$28,dimensiones!$D$21:$D$28,""))</f>
        <v>ATEL</v>
      </c>
      <c r="J784" s="125" t="str">
        <f>_xlfn.XLOOKUP(CARTERA_2026[[#This Row],[REGION]],dimensiones!C:C,dimensiones!D:D,"")</f>
        <v>Región de Antofagasta</v>
      </c>
    </row>
    <row r="785" spans="1:10" ht="14.25" customHeight="1" x14ac:dyDescent="0.25">
      <c r="A785">
        <v>692538005</v>
      </c>
      <c r="B785" t="s">
        <v>924</v>
      </c>
      <c r="C785" t="s">
        <v>4409</v>
      </c>
      <c r="D785">
        <v>13</v>
      </c>
      <c r="E785" t="s">
        <v>4445</v>
      </c>
      <c r="F785" t="s">
        <v>1409</v>
      </c>
      <c r="G785" t="s">
        <v>5575</v>
      </c>
      <c r="H785" t="s">
        <v>4957</v>
      </c>
      <c r="I785" s="79" t="str">
        <f>IF(CARTERA_2026[[#This Row],[RUT]]=774097899,"DIST",_xlfn.XLOOKUP(CARTERA_2026[[#This Row],[VENDEDOR]],dimensiones!$C$21:$C$28,dimensiones!$D$21:$D$28,""))</f>
        <v>ATEL</v>
      </c>
      <c r="J785" s="125" t="str">
        <f>_xlfn.XLOOKUP(CARTERA_2026[[#This Row],[REGION]],dimensiones!C:C,dimensiones!D:D,"")</f>
        <v>Región de Metropolitana de Santiago</v>
      </c>
    </row>
    <row r="786" spans="1:10" ht="14.25" customHeight="1" x14ac:dyDescent="0.25">
      <c r="A786">
        <v>692539001</v>
      </c>
      <c r="B786" t="s">
        <v>391</v>
      </c>
      <c r="C786" t="s">
        <v>4506</v>
      </c>
      <c r="D786">
        <v>13</v>
      </c>
      <c r="E786" t="s">
        <v>4445</v>
      </c>
      <c r="F786" t="s">
        <v>1252</v>
      </c>
      <c r="G786" t="s">
        <v>5575</v>
      </c>
      <c r="H786" t="s">
        <v>4957</v>
      </c>
      <c r="I786" s="79" t="str">
        <f>IF(CARTERA_2026[[#This Row],[RUT]]=774097899,"DIST",_xlfn.XLOOKUP(CARTERA_2026[[#This Row],[VENDEDOR]],dimensiones!$C$21:$C$28,dimensiones!$D$21:$D$28,""))</f>
        <v>ATEL</v>
      </c>
      <c r="J786" s="125" t="str">
        <f>_xlfn.XLOOKUP(CARTERA_2026[[#This Row],[REGION]],dimensiones!C:C,dimensiones!D:D,"")</f>
        <v>Región de Metropolitana de Santiago</v>
      </c>
    </row>
    <row r="787" spans="1:10" ht="14.25" customHeight="1" x14ac:dyDescent="0.25">
      <c r="A787">
        <v>692542002</v>
      </c>
      <c r="B787" t="s">
        <v>392</v>
      </c>
      <c r="C787" t="s">
        <v>4400</v>
      </c>
      <c r="D787">
        <v>13</v>
      </c>
      <c r="E787" t="s">
        <v>4445</v>
      </c>
      <c r="F787" t="s">
        <v>2215</v>
      </c>
      <c r="G787" t="s">
        <v>5575</v>
      </c>
      <c r="H787" t="s">
        <v>4957</v>
      </c>
      <c r="I787" s="79" t="str">
        <f>IF(CARTERA_2026[[#This Row],[RUT]]=774097899,"DIST",_xlfn.XLOOKUP(CARTERA_2026[[#This Row],[VENDEDOR]],dimensiones!$C$21:$C$28,dimensiones!$D$21:$D$28,""))</f>
        <v>ATEL</v>
      </c>
      <c r="J787" s="125" t="str">
        <f>_xlfn.XLOOKUP(CARTERA_2026[[#This Row],[REGION]],dimensiones!C:C,dimensiones!D:D,"")</f>
        <v>Región de Metropolitana de Santiago</v>
      </c>
    </row>
    <row r="788" spans="1:10" ht="14.25" customHeight="1" x14ac:dyDescent="0.25">
      <c r="A788">
        <v>692543009</v>
      </c>
      <c r="B788" t="s">
        <v>925</v>
      </c>
      <c r="C788" t="s">
        <v>4452</v>
      </c>
      <c r="D788">
        <v>13</v>
      </c>
      <c r="E788" t="s">
        <v>4445</v>
      </c>
      <c r="F788" t="s">
        <v>2025</v>
      </c>
      <c r="G788" t="s">
        <v>5575</v>
      </c>
      <c r="H788" t="s">
        <v>4957</v>
      </c>
      <c r="I788" s="79" t="str">
        <f>IF(CARTERA_2026[[#This Row],[RUT]]=774097899,"DIST",_xlfn.XLOOKUP(CARTERA_2026[[#This Row],[VENDEDOR]],dimensiones!$C$21:$C$28,dimensiones!$D$21:$D$28,""))</f>
        <v>ATEL</v>
      </c>
      <c r="J788" s="125" t="str">
        <f>_xlfn.XLOOKUP(CARTERA_2026[[#This Row],[REGION]],dimensiones!C:C,dimensiones!D:D,"")</f>
        <v>Región de Metropolitana de Santiago</v>
      </c>
    </row>
    <row r="789" spans="1:10" ht="14.25" customHeight="1" x14ac:dyDescent="0.25">
      <c r="A789">
        <v>692548000</v>
      </c>
      <c r="B789" t="s">
        <v>393</v>
      </c>
      <c r="C789" t="s">
        <v>4410</v>
      </c>
      <c r="D789">
        <v>13</v>
      </c>
      <c r="E789" t="s">
        <v>4445</v>
      </c>
      <c r="F789" t="s">
        <v>3998</v>
      </c>
      <c r="G789" t="s">
        <v>5575</v>
      </c>
      <c r="H789" t="s">
        <v>4957</v>
      </c>
      <c r="I789" s="79" t="str">
        <f>IF(CARTERA_2026[[#This Row],[RUT]]=774097899,"DIST",_xlfn.XLOOKUP(CARTERA_2026[[#This Row],[VENDEDOR]],dimensiones!$C$21:$C$28,dimensiones!$D$21:$D$28,""))</f>
        <v>ATEL</v>
      </c>
      <c r="J789" s="125" t="str">
        <f>_xlfn.XLOOKUP(CARTERA_2026[[#This Row],[REGION]],dimensiones!C:C,dimensiones!D:D,"")</f>
        <v>Región de Metropolitana de Santiago</v>
      </c>
    </row>
    <row r="790" spans="1:10" ht="14.25" customHeight="1" x14ac:dyDescent="0.25">
      <c r="A790">
        <v>692549007</v>
      </c>
      <c r="B790" t="s">
        <v>394</v>
      </c>
      <c r="C790" t="s">
        <v>4449</v>
      </c>
      <c r="D790">
        <v>13</v>
      </c>
      <c r="E790" t="s">
        <v>4445</v>
      </c>
      <c r="F790" t="s">
        <v>1181</v>
      </c>
      <c r="G790" t="s">
        <v>5575</v>
      </c>
      <c r="H790" t="s">
        <v>4957</v>
      </c>
      <c r="I790" s="79" t="str">
        <f>IF(CARTERA_2026[[#This Row],[RUT]]=774097899,"DIST",_xlfn.XLOOKUP(CARTERA_2026[[#This Row],[VENDEDOR]],dimensiones!$C$21:$C$28,dimensiones!$D$21:$D$28,""))</f>
        <v>ATEL</v>
      </c>
      <c r="J790" s="125" t="str">
        <f>_xlfn.XLOOKUP(CARTERA_2026[[#This Row],[REGION]],dimensiones!C:C,dimensiones!D:D,"")</f>
        <v>Región de Metropolitana de Santiago</v>
      </c>
    </row>
    <row r="791" spans="1:10" ht="14.25" customHeight="1" x14ac:dyDescent="0.25">
      <c r="A791">
        <v>692551001</v>
      </c>
      <c r="B791" t="s">
        <v>395</v>
      </c>
      <c r="C791" t="s">
        <v>4550</v>
      </c>
      <c r="D791">
        <v>13</v>
      </c>
      <c r="E791" t="s">
        <v>4445</v>
      </c>
      <c r="F791" t="s">
        <v>1499</v>
      </c>
      <c r="G791" t="s">
        <v>5575</v>
      </c>
      <c r="H791" t="s">
        <v>4957</v>
      </c>
      <c r="I791" s="79" t="str">
        <f>IF(CARTERA_2026[[#This Row],[RUT]]=774097899,"DIST",_xlfn.XLOOKUP(CARTERA_2026[[#This Row],[VENDEDOR]],dimensiones!$C$21:$C$28,dimensiones!$D$21:$D$28,""))</f>
        <v>ATEL</v>
      </c>
      <c r="J791" s="125" t="str">
        <f>_xlfn.XLOOKUP(CARTERA_2026[[#This Row],[REGION]],dimensiones!C:C,dimensiones!D:D,"")</f>
        <v>Región de Metropolitana de Santiago</v>
      </c>
    </row>
    <row r="792" spans="1:10" ht="14.25" customHeight="1" x14ac:dyDescent="0.25">
      <c r="A792">
        <v>692552008</v>
      </c>
      <c r="B792" t="s">
        <v>803</v>
      </c>
      <c r="C792" t="s">
        <v>4551</v>
      </c>
      <c r="D792">
        <v>13</v>
      </c>
      <c r="E792" t="s">
        <v>4445</v>
      </c>
      <c r="F792" t="s">
        <v>2033</v>
      </c>
      <c r="G792" t="s">
        <v>5575</v>
      </c>
      <c r="H792" t="s">
        <v>4957</v>
      </c>
      <c r="I792" s="79" t="str">
        <f>IF(CARTERA_2026[[#This Row],[RUT]]=774097899,"DIST",_xlfn.XLOOKUP(CARTERA_2026[[#This Row],[VENDEDOR]],dimensiones!$C$21:$C$28,dimensiones!$D$21:$D$28,""))</f>
        <v>ATEL</v>
      </c>
      <c r="J792" s="125" t="str">
        <f>_xlfn.XLOOKUP(CARTERA_2026[[#This Row],[REGION]],dimensiones!C:C,dimensiones!D:D,"")</f>
        <v>Región de Metropolitana de Santiago</v>
      </c>
    </row>
    <row r="793" spans="1:10" ht="14.25" customHeight="1" x14ac:dyDescent="0.25">
      <c r="A793">
        <v>692553004</v>
      </c>
      <c r="B793" t="s">
        <v>396</v>
      </c>
      <c r="C793" t="s">
        <v>4411</v>
      </c>
      <c r="D793">
        <v>13</v>
      </c>
      <c r="E793" t="s">
        <v>4445</v>
      </c>
      <c r="F793" t="s">
        <v>2609</v>
      </c>
      <c r="G793" t="s">
        <v>5575</v>
      </c>
      <c r="H793" t="s">
        <v>4957</v>
      </c>
      <c r="I793" s="79" t="str">
        <f>IF(CARTERA_2026[[#This Row],[RUT]]=774097899,"DIST",_xlfn.XLOOKUP(CARTERA_2026[[#This Row],[VENDEDOR]],dimensiones!$C$21:$C$28,dimensiones!$D$21:$D$28,""))</f>
        <v>ATEL</v>
      </c>
      <c r="J793" s="125" t="str">
        <f>_xlfn.XLOOKUP(CARTERA_2026[[#This Row],[REGION]],dimensiones!C:C,dimensiones!D:D,"")</f>
        <v>Región de Metropolitana de Santiago</v>
      </c>
    </row>
    <row r="794" spans="1:10" ht="14.25" customHeight="1" x14ac:dyDescent="0.25">
      <c r="A794">
        <v>692554000</v>
      </c>
      <c r="B794" t="s">
        <v>397</v>
      </c>
      <c r="C794" t="s">
        <v>4393</v>
      </c>
      <c r="D794">
        <v>13</v>
      </c>
      <c r="E794" t="s">
        <v>4445</v>
      </c>
      <c r="F794" t="s">
        <v>1211</v>
      </c>
      <c r="G794" t="s">
        <v>5575</v>
      </c>
      <c r="H794" t="s">
        <v>4957</v>
      </c>
      <c r="I794" s="79" t="str">
        <f>IF(CARTERA_2026[[#This Row],[RUT]]=774097899,"DIST",_xlfn.XLOOKUP(CARTERA_2026[[#This Row],[VENDEDOR]],dimensiones!$C$21:$C$28,dimensiones!$D$21:$D$28,""))</f>
        <v>ATEL</v>
      </c>
      <c r="J794" s="125" t="str">
        <f>_xlfn.XLOOKUP(CARTERA_2026[[#This Row],[REGION]],dimensiones!C:C,dimensiones!D:D,"")</f>
        <v>Región de Metropolitana de Santiago</v>
      </c>
    </row>
    <row r="795" spans="1:10" ht="14.25" customHeight="1" x14ac:dyDescent="0.25">
      <c r="A795">
        <v>692555007</v>
      </c>
      <c r="B795" t="s">
        <v>398</v>
      </c>
      <c r="C795" t="s">
        <v>4458</v>
      </c>
      <c r="D795">
        <v>13</v>
      </c>
      <c r="E795" t="s">
        <v>4445</v>
      </c>
      <c r="F795" t="s">
        <v>2524</v>
      </c>
      <c r="G795" t="s">
        <v>5575</v>
      </c>
      <c r="H795" t="s">
        <v>4957</v>
      </c>
      <c r="I795" s="79" t="str">
        <f>IF(CARTERA_2026[[#This Row],[RUT]]=774097899,"DIST",_xlfn.XLOOKUP(CARTERA_2026[[#This Row],[VENDEDOR]],dimensiones!$C$21:$C$28,dimensiones!$D$21:$D$28,""))</f>
        <v>ATEL</v>
      </c>
      <c r="J795" s="125" t="str">
        <f>_xlfn.XLOOKUP(CARTERA_2026[[#This Row],[REGION]],dimensiones!C:C,dimensiones!D:D,"")</f>
        <v>Región de Metropolitana de Santiago</v>
      </c>
    </row>
    <row r="796" spans="1:10" ht="14.25" customHeight="1" x14ac:dyDescent="0.25">
      <c r="A796">
        <v>692556003</v>
      </c>
      <c r="B796" t="s">
        <v>804</v>
      </c>
      <c r="C796" t="s">
        <v>4552</v>
      </c>
      <c r="D796">
        <v>13</v>
      </c>
      <c r="E796" t="s">
        <v>4445</v>
      </c>
      <c r="F796" t="s">
        <v>2043</v>
      </c>
      <c r="G796" t="s">
        <v>5575</v>
      </c>
      <c r="H796" t="s">
        <v>4957</v>
      </c>
      <c r="I796" s="79" t="str">
        <f>IF(CARTERA_2026[[#This Row],[RUT]]=774097899,"DIST",_xlfn.XLOOKUP(CARTERA_2026[[#This Row],[VENDEDOR]],dimensiones!$C$21:$C$28,dimensiones!$D$21:$D$28,""))</f>
        <v>ATEL</v>
      </c>
      <c r="J796" s="125" t="str">
        <f>_xlfn.XLOOKUP(CARTERA_2026[[#This Row],[REGION]],dimensiones!C:C,dimensiones!D:D,"")</f>
        <v>Región de Metropolitana de Santiago</v>
      </c>
    </row>
    <row r="797" spans="1:10" ht="14.25" customHeight="1" x14ac:dyDescent="0.25">
      <c r="A797">
        <v>692569008</v>
      </c>
      <c r="B797" t="s">
        <v>98</v>
      </c>
      <c r="C797" t="s">
        <v>4460</v>
      </c>
      <c r="D797">
        <v>8</v>
      </c>
      <c r="E797" t="s">
        <v>4464</v>
      </c>
      <c r="F797" t="s">
        <v>3895</v>
      </c>
      <c r="G797" t="s">
        <v>5575</v>
      </c>
      <c r="H797" t="s">
        <v>4957</v>
      </c>
      <c r="I797" s="79" t="str">
        <f>IF(CARTERA_2026[[#This Row],[RUT]]=774097899,"DIST",_xlfn.XLOOKUP(CARTERA_2026[[#This Row],[VENDEDOR]],dimensiones!$C$21:$C$28,dimensiones!$D$21:$D$28,""))</f>
        <v>SUR1</v>
      </c>
      <c r="J797" s="125" t="str">
        <f>_xlfn.XLOOKUP(CARTERA_2026[[#This Row],[REGION]],dimensiones!C:C,dimensiones!D:D,"")</f>
        <v>Región de Biobío</v>
      </c>
    </row>
    <row r="798" spans="1:10" ht="14.25" customHeight="1" x14ac:dyDescent="0.25">
      <c r="A798">
        <v>692599004</v>
      </c>
      <c r="B798" t="s">
        <v>99</v>
      </c>
      <c r="C798" t="s">
        <v>4377</v>
      </c>
      <c r="D798">
        <v>8</v>
      </c>
      <c r="E798" t="s">
        <v>4464</v>
      </c>
      <c r="F798" t="s">
        <v>1369</v>
      </c>
      <c r="G798" t="s">
        <v>5575</v>
      </c>
      <c r="H798" t="s">
        <v>4957</v>
      </c>
      <c r="I798" s="79" t="str">
        <f>IF(CARTERA_2026[[#This Row],[RUT]]=774097899,"DIST",_xlfn.XLOOKUP(CARTERA_2026[[#This Row],[VENDEDOR]],dimensiones!$C$21:$C$28,dimensiones!$D$21:$D$28,""))</f>
        <v>SUR1</v>
      </c>
      <c r="J798" s="125" t="str">
        <f>_xlfn.XLOOKUP(CARTERA_2026[[#This Row],[REGION]],dimensiones!C:C,dimensiones!D:D,"")</f>
        <v>Región de Biobío</v>
      </c>
    </row>
    <row r="799" spans="1:10" ht="14.25" customHeight="1" x14ac:dyDescent="0.25">
      <c r="A799">
        <v>692604008</v>
      </c>
      <c r="B799" t="s">
        <v>399</v>
      </c>
      <c r="C799" t="s">
        <v>4251</v>
      </c>
      <c r="D799">
        <v>5</v>
      </c>
      <c r="E799" t="s">
        <v>2372</v>
      </c>
      <c r="F799" t="s">
        <v>1341</v>
      </c>
      <c r="G799" t="s">
        <v>5575</v>
      </c>
      <c r="H799" t="s">
        <v>4957</v>
      </c>
      <c r="I799" s="79" t="str">
        <f>IF(CARTERA_2026[[#This Row],[RUT]]=774097899,"DIST",_xlfn.XLOOKUP(CARTERA_2026[[#This Row],[VENDEDOR]],dimensiones!$C$21:$C$28,dimensiones!$D$21:$D$28,""))</f>
        <v>NOR1</v>
      </c>
      <c r="J799" s="125" t="str">
        <f>_xlfn.XLOOKUP(CARTERA_2026[[#This Row],[REGION]],dimensiones!C:C,dimensiones!D:D,"")</f>
        <v>Región de Valparaíso</v>
      </c>
    </row>
    <row r="800" spans="1:10" ht="14.25" customHeight="1" x14ac:dyDescent="0.25">
      <c r="A800">
        <v>692614003</v>
      </c>
      <c r="B800" t="s">
        <v>400</v>
      </c>
      <c r="C800" t="s">
        <v>4412</v>
      </c>
      <c r="D800">
        <v>13</v>
      </c>
      <c r="E800" t="s">
        <v>4445</v>
      </c>
      <c r="F800" t="s">
        <v>3981</v>
      </c>
      <c r="G800" t="s">
        <v>5575</v>
      </c>
      <c r="H800" t="s">
        <v>4957</v>
      </c>
      <c r="I800" s="79" t="str">
        <f>IF(CARTERA_2026[[#This Row],[RUT]]=774097899,"DIST",_xlfn.XLOOKUP(CARTERA_2026[[#This Row],[VENDEDOR]],dimensiones!$C$21:$C$28,dimensiones!$D$21:$D$28,""))</f>
        <v>ATEL</v>
      </c>
      <c r="J800" s="125" t="str">
        <f>_xlfn.XLOOKUP(CARTERA_2026[[#This Row],[REGION]],dimensiones!C:C,dimensiones!D:D,"")</f>
        <v>Región de Metropolitana de Santiago</v>
      </c>
    </row>
    <row r="801" spans="1:10" ht="14.25" customHeight="1" x14ac:dyDescent="0.25">
      <c r="A801">
        <v>692628004</v>
      </c>
      <c r="B801" t="s">
        <v>2055</v>
      </c>
      <c r="C801" t="s">
        <v>4378</v>
      </c>
      <c r="D801">
        <v>8</v>
      </c>
      <c r="E801" t="s">
        <v>4445</v>
      </c>
      <c r="F801" t="s">
        <v>2054</v>
      </c>
      <c r="G801" t="s">
        <v>5575</v>
      </c>
      <c r="H801" t="s">
        <v>4957</v>
      </c>
      <c r="I801" s="79" t="str">
        <f>IF(CARTERA_2026[[#This Row],[RUT]]=774097899,"DIST",_xlfn.XLOOKUP(CARTERA_2026[[#This Row],[VENDEDOR]],dimensiones!$C$21:$C$28,dimensiones!$D$21:$D$28,""))</f>
        <v>ATEL</v>
      </c>
      <c r="J801" s="125" t="str">
        <f>_xlfn.XLOOKUP(CARTERA_2026[[#This Row],[REGION]],dimensiones!C:C,dimensiones!D:D,"")</f>
        <v>Región de Biobío</v>
      </c>
    </row>
    <row r="802" spans="1:10" ht="14.25" customHeight="1" x14ac:dyDescent="0.25">
      <c r="A802" t="s">
        <v>152</v>
      </c>
      <c r="B802" t="s">
        <v>153</v>
      </c>
      <c r="C802" t="s">
        <v>4475</v>
      </c>
      <c r="D802">
        <v>8</v>
      </c>
      <c r="E802" t="s">
        <v>4464</v>
      </c>
      <c r="F802" t="s">
        <v>2057</v>
      </c>
      <c r="G802" t="s">
        <v>5575</v>
      </c>
      <c r="H802" t="s">
        <v>4957</v>
      </c>
      <c r="I802" s="79" t="str">
        <f>IF(CARTERA_2026[[#This Row],[RUT]]=774097899,"DIST",_xlfn.XLOOKUP(CARTERA_2026[[#This Row],[VENDEDOR]],dimensiones!$C$21:$C$28,dimensiones!$D$21:$D$28,""))</f>
        <v>SUR1</v>
      </c>
      <c r="J802" s="125" t="str">
        <f>_xlfn.XLOOKUP(CARTERA_2026[[#This Row],[REGION]],dimensiones!C:C,dimensiones!D:D,"")</f>
        <v>Región de Biobío</v>
      </c>
    </row>
    <row r="803" spans="1:10" ht="14.25" customHeight="1" x14ac:dyDescent="0.25">
      <c r="A803">
        <v>692645006</v>
      </c>
      <c r="B803" t="s">
        <v>401</v>
      </c>
      <c r="C803" t="s">
        <v>4379</v>
      </c>
      <c r="D803">
        <v>7</v>
      </c>
      <c r="E803" t="s">
        <v>4445</v>
      </c>
      <c r="F803" t="s">
        <v>3178</v>
      </c>
      <c r="G803" t="s">
        <v>5575</v>
      </c>
      <c r="H803" t="s">
        <v>4957</v>
      </c>
      <c r="I803" s="79" t="str">
        <f>IF(CARTERA_2026[[#This Row],[RUT]]=774097899,"DIST",_xlfn.XLOOKUP(CARTERA_2026[[#This Row],[VENDEDOR]],dimensiones!$C$21:$C$28,dimensiones!$D$21:$D$28,""))</f>
        <v>ATEL</v>
      </c>
      <c r="J803" s="125" t="str">
        <f>_xlfn.XLOOKUP(CARTERA_2026[[#This Row],[REGION]],dimensiones!C:C,dimensiones!D:D,"")</f>
        <v>Región de Maule</v>
      </c>
    </row>
    <row r="804" spans="1:10" ht="14.25" customHeight="1" x14ac:dyDescent="0.25">
      <c r="A804">
        <v>692646002</v>
      </c>
      <c r="B804" t="s">
        <v>402</v>
      </c>
      <c r="C804" t="s">
        <v>4515</v>
      </c>
      <c r="D804">
        <v>8</v>
      </c>
      <c r="E804" t="s">
        <v>4445</v>
      </c>
      <c r="F804" t="s">
        <v>1237</v>
      </c>
      <c r="G804" t="s">
        <v>5575</v>
      </c>
      <c r="H804" t="s">
        <v>4957</v>
      </c>
      <c r="I804" s="79" t="str">
        <f>IF(CARTERA_2026[[#This Row],[RUT]]=774097899,"DIST",_xlfn.XLOOKUP(CARTERA_2026[[#This Row],[VENDEDOR]],dimensiones!$C$21:$C$28,dimensiones!$D$21:$D$28,""))</f>
        <v>ATEL</v>
      </c>
      <c r="J804" s="125" t="str">
        <f>_xlfn.XLOOKUP(CARTERA_2026[[#This Row],[REGION]],dimensiones!C:C,dimensiones!D:D,"")</f>
        <v>Región de Biobío</v>
      </c>
    </row>
    <row r="805" spans="1:10" ht="14.25" customHeight="1" x14ac:dyDescent="0.25">
      <c r="A805">
        <v>692647009</v>
      </c>
      <c r="B805" t="s">
        <v>403</v>
      </c>
      <c r="C805" t="s">
        <v>4392</v>
      </c>
      <c r="D805">
        <v>8</v>
      </c>
      <c r="E805" t="s">
        <v>4464</v>
      </c>
      <c r="F805" t="s">
        <v>2191</v>
      </c>
      <c r="G805" t="s">
        <v>5575</v>
      </c>
      <c r="H805" t="s">
        <v>4957</v>
      </c>
      <c r="I805" s="79" t="str">
        <f>IF(CARTERA_2026[[#This Row],[RUT]]=774097899,"DIST",_xlfn.XLOOKUP(CARTERA_2026[[#This Row],[VENDEDOR]],dimensiones!$C$21:$C$28,dimensiones!$D$21:$D$28,""))</f>
        <v>SUR1</v>
      </c>
      <c r="J805" s="125" t="str">
        <f>_xlfn.XLOOKUP(CARTERA_2026[[#This Row],[REGION]],dimensiones!C:C,dimensiones!D:D,"")</f>
        <v>Región de Biobío</v>
      </c>
    </row>
    <row r="806" spans="1:10" ht="14.25" customHeight="1" x14ac:dyDescent="0.25">
      <c r="A806">
        <v>692648005</v>
      </c>
      <c r="B806" t="s">
        <v>404</v>
      </c>
      <c r="C806" t="s">
        <v>4380</v>
      </c>
      <c r="D806">
        <v>8</v>
      </c>
      <c r="E806" t="s">
        <v>4445</v>
      </c>
      <c r="F806" t="s">
        <v>2066</v>
      </c>
      <c r="G806" t="s">
        <v>5575</v>
      </c>
      <c r="H806" t="s">
        <v>4957</v>
      </c>
      <c r="I806" s="79" t="str">
        <f>IF(CARTERA_2026[[#This Row],[RUT]]=774097899,"DIST",_xlfn.XLOOKUP(CARTERA_2026[[#This Row],[VENDEDOR]],dimensiones!$C$21:$C$28,dimensiones!$D$21:$D$28,""))</f>
        <v>ATEL</v>
      </c>
      <c r="J806" s="125" t="str">
        <f>_xlfn.XLOOKUP(CARTERA_2026[[#This Row],[REGION]],dimensiones!C:C,dimensiones!D:D,"")</f>
        <v>Región de Biobío</v>
      </c>
    </row>
    <row r="807" spans="1:10" ht="14.25" customHeight="1" x14ac:dyDescent="0.25">
      <c r="A807" t="s">
        <v>690</v>
      </c>
      <c r="B807" t="s">
        <v>691</v>
      </c>
      <c r="C807" t="s">
        <v>4413</v>
      </c>
      <c r="D807">
        <v>9</v>
      </c>
      <c r="E807" t="s">
        <v>4445</v>
      </c>
      <c r="F807" t="s">
        <v>1907</v>
      </c>
      <c r="G807" t="s">
        <v>5575</v>
      </c>
      <c r="H807" t="s">
        <v>4957</v>
      </c>
      <c r="I807" s="79" t="str">
        <f>IF(CARTERA_2026[[#This Row],[RUT]]=774097899,"DIST",_xlfn.XLOOKUP(CARTERA_2026[[#This Row],[VENDEDOR]],dimensiones!$C$21:$C$28,dimensiones!$D$21:$D$28,""))</f>
        <v>ATEL</v>
      </c>
      <c r="J807" s="125" t="str">
        <f>_xlfn.XLOOKUP(CARTERA_2026[[#This Row],[REGION]],dimensiones!C:C,dimensiones!D:D,"")</f>
        <v>Región de La Araucanía</v>
      </c>
    </row>
    <row r="808" spans="1:10" ht="14.25" customHeight="1" x14ac:dyDescent="0.25">
      <c r="A808">
        <v>692651006</v>
      </c>
      <c r="B808" t="s">
        <v>405</v>
      </c>
      <c r="C808" t="s">
        <v>4414</v>
      </c>
      <c r="D808">
        <v>1</v>
      </c>
      <c r="E808" t="s">
        <v>4453</v>
      </c>
      <c r="F808" t="s">
        <v>1641</v>
      </c>
      <c r="G808" t="s">
        <v>5575</v>
      </c>
      <c r="H808" t="s">
        <v>4957</v>
      </c>
      <c r="I808" s="79" t="str">
        <f>IF(CARTERA_2026[[#This Row],[RUT]]=774097899,"DIST",_xlfn.XLOOKUP(CARTERA_2026[[#This Row],[VENDEDOR]],dimensiones!$C$21:$C$28,dimensiones!$D$21:$D$28,""))</f>
        <v>SANT2</v>
      </c>
      <c r="J808" s="125" t="str">
        <f>_xlfn.XLOOKUP(CARTERA_2026[[#This Row],[REGION]],dimensiones!C:C,dimensiones!D:D,"")</f>
        <v>Región de Tarapacá</v>
      </c>
    </row>
    <row r="809" spans="1:10" ht="14.25" customHeight="1" x14ac:dyDescent="0.25">
      <c r="A809">
        <v>692664000</v>
      </c>
      <c r="B809" t="s">
        <v>805</v>
      </c>
      <c r="C809" t="s">
        <v>4553</v>
      </c>
      <c r="D809">
        <v>16</v>
      </c>
      <c r="E809" t="s">
        <v>4445</v>
      </c>
      <c r="F809" t="s">
        <v>2071</v>
      </c>
      <c r="G809" t="s">
        <v>5575</v>
      </c>
      <c r="H809" t="s">
        <v>4957</v>
      </c>
      <c r="I809" s="79" t="str">
        <f>IF(CARTERA_2026[[#This Row],[RUT]]=774097899,"DIST",_xlfn.XLOOKUP(CARTERA_2026[[#This Row],[VENDEDOR]],dimensiones!$C$21:$C$28,dimensiones!$D$21:$D$28,""))</f>
        <v>ATEL</v>
      </c>
      <c r="J809" s="125" t="str">
        <f>_xlfn.XLOOKUP(CARTERA_2026[[#This Row],[REGION]],dimensiones!C:C,dimensiones!D:D,"")</f>
        <v>Región de Ñuble</v>
      </c>
    </row>
    <row r="810" spans="1:10" ht="14.25" customHeight="1" x14ac:dyDescent="0.25">
      <c r="A810">
        <v>692665007</v>
      </c>
      <c r="B810" t="s">
        <v>751</v>
      </c>
      <c r="C810" t="s">
        <v>4554</v>
      </c>
      <c r="D810">
        <v>16</v>
      </c>
      <c r="E810" t="s">
        <v>4464</v>
      </c>
      <c r="F810" t="s">
        <v>4008</v>
      </c>
      <c r="G810" t="s">
        <v>5575</v>
      </c>
      <c r="H810" t="s">
        <v>4957</v>
      </c>
      <c r="I810" s="79" t="str">
        <f>IF(CARTERA_2026[[#This Row],[RUT]]=774097899,"DIST",_xlfn.XLOOKUP(CARTERA_2026[[#This Row],[VENDEDOR]],dimensiones!$C$21:$C$28,dimensiones!$D$21:$D$28,""))</f>
        <v>SUR1</v>
      </c>
      <c r="J810" s="125" t="str">
        <f>_xlfn.XLOOKUP(CARTERA_2026[[#This Row],[REGION]],dimensiones!C:C,dimensiones!D:D,"")</f>
        <v>Región de Ñuble</v>
      </c>
    </row>
    <row r="811" spans="1:10" ht="14.25" customHeight="1" x14ac:dyDescent="0.25">
      <c r="A811" t="s">
        <v>154</v>
      </c>
      <c r="B811" t="s">
        <v>155</v>
      </c>
      <c r="C811" t="s">
        <v>4495</v>
      </c>
      <c r="D811">
        <v>16</v>
      </c>
      <c r="E811" t="s">
        <v>4464</v>
      </c>
      <c r="F811" t="s">
        <v>1602</v>
      </c>
      <c r="G811" t="s">
        <v>5575</v>
      </c>
      <c r="H811" t="s">
        <v>4957</v>
      </c>
      <c r="I811" s="79" t="str">
        <f>IF(CARTERA_2026[[#This Row],[RUT]]=774097899,"DIST",_xlfn.XLOOKUP(CARTERA_2026[[#This Row],[VENDEDOR]],dimensiones!$C$21:$C$28,dimensiones!$D$21:$D$28,""))</f>
        <v>SUR1</v>
      </c>
      <c r="J811" s="125" t="str">
        <f>_xlfn.XLOOKUP(CARTERA_2026[[#This Row],[REGION]],dimensiones!C:C,dimensiones!D:D,"")</f>
        <v>Región de Ñuble</v>
      </c>
    </row>
    <row r="812" spans="1:10" ht="14.25" customHeight="1" x14ac:dyDescent="0.25">
      <c r="A812">
        <v>692875605</v>
      </c>
      <c r="B812" t="s">
        <v>406</v>
      </c>
      <c r="C812" t="s">
        <v>4174</v>
      </c>
      <c r="D812">
        <v>5</v>
      </c>
      <c r="E812" t="s">
        <v>4445</v>
      </c>
      <c r="F812" t="s">
        <v>1250</v>
      </c>
      <c r="G812" t="s">
        <v>5571</v>
      </c>
      <c r="H812" t="s">
        <v>4957</v>
      </c>
      <c r="I812" s="79" t="str">
        <f>IF(CARTERA_2026[[#This Row],[RUT]]=774097899,"DIST",_xlfn.XLOOKUP(CARTERA_2026[[#This Row],[VENDEDOR]],dimensiones!$C$21:$C$28,dimensiones!$D$21:$D$28,""))</f>
        <v>ATEL</v>
      </c>
      <c r="J812" s="125" t="str">
        <f>_xlfn.XLOOKUP(CARTERA_2026[[#This Row],[REGION]],dimensiones!C:C,dimensiones!D:D,"")</f>
        <v>Región de Valparaíso</v>
      </c>
    </row>
    <row r="813" spans="1:10" ht="14.25" customHeight="1" x14ac:dyDescent="0.25">
      <c r="A813">
        <v>692875702</v>
      </c>
      <c r="B813" t="s">
        <v>1657</v>
      </c>
      <c r="C813" t="s">
        <v>4192</v>
      </c>
      <c r="D813">
        <v>5</v>
      </c>
      <c r="E813" t="s">
        <v>4445</v>
      </c>
      <c r="F813" t="s">
        <v>1656</v>
      </c>
      <c r="G813" t="s">
        <v>5571</v>
      </c>
      <c r="H813" t="s">
        <v>4957</v>
      </c>
      <c r="I813" s="79" t="str">
        <f>IF(CARTERA_2026[[#This Row],[RUT]]=774097899,"DIST",_xlfn.XLOOKUP(CARTERA_2026[[#This Row],[VENDEDOR]],dimensiones!$C$21:$C$28,dimensiones!$D$21:$D$28,""))</f>
        <v>ATEL</v>
      </c>
      <c r="J813" s="125" t="str">
        <f>_xlfn.XLOOKUP(CARTERA_2026[[#This Row],[REGION]],dimensiones!C:C,dimensiones!D:D,"")</f>
        <v>Región de Valparaíso</v>
      </c>
    </row>
    <row r="814" spans="1:10" ht="14.25" customHeight="1" x14ac:dyDescent="0.25">
      <c r="A814">
        <v>700126005</v>
      </c>
      <c r="B814" t="s">
        <v>408</v>
      </c>
      <c r="C814" t="s">
        <v>4168</v>
      </c>
      <c r="D814">
        <v>13</v>
      </c>
      <c r="E814" t="s">
        <v>4445</v>
      </c>
      <c r="F814" t="s">
        <v>2278</v>
      </c>
      <c r="G814" t="s">
        <v>5570</v>
      </c>
      <c r="H814" t="s">
        <v>4915</v>
      </c>
      <c r="I814" s="79" t="str">
        <f>IF(CARTERA_2026[[#This Row],[RUT]]=774097899,"DIST",_xlfn.XLOOKUP(CARTERA_2026[[#This Row],[VENDEDOR]],dimensiones!$C$21:$C$28,dimensiones!$D$21:$D$28,""))</f>
        <v>ATEL</v>
      </c>
      <c r="J814" s="125" t="str">
        <f>_xlfn.XLOOKUP(CARTERA_2026[[#This Row],[REGION]],dimensiones!C:C,dimensiones!D:D,"")</f>
        <v>Región de Metropolitana de Santiago</v>
      </c>
    </row>
    <row r="815" spans="1:10" ht="14.25" customHeight="1" x14ac:dyDescent="0.25">
      <c r="A815">
        <v>700126013</v>
      </c>
      <c r="B815" t="s">
        <v>2281</v>
      </c>
      <c r="C815" t="s">
        <v>4381</v>
      </c>
      <c r="D815">
        <v>13</v>
      </c>
      <c r="E815" t="s">
        <v>4445</v>
      </c>
      <c r="F815" t="s">
        <v>2280</v>
      </c>
      <c r="G815" t="s">
        <v>5572</v>
      </c>
      <c r="H815" t="s">
        <v>4957</v>
      </c>
      <c r="I815" s="79" t="str">
        <f>IF(CARTERA_2026[[#This Row],[RUT]]=774097899,"DIST",_xlfn.XLOOKUP(CARTERA_2026[[#This Row],[VENDEDOR]],dimensiones!$C$21:$C$28,dimensiones!$D$21:$D$28,""))</f>
        <v>ATEL</v>
      </c>
      <c r="J815" s="125" t="str">
        <f>_xlfn.XLOOKUP(CARTERA_2026[[#This Row],[REGION]],dimensiones!C:C,dimensiones!D:D,"")</f>
        <v>Región de Metropolitana de Santiago</v>
      </c>
    </row>
    <row r="816" spans="1:10" ht="14.25" customHeight="1" x14ac:dyDescent="0.25">
      <c r="A816">
        <v>700155803</v>
      </c>
      <c r="B816" t="s">
        <v>100</v>
      </c>
      <c r="C816" t="s">
        <v>4175</v>
      </c>
      <c r="D816">
        <v>5</v>
      </c>
      <c r="E816" t="s">
        <v>2372</v>
      </c>
      <c r="F816" t="s">
        <v>2530</v>
      </c>
      <c r="G816" t="s">
        <v>5570</v>
      </c>
      <c r="H816" t="s">
        <v>4915</v>
      </c>
      <c r="I816" s="79" t="str">
        <f>IF(CARTERA_2026[[#This Row],[RUT]]=774097899,"DIST",_xlfn.XLOOKUP(CARTERA_2026[[#This Row],[VENDEDOR]],dimensiones!$C$21:$C$28,dimensiones!$D$21:$D$28,""))</f>
        <v>NOR1</v>
      </c>
      <c r="J816" s="125" t="str">
        <f>_xlfn.XLOOKUP(CARTERA_2026[[#This Row],[REGION]],dimensiones!C:C,dimensiones!D:D,"")</f>
        <v>Región de Valparaíso</v>
      </c>
    </row>
    <row r="817" spans="1:10" ht="14.25" customHeight="1" x14ac:dyDescent="0.25">
      <c r="A817">
        <v>700726002</v>
      </c>
      <c r="B817" t="s">
        <v>1104</v>
      </c>
      <c r="C817" t="s">
        <v>4178</v>
      </c>
      <c r="D817">
        <v>6</v>
      </c>
      <c r="E817" t="s">
        <v>4445</v>
      </c>
      <c r="F817" t="s">
        <v>3547</v>
      </c>
      <c r="G817" t="s">
        <v>5571</v>
      </c>
      <c r="H817" t="s">
        <v>4957</v>
      </c>
      <c r="I817" s="79" t="str">
        <f>IF(CARTERA_2026[[#This Row],[RUT]]=774097899,"DIST",_xlfn.XLOOKUP(CARTERA_2026[[#This Row],[VENDEDOR]],dimensiones!$C$21:$C$28,dimensiones!$D$21:$D$28,""))</f>
        <v>ATEL</v>
      </c>
      <c r="J817" s="125" t="str">
        <f>_xlfn.XLOOKUP(CARTERA_2026[[#This Row],[REGION]],dimensiones!C:C,dimensiones!D:D,"")</f>
        <v>Región de Libertador General Bernardo O'Higgins</v>
      </c>
    </row>
    <row r="818" spans="1:10" ht="14.25" customHeight="1" x14ac:dyDescent="0.25">
      <c r="A818">
        <v>700836002</v>
      </c>
      <c r="B818" t="s">
        <v>409</v>
      </c>
      <c r="C818" t="s">
        <v>4411</v>
      </c>
      <c r="D818">
        <v>13</v>
      </c>
      <c r="E818" t="s">
        <v>4445</v>
      </c>
      <c r="F818" t="s">
        <v>4106</v>
      </c>
      <c r="G818" t="s">
        <v>5570</v>
      </c>
      <c r="H818" t="s">
        <v>4915</v>
      </c>
      <c r="I818" s="79" t="str">
        <f>IF(CARTERA_2026[[#This Row],[RUT]]=774097899,"DIST",_xlfn.XLOOKUP(CARTERA_2026[[#This Row],[VENDEDOR]],dimensiones!$C$21:$C$28,dimensiones!$D$21:$D$28,""))</f>
        <v>ATEL</v>
      </c>
      <c r="J818" s="125" t="str">
        <f>_xlfn.XLOOKUP(CARTERA_2026[[#This Row],[REGION]],dimensiones!C:C,dimensiones!D:D,"")</f>
        <v>Región de Metropolitana de Santiago</v>
      </c>
    </row>
    <row r="819" spans="1:10" ht="14.25" customHeight="1" x14ac:dyDescent="0.25">
      <c r="A819">
        <v>702851009</v>
      </c>
      <c r="B819" t="s">
        <v>101</v>
      </c>
      <c r="C819" t="s">
        <v>4452</v>
      </c>
      <c r="D819">
        <v>13</v>
      </c>
      <c r="E819" t="s">
        <v>4453</v>
      </c>
      <c r="F819" t="s">
        <v>3552</v>
      </c>
      <c r="G819" t="s">
        <v>5570</v>
      </c>
      <c r="H819" t="s">
        <v>4915</v>
      </c>
      <c r="I819" s="79" t="str">
        <f>IF(CARTERA_2026[[#This Row],[RUT]]=774097899,"DIST",_xlfn.XLOOKUP(CARTERA_2026[[#This Row],[VENDEDOR]],dimensiones!$C$21:$C$28,dimensiones!$D$21:$D$28,""))</f>
        <v>SANT2</v>
      </c>
      <c r="J819" s="125" t="str">
        <f>_xlfn.XLOOKUP(CARTERA_2026[[#This Row],[REGION]],dimensiones!C:C,dimensiones!D:D,"")</f>
        <v>Región de Metropolitana de Santiago</v>
      </c>
    </row>
    <row r="820" spans="1:10" ht="14.25" customHeight="1" x14ac:dyDescent="0.25">
      <c r="A820">
        <v>703601006</v>
      </c>
      <c r="B820" t="s">
        <v>102</v>
      </c>
      <c r="C820" t="s">
        <v>4391</v>
      </c>
      <c r="D820">
        <v>13</v>
      </c>
      <c r="E820" t="s">
        <v>4445</v>
      </c>
      <c r="F820" t="s">
        <v>2321</v>
      </c>
      <c r="G820" t="s">
        <v>5570</v>
      </c>
      <c r="H820" t="s">
        <v>4915</v>
      </c>
      <c r="I820" s="79" t="str">
        <f>IF(CARTERA_2026[[#This Row],[RUT]]=774097899,"DIST",_xlfn.XLOOKUP(CARTERA_2026[[#This Row],[VENDEDOR]],dimensiones!$C$21:$C$28,dimensiones!$D$21:$D$28,""))</f>
        <v>ATEL</v>
      </c>
      <c r="J820" s="125" t="str">
        <f>_xlfn.XLOOKUP(CARTERA_2026[[#This Row],[REGION]],dimensiones!C:C,dimensiones!D:D,"")</f>
        <v>Región de Metropolitana de Santiago</v>
      </c>
    </row>
    <row r="821" spans="1:10" ht="14.25" customHeight="1" x14ac:dyDescent="0.25">
      <c r="A821">
        <v>703620000</v>
      </c>
      <c r="B821" t="s">
        <v>410</v>
      </c>
      <c r="C821" t="s">
        <v>4391</v>
      </c>
      <c r="D821">
        <v>13</v>
      </c>
      <c r="E821" t="s">
        <v>4445</v>
      </c>
      <c r="F821" t="s">
        <v>2291</v>
      </c>
      <c r="G821" t="s">
        <v>5570</v>
      </c>
      <c r="H821" t="s">
        <v>4915</v>
      </c>
      <c r="I821" s="79" t="str">
        <f>IF(CARTERA_2026[[#This Row],[RUT]]=774097899,"DIST",_xlfn.XLOOKUP(CARTERA_2026[[#This Row],[VENDEDOR]],dimensiones!$C$21:$C$28,dimensiones!$D$21:$D$28,""))</f>
        <v>ATEL</v>
      </c>
      <c r="J821" s="125" t="str">
        <f>_xlfn.XLOOKUP(CARTERA_2026[[#This Row],[REGION]],dimensiones!C:C,dimensiones!D:D,"")</f>
        <v>Región de Metropolitana de Santiago</v>
      </c>
    </row>
    <row r="822" spans="1:10" ht="14.25" customHeight="1" x14ac:dyDescent="0.25">
      <c r="A822">
        <v>703774008</v>
      </c>
      <c r="B822" t="s">
        <v>411</v>
      </c>
      <c r="C822" t="s">
        <v>4391</v>
      </c>
      <c r="D822">
        <v>13</v>
      </c>
      <c r="E822" t="s">
        <v>5729</v>
      </c>
      <c r="F822" t="s">
        <v>3739</v>
      </c>
      <c r="G822" t="s">
        <v>5570</v>
      </c>
      <c r="H822" t="s">
        <v>4915</v>
      </c>
      <c r="I822" s="79" t="str">
        <f>IF(CARTERA_2026[[#This Row],[RUT]]=774097899,"DIST",_xlfn.XLOOKUP(CARTERA_2026[[#This Row],[VENDEDOR]],dimensiones!$C$21:$C$28,dimensiones!$D$21:$D$28,""))</f>
        <v>SANT3</v>
      </c>
      <c r="J822" s="125" t="str">
        <f>_xlfn.XLOOKUP(CARTERA_2026[[#This Row],[REGION]],dimensiones!C:C,dimensiones!D:D,"")</f>
        <v>Región de Metropolitana de Santiago</v>
      </c>
    </row>
    <row r="823" spans="1:10" ht="14.25" customHeight="1" x14ac:dyDescent="0.25">
      <c r="A823">
        <v>705749000</v>
      </c>
      <c r="B823" t="s">
        <v>4958</v>
      </c>
      <c r="C823" t="s">
        <v>4168</v>
      </c>
      <c r="D823">
        <v>13</v>
      </c>
      <c r="E823" t="s">
        <v>4445</v>
      </c>
      <c r="F823" t="s">
        <v>4959</v>
      </c>
      <c r="G823" t="s">
        <v>5683</v>
      </c>
      <c r="H823" t="s">
        <v>4957</v>
      </c>
      <c r="I823" s="79" t="str">
        <f>IF(CARTERA_2026[[#This Row],[RUT]]=774097899,"DIST",_xlfn.XLOOKUP(CARTERA_2026[[#This Row],[VENDEDOR]],dimensiones!$C$21:$C$28,dimensiones!$D$21:$D$28,""))</f>
        <v>ATEL</v>
      </c>
      <c r="J823" s="125" t="str">
        <f>_xlfn.XLOOKUP(CARTERA_2026[[#This Row],[REGION]],dimensiones!C:C,dimensiones!D:D,"")</f>
        <v>Región de Metropolitana de Santiago</v>
      </c>
    </row>
    <row r="824" spans="1:10" ht="14.25" customHeight="1" x14ac:dyDescent="0.25">
      <c r="A824">
        <v>707447001</v>
      </c>
      <c r="B824" t="s">
        <v>412</v>
      </c>
      <c r="C824" t="s">
        <v>4218</v>
      </c>
      <c r="D824">
        <v>9</v>
      </c>
      <c r="E824" t="s">
        <v>4445</v>
      </c>
      <c r="F824" t="s">
        <v>2295</v>
      </c>
      <c r="G824" t="s">
        <v>5571</v>
      </c>
      <c r="H824" t="s">
        <v>4957</v>
      </c>
      <c r="I824" s="79" t="str">
        <f>IF(CARTERA_2026[[#This Row],[RUT]]=774097899,"DIST",_xlfn.XLOOKUP(CARTERA_2026[[#This Row],[VENDEDOR]],dimensiones!$C$21:$C$28,dimensiones!$D$21:$D$28,""))</f>
        <v>ATEL</v>
      </c>
      <c r="J824" s="125" t="str">
        <f>_xlfn.XLOOKUP(CARTERA_2026[[#This Row],[REGION]],dimensiones!C:C,dimensiones!D:D,"")</f>
        <v>Región de La Araucanía</v>
      </c>
    </row>
    <row r="825" spans="1:10" ht="14.25" customHeight="1" x14ac:dyDescent="0.25">
      <c r="A825">
        <v>707547006</v>
      </c>
      <c r="B825" t="s">
        <v>1027</v>
      </c>
      <c r="C825" t="s">
        <v>4459</v>
      </c>
      <c r="D825">
        <v>5</v>
      </c>
      <c r="E825" t="s">
        <v>4445</v>
      </c>
      <c r="F825" t="s">
        <v>2297</v>
      </c>
      <c r="G825" t="s">
        <v>5573</v>
      </c>
      <c r="H825" t="s">
        <v>4957</v>
      </c>
      <c r="I825" s="79" t="str">
        <f>IF(CARTERA_2026[[#This Row],[RUT]]=774097899,"DIST",_xlfn.XLOOKUP(CARTERA_2026[[#This Row],[VENDEDOR]],dimensiones!$C$21:$C$28,dimensiones!$D$21:$D$28,""))</f>
        <v>ATEL</v>
      </c>
      <c r="J825" s="125" t="str">
        <f>_xlfn.XLOOKUP(CARTERA_2026[[#This Row],[REGION]],dimensiones!C:C,dimensiones!D:D,"")</f>
        <v>Región de Valparaíso</v>
      </c>
    </row>
    <row r="826" spans="1:10" ht="14.25" customHeight="1" x14ac:dyDescent="0.25">
      <c r="A826">
        <v>707665009</v>
      </c>
      <c r="B826" t="s">
        <v>413</v>
      </c>
      <c r="C826" t="s">
        <v>4382</v>
      </c>
      <c r="D826">
        <v>9</v>
      </c>
      <c r="E826" t="s">
        <v>4445</v>
      </c>
      <c r="F826" t="s">
        <v>2299</v>
      </c>
      <c r="G826" t="s">
        <v>5575</v>
      </c>
      <c r="H826" t="s">
        <v>4957</v>
      </c>
      <c r="I826" s="79" t="str">
        <f>IF(CARTERA_2026[[#This Row],[RUT]]=774097899,"DIST",_xlfn.XLOOKUP(CARTERA_2026[[#This Row],[VENDEDOR]],dimensiones!$C$21:$C$28,dimensiones!$D$21:$D$28,""))</f>
        <v>ATEL</v>
      </c>
      <c r="J826" s="125" t="str">
        <f>_xlfn.XLOOKUP(CARTERA_2026[[#This Row],[REGION]],dimensiones!C:C,dimensiones!D:D,"")</f>
        <v>Región de La Araucanía</v>
      </c>
    </row>
    <row r="827" spans="1:10" ht="14.25" customHeight="1" x14ac:dyDescent="0.25">
      <c r="A827" t="s">
        <v>692</v>
      </c>
      <c r="B827" t="s">
        <v>693</v>
      </c>
      <c r="C827" t="s">
        <v>4181</v>
      </c>
      <c r="D827">
        <v>15</v>
      </c>
      <c r="E827" t="s">
        <v>4445</v>
      </c>
      <c r="F827" t="s">
        <v>2301</v>
      </c>
      <c r="G827" t="s">
        <v>5573</v>
      </c>
      <c r="H827" t="s">
        <v>4957</v>
      </c>
      <c r="I827" s="79" t="str">
        <f>IF(CARTERA_2026[[#This Row],[RUT]]=774097899,"DIST",_xlfn.XLOOKUP(CARTERA_2026[[#This Row],[VENDEDOR]],dimensiones!$C$21:$C$28,dimensiones!$D$21:$D$28,""))</f>
        <v>ATEL</v>
      </c>
      <c r="J827" s="125" t="str">
        <f>_xlfn.XLOOKUP(CARTERA_2026[[#This Row],[REGION]],dimensiones!C:C,dimensiones!D:D,"")</f>
        <v>Región de Arica y Parinacota</v>
      </c>
    </row>
    <row r="828" spans="1:10" ht="14.25" customHeight="1" x14ac:dyDescent="0.25">
      <c r="A828">
        <v>707775009</v>
      </c>
      <c r="B828" t="s">
        <v>4091</v>
      </c>
      <c r="C828" t="s">
        <v>4361</v>
      </c>
      <c r="D828">
        <v>9</v>
      </c>
      <c r="E828" t="s">
        <v>4445</v>
      </c>
      <c r="F828" t="s">
        <v>4090</v>
      </c>
      <c r="G828" t="s">
        <v>5573</v>
      </c>
      <c r="H828" t="s">
        <v>4915</v>
      </c>
      <c r="I828" s="79" t="str">
        <f>IF(CARTERA_2026[[#This Row],[RUT]]=774097899,"DIST",_xlfn.XLOOKUP(CARTERA_2026[[#This Row],[VENDEDOR]],dimensiones!$C$21:$C$28,dimensiones!$D$21:$D$28,""))</f>
        <v>ATEL</v>
      </c>
      <c r="J828" s="125" t="str">
        <f>_xlfn.XLOOKUP(CARTERA_2026[[#This Row],[REGION]],dimensiones!C:C,dimensiones!D:D,"")</f>
        <v>Región de La Araucanía</v>
      </c>
    </row>
    <row r="829" spans="1:10" ht="14.25" customHeight="1" x14ac:dyDescent="0.25">
      <c r="A829">
        <v>707831006</v>
      </c>
      <c r="B829" t="s">
        <v>414</v>
      </c>
      <c r="C829" t="s">
        <v>4171</v>
      </c>
      <c r="D829">
        <v>4</v>
      </c>
      <c r="E829" t="s">
        <v>2372</v>
      </c>
      <c r="F829" t="s">
        <v>2304</v>
      </c>
      <c r="G829" t="s">
        <v>5573</v>
      </c>
      <c r="H829" t="s">
        <v>4957</v>
      </c>
      <c r="I829" s="79" t="str">
        <f>IF(CARTERA_2026[[#This Row],[RUT]]=774097899,"DIST",_xlfn.XLOOKUP(CARTERA_2026[[#This Row],[VENDEDOR]],dimensiones!$C$21:$C$28,dimensiones!$D$21:$D$28,""))</f>
        <v>NOR1</v>
      </c>
      <c r="J829" s="125" t="str">
        <f>_xlfn.XLOOKUP(CARTERA_2026[[#This Row],[REGION]],dimensiones!C:C,dimensiones!D:D,"")</f>
        <v>Región de Coquimbo</v>
      </c>
    </row>
    <row r="830" spans="1:10" ht="14.25" customHeight="1" x14ac:dyDescent="0.25">
      <c r="A830">
        <v>707918004</v>
      </c>
      <c r="B830" t="s">
        <v>1002</v>
      </c>
      <c r="C830" t="s">
        <v>4182</v>
      </c>
      <c r="D830">
        <v>2</v>
      </c>
      <c r="E830" t="s">
        <v>4445</v>
      </c>
      <c r="F830" t="s">
        <v>1248</v>
      </c>
      <c r="G830" t="s">
        <v>5573</v>
      </c>
      <c r="H830" t="s">
        <v>4957</v>
      </c>
      <c r="I830" s="79" t="str">
        <f>IF(CARTERA_2026[[#This Row],[RUT]]=774097899,"DIST",_xlfn.XLOOKUP(CARTERA_2026[[#This Row],[VENDEDOR]],dimensiones!$C$21:$C$28,dimensiones!$D$21:$D$28,""))</f>
        <v>ATEL</v>
      </c>
      <c r="J830" s="125" t="str">
        <f>_xlfn.XLOOKUP(CARTERA_2026[[#This Row],[REGION]],dimensiones!C:C,dimensiones!D:D,"")</f>
        <v>Región de Antofagasta</v>
      </c>
    </row>
    <row r="831" spans="1:10" ht="14.25" customHeight="1" x14ac:dyDescent="0.25">
      <c r="A831">
        <v>708352004</v>
      </c>
      <c r="B831" t="s">
        <v>926</v>
      </c>
      <c r="C831" t="s">
        <v>4456</v>
      </c>
      <c r="D831">
        <v>13</v>
      </c>
      <c r="E831" t="s">
        <v>5729</v>
      </c>
      <c r="F831" t="s">
        <v>2211</v>
      </c>
      <c r="G831" t="s">
        <v>5574</v>
      </c>
      <c r="H831" t="s">
        <v>4957</v>
      </c>
      <c r="I831" s="79" t="str">
        <f>IF(CARTERA_2026[[#This Row],[RUT]]=774097899,"DIST",_xlfn.XLOOKUP(CARTERA_2026[[#This Row],[VENDEDOR]],dimensiones!$C$21:$C$28,dimensiones!$D$21:$D$28,""))</f>
        <v>SANT3</v>
      </c>
      <c r="J831" s="125" t="str">
        <f>_xlfn.XLOOKUP(CARTERA_2026[[#This Row],[REGION]],dimensiones!C:C,dimensiones!D:D,"")</f>
        <v>Región de Metropolitana de Santiago</v>
      </c>
    </row>
    <row r="832" spans="1:10" ht="14.25" customHeight="1" x14ac:dyDescent="0.25">
      <c r="A832">
        <v>708564001</v>
      </c>
      <c r="B832" t="s">
        <v>415</v>
      </c>
      <c r="C832" t="s">
        <v>4381</v>
      </c>
      <c r="D832">
        <v>13</v>
      </c>
      <c r="E832" t="s">
        <v>4445</v>
      </c>
      <c r="F832" t="s">
        <v>2073</v>
      </c>
      <c r="G832" t="s">
        <v>5574</v>
      </c>
      <c r="H832" t="s">
        <v>4957</v>
      </c>
      <c r="I832" s="79" t="str">
        <f>IF(CARTERA_2026[[#This Row],[RUT]]=774097899,"DIST",_xlfn.XLOOKUP(CARTERA_2026[[#This Row],[VENDEDOR]],dimensiones!$C$21:$C$28,dimensiones!$D$21:$D$28,""))</f>
        <v>ATEL</v>
      </c>
      <c r="J832" s="125" t="str">
        <f>_xlfn.XLOOKUP(CARTERA_2026[[#This Row],[REGION]],dimensiones!C:C,dimensiones!D:D,"")</f>
        <v>Región de Metropolitana de Santiago</v>
      </c>
    </row>
    <row r="833" spans="1:10" ht="14.25" customHeight="1" x14ac:dyDescent="0.25">
      <c r="A833">
        <v>708594008</v>
      </c>
      <c r="B833" t="s">
        <v>103</v>
      </c>
      <c r="C833" t="s">
        <v>4459</v>
      </c>
      <c r="D833">
        <v>5</v>
      </c>
      <c r="E833" t="s">
        <v>2372</v>
      </c>
      <c r="F833" t="s">
        <v>1955</v>
      </c>
      <c r="G833" t="s">
        <v>5574</v>
      </c>
      <c r="H833" t="s">
        <v>4957</v>
      </c>
      <c r="I833" s="79" t="str">
        <f>IF(CARTERA_2026[[#This Row],[RUT]]=774097899,"DIST",_xlfn.XLOOKUP(CARTERA_2026[[#This Row],[VENDEDOR]],dimensiones!$C$21:$C$28,dimensiones!$D$21:$D$28,""))</f>
        <v>NOR1</v>
      </c>
      <c r="J833" s="125" t="str">
        <f>_xlfn.XLOOKUP(CARTERA_2026[[#This Row],[REGION]],dimensiones!C:C,dimensiones!D:D,"")</f>
        <v>Región de Valparaíso</v>
      </c>
    </row>
    <row r="834" spans="1:10" ht="14.25" customHeight="1" x14ac:dyDescent="0.25">
      <c r="A834">
        <v>708723002</v>
      </c>
      <c r="B834" t="s">
        <v>104</v>
      </c>
      <c r="C834" t="s">
        <v>4175</v>
      </c>
      <c r="D834">
        <v>5</v>
      </c>
      <c r="E834" t="s">
        <v>4445</v>
      </c>
      <c r="F834" t="s">
        <v>3194</v>
      </c>
      <c r="G834" t="s">
        <v>5574</v>
      </c>
      <c r="H834" t="s">
        <v>4957</v>
      </c>
      <c r="I834" s="79" t="str">
        <f>IF(CARTERA_2026[[#This Row],[RUT]]=774097899,"DIST",_xlfn.XLOOKUP(CARTERA_2026[[#This Row],[VENDEDOR]],dimensiones!$C$21:$C$28,dimensiones!$D$21:$D$28,""))</f>
        <v>ATEL</v>
      </c>
      <c r="J834" s="125" t="str">
        <f>_xlfn.XLOOKUP(CARTERA_2026[[#This Row],[REGION]],dimensiones!C:C,dimensiones!D:D,"")</f>
        <v>Región de Valparaíso</v>
      </c>
    </row>
    <row r="835" spans="1:10" ht="14.25" customHeight="1" x14ac:dyDescent="0.25">
      <c r="A835">
        <v>708781002</v>
      </c>
      <c r="B835" t="s">
        <v>416</v>
      </c>
      <c r="C835" t="s">
        <v>4410</v>
      </c>
      <c r="D835">
        <v>13</v>
      </c>
      <c r="E835" t="s">
        <v>4445</v>
      </c>
      <c r="F835" t="s">
        <v>2293</v>
      </c>
      <c r="G835" t="s">
        <v>5574</v>
      </c>
      <c r="H835" t="s">
        <v>4957</v>
      </c>
      <c r="I835" s="79" t="str">
        <f>IF(CARTERA_2026[[#This Row],[RUT]]=774097899,"DIST",_xlfn.XLOOKUP(CARTERA_2026[[#This Row],[VENDEDOR]],dimensiones!$C$21:$C$28,dimensiones!$D$21:$D$28,""))</f>
        <v>ATEL</v>
      </c>
      <c r="J835" s="125" t="str">
        <f>_xlfn.XLOOKUP(CARTERA_2026[[#This Row],[REGION]],dimensiones!C:C,dimensiones!D:D,"")</f>
        <v>Región de Metropolitana de Santiago</v>
      </c>
    </row>
    <row r="836" spans="1:10" ht="14.25" customHeight="1" x14ac:dyDescent="0.25">
      <c r="A836">
        <v>708789003</v>
      </c>
      <c r="B836" t="s">
        <v>417</v>
      </c>
      <c r="C836" t="s">
        <v>4490</v>
      </c>
      <c r="D836">
        <v>5</v>
      </c>
      <c r="E836" t="s">
        <v>4445</v>
      </c>
      <c r="F836" t="s">
        <v>1334</v>
      </c>
      <c r="G836" t="s">
        <v>5574</v>
      </c>
      <c r="H836" t="s">
        <v>4957</v>
      </c>
      <c r="I836" s="79" t="str">
        <f>IF(CARTERA_2026[[#This Row],[RUT]]=774097899,"DIST",_xlfn.XLOOKUP(CARTERA_2026[[#This Row],[VENDEDOR]],dimensiones!$C$21:$C$28,dimensiones!$D$21:$D$28,""))</f>
        <v>ATEL</v>
      </c>
      <c r="J836" s="125" t="str">
        <f>_xlfn.XLOOKUP(CARTERA_2026[[#This Row],[REGION]],dimensiones!C:C,dimensiones!D:D,"")</f>
        <v>Región de Valparaíso</v>
      </c>
    </row>
    <row r="837" spans="1:10" ht="14.25" customHeight="1" x14ac:dyDescent="0.25">
      <c r="A837">
        <v>708803006</v>
      </c>
      <c r="B837" t="s">
        <v>418</v>
      </c>
      <c r="C837" t="s">
        <v>4415</v>
      </c>
      <c r="D837">
        <v>13</v>
      </c>
      <c r="E837" t="s">
        <v>4445</v>
      </c>
      <c r="F837" t="s">
        <v>3952</v>
      </c>
      <c r="G837" t="s">
        <v>5574</v>
      </c>
      <c r="H837" t="s">
        <v>4957</v>
      </c>
      <c r="I837" s="79" t="str">
        <f>IF(CARTERA_2026[[#This Row],[RUT]]=774097899,"DIST",_xlfn.XLOOKUP(CARTERA_2026[[#This Row],[VENDEDOR]],dimensiones!$C$21:$C$28,dimensiones!$D$21:$D$28,""))</f>
        <v>ATEL</v>
      </c>
      <c r="J837" s="125" t="str">
        <f>_xlfn.XLOOKUP(CARTERA_2026[[#This Row],[REGION]],dimensiones!C:C,dimensiones!D:D,"")</f>
        <v>Región de Metropolitana de Santiago</v>
      </c>
    </row>
    <row r="838" spans="1:10" ht="14.25" customHeight="1" x14ac:dyDescent="0.25">
      <c r="A838">
        <v>708821004</v>
      </c>
      <c r="B838" t="s">
        <v>419</v>
      </c>
      <c r="C838" t="s">
        <v>4556</v>
      </c>
      <c r="D838">
        <v>13</v>
      </c>
      <c r="E838" t="s">
        <v>4445</v>
      </c>
      <c r="F838" t="s">
        <v>1379</v>
      </c>
      <c r="G838" t="s">
        <v>5574</v>
      </c>
      <c r="H838" t="s">
        <v>4957</v>
      </c>
      <c r="I838" s="79" t="str">
        <f>IF(CARTERA_2026[[#This Row],[RUT]]=774097899,"DIST",_xlfn.XLOOKUP(CARTERA_2026[[#This Row],[VENDEDOR]],dimensiones!$C$21:$C$28,dimensiones!$D$21:$D$28,""))</f>
        <v>ATEL</v>
      </c>
      <c r="J838" s="125" t="str">
        <f>_xlfn.XLOOKUP(CARTERA_2026[[#This Row],[REGION]],dimensiones!C:C,dimensiones!D:D,"")</f>
        <v>Región de Metropolitana de Santiago</v>
      </c>
    </row>
    <row r="839" spans="1:10" ht="14.25" customHeight="1" x14ac:dyDescent="0.25">
      <c r="A839">
        <v>708855006</v>
      </c>
      <c r="B839" t="s">
        <v>420</v>
      </c>
      <c r="C839" t="s">
        <v>4257</v>
      </c>
      <c r="D839">
        <v>7</v>
      </c>
      <c r="E839" t="s">
        <v>4445</v>
      </c>
      <c r="F839" t="s">
        <v>2325</v>
      </c>
      <c r="G839" t="s">
        <v>5573</v>
      </c>
      <c r="H839" t="s">
        <v>4957</v>
      </c>
      <c r="I839" s="79" t="str">
        <f>IF(CARTERA_2026[[#This Row],[RUT]]=774097899,"DIST",_xlfn.XLOOKUP(CARTERA_2026[[#This Row],[VENDEDOR]],dimensiones!$C$21:$C$28,dimensiones!$D$21:$D$28,""))</f>
        <v>ATEL</v>
      </c>
      <c r="J839" s="125" t="str">
        <f>_xlfn.XLOOKUP(CARTERA_2026[[#This Row],[REGION]],dimensiones!C:C,dimensiones!D:D,"")</f>
        <v>Región de Maule</v>
      </c>
    </row>
    <row r="840" spans="1:10" ht="14.25" customHeight="1" x14ac:dyDescent="0.25">
      <c r="A840">
        <v>708921009</v>
      </c>
      <c r="B840" t="s">
        <v>421</v>
      </c>
      <c r="C840" t="s">
        <v>4171</v>
      </c>
      <c r="D840">
        <v>4</v>
      </c>
      <c r="E840" t="s">
        <v>4445</v>
      </c>
      <c r="F840" t="s">
        <v>2217</v>
      </c>
      <c r="G840" t="s">
        <v>5574</v>
      </c>
      <c r="H840" t="s">
        <v>4957</v>
      </c>
      <c r="I840" s="79" t="str">
        <f>IF(CARTERA_2026[[#This Row],[RUT]]=774097899,"DIST",_xlfn.XLOOKUP(CARTERA_2026[[#This Row],[VENDEDOR]],dimensiones!$C$21:$C$28,dimensiones!$D$21:$D$28,""))</f>
        <v>ATEL</v>
      </c>
      <c r="J840" s="125" t="str">
        <f>_xlfn.XLOOKUP(CARTERA_2026[[#This Row],[REGION]],dimensiones!C:C,dimensiones!D:D,"")</f>
        <v>Región de Coquimbo</v>
      </c>
    </row>
    <row r="841" spans="1:10" ht="14.25" customHeight="1" x14ac:dyDescent="0.25">
      <c r="A841">
        <v>709020005</v>
      </c>
      <c r="B841" t="s">
        <v>5484</v>
      </c>
      <c r="C841" t="s">
        <v>4465</v>
      </c>
      <c r="D841">
        <v>13</v>
      </c>
      <c r="E841" t="s">
        <v>4445</v>
      </c>
      <c r="F841" t="s">
        <v>5485</v>
      </c>
      <c r="G841" t="s">
        <v>5574</v>
      </c>
      <c r="H841" t="s">
        <v>4957</v>
      </c>
      <c r="I841" s="79" t="str">
        <f>IF(CARTERA_2026[[#This Row],[RUT]]=774097899,"DIST",_xlfn.XLOOKUP(CARTERA_2026[[#This Row],[VENDEDOR]],dimensiones!$C$21:$C$28,dimensiones!$D$21:$D$28,""))</f>
        <v>ATEL</v>
      </c>
      <c r="J841" s="125" t="str">
        <f>_xlfn.XLOOKUP(CARTERA_2026[[#This Row],[REGION]],dimensiones!C:C,dimensiones!D:D,"")</f>
        <v>Región de Metropolitana de Santiago</v>
      </c>
    </row>
    <row r="842" spans="1:10" ht="14.25" customHeight="1" x14ac:dyDescent="0.25">
      <c r="A842">
        <v>709024000</v>
      </c>
      <c r="B842" t="s">
        <v>422</v>
      </c>
      <c r="C842" t="s">
        <v>4504</v>
      </c>
      <c r="D842">
        <v>13</v>
      </c>
      <c r="E842" t="s">
        <v>4445</v>
      </c>
      <c r="F842" t="s">
        <v>1266</v>
      </c>
      <c r="G842" t="s">
        <v>5574</v>
      </c>
      <c r="H842" t="s">
        <v>4957</v>
      </c>
      <c r="I842" s="79" t="str">
        <f>IF(CARTERA_2026[[#This Row],[RUT]]=774097899,"DIST",_xlfn.XLOOKUP(CARTERA_2026[[#This Row],[VENDEDOR]],dimensiones!$C$21:$C$28,dimensiones!$D$21:$D$28,""))</f>
        <v>ATEL</v>
      </c>
      <c r="J842" s="125" t="str">
        <f>_xlfn.XLOOKUP(CARTERA_2026[[#This Row],[REGION]],dimensiones!C:C,dimensiones!D:D,"")</f>
        <v>Región de Metropolitana de Santiago</v>
      </c>
    </row>
    <row r="843" spans="1:10" ht="14.25" customHeight="1" x14ac:dyDescent="0.25">
      <c r="A843">
        <v>709057006</v>
      </c>
      <c r="B843" t="s">
        <v>423</v>
      </c>
      <c r="C843" t="s">
        <v>4178</v>
      </c>
      <c r="D843">
        <v>6</v>
      </c>
      <c r="E843" t="s">
        <v>5729</v>
      </c>
      <c r="F843" t="s">
        <v>2241</v>
      </c>
      <c r="G843" t="s">
        <v>5570</v>
      </c>
      <c r="H843" t="s">
        <v>4915</v>
      </c>
      <c r="I843" s="79" t="str">
        <f>IF(CARTERA_2026[[#This Row],[RUT]]=774097899,"DIST",_xlfn.XLOOKUP(CARTERA_2026[[#This Row],[VENDEDOR]],dimensiones!$C$21:$C$28,dimensiones!$D$21:$D$28,""))</f>
        <v>SANT3</v>
      </c>
      <c r="J843" s="125" t="str">
        <f>_xlfn.XLOOKUP(CARTERA_2026[[#This Row],[REGION]],dimensiones!C:C,dimensiones!D:D,"")</f>
        <v>Región de Libertador General Bernardo O'Higgins</v>
      </c>
    </row>
    <row r="844" spans="1:10" ht="14.25" customHeight="1" x14ac:dyDescent="0.25">
      <c r="A844">
        <v>709131001</v>
      </c>
      <c r="B844" t="s">
        <v>424</v>
      </c>
      <c r="C844" t="s">
        <v>4399</v>
      </c>
      <c r="D844">
        <v>13</v>
      </c>
      <c r="E844" t="s">
        <v>4445</v>
      </c>
      <c r="F844" t="s">
        <v>1260</v>
      </c>
      <c r="G844" t="s">
        <v>5574</v>
      </c>
      <c r="H844" t="s">
        <v>4957</v>
      </c>
      <c r="I844" s="79" t="str">
        <f>IF(CARTERA_2026[[#This Row],[RUT]]=774097899,"DIST",_xlfn.XLOOKUP(CARTERA_2026[[#This Row],[VENDEDOR]],dimensiones!$C$21:$C$28,dimensiones!$D$21:$D$28,""))</f>
        <v>ATEL</v>
      </c>
      <c r="J844" s="125" t="str">
        <f>_xlfn.XLOOKUP(CARTERA_2026[[#This Row],[REGION]],dimensiones!C:C,dimensiones!D:D,"")</f>
        <v>Región de Metropolitana de Santiago</v>
      </c>
    </row>
    <row r="845" spans="1:10" ht="14.25" customHeight="1" x14ac:dyDescent="0.25">
      <c r="A845">
        <v>709255002</v>
      </c>
      <c r="B845" t="s">
        <v>425</v>
      </c>
      <c r="C845" t="s">
        <v>4287</v>
      </c>
      <c r="D845">
        <v>13</v>
      </c>
      <c r="E845" t="s">
        <v>4445</v>
      </c>
      <c r="F845" t="s">
        <v>1912</v>
      </c>
      <c r="G845" t="s">
        <v>5574</v>
      </c>
      <c r="H845" t="s">
        <v>4957</v>
      </c>
      <c r="I845" s="79" t="str">
        <f>IF(CARTERA_2026[[#This Row],[RUT]]=774097899,"DIST",_xlfn.XLOOKUP(CARTERA_2026[[#This Row],[VENDEDOR]],dimensiones!$C$21:$C$28,dimensiones!$D$21:$D$28,""))</f>
        <v>ATEL</v>
      </c>
      <c r="J845" s="125" t="str">
        <f>_xlfn.XLOOKUP(CARTERA_2026[[#This Row],[REGION]],dimensiones!C:C,dimensiones!D:D,"")</f>
        <v>Región de Metropolitana de Santiago</v>
      </c>
    </row>
    <row r="846" spans="1:10" ht="14.25" customHeight="1" x14ac:dyDescent="0.25">
      <c r="A846" t="s">
        <v>694</v>
      </c>
      <c r="B846" t="s">
        <v>695</v>
      </c>
      <c r="C846" t="s">
        <v>4401</v>
      </c>
      <c r="D846">
        <v>13</v>
      </c>
      <c r="E846" t="s">
        <v>4445</v>
      </c>
      <c r="F846" t="s">
        <v>1383</v>
      </c>
      <c r="G846" t="s">
        <v>5574</v>
      </c>
      <c r="H846" t="s">
        <v>4957</v>
      </c>
      <c r="I846" s="79" t="str">
        <f>IF(CARTERA_2026[[#This Row],[RUT]]=774097899,"DIST",_xlfn.XLOOKUP(CARTERA_2026[[#This Row],[VENDEDOR]],dimensiones!$C$21:$C$28,dimensiones!$D$21:$D$28,""))</f>
        <v>ATEL</v>
      </c>
      <c r="J846" s="125" t="str">
        <f>_xlfn.XLOOKUP(CARTERA_2026[[#This Row],[REGION]],dimensiones!C:C,dimensiones!D:D,"")</f>
        <v>Región de Metropolitana de Santiago</v>
      </c>
    </row>
    <row r="847" spans="1:10" ht="14.25" customHeight="1" x14ac:dyDescent="0.25">
      <c r="A847">
        <v>709319000</v>
      </c>
      <c r="B847" t="s">
        <v>426</v>
      </c>
      <c r="C847" t="s">
        <v>4185</v>
      </c>
      <c r="D847">
        <v>12</v>
      </c>
      <c r="E847" t="s">
        <v>4445</v>
      </c>
      <c r="F847" t="s">
        <v>2343</v>
      </c>
      <c r="G847" t="s">
        <v>5574</v>
      </c>
      <c r="H847" t="s">
        <v>4957</v>
      </c>
      <c r="I847" s="79" t="str">
        <f>IF(CARTERA_2026[[#This Row],[RUT]]=774097899,"DIST",_xlfn.XLOOKUP(CARTERA_2026[[#This Row],[VENDEDOR]],dimensiones!$C$21:$C$28,dimensiones!$D$21:$D$28,""))</f>
        <v>ATEL</v>
      </c>
      <c r="J847" s="125" t="str">
        <f>_xlfn.XLOOKUP(CARTERA_2026[[#This Row],[REGION]],dimensiones!C:C,dimensiones!D:D,"")</f>
        <v>Región de Magallanes y de la Antártica Chilena</v>
      </c>
    </row>
    <row r="848" spans="1:10" ht="14.25" customHeight="1" x14ac:dyDescent="0.25">
      <c r="A848" t="s">
        <v>696</v>
      </c>
      <c r="B848" t="s">
        <v>3209</v>
      </c>
      <c r="C848" t="s">
        <v>4395</v>
      </c>
      <c r="D848">
        <v>13</v>
      </c>
      <c r="E848" t="s">
        <v>4445</v>
      </c>
      <c r="F848" t="s">
        <v>3208</v>
      </c>
      <c r="G848" t="s">
        <v>5574</v>
      </c>
      <c r="H848" t="s">
        <v>4957</v>
      </c>
      <c r="I848" s="79" t="str">
        <f>IF(CARTERA_2026[[#This Row],[RUT]]=774097899,"DIST",_xlfn.XLOOKUP(CARTERA_2026[[#This Row],[VENDEDOR]],dimensiones!$C$21:$C$28,dimensiones!$D$21:$D$28,""))</f>
        <v>ATEL</v>
      </c>
      <c r="J848" s="125" t="str">
        <f>_xlfn.XLOOKUP(CARTERA_2026[[#This Row],[REGION]],dimensiones!C:C,dimensiones!D:D,"")</f>
        <v>Región de Metropolitana de Santiago</v>
      </c>
    </row>
    <row r="849" spans="1:10" ht="14.25" customHeight="1" x14ac:dyDescent="0.25">
      <c r="A849">
        <v>709337009</v>
      </c>
      <c r="B849" t="s">
        <v>1882</v>
      </c>
      <c r="C849" t="s">
        <v>4394</v>
      </c>
      <c r="D849">
        <v>13</v>
      </c>
      <c r="E849" t="s">
        <v>4445</v>
      </c>
      <c r="F849" t="s">
        <v>1881</v>
      </c>
      <c r="G849" t="s">
        <v>5574</v>
      </c>
      <c r="H849" t="s">
        <v>4957</v>
      </c>
      <c r="I849" s="79" t="str">
        <f>IF(CARTERA_2026[[#This Row],[RUT]]=774097899,"DIST",_xlfn.XLOOKUP(CARTERA_2026[[#This Row],[VENDEDOR]],dimensiones!$C$21:$C$28,dimensiones!$D$21:$D$28,""))</f>
        <v>ATEL</v>
      </c>
      <c r="J849" s="125" t="str">
        <f>_xlfn.XLOOKUP(CARTERA_2026[[#This Row],[REGION]],dimensiones!C:C,dimensiones!D:D,"")</f>
        <v>Región de Metropolitana de Santiago</v>
      </c>
    </row>
    <row r="850" spans="1:10" ht="14.25" customHeight="1" x14ac:dyDescent="0.25">
      <c r="A850">
        <v>709349007</v>
      </c>
      <c r="B850" t="s">
        <v>428</v>
      </c>
      <c r="C850" t="s">
        <v>4285</v>
      </c>
      <c r="D850">
        <v>13</v>
      </c>
      <c r="E850" t="s">
        <v>4445</v>
      </c>
      <c r="F850" t="s">
        <v>4006</v>
      </c>
      <c r="G850" t="s">
        <v>5574</v>
      </c>
      <c r="H850" t="s">
        <v>4957</v>
      </c>
      <c r="I850" s="79" t="str">
        <f>IF(CARTERA_2026[[#This Row],[RUT]]=774097899,"DIST",_xlfn.XLOOKUP(CARTERA_2026[[#This Row],[VENDEDOR]],dimensiones!$C$21:$C$28,dimensiones!$D$21:$D$28,""))</f>
        <v>ATEL</v>
      </c>
      <c r="J850" s="125" t="str">
        <f>_xlfn.XLOOKUP(CARTERA_2026[[#This Row],[REGION]],dimensiones!C:C,dimensiones!D:D,"")</f>
        <v>Región de Metropolitana de Santiago</v>
      </c>
    </row>
    <row r="851" spans="1:10" ht="14.25" customHeight="1" x14ac:dyDescent="0.25">
      <c r="A851">
        <v>709372009</v>
      </c>
      <c r="B851" t="s">
        <v>429</v>
      </c>
      <c r="C851" t="s">
        <v>4383</v>
      </c>
      <c r="D851">
        <v>13</v>
      </c>
      <c r="E851" t="s">
        <v>4445</v>
      </c>
      <c r="F851" t="s">
        <v>4145</v>
      </c>
      <c r="G851" t="s">
        <v>5574</v>
      </c>
      <c r="H851" t="s">
        <v>4957</v>
      </c>
      <c r="I851" s="79" t="str">
        <f>IF(CARTERA_2026[[#This Row],[RUT]]=774097899,"DIST",_xlfn.XLOOKUP(CARTERA_2026[[#This Row],[VENDEDOR]],dimensiones!$C$21:$C$28,dimensiones!$D$21:$D$28,""))</f>
        <v>ATEL</v>
      </c>
      <c r="J851" s="125" t="str">
        <f>_xlfn.XLOOKUP(CARTERA_2026[[#This Row],[REGION]],dimensiones!C:C,dimensiones!D:D,"")</f>
        <v>Región de Metropolitana de Santiago</v>
      </c>
    </row>
    <row r="852" spans="1:10" ht="14.25" customHeight="1" x14ac:dyDescent="0.25">
      <c r="A852">
        <v>709388002</v>
      </c>
      <c r="B852" t="s">
        <v>430</v>
      </c>
      <c r="C852" t="s">
        <v>4186</v>
      </c>
      <c r="D852">
        <v>1</v>
      </c>
      <c r="E852" t="s">
        <v>4453</v>
      </c>
      <c r="F852" t="s">
        <v>1971</v>
      </c>
      <c r="G852" t="s">
        <v>5574</v>
      </c>
      <c r="H852" t="s">
        <v>4957</v>
      </c>
      <c r="I852" s="79" t="str">
        <f>IF(CARTERA_2026[[#This Row],[RUT]]=774097899,"DIST",_xlfn.XLOOKUP(CARTERA_2026[[#This Row],[VENDEDOR]],dimensiones!$C$21:$C$28,dimensiones!$D$21:$D$28,""))</f>
        <v>SANT2</v>
      </c>
      <c r="J852" s="125" t="str">
        <f>_xlfn.XLOOKUP(CARTERA_2026[[#This Row],[REGION]],dimensiones!C:C,dimensiones!D:D,"")</f>
        <v>Región de Tarapacá</v>
      </c>
    </row>
    <row r="853" spans="1:10" ht="14.25" customHeight="1" x14ac:dyDescent="0.25">
      <c r="A853">
        <v>709419005</v>
      </c>
      <c r="B853" t="s">
        <v>5470</v>
      </c>
      <c r="C853" t="s">
        <v>4449</v>
      </c>
      <c r="D853">
        <v>13</v>
      </c>
      <c r="E853" t="s">
        <v>4445</v>
      </c>
      <c r="F853" t="s">
        <v>5471</v>
      </c>
      <c r="G853" t="s">
        <v>5575</v>
      </c>
      <c r="H853" t="s">
        <v>4957</v>
      </c>
      <c r="I853" s="79" t="str">
        <f>IF(CARTERA_2026[[#This Row],[RUT]]=774097899,"DIST",_xlfn.XLOOKUP(CARTERA_2026[[#This Row],[VENDEDOR]],dimensiones!$C$21:$C$28,dimensiones!$D$21:$D$28,""))</f>
        <v>ATEL</v>
      </c>
      <c r="J853" s="125" t="str">
        <f>_xlfn.XLOOKUP(CARTERA_2026[[#This Row],[REGION]],dimensiones!C:C,dimensiones!D:D,"")</f>
        <v>Región de Metropolitana de Santiago</v>
      </c>
    </row>
    <row r="854" spans="1:10" ht="14.25" customHeight="1" x14ac:dyDescent="0.25">
      <c r="A854">
        <v>709542001</v>
      </c>
      <c r="B854" t="s">
        <v>431</v>
      </c>
      <c r="C854" t="s">
        <v>4557</v>
      </c>
      <c r="D854">
        <v>13</v>
      </c>
      <c r="E854" t="s">
        <v>4445</v>
      </c>
      <c r="F854" t="s">
        <v>2388</v>
      </c>
      <c r="G854" t="s">
        <v>5574</v>
      </c>
      <c r="H854" t="s">
        <v>4957</v>
      </c>
      <c r="I854" s="79" t="str">
        <f>IF(CARTERA_2026[[#This Row],[RUT]]=774097899,"DIST",_xlfn.XLOOKUP(CARTERA_2026[[#This Row],[VENDEDOR]],dimensiones!$C$21:$C$28,dimensiones!$D$21:$D$28,""))</f>
        <v>ATEL</v>
      </c>
      <c r="J854" s="125" t="str">
        <f>_xlfn.XLOOKUP(CARTERA_2026[[#This Row],[REGION]],dimensiones!C:C,dimensiones!D:D,"")</f>
        <v>Región de Metropolitana de Santiago</v>
      </c>
    </row>
    <row r="855" spans="1:10" ht="14.25" customHeight="1" x14ac:dyDescent="0.25">
      <c r="A855">
        <v>709549006</v>
      </c>
      <c r="B855" t="s">
        <v>5003</v>
      </c>
      <c r="C855" t="s">
        <v>4237</v>
      </c>
      <c r="D855">
        <v>2</v>
      </c>
      <c r="E855" t="s">
        <v>4445</v>
      </c>
      <c r="F855" t="s">
        <v>5004</v>
      </c>
      <c r="G855" t="s">
        <v>5575</v>
      </c>
      <c r="H855" t="s">
        <v>4957</v>
      </c>
      <c r="I855" s="79" t="str">
        <f>IF(CARTERA_2026[[#This Row],[RUT]]=774097899,"DIST",_xlfn.XLOOKUP(CARTERA_2026[[#This Row],[VENDEDOR]],dimensiones!$C$21:$C$28,dimensiones!$D$21:$D$28,""))</f>
        <v>ATEL</v>
      </c>
      <c r="J855" s="125" t="str">
        <f>_xlfn.XLOOKUP(CARTERA_2026[[#This Row],[REGION]],dimensiones!C:C,dimensiones!D:D,"")</f>
        <v>Región de Antofagasta</v>
      </c>
    </row>
    <row r="856" spans="1:10" ht="14.25" customHeight="1" x14ac:dyDescent="0.25">
      <c r="A856">
        <v>709625004</v>
      </c>
      <c r="B856" t="s">
        <v>105</v>
      </c>
      <c r="C856" t="s">
        <v>4416</v>
      </c>
      <c r="D856">
        <v>13</v>
      </c>
      <c r="E856" t="s">
        <v>4445</v>
      </c>
      <c r="F856" t="s">
        <v>1674</v>
      </c>
      <c r="G856" t="s">
        <v>5574</v>
      </c>
      <c r="H856" t="s">
        <v>4957</v>
      </c>
      <c r="I856" s="79" t="str">
        <f>IF(CARTERA_2026[[#This Row],[RUT]]=774097899,"DIST",_xlfn.XLOOKUP(CARTERA_2026[[#This Row],[VENDEDOR]],dimensiones!$C$21:$C$28,dimensiones!$D$21:$D$28,""))</f>
        <v>ATEL</v>
      </c>
      <c r="J856" s="125" t="str">
        <f>_xlfn.XLOOKUP(CARTERA_2026[[#This Row],[REGION]],dimensiones!C:C,dimensiones!D:D,"")</f>
        <v>Región de Metropolitana de Santiago</v>
      </c>
    </row>
    <row r="857" spans="1:10" ht="14.25" customHeight="1" x14ac:dyDescent="0.25">
      <c r="A857">
        <v>709817000</v>
      </c>
      <c r="B857" t="s">
        <v>5641</v>
      </c>
      <c r="C857" t="s">
        <v>4284</v>
      </c>
      <c r="D857">
        <v>13</v>
      </c>
      <c r="E857" t="s">
        <v>4445</v>
      </c>
      <c r="F857" t="s">
        <v>5642</v>
      </c>
      <c r="G857" t="s">
        <v>5574</v>
      </c>
      <c r="H857" t="s">
        <v>4957</v>
      </c>
      <c r="I857" s="79" t="str">
        <f>IF(CARTERA_2026[[#This Row],[RUT]]=774097899,"DIST",_xlfn.XLOOKUP(CARTERA_2026[[#This Row],[VENDEDOR]],dimensiones!$C$21:$C$28,dimensiones!$D$21:$D$28,""))</f>
        <v>ATEL</v>
      </c>
      <c r="J857" s="125" t="str">
        <f>_xlfn.XLOOKUP(CARTERA_2026[[#This Row],[REGION]],dimensiones!C:C,dimensiones!D:D,"")</f>
        <v>Región de Metropolitana de Santiago</v>
      </c>
    </row>
    <row r="858" spans="1:10" ht="14.25" customHeight="1" x14ac:dyDescent="0.25">
      <c r="A858">
        <v>709836005</v>
      </c>
      <c r="B858" t="s">
        <v>432</v>
      </c>
      <c r="C858" t="s">
        <v>4250</v>
      </c>
      <c r="D858">
        <v>5</v>
      </c>
      <c r="E858" t="s">
        <v>4445</v>
      </c>
      <c r="F858" t="s">
        <v>1342</v>
      </c>
      <c r="G858" t="s">
        <v>5574</v>
      </c>
      <c r="H858" t="s">
        <v>4957</v>
      </c>
      <c r="I858" s="79" t="str">
        <f>IF(CARTERA_2026[[#This Row],[RUT]]=774097899,"DIST",_xlfn.XLOOKUP(CARTERA_2026[[#This Row],[VENDEDOR]],dimensiones!$C$21:$C$28,dimensiones!$D$21:$D$28,""))</f>
        <v>ATEL</v>
      </c>
      <c r="J858" s="125" t="str">
        <f>_xlfn.XLOOKUP(CARTERA_2026[[#This Row],[REGION]],dimensiones!C:C,dimensiones!D:D,"")</f>
        <v>Región de Valparaíso</v>
      </c>
    </row>
    <row r="859" spans="1:10" ht="14.25" customHeight="1" x14ac:dyDescent="0.25">
      <c r="A859" t="s">
        <v>4755</v>
      </c>
      <c r="B859" t="s">
        <v>4756</v>
      </c>
      <c r="C859" t="s">
        <v>4168</v>
      </c>
      <c r="D859">
        <v>13</v>
      </c>
      <c r="E859" t="s">
        <v>4445</v>
      </c>
      <c r="F859" t="s">
        <v>4912</v>
      </c>
      <c r="G859" t="s">
        <v>5573</v>
      </c>
      <c r="H859" t="s">
        <v>4915</v>
      </c>
      <c r="I859" s="79" t="str">
        <f>IF(CARTERA_2026[[#This Row],[RUT]]=774097899,"DIST",_xlfn.XLOOKUP(CARTERA_2026[[#This Row],[VENDEDOR]],dimensiones!$C$21:$C$28,dimensiones!$D$21:$D$28,""))</f>
        <v>ATEL</v>
      </c>
      <c r="J859" s="125" t="str">
        <f>_xlfn.XLOOKUP(CARTERA_2026[[#This Row],[REGION]],dimensiones!C:C,dimensiones!D:D,"")</f>
        <v>Región de Metropolitana de Santiago</v>
      </c>
    </row>
    <row r="860" spans="1:10" ht="14.25" customHeight="1" x14ac:dyDescent="0.25">
      <c r="A860">
        <v>709932004</v>
      </c>
      <c r="B860" t="s">
        <v>433</v>
      </c>
      <c r="C860" t="s">
        <v>4444</v>
      </c>
      <c r="D860">
        <v>13</v>
      </c>
      <c r="E860" t="s">
        <v>4445</v>
      </c>
      <c r="F860" t="s">
        <v>3994</v>
      </c>
      <c r="G860" t="s">
        <v>5574</v>
      </c>
      <c r="H860" t="s">
        <v>4957</v>
      </c>
      <c r="I860" s="79" t="str">
        <f>IF(CARTERA_2026[[#This Row],[RUT]]=774097899,"DIST",_xlfn.XLOOKUP(CARTERA_2026[[#This Row],[VENDEDOR]],dimensiones!$C$21:$C$28,dimensiones!$D$21:$D$28,""))</f>
        <v>ATEL</v>
      </c>
      <c r="J860" s="125" t="str">
        <f>_xlfn.XLOOKUP(CARTERA_2026[[#This Row],[REGION]],dimensiones!C:C,dimensiones!D:D,"")</f>
        <v>Región de Metropolitana de Santiago</v>
      </c>
    </row>
    <row r="861" spans="1:10" ht="14.25" customHeight="1" x14ac:dyDescent="0.25">
      <c r="A861">
        <v>710142009</v>
      </c>
      <c r="B861" t="s">
        <v>2202</v>
      </c>
      <c r="C861" t="s">
        <v>4178</v>
      </c>
      <c r="D861">
        <v>6</v>
      </c>
      <c r="E861" t="s">
        <v>5729</v>
      </c>
      <c r="F861" t="s">
        <v>2201</v>
      </c>
      <c r="G861" t="s">
        <v>5571</v>
      </c>
      <c r="H861" t="s">
        <v>4957</v>
      </c>
      <c r="I861" s="79" t="str">
        <f>IF(CARTERA_2026[[#This Row],[RUT]]=774097899,"DIST",_xlfn.XLOOKUP(CARTERA_2026[[#This Row],[VENDEDOR]],dimensiones!$C$21:$C$28,dimensiones!$D$21:$D$28,""))</f>
        <v>SANT3</v>
      </c>
      <c r="J861" s="125" t="str">
        <f>_xlfn.XLOOKUP(CARTERA_2026[[#This Row],[REGION]],dimensiones!C:C,dimensiones!D:D,"")</f>
        <v>Región de Libertador General Bernardo O'Higgins</v>
      </c>
    </row>
    <row r="862" spans="1:10" ht="14.25" customHeight="1" x14ac:dyDescent="0.25">
      <c r="A862">
        <v>710163006</v>
      </c>
      <c r="B862" t="s">
        <v>435</v>
      </c>
      <c r="C862" t="s">
        <v>4384</v>
      </c>
      <c r="D862">
        <v>14</v>
      </c>
      <c r="E862" t="s">
        <v>4445</v>
      </c>
      <c r="F862" t="s">
        <v>2052</v>
      </c>
      <c r="G862" t="s">
        <v>5574</v>
      </c>
      <c r="H862" t="s">
        <v>4957</v>
      </c>
      <c r="I862" s="79" t="str">
        <f>IF(CARTERA_2026[[#This Row],[RUT]]=774097899,"DIST",_xlfn.XLOOKUP(CARTERA_2026[[#This Row],[VENDEDOR]],dimensiones!$C$21:$C$28,dimensiones!$D$21:$D$28,""))</f>
        <v>ATEL</v>
      </c>
      <c r="J862" s="125" t="str">
        <f>_xlfn.XLOOKUP(CARTERA_2026[[#This Row],[REGION]],dimensiones!C:C,dimensiones!D:D,"")</f>
        <v>Región de Los Ríos</v>
      </c>
    </row>
    <row r="863" spans="1:10" ht="14.25" customHeight="1" x14ac:dyDescent="0.25">
      <c r="A863">
        <v>711026002</v>
      </c>
      <c r="B863" t="s">
        <v>436</v>
      </c>
      <c r="C863" t="s">
        <v>4182</v>
      </c>
      <c r="D863">
        <v>2</v>
      </c>
      <c r="E863" t="s">
        <v>4445</v>
      </c>
      <c r="F863" t="s">
        <v>2367</v>
      </c>
      <c r="G863" t="s">
        <v>5574</v>
      </c>
      <c r="H863" t="s">
        <v>4957</v>
      </c>
      <c r="I863" s="79" t="str">
        <f>IF(CARTERA_2026[[#This Row],[RUT]]=774097899,"DIST",_xlfn.XLOOKUP(CARTERA_2026[[#This Row],[VENDEDOR]],dimensiones!$C$21:$C$28,dimensiones!$D$21:$D$28,""))</f>
        <v>ATEL</v>
      </c>
      <c r="J863" s="125" t="str">
        <f>_xlfn.XLOOKUP(CARTERA_2026[[#This Row],[REGION]],dimensiones!C:C,dimensiones!D:D,"")</f>
        <v>Región de Antofagasta</v>
      </c>
    </row>
    <row r="864" spans="1:10" ht="14.25" customHeight="1" x14ac:dyDescent="0.25">
      <c r="A864">
        <v>711272003</v>
      </c>
      <c r="B864" t="s">
        <v>437</v>
      </c>
      <c r="C864" t="s">
        <v>4509</v>
      </c>
      <c r="D864">
        <v>10</v>
      </c>
      <c r="E864" t="s">
        <v>4445</v>
      </c>
      <c r="F864" t="s">
        <v>4120</v>
      </c>
      <c r="G864" t="s">
        <v>5571</v>
      </c>
      <c r="H864" t="s">
        <v>4957</v>
      </c>
      <c r="I864" s="79" t="str">
        <f>IF(CARTERA_2026[[#This Row],[RUT]]=774097899,"DIST",_xlfn.XLOOKUP(CARTERA_2026[[#This Row],[VENDEDOR]],dimensiones!$C$21:$C$28,dimensiones!$D$21:$D$28,""))</f>
        <v>ATEL</v>
      </c>
      <c r="J864" s="125" t="str">
        <f>_xlfn.XLOOKUP(CARTERA_2026[[#This Row],[REGION]],dimensiones!C:C,dimensiones!D:D,"")</f>
        <v>Región de Los Lagos</v>
      </c>
    </row>
    <row r="865" spans="1:10" ht="14.25" customHeight="1" x14ac:dyDescent="0.25">
      <c r="A865">
        <v>711460004</v>
      </c>
      <c r="B865" t="s">
        <v>438</v>
      </c>
      <c r="C865" t="s">
        <v>4385</v>
      </c>
      <c r="D865">
        <v>10</v>
      </c>
      <c r="E865" t="s">
        <v>4445</v>
      </c>
      <c r="F865" t="s">
        <v>2019</v>
      </c>
      <c r="G865" t="s">
        <v>5574</v>
      </c>
      <c r="H865" t="s">
        <v>4957</v>
      </c>
      <c r="I865" s="79" t="str">
        <f>IF(CARTERA_2026[[#This Row],[RUT]]=774097899,"DIST",_xlfn.XLOOKUP(CARTERA_2026[[#This Row],[VENDEDOR]],dimensiones!$C$21:$C$28,dimensiones!$D$21:$D$28,""))</f>
        <v>ATEL</v>
      </c>
      <c r="J865" s="125" t="str">
        <f>_xlfn.XLOOKUP(CARTERA_2026[[#This Row],[REGION]],dimensiones!C:C,dimensiones!D:D,"")</f>
        <v>Región de Los Lagos</v>
      </c>
    </row>
    <row r="866" spans="1:10" ht="14.25" customHeight="1" x14ac:dyDescent="0.25">
      <c r="A866">
        <v>711497005</v>
      </c>
      <c r="B866" t="s">
        <v>439</v>
      </c>
      <c r="C866" t="s">
        <v>4230</v>
      </c>
      <c r="D866">
        <v>10</v>
      </c>
      <c r="E866" t="s">
        <v>4445</v>
      </c>
      <c r="F866" t="s">
        <v>1850</v>
      </c>
      <c r="G866" t="s">
        <v>5574</v>
      </c>
      <c r="H866" t="s">
        <v>4957</v>
      </c>
      <c r="I866" s="79" t="str">
        <f>IF(CARTERA_2026[[#This Row],[RUT]]=774097899,"DIST",_xlfn.XLOOKUP(CARTERA_2026[[#This Row],[VENDEDOR]],dimensiones!$C$21:$C$28,dimensiones!$D$21:$D$28,""))</f>
        <v>ATEL</v>
      </c>
      <c r="J866" s="125" t="str">
        <f>_xlfn.XLOOKUP(CARTERA_2026[[#This Row],[REGION]],dimensiones!C:C,dimensiones!D:D,"")</f>
        <v>Región de Los Lagos</v>
      </c>
    </row>
    <row r="867" spans="1:10" ht="14.25" customHeight="1" x14ac:dyDescent="0.25">
      <c r="A867">
        <v>711609008</v>
      </c>
      <c r="B867" t="s">
        <v>440</v>
      </c>
      <c r="C867" t="s">
        <v>4558</v>
      </c>
      <c r="D867">
        <v>10</v>
      </c>
      <c r="E867" t="s">
        <v>4445</v>
      </c>
      <c r="F867" t="s">
        <v>1776</v>
      </c>
      <c r="G867" t="s">
        <v>5574</v>
      </c>
      <c r="H867" t="s">
        <v>4957</v>
      </c>
      <c r="I867" s="79" t="str">
        <f>IF(CARTERA_2026[[#This Row],[RUT]]=774097899,"DIST",_xlfn.XLOOKUP(CARTERA_2026[[#This Row],[VENDEDOR]],dimensiones!$C$21:$C$28,dimensiones!$D$21:$D$28,""))</f>
        <v>ATEL</v>
      </c>
      <c r="J867" s="125" t="str">
        <f>_xlfn.XLOOKUP(CARTERA_2026[[#This Row],[REGION]],dimensiones!C:C,dimensiones!D:D,"")</f>
        <v>Región de Los Lagos</v>
      </c>
    </row>
    <row r="868" spans="1:10" ht="14.25" customHeight="1" x14ac:dyDescent="0.25">
      <c r="A868">
        <v>711643001</v>
      </c>
      <c r="B868" t="s">
        <v>441</v>
      </c>
      <c r="C868" t="s">
        <v>4231</v>
      </c>
      <c r="D868">
        <v>10</v>
      </c>
      <c r="E868" t="s">
        <v>4445</v>
      </c>
      <c r="F868" t="s">
        <v>2378</v>
      </c>
      <c r="G868" t="s">
        <v>5574</v>
      </c>
      <c r="H868" t="s">
        <v>4957</v>
      </c>
      <c r="I868" s="79" t="str">
        <f>IF(CARTERA_2026[[#This Row],[RUT]]=774097899,"DIST",_xlfn.XLOOKUP(CARTERA_2026[[#This Row],[VENDEDOR]],dimensiones!$C$21:$C$28,dimensiones!$D$21:$D$28,""))</f>
        <v>ATEL</v>
      </c>
      <c r="J868" s="125" t="str">
        <f>_xlfn.XLOOKUP(CARTERA_2026[[#This Row],[REGION]],dimensiones!C:C,dimensiones!D:D,"")</f>
        <v>Región de Los Lagos</v>
      </c>
    </row>
    <row r="869" spans="1:10" ht="14.25" customHeight="1" x14ac:dyDescent="0.25">
      <c r="A869">
        <v>711658009</v>
      </c>
      <c r="B869" t="s">
        <v>442</v>
      </c>
      <c r="C869" t="s">
        <v>4503</v>
      </c>
      <c r="D869">
        <v>12</v>
      </c>
      <c r="E869" t="s">
        <v>4445</v>
      </c>
      <c r="F869" t="s">
        <v>1744</v>
      </c>
      <c r="G869" t="s">
        <v>5574</v>
      </c>
      <c r="H869" t="s">
        <v>4957</v>
      </c>
      <c r="I869" s="79" t="str">
        <f>IF(CARTERA_2026[[#This Row],[RUT]]=774097899,"DIST",_xlfn.XLOOKUP(CARTERA_2026[[#This Row],[VENDEDOR]],dimensiones!$C$21:$C$28,dimensiones!$D$21:$D$28,""))</f>
        <v>ATEL</v>
      </c>
      <c r="J869" s="125" t="str">
        <f>_xlfn.XLOOKUP(CARTERA_2026[[#This Row],[REGION]],dimensiones!C:C,dimensiones!D:D,"")</f>
        <v>Región de Magallanes y de la Antártica Chilena</v>
      </c>
    </row>
    <row r="870" spans="1:10" ht="14.25" customHeight="1" x14ac:dyDescent="0.25">
      <c r="A870">
        <v>711731008</v>
      </c>
      <c r="B870" t="s">
        <v>443</v>
      </c>
      <c r="C870" t="s">
        <v>4484</v>
      </c>
      <c r="D870">
        <v>10</v>
      </c>
      <c r="E870" t="s">
        <v>4445</v>
      </c>
      <c r="F870" t="s">
        <v>3600</v>
      </c>
      <c r="G870" t="s">
        <v>5574</v>
      </c>
      <c r="H870" t="s">
        <v>4957</v>
      </c>
      <c r="I870" s="79" t="str">
        <f>IF(CARTERA_2026[[#This Row],[RUT]]=774097899,"DIST",_xlfn.XLOOKUP(CARTERA_2026[[#This Row],[VENDEDOR]],dimensiones!$C$21:$C$28,dimensiones!$D$21:$D$28,""))</f>
        <v>ATEL</v>
      </c>
      <c r="J870" s="125" t="str">
        <f>_xlfn.XLOOKUP(CARTERA_2026[[#This Row],[REGION]],dimensiones!C:C,dimensiones!D:D,"")</f>
        <v>Región de Los Lagos</v>
      </c>
    </row>
    <row r="871" spans="1:10" ht="14.25" customHeight="1" x14ac:dyDescent="0.25">
      <c r="A871">
        <v>712341009</v>
      </c>
      <c r="B871" t="s">
        <v>806</v>
      </c>
      <c r="C871" t="s">
        <v>4470</v>
      </c>
      <c r="D871">
        <v>13</v>
      </c>
      <c r="E871" t="s">
        <v>4445</v>
      </c>
      <c r="F871" t="s">
        <v>3223</v>
      </c>
      <c r="G871" t="s">
        <v>5574</v>
      </c>
      <c r="H871" t="s">
        <v>4957</v>
      </c>
      <c r="I871" s="79" t="str">
        <f>IF(CARTERA_2026[[#This Row],[RUT]]=774097899,"DIST",_xlfn.XLOOKUP(CARTERA_2026[[#This Row],[VENDEDOR]],dimensiones!$C$21:$C$28,dimensiones!$D$21:$D$28,""))</f>
        <v>ATEL</v>
      </c>
      <c r="J871" s="125" t="str">
        <f>_xlfn.XLOOKUP(CARTERA_2026[[#This Row],[REGION]],dimensiones!C:C,dimensiones!D:D,"")</f>
        <v>Región de Metropolitana de Santiago</v>
      </c>
    </row>
    <row r="872" spans="1:10" ht="14.25" customHeight="1" x14ac:dyDescent="0.25">
      <c r="A872">
        <v>712652004</v>
      </c>
      <c r="B872" t="s">
        <v>999</v>
      </c>
      <c r="C872" t="s">
        <v>4559</v>
      </c>
      <c r="D872">
        <v>13</v>
      </c>
      <c r="E872" t="s">
        <v>4445</v>
      </c>
      <c r="F872" t="s">
        <v>2386</v>
      </c>
      <c r="G872" t="s">
        <v>5574</v>
      </c>
      <c r="H872" t="s">
        <v>4957</v>
      </c>
      <c r="I872" s="79" t="str">
        <f>IF(CARTERA_2026[[#This Row],[RUT]]=774097899,"DIST",_xlfn.XLOOKUP(CARTERA_2026[[#This Row],[VENDEDOR]],dimensiones!$C$21:$C$28,dimensiones!$D$21:$D$28,""))</f>
        <v>ATEL</v>
      </c>
      <c r="J872" s="125" t="str">
        <f>_xlfn.XLOOKUP(CARTERA_2026[[#This Row],[REGION]],dimensiones!C:C,dimensiones!D:D,"")</f>
        <v>Región de Metropolitana de Santiago</v>
      </c>
    </row>
    <row r="873" spans="1:10" ht="14.25" customHeight="1" x14ac:dyDescent="0.25">
      <c r="A873">
        <v>712815000</v>
      </c>
      <c r="B873" t="s">
        <v>444</v>
      </c>
      <c r="C873" t="s">
        <v>4560</v>
      </c>
      <c r="D873">
        <v>10</v>
      </c>
      <c r="E873" t="s">
        <v>4445</v>
      </c>
      <c r="F873" t="s">
        <v>2124</v>
      </c>
      <c r="G873" t="s">
        <v>5574</v>
      </c>
      <c r="H873" t="s">
        <v>4957</v>
      </c>
      <c r="I873" s="79" t="str">
        <f>IF(CARTERA_2026[[#This Row],[RUT]]=774097899,"DIST",_xlfn.XLOOKUP(CARTERA_2026[[#This Row],[VENDEDOR]],dimensiones!$C$21:$C$28,dimensiones!$D$21:$D$28,""))</f>
        <v>ATEL</v>
      </c>
      <c r="J873" s="125" t="str">
        <f>_xlfn.XLOOKUP(CARTERA_2026[[#This Row],[REGION]],dimensiones!C:C,dimensiones!D:D,"")</f>
        <v>Región de Los Lagos</v>
      </c>
    </row>
    <row r="874" spans="1:10" ht="14.25" customHeight="1" x14ac:dyDescent="0.25">
      <c r="A874">
        <v>712939001</v>
      </c>
      <c r="B874" t="s">
        <v>445</v>
      </c>
      <c r="C874" t="s">
        <v>4197</v>
      </c>
      <c r="D874">
        <v>13</v>
      </c>
      <c r="E874" t="s">
        <v>4445</v>
      </c>
      <c r="F874" t="s">
        <v>2994</v>
      </c>
      <c r="G874" t="s">
        <v>5574</v>
      </c>
      <c r="H874" t="s">
        <v>4957</v>
      </c>
      <c r="I874" s="79" t="str">
        <f>IF(CARTERA_2026[[#This Row],[RUT]]=774097899,"DIST",_xlfn.XLOOKUP(CARTERA_2026[[#This Row],[VENDEDOR]],dimensiones!$C$21:$C$28,dimensiones!$D$21:$D$28,""))</f>
        <v>ATEL</v>
      </c>
      <c r="J874" s="125" t="str">
        <f>_xlfn.XLOOKUP(CARTERA_2026[[#This Row],[REGION]],dimensiones!C:C,dimensiones!D:D,"")</f>
        <v>Región de Metropolitana de Santiago</v>
      </c>
    </row>
    <row r="875" spans="1:10" ht="14.25" customHeight="1" x14ac:dyDescent="0.25">
      <c r="A875">
        <v>712990007</v>
      </c>
      <c r="B875" t="s">
        <v>446</v>
      </c>
      <c r="C875" t="s">
        <v>4386</v>
      </c>
      <c r="D875">
        <v>10</v>
      </c>
      <c r="E875" t="s">
        <v>4445</v>
      </c>
      <c r="F875" t="s">
        <v>2392</v>
      </c>
      <c r="G875" t="s">
        <v>5574</v>
      </c>
      <c r="H875" t="s">
        <v>4957</v>
      </c>
      <c r="I875" s="79" t="str">
        <f>IF(CARTERA_2026[[#This Row],[RUT]]=774097899,"DIST",_xlfn.XLOOKUP(CARTERA_2026[[#This Row],[VENDEDOR]],dimensiones!$C$21:$C$28,dimensiones!$D$21:$D$28,""))</f>
        <v>ATEL</v>
      </c>
      <c r="J875" s="125" t="str">
        <f>_xlfn.XLOOKUP(CARTERA_2026[[#This Row],[REGION]],dimensiones!C:C,dimensiones!D:D,"")</f>
        <v>Región de Los Lagos</v>
      </c>
    </row>
    <row r="876" spans="1:10" ht="14.25" customHeight="1" x14ac:dyDescent="0.25">
      <c r="A876">
        <v>713286001</v>
      </c>
      <c r="B876" t="s">
        <v>447</v>
      </c>
      <c r="C876" t="s">
        <v>4203</v>
      </c>
      <c r="D876">
        <v>6</v>
      </c>
      <c r="E876" t="s">
        <v>5729</v>
      </c>
      <c r="F876" t="s">
        <v>1258</v>
      </c>
      <c r="G876" t="s">
        <v>5574</v>
      </c>
      <c r="H876" t="s">
        <v>4957</v>
      </c>
      <c r="I876" s="79" t="str">
        <f>IF(CARTERA_2026[[#This Row],[RUT]]=774097899,"DIST",_xlfn.XLOOKUP(CARTERA_2026[[#This Row],[VENDEDOR]],dimensiones!$C$21:$C$28,dimensiones!$D$21:$D$28,""))</f>
        <v>SANT3</v>
      </c>
      <c r="J876" s="125" t="str">
        <f>_xlfn.XLOOKUP(CARTERA_2026[[#This Row],[REGION]],dimensiones!C:C,dimensiones!D:D,"")</f>
        <v>Región de Libertador General Bernardo O'Higgins</v>
      </c>
    </row>
    <row r="877" spans="1:10" ht="14.25" customHeight="1" x14ac:dyDescent="0.25">
      <c r="A877">
        <v>713699004</v>
      </c>
      <c r="B877" t="s">
        <v>448</v>
      </c>
      <c r="C877" t="s">
        <v>4448</v>
      </c>
      <c r="D877">
        <v>13</v>
      </c>
      <c r="E877" t="s">
        <v>4445</v>
      </c>
      <c r="F877" t="s">
        <v>1412</v>
      </c>
      <c r="G877" t="s">
        <v>5574</v>
      </c>
      <c r="H877" t="s">
        <v>4957</v>
      </c>
      <c r="I877" s="79" t="str">
        <f>IF(CARTERA_2026[[#This Row],[RUT]]=774097899,"DIST",_xlfn.XLOOKUP(CARTERA_2026[[#This Row],[VENDEDOR]],dimensiones!$C$21:$C$28,dimensiones!$D$21:$D$28,""))</f>
        <v>ATEL</v>
      </c>
      <c r="J877" s="125" t="str">
        <f>_xlfn.XLOOKUP(CARTERA_2026[[#This Row],[REGION]],dimensiones!C:C,dimensiones!D:D,"")</f>
        <v>Región de Metropolitana de Santiago</v>
      </c>
    </row>
    <row r="878" spans="1:10" ht="14.25" customHeight="1" x14ac:dyDescent="0.25">
      <c r="A878">
        <v>713780006</v>
      </c>
      <c r="B878" t="s">
        <v>106</v>
      </c>
      <c r="C878" t="s">
        <v>4463</v>
      </c>
      <c r="D878">
        <v>13</v>
      </c>
      <c r="E878" t="s">
        <v>4445</v>
      </c>
      <c r="F878" t="s">
        <v>2400</v>
      </c>
      <c r="G878" t="s">
        <v>5574</v>
      </c>
      <c r="H878" t="s">
        <v>4957</v>
      </c>
      <c r="I878" s="79" t="str">
        <f>IF(CARTERA_2026[[#This Row],[RUT]]=774097899,"DIST",_xlfn.XLOOKUP(CARTERA_2026[[#This Row],[VENDEDOR]],dimensiones!$C$21:$C$28,dimensiones!$D$21:$D$28,""))</f>
        <v>ATEL</v>
      </c>
      <c r="J878" s="125" t="str">
        <f>_xlfn.XLOOKUP(CARTERA_2026[[#This Row],[REGION]],dimensiones!C:C,dimensiones!D:D,"")</f>
        <v>Región de Metropolitana de Santiago</v>
      </c>
    </row>
    <row r="879" spans="1:10" ht="14.25" customHeight="1" x14ac:dyDescent="0.25">
      <c r="A879">
        <v>714207008</v>
      </c>
      <c r="B879" t="s">
        <v>449</v>
      </c>
      <c r="C879" t="s">
        <v>4293</v>
      </c>
      <c r="D879">
        <v>10</v>
      </c>
      <c r="E879" t="s">
        <v>4445</v>
      </c>
      <c r="F879" t="s">
        <v>1278</v>
      </c>
      <c r="G879" t="s">
        <v>5574</v>
      </c>
      <c r="H879" t="s">
        <v>4957</v>
      </c>
      <c r="I879" s="79" t="str">
        <f>IF(CARTERA_2026[[#This Row],[RUT]]=774097899,"DIST",_xlfn.XLOOKUP(CARTERA_2026[[#This Row],[VENDEDOR]],dimensiones!$C$21:$C$28,dimensiones!$D$21:$D$28,""))</f>
        <v>ATEL</v>
      </c>
      <c r="J879" s="125" t="str">
        <f>_xlfn.XLOOKUP(CARTERA_2026[[#This Row],[REGION]],dimensiones!C:C,dimensiones!D:D,"")</f>
        <v>Región de Los Lagos</v>
      </c>
    </row>
    <row r="880" spans="1:10" ht="14.25" customHeight="1" x14ac:dyDescent="0.25">
      <c r="A880">
        <v>714555006</v>
      </c>
      <c r="B880" t="s">
        <v>450</v>
      </c>
      <c r="C880" t="s">
        <v>4561</v>
      </c>
      <c r="D880">
        <v>13</v>
      </c>
      <c r="E880" t="s">
        <v>4445</v>
      </c>
      <c r="F880" t="s">
        <v>1427</v>
      </c>
      <c r="G880" t="s">
        <v>5574</v>
      </c>
      <c r="H880" t="s">
        <v>4957</v>
      </c>
      <c r="I880" s="79" t="str">
        <f>IF(CARTERA_2026[[#This Row],[RUT]]=774097899,"DIST",_xlfn.XLOOKUP(CARTERA_2026[[#This Row],[VENDEDOR]],dimensiones!$C$21:$C$28,dimensiones!$D$21:$D$28,""))</f>
        <v>ATEL</v>
      </c>
      <c r="J880" s="125" t="str">
        <f>_xlfn.XLOOKUP(CARTERA_2026[[#This Row],[REGION]],dimensiones!C:C,dimensiones!D:D,"")</f>
        <v>Región de Metropolitana de Santiago</v>
      </c>
    </row>
    <row r="881" spans="1:10" ht="14.25" customHeight="1" x14ac:dyDescent="0.25">
      <c r="A881">
        <v>714579002</v>
      </c>
      <c r="B881" t="s">
        <v>5740</v>
      </c>
      <c r="C881" t="s">
        <v>4168</v>
      </c>
      <c r="D881"/>
      <c r="E881" t="s">
        <v>4445</v>
      </c>
      <c r="F881" t="s">
        <v>5741</v>
      </c>
      <c r="G881" t="s">
        <v>5683</v>
      </c>
      <c r="H881" t="s">
        <v>4915</v>
      </c>
      <c r="I881" s="79" t="str">
        <f>IF(CARTERA_2026[[#This Row],[RUT]]=774097899,"DIST",_xlfn.XLOOKUP(CARTERA_2026[[#This Row],[VENDEDOR]],dimensiones!$C$21:$C$28,dimensiones!$D$21:$D$28,""))</f>
        <v>ATEL</v>
      </c>
      <c r="J881" s="125">
        <f>_xlfn.XLOOKUP(CARTERA_2026[[#This Row],[REGION]],dimensiones!C:C,dimensiones!D:D,"")</f>
        <v>0</v>
      </c>
    </row>
    <row r="882" spans="1:10" ht="14.25" customHeight="1" x14ac:dyDescent="0.25">
      <c r="A882">
        <v>714974009</v>
      </c>
      <c r="B882" t="s">
        <v>451</v>
      </c>
      <c r="C882" t="s">
        <v>4387</v>
      </c>
      <c r="D882">
        <v>1</v>
      </c>
      <c r="E882" t="s">
        <v>4445</v>
      </c>
      <c r="F882" t="s">
        <v>2407</v>
      </c>
      <c r="G882" t="s">
        <v>5574</v>
      </c>
      <c r="H882" t="s">
        <v>4957</v>
      </c>
      <c r="I882" s="79" t="str">
        <f>IF(CARTERA_2026[[#This Row],[RUT]]=774097899,"DIST",_xlfn.XLOOKUP(CARTERA_2026[[#This Row],[VENDEDOR]],dimensiones!$C$21:$C$28,dimensiones!$D$21:$D$28,""))</f>
        <v>ATEL</v>
      </c>
      <c r="J882" s="125" t="str">
        <f>_xlfn.XLOOKUP(CARTERA_2026[[#This Row],[REGION]],dimensiones!C:C,dimensiones!D:D,"")</f>
        <v>Región de Tarapacá</v>
      </c>
    </row>
    <row r="883" spans="1:10" ht="14.25" customHeight="1" x14ac:dyDescent="0.25">
      <c r="A883" s="135" t="s">
        <v>697</v>
      </c>
      <c r="B883" t="s">
        <v>698</v>
      </c>
      <c r="C883" t="s">
        <v>4391</v>
      </c>
      <c r="D883">
        <v>13</v>
      </c>
      <c r="E883" t="s">
        <v>4445</v>
      </c>
      <c r="F883" t="s">
        <v>2409</v>
      </c>
      <c r="G883" t="s">
        <v>5573</v>
      </c>
      <c r="H883" t="s">
        <v>4915</v>
      </c>
      <c r="I883" s="79" t="str">
        <f>IF(CARTERA_2026[[#This Row],[RUT]]=774097899,"DIST",_xlfn.XLOOKUP(CARTERA_2026[[#This Row],[VENDEDOR]],dimensiones!$C$21:$C$28,dimensiones!$D$21:$D$28,""))</f>
        <v>ATEL</v>
      </c>
      <c r="J883" s="125" t="str">
        <f>_xlfn.XLOOKUP(CARTERA_2026[[#This Row],[REGION]],dimensiones!C:C,dimensiones!D:D,"")</f>
        <v>Región de Metropolitana de Santiago</v>
      </c>
    </row>
    <row r="884" spans="1:10" ht="14.25" customHeight="1" x14ac:dyDescent="0.25">
      <c r="A884" s="135">
        <v>715401002</v>
      </c>
      <c r="B884" t="s">
        <v>927</v>
      </c>
      <c r="C884" t="s">
        <v>4168</v>
      </c>
      <c r="D884">
        <v>13</v>
      </c>
      <c r="E884" t="s">
        <v>4445</v>
      </c>
      <c r="F884" t="s">
        <v>2411</v>
      </c>
      <c r="G884" t="s">
        <v>5573</v>
      </c>
      <c r="H884" t="s">
        <v>4915</v>
      </c>
      <c r="I884" s="79" t="str">
        <f>IF(CARTERA_2026[[#This Row],[RUT]]=774097899,"DIST",_xlfn.XLOOKUP(CARTERA_2026[[#This Row],[VENDEDOR]],dimensiones!$C$21:$C$28,dimensiones!$D$21:$D$28,""))</f>
        <v>ATEL</v>
      </c>
      <c r="J884" s="125" t="str">
        <f>_xlfn.XLOOKUP(CARTERA_2026[[#This Row],[REGION]],dimensiones!C:C,dimensiones!D:D,"")</f>
        <v>Región de Metropolitana de Santiago</v>
      </c>
    </row>
    <row r="885" spans="1:10" ht="14.25" customHeight="1" x14ac:dyDescent="0.25">
      <c r="A885" s="135">
        <v>716140008</v>
      </c>
      <c r="B885" t="s">
        <v>107</v>
      </c>
      <c r="C885" t="s">
        <v>4465</v>
      </c>
      <c r="D885">
        <v>13</v>
      </c>
      <c r="E885" t="s">
        <v>4457</v>
      </c>
      <c r="F885" t="s">
        <v>2160</v>
      </c>
      <c r="G885" t="s">
        <v>5570</v>
      </c>
      <c r="H885" t="s">
        <v>4915</v>
      </c>
      <c r="I885" s="79" t="str">
        <f>IF(CARTERA_2026[[#This Row],[RUT]]=774097899,"DIST",_xlfn.XLOOKUP(CARTERA_2026[[#This Row],[VENDEDOR]],dimensiones!$C$21:$C$28,dimensiones!$D$21:$D$28,""))</f>
        <v>SANT1</v>
      </c>
      <c r="J885" s="125" t="str">
        <f>_xlfn.XLOOKUP(CARTERA_2026[[#This Row],[REGION]],dimensiones!C:C,dimensiones!D:D,"")</f>
        <v>Región de Metropolitana de Santiago</v>
      </c>
    </row>
    <row r="886" spans="1:10" ht="14.25" customHeight="1" x14ac:dyDescent="0.25">
      <c r="A886">
        <v>716186008</v>
      </c>
      <c r="B886" t="s">
        <v>983</v>
      </c>
      <c r="C886" t="s">
        <v>4391</v>
      </c>
      <c r="D886">
        <v>13</v>
      </c>
      <c r="E886" t="s">
        <v>4445</v>
      </c>
      <c r="F886" t="s">
        <v>2415</v>
      </c>
      <c r="G886" t="s">
        <v>5573</v>
      </c>
      <c r="H886" t="s">
        <v>4915</v>
      </c>
      <c r="I886" s="79" t="str">
        <f>IF(CARTERA_2026[[#This Row],[RUT]]=774097899,"DIST",_xlfn.XLOOKUP(CARTERA_2026[[#This Row],[VENDEDOR]],dimensiones!$C$21:$C$28,dimensiones!$D$21:$D$28,""))</f>
        <v>ATEL</v>
      </c>
      <c r="J886" s="125" t="str">
        <f>_xlfn.XLOOKUP(CARTERA_2026[[#This Row],[REGION]],dimensiones!C:C,dimensiones!D:D,"")</f>
        <v>Región de Metropolitana de Santiago</v>
      </c>
    </row>
    <row r="887" spans="1:10" ht="14.25" customHeight="1" x14ac:dyDescent="0.25">
      <c r="A887">
        <v>716294005</v>
      </c>
      <c r="B887" t="s">
        <v>5707</v>
      </c>
      <c r="C887" t="s">
        <v>4175</v>
      </c>
      <c r="D887">
        <v>5</v>
      </c>
      <c r="E887" t="s">
        <v>4445</v>
      </c>
      <c r="F887" t="s">
        <v>5708</v>
      </c>
      <c r="G887" t="s">
        <v>5573</v>
      </c>
      <c r="H887" t="s">
        <v>4915</v>
      </c>
      <c r="I887" s="79" t="str">
        <f>IF(CARTERA_2026[[#This Row],[RUT]]=774097899,"DIST",_xlfn.XLOOKUP(CARTERA_2026[[#This Row],[VENDEDOR]],dimensiones!$C$21:$C$28,dimensiones!$D$21:$D$28,""))</f>
        <v>ATEL</v>
      </c>
      <c r="J887" s="125" t="str">
        <f>_xlfn.XLOOKUP(CARTERA_2026[[#This Row],[REGION]],dimensiones!C:C,dimensiones!D:D,"")</f>
        <v>Región de Valparaíso</v>
      </c>
    </row>
    <row r="888" spans="1:10" ht="14.25" customHeight="1" x14ac:dyDescent="0.25">
      <c r="A888">
        <v>716333000</v>
      </c>
      <c r="B888" t="s">
        <v>452</v>
      </c>
      <c r="C888" t="s">
        <v>4218</v>
      </c>
      <c r="D888">
        <v>9</v>
      </c>
      <c r="E888" t="s">
        <v>4445</v>
      </c>
      <c r="F888" t="s">
        <v>2417</v>
      </c>
      <c r="G888" t="s">
        <v>5573</v>
      </c>
      <c r="H888" t="s">
        <v>4915</v>
      </c>
      <c r="I888" s="79" t="str">
        <f>IF(CARTERA_2026[[#This Row],[RUT]]=774097899,"DIST",_xlfn.XLOOKUP(CARTERA_2026[[#This Row],[VENDEDOR]],dimensiones!$C$21:$C$28,dimensiones!$D$21:$D$28,""))</f>
        <v>ATEL</v>
      </c>
      <c r="J888" s="125" t="str">
        <f>_xlfn.XLOOKUP(CARTERA_2026[[#This Row],[REGION]],dimensiones!C:C,dimensiones!D:D,"")</f>
        <v>Región de La Araucanía</v>
      </c>
    </row>
    <row r="889" spans="1:10" ht="14.25" customHeight="1" x14ac:dyDescent="0.25">
      <c r="A889">
        <v>716443000</v>
      </c>
      <c r="B889" t="s">
        <v>2420</v>
      </c>
      <c r="C889" t="s">
        <v>4551</v>
      </c>
      <c r="D889">
        <v>13</v>
      </c>
      <c r="E889" t="s">
        <v>4445</v>
      </c>
      <c r="F889" t="s">
        <v>2419</v>
      </c>
      <c r="G889" t="s">
        <v>5573</v>
      </c>
      <c r="H889" t="s">
        <v>4915</v>
      </c>
      <c r="I889" s="79" t="str">
        <f>IF(CARTERA_2026[[#This Row],[RUT]]=774097899,"DIST",_xlfn.XLOOKUP(CARTERA_2026[[#This Row],[VENDEDOR]],dimensiones!$C$21:$C$28,dimensiones!$D$21:$D$28,""))</f>
        <v>ATEL</v>
      </c>
      <c r="J889" s="125" t="str">
        <f>_xlfn.XLOOKUP(CARTERA_2026[[#This Row],[REGION]],dimensiones!C:C,dimensiones!D:D,"")</f>
        <v>Región de Metropolitana de Santiago</v>
      </c>
    </row>
    <row r="890" spans="1:10" ht="14.25" customHeight="1" x14ac:dyDescent="0.25">
      <c r="A890">
        <v>719158005</v>
      </c>
      <c r="B890" t="s">
        <v>2425</v>
      </c>
      <c r="C890" t="s">
        <v>4460</v>
      </c>
      <c r="D890">
        <v>8</v>
      </c>
      <c r="E890" t="s">
        <v>4445</v>
      </c>
      <c r="F890" t="s">
        <v>2424</v>
      </c>
      <c r="G890" t="s">
        <v>5573</v>
      </c>
      <c r="H890" t="s">
        <v>4915</v>
      </c>
      <c r="I890" s="79" t="str">
        <f>IF(CARTERA_2026[[#This Row],[RUT]]=774097899,"DIST",_xlfn.XLOOKUP(CARTERA_2026[[#This Row],[VENDEDOR]],dimensiones!$C$21:$C$28,dimensiones!$D$21:$D$28,""))</f>
        <v>ATEL</v>
      </c>
      <c r="J890" s="125" t="str">
        <f>_xlfn.XLOOKUP(CARTERA_2026[[#This Row],[REGION]],dimensiones!C:C,dimensiones!D:D,"")</f>
        <v>Región de Biobío</v>
      </c>
    </row>
    <row r="891" spans="1:10" ht="14.25" customHeight="1" x14ac:dyDescent="0.25">
      <c r="A891" t="s">
        <v>699</v>
      </c>
      <c r="B891" t="s">
        <v>700</v>
      </c>
      <c r="C891" t="s">
        <v>4257</v>
      </c>
      <c r="D891">
        <v>7</v>
      </c>
      <c r="E891" t="s">
        <v>4445</v>
      </c>
      <c r="F891" t="s">
        <v>2427</v>
      </c>
      <c r="G891" t="s">
        <v>5573</v>
      </c>
      <c r="H891" t="s">
        <v>4915</v>
      </c>
      <c r="I891" s="79" t="str">
        <f>IF(CARTERA_2026[[#This Row],[RUT]]=774097899,"DIST",_xlfn.XLOOKUP(CARTERA_2026[[#This Row],[VENDEDOR]],dimensiones!$C$21:$C$28,dimensiones!$D$21:$D$28,""))</f>
        <v>ATEL</v>
      </c>
      <c r="J891" s="125" t="str">
        <f>_xlfn.XLOOKUP(CARTERA_2026[[#This Row],[REGION]],dimensiones!C:C,dimensiones!D:D,"")</f>
        <v>Región de Maule</v>
      </c>
    </row>
    <row r="892" spans="1:10" ht="14.25" customHeight="1" x14ac:dyDescent="0.25">
      <c r="A892">
        <v>723684005</v>
      </c>
      <c r="B892" t="s">
        <v>928</v>
      </c>
      <c r="C892" t="s">
        <v>4460</v>
      </c>
      <c r="D892">
        <v>8</v>
      </c>
      <c r="E892" t="s">
        <v>4445</v>
      </c>
      <c r="F892" t="s">
        <v>2429</v>
      </c>
      <c r="G892" t="s">
        <v>5574</v>
      </c>
      <c r="H892" t="s">
        <v>4957</v>
      </c>
      <c r="I892" s="79" t="str">
        <f>IF(CARTERA_2026[[#This Row],[RUT]]=774097899,"DIST",_xlfn.XLOOKUP(CARTERA_2026[[#This Row],[VENDEDOR]],dimensiones!$C$21:$C$28,dimensiones!$D$21:$D$28,""))</f>
        <v>ATEL</v>
      </c>
      <c r="J892" s="125" t="str">
        <f>_xlfn.XLOOKUP(CARTERA_2026[[#This Row],[REGION]],dimensiones!C:C,dimensiones!D:D,"")</f>
        <v>Región de Biobío</v>
      </c>
    </row>
    <row r="893" spans="1:10" ht="14.25" customHeight="1" x14ac:dyDescent="0.25">
      <c r="A893">
        <v>725295006</v>
      </c>
      <c r="B893" t="s">
        <v>453</v>
      </c>
      <c r="C893" t="s">
        <v>4388</v>
      </c>
      <c r="D893">
        <v>16</v>
      </c>
      <c r="E893" t="s">
        <v>4445</v>
      </c>
      <c r="F893" t="s">
        <v>1570</v>
      </c>
      <c r="G893" t="s">
        <v>5574</v>
      </c>
      <c r="H893" t="s">
        <v>4957</v>
      </c>
      <c r="I893" s="79" t="str">
        <f>IF(CARTERA_2026[[#This Row],[RUT]]=774097899,"DIST",_xlfn.XLOOKUP(CARTERA_2026[[#This Row],[VENDEDOR]],dimensiones!$C$21:$C$28,dimensiones!$D$21:$D$28,""))</f>
        <v>ATEL</v>
      </c>
      <c r="J893" s="125" t="str">
        <f>_xlfn.XLOOKUP(CARTERA_2026[[#This Row],[REGION]],dimensiones!C:C,dimensiones!D:D,"")</f>
        <v>Región de Ñuble</v>
      </c>
    </row>
    <row r="894" spans="1:10" ht="14.25" customHeight="1" x14ac:dyDescent="0.25">
      <c r="A894">
        <v>726321000</v>
      </c>
      <c r="B894" t="s">
        <v>2090</v>
      </c>
      <c r="C894" t="s">
        <v>4562</v>
      </c>
      <c r="D894">
        <v>16</v>
      </c>
      <c r="E894" t="s">
        <v>4445</v>
      </c>
      <c r="F894" t="s">
        <v>2089</v>
      </c>
      <c r="G894" t="s">
        <v>5575</v>
      </c>
      <c r="H894" t="s">
        <v>4957</v>
      </c>
      <c r="I894" s="79" t="str">
        <f>IF(CARTERA_2026[[#This Row],[RUT]]=774097899,"DIST",_xlfn.XLOOKUP(CARTERA_2026[[#This Row],[VENDEDOR]],dimensiones!$C$21:$C$28,dimensiones!$D$21:$D$28,""))</f>
        <v>ATEL</v>
      </c>
      <c r="J894" s="125" t="str">
        <f>_xlfn.XLOOKUP(CARTERA_2026[[#This Row],[REGION]],dimensiones!C:C,dimensiones!D:D,"")</f>
        <v>Región de Ñuble</v>
      </c>
    </row>
    <row r="895" spans="1:10" ht="14.25" customHeight="1" x14ac:dyDescent="0.25">
      <c r="A895">
        <v>727625003</v>
      </c>
      <c r="B895" t="s">
        <v>454</v>
      </c>
      <c r="C895" t="s">
        <v>4271</v>
      </c>
      <c r="D895">
        <v>8</v>
      </c>
      <c r="E895" t="s">
        <v>4445</v>
      </c>
      <c r="F895" t="s">
        <v>4004</v>
      </c>
      <c r="G895" t="s">
        <v>5575</v>
      </c>
      <c r="H895" t="s">
        <v>4957</v>
      </c>
      <c r="I895" s="79" t="str">
        <f>IF(CARTERA_2026[[#This Row],[RUT]]=774097899,"DIST",_xlfn.XLOOKUP(CARTERA_2026[[#This Row],[VENDEDOR]],dimensiones!$C$21:$C$28,dimensiones!$D$21:$D$28,""))</f>
        <v>ATEL</v>
      </c>
      <c r="J895" s="125" t="str">
        <f>_xlfn.XLOOKUP(CARTERA_2026[[#This Row],[REGION]],dimensiones!C:C,dimensiones!D:D,"")</f>
        <v>Región de Biobío</v>
      </c>
    </row>
    <row r="896" spans="1:10" ht="14.25" customHeight="1" x14ac:dyDescent="0.25">
      <c r="A896">
        <v>735686003</v>
      </c>
      <c r="B896" t="s">
        <v>455</v>
      </c>
      <c r="C896" t="s">
        <v>4563</v>
      </c>
      <c r="D896">
        <v>5</v>
      </c>
      <c r="E896" t="s">
        <v>4445</v>
      </c>
      <c r="F896" t="s">
        <v>2437</v>
      </c>
      <c r="G896" t="s">
        <v>5575</v>
      </c>
      <c r="H896" t="s">
        <v>4957</v>
      </c>
      <c r="I896" s="79" t="str">
        <f>IF(CARTERA_2026[[#This Row],[RUT]]=774097899,"DIST",_xlfn.XLOOKUP(CARTERA_2026[[#This Row],[VENDEDOR]],dimensiones!$C$21:$C$28,dimensiones!$D$21:$D$28,""))</f>
        <v>ATEL</v>
      </c>
      <c r="J896" s="125" t="str">
        <f>_xlfn.XLOOKUP(CARTERA_2026[[#This Row],[REGION]],dimensiones!C:C,dimensiones!D:D,"")</f>
        <v>Región de Valparaíso</v>
      </c>
    </row>
    <row r="897" spans="1:10" ht="14.25" customHeight="1" x14ac:dyDescent="0.25">
      <c r="A897">
        <v>740695002</v>
      </c>
      <c r="B897" t="s">
        <v>929</v>
      </c>
      <c r="C897" t="s">
        <v>4188</v>
      </c>
      <c r="D897">
        <v>13</v>
      </c>
      <c r="E897" t="s">
        <v>4445</v>
      </c>
      <c r="F897" t="s">
        <v>2439</v>
      </c>
      <c r="G897" t="s">
        <v>5571</v>
      </c>
      <c r="H897" t="s">
        <v>4957</v>
      </c>
      <c r="I897" s="79" t="str">
        <f>IF(CARTERA_2026[[#This Row],[RUT]]=774097899,"DIST",_xlfn.XLOOKUP(CARTERA_2026[[#This Row],[VENDEDOR]],dimensiones!$C$21:$C$28,dimensiones!$D$21:$D$28,""))</f>
        <v>ATEL</v>
      </c>
      <c r="J897" s="125" t="str">
        <f>_xlfn.XLOOKUP(CARTERA_2026[[#This Row],[REGION]],dimensiones!C:C,dimensiones!D:D,"")</f>
        <v>Región de Metropolitana de Santiago</v>
      </c>
    </row>
    <row r="898" spans="1:10" ht="14.25" customHeight="1" x14ac:dyDescent="0.25">
      <c r="A898">
        <v>742696006</v>
      </c>
      <c r="B898" t="s">
        <v>752</v>
      </c>
      <c r="C898" t="s">
        <v>4380</v>
      </c>
      <c r="D898">
        <v>8</v>
      </c>
      <c r="E898" t="s">
        <v>4464</v>
      </c>
      <c r="F898" t="s">
        <v>1646</v>
      </c>
      <c r="G898" t="s">
        <v>5571</v>
      </c>
      <c r="H898" t="s">
        <v>4957</v>
      </c>
      <c r="I898" s="79" t="str">
        <f>IF(CARTERA_2026[[#This Row],[RUT]]=774097899,"DIST",_xlfn.XLOOKUP(CARTERA_2026[[#This Row],[VENDEDOR]],dimensiones!$C$21:$C$28,dimensiones!$D$21:$D$28,""))</f>
        <v>SUR1</v>
      </c>
      <c r="J898" s="125" t="str">
        <f>_xlfn.XLOOKUP(CARTERA_2026[[#This Row],[REGION]],dimensiones!C:C,dimensiones!D:D,"")</f>
        <v>Región de Biobío</v>
      </c>
    </row>
    <row r="899" spans="1:10" ht="14.25" customHeight="1" x14ac:dyDescent="0.25">
      <c r="A899">
        <v>748622004</v>
      </c>
      <c r="B899" t="s">
        <v>5530</v>
      </c>
      <c r="C899" t="s">
        <v>4218</v>
      </c>
      <c r="D899">
        <v>9</v>
      </c>
      <c r="E899" t="s">
        <v>4445</v>
      </c>
      <c r="F899" t="s">
        <v>4076</v>
      </c>
      <c r="G899" t="s">
        <v>5570</v>
      </c>
      <c r="H899" t="s">
        <v>4915</v>
      </c>
      <c r="I899" s="79" t="str">
        <f>IF(CARTERA_2026[[#This Row],[RUT]]=774097899,"DIST",_xlfn.XLOOKUP(CARTERA_2026[[#This Row],[VENDEDOR]],dimensiones!$C$21:$C$28,dimensiones!$D$21:$D$28,""))</f>
        <v>ATEL</v>
      </c>
      <c r="J899" s="125" t="str">
        <f>_xlfn.XLOOKUP(CARTERA_2026[[#This Row],[REGION]],dimensiones!C:C,dimensiones!D:D,"")</f>
        <v>Región de La Araucanía</v>
      </c>
    </row>
    <row r="900" spans="1:10" ht="14.25" customHeight="1" x14ac:dyDescent="0.25">
      <c r="A900">
        <v>760006165</v>
      </c>
      <c r="B900" t="s">
        <v>456</v>
      </c>
      <c r="C900" t="s">
        <v>4179</v>
      </c>
      <c r="D900">
        <v>6</v>
      </c>
      <c r="E900" t="s">
        <v>4445</v>
      </c>
      <c r="F900" t="s">
        <v>2422</v>
      </c>
      <c r="G900" t="s">
        <v>5570</v>
      </c>
      <c r="H900" t="s">
        <v>4915</v>
      </c>
      <c r="I900" s="79" t="str">
        <f>IF(CARTERA_2026[[#This Row],[RUT]]=774097899,"DIST",_xlfn.XLOOKUP(CARTERA_2026[[#This Row],[VENDEDOR]],dimensiones!$C$21:$C$28,dimensiones!$D$21:$D$28,""))</f>
        <v>ATEL</v>
      </c>
      <c r="J900" s="125" t="str">
        <f>_xlfn.XLOOKUP(CARTERA_2026[[#This Row],[REGION]],dimensiones!C:C,dimensiones!D:D,"")</f>
        <v>Región de Libertador General Bernardo O'Higgins</v>
      </c>
    </row>
    <row r="901" spans="1:10" ht="14.25" customHeight="1" x14ac:dyDescent="0.25">
      <c r="A901">
        <v>760122769</v>
      </c>
      <c r="B901" t="s">
        <v>5542</v>
      </c>
      <c r="C901" t="s">
        <v>4232</v>
      </c>
      <c r="D901">
        <v>11</v>
      </c>
      <c r="E901" t="s">
        <v>4445</v>
      </c>
      <c r="F901" t="s">
        <v>5543</v>
      </c>
      <c r="G901" t="s">
        <v>5568</v>
      </c>
      <c r="H901" t="s">
        <v>4915</v>
      </c>
      <c r="I901" s="79" t="str">
        <f>IF(CARTERA_2026[[#This Row],[RUT]]=774097899,"DIST",_xlfn.XLOOKUP(CARTERA_2026[[#This Row],[VENDEDOR]],dimensiones!$C$21:$C$28,dimensiones!$D$21:$D$28,""))</f>
        <v>ATEL</v>
      </c>
      <c r="J901" s="125" t="str">
        <f>_xlfn.XLOOKUP(CARTERA_2026[[#This Row],[REGION]],dimensiones!C:C,dimensiones!D:D,"")</f>
        <v>Región de Aysén del General Carlos Ibáñez del Campo</v>
      </c>
    </row>
    <row r="902" spans="1:10" ht="14.25" customHeight="1" x14ac:dyDescent="0.25">
      <c r="A902">
        <v>760125512</v>
      </c>
      <c r="B902" t="s">
        <v>457</v>
      </c>
      <c r="C902" t="s">
        <v>4168</v>
      </c>
      <c r="D902">
        <v>13</v>
      </c>
      <c r="E902" t="s">
        <v>4445</v>
      </c>
      <c r="F902" t="s">
        <v>2445</v>
      </c>
      <c r="G902" t="s">
        <v>5568</v>
      </c>
      <c r="H902" t="s">
        <v>4915</v>
      </c>
      <c r="I902" s="79" t="str">
        <f>IF(CARTERA_2026[[#This Row],[RUT]]=774097899,"DIST",_xlfn.XLOOKUP(CARTERA_2026[[#This Row],[VENDEDOR]],dimensiones!$C$21:$C$28,dimensiones!$D$21:$D$28,""))</f>
        <v>ATEL</v>
      </c>
      <c r="J902" s="125" t="str">
        <f>_xlfn.XLOOKUP(CARTERA_2026[[#This Row],[REGION]],dimensiones!C:C,dimensiones!D:D,"")</f>
        <v>Región de Metropolitana de Santiago</v>
      </c>
    </row>
    <row r="903" spans="1:10" ht="14.25" customHeight="1" x14ac:dyDescent="0.25">
      <c r="A903">
        <v>760181188</v>
      </c>
      <c r="B903" t="s">
        <v>959</v>
      </c>
      <c r="C903" t="s">
        <v>4410</v>
      </c>
      <c r="D903">
        <v>13</v>
      </c>
      <c r="E903" t="s">
        <v>4445</v>
      </c>
      <c r="F903" t="s">
        <v>2447</v>
      </c>
      <c r="G903" t="s">
        <v>5570</v>
      </c>
      <c r="H903" t="s">
        <v>4915</v>
      </c>
      <c r="I903" s="79" t="str">
        <f>IF(CARTERA_2026[[#This Row],[RUT]]=774097899,"DIST",_xlfn.XLOOKUP(CARTERA_2026[[#This Row],[VENDEDOR]],dimensiones!$C$21:$C$28,dimensiones!$D$21:$D$28,""))</f>
        <v>ATEL</v>
      </c>
      <c r="J903" s="125" t="str">
        <f>_xlfn.XLOOKUP(CARTERA_2026[[#This Row],[REGION]],dimensiones!C:C,dimensiones!D:D,"")</f>
        <v>Región de Metropolitana de Santiago</v>
      </c>
    </row>
    <row r="904" spans="1:10" ht="14.25" customHeight="1" x14ac:dyDescent="0.25">
      <c r="A904">
        <v>760189928</v>
      </c>
      <c r="B904" t="s">
        <v>1926</v>
      </c>
      <c r="C904" t="s">
        <v>4475</v>
      </c>
      <c r="D904">
        <v>8</v>
      </c>
      <c r="E904" t="s">
        <v>4464</v>
      </c>
      <c r="F904" t="s">
        <v>1925</v>
      </c>
      <c r="G904" t="s">
        <v>5570</v>
      </c>
      <c r="H904" t="s">
        <v>4915</v>
      </c>
      <c r="I904" s="79" t="str">
        <f>IF(CARTERA_2026[[#This Row],[RUT]]=774097899,"DIST",_xlfn.XLOOKUP(CARTERA_2026[[#This Row],[VENDEDOR]],dimensiones!$C$21:$C$28,dimensiones!$D$21:$D$28,""))</f>
        <v>SUR1</v>
      </c>
      <c r="J904" s="125" t="str">
        <f>_xlfn.XLOOKUP(CARTERA_2026[[#This Row],[REGION]],dimensiones!C:C,dimensiones!D:D,"")</f>
        <v>Región de Biobío</v>
      </c>
    </row>
    <row r="905" spans="1:10" ht="14.25" customHeight="1" x14ac:dyDescent="0.25">
      <c r="A905">
        <v>760243876</v>
      </c>
      <c r="B905" t="s">
        <v>1069</v>
      </c>
      <c r="C905" t="s">
        <v>4465</v>
      </c>
      <c r="D905">
        <v>13</v>
      </c>
      <c r="E905" t="s">
        <v>4445</v>
      </c>
      <c r="F905" t="s">
        <v>2455</v>
      </c>
      <c r="G905" t="s">
        <v>5570</v>
      </c>
      <c r="H905" t="s">
        <v>4915</v>
      </c>
      <c r="I905" s="79" t="str">
        <f>IF(CARTERA_2026[[#This Row],[RUT]]=774097899,"DIST",_xlfn.XLOOKUP(CARTERA_2026[[#This Row],[VENDEDOR]],dimensiones!$C$21:$C$28,dimensiones!$D$21:$D$28,""))</f>
        <v>ATEL</v>
      </c>
      <c r="J905" s="125" t="str">
        <f>_xlfn.XLOOKUP(CARTERA_2026[[#This Row],[REGION]],dimensiones!C:C,dimensiones!D:D,"")</f>
        <v>Región de Metropolitana de Santiago</v>
      </c>
    </row>
    <row r="906" spans="1:10" ht="14.25" customHeight="1" x14ac:dyDescent="0.25">
      <c r="A906">
        <v>760262536</v>
      </c>
      <c r="B906" t="s">
        <v>458</v>
      </c>
      <c r="C906" t="s">
        <v>4391</v>
      </c>
      <c r="D906">
        <v>13</v>
      </c>
      <c r="E906" t="s">
        <v>4445</v>
      </c>
      <c r="F906" t="s">
        <v>2457</v>
      </c>
      <c r="G906" t="s">
        <v>5570</v>
      </c>
      <c r="H906" t="s">
        <v>4915</v>
      </c>
      <c r="I906" s="79" t="str">
        <f>IF(CARTERA_2026[[#This Row],[RUT]]=774097899,"DIST",_xlfn.XLOOKUP(CARTERA_2026[[#This Row],[VENDEDOR]],dimensiones!$C$21:$C$28,dimensiones!$D$21:$D$28,""))</f>
        <v>ATEL</v>
      </c>
      <c r="J906" s="125" t="str">
        <f>_xlfn.XLOOKUP(CARTERA_2026[[#This Row],[REGION]],dimensiones!C:C,dimensiones!D:D,"")</f>
        <v>Región de Metropolitana de Santiago</v>
      </c>
    </row>
    <row r="907" spans="1:10" ht="14.25" customHeight="1" x14ac:dyDescent="0.25">
      <c r="A907">
        <v>760329800</v>
      </c>
      <c r="B907" t="s">
        <v>459</v>
      </c>
      <c r="C907" t="s">
        <v>4416</v>
      </c>
      <c r="D907">
        <v>13</v>
      </c>
      <c r="E907" t="s">
        <v>4445</v>
      </c>
      <c r="F907" t="s">
        <v>3578</v>
      </c>
      <c r="G907" t="s">
        <v>5568</v>
      </c>
      <c r="H907" t="s">
        <v>4915</v>
      </c>
      <c r="I907" s="79" t="str">
        <f>IF(CARTERA_2026[[#This Row],[RUT]]=774097899,"DIST",_xlfn.XLOOKUP(CARTERA_2026[[#This Row],[VENDEDOR]],dimensiones!$C$21:$C$28,dimensiones!$D$21:$D$28,""))</f>
        <v>ATEL</v>
      </c>
      <c r="J907" s="125" t="str">
        <f>_xlfn.XLOOKUP(CARTERA_2026[[#This Row],[REGION]],dimensiones!C:C,dimensiones!D:D,"")</f>
        <v>Región de Metropolitana de Santiago</v>
      </c>
    </row>
    <row r="908" spans="1:10" ht="14.25" customHeight="1" x14ac:dyDescent="0.25">
      <c r="A908" t="s">
        <v>5800</v>
      </c>
      <c r="B908" t="s">
        <v>5801</v>
      </c>
      <c r="C908" t="s">
        <v>4198</v>
      </c>
      <c r="D908">
        <v>5</v>
      </c>
      <c r="E908" t="s">
        <v>4445</v>
      </c>
      <c r="F908" t="s">
        <v>5802</v>
      </c>
      <c r="H908" t="s">
        <v>4915</v>
      </c>
      <c r="I908" s="79" t="str">
        <f>IF(CARTERA_2026[[#This Row],[RUT]]=774097899,"DIST",_xlfn.XLOOKUP(CARTERA_2026[[#This Row],[VENDEDOR]],dimensiones!$C$21:$C$28,dimensiones!$D$21:$D$28,""))</f>
        <v>ATEL</v>
      </c>
      <c r="J908" s="125" t="str">
        <f>_xlfn.XLOOKUP(CARTERA_2026[[#This Row],[REGION]],dimensiones!C:C,dimensiones!D:D,"")</f>
        <v>Región de Valparaíso</v>
      </c>
    </row>
    <row r="909" spans="1:10" ht="14.25" customHeight="1" x14ac:dyDescent="0.25">
      <c r="A909" t="s">
        <v>701</v>
      </c>
      <c r="B909" t="s">
        <v>702</v>
      </c>
      <c r="C909" t="s">
        <v>4182</v>
      </c>
      <c r="D909">
        <v>2</v>
      </c>
      <c r="E909" t="s">
        <v>4445</v>
      </c>
      <c r="F909" t="s">
        <v>2462</v>
      </c>
      <c r="G909" t="s">
        <v>5570</v>
      </c>
      <c r="H909" t="s">
        <v>4915</v>
      </c>
      <c r="I909" s="79" t="str">
        <f>IF(CARTERA_2026[[#This Row],[RUT]]=774097899,"DIST",_xlfn.XLOOKUP(CARTERA_2026[[#This Row],[VENDEDOR]],dimensiones!$C$21:$C$28,dimensiones!$D$21:$D$28,""))</f>
        <v>ATEL</v>
      </c>
      <c r="J909" s="125" t="str">
        <f>_xlfn.XLOOKUP(CARTERA_2026[[#This Row],[REGION]],dimensiones!C:C,dimensiones!D:D,"")</f>
        <v>Región de Antofagasta</v>
      </c>
    </row>
    <row r="910" spans="1:10" ht="14.25" customHeight="1" x14ac:dyDescent="0.25">
      <c r="A910" t="s">
        <v>703</v>
      </c>
      <c r="B910" t="s">
        <v>704</v>
      </c>
      <c r="C910" t="s">
        <v>4470</v>
      </c>
      <c r="D910">
        <v>13</v>
      </c>
      <c r="E910" t="s">
        <v>4445</v>
      </c>
      <c r="F910" t="s">
        <v>2464</v>
      </c>
      <c r="G910" t="s">
        <v>5570</v>
      </c>
      <c r="H910" t="s">
        <v>4915</v>
      </c>
      <c r="I910" s="79" t="str">
        <f>IF(CARTERA_2026[[#This Row],[RUT]]=774097899,"DIST",_xlfn.XLOOKUP(CARTERA_2026[[#This Row],[VENDEDOR]],dimensiones!$C$21:$C$28,dimensiones!$D$21:$D$28,""))</f>
        <v>ATEL</v>
      </c>
      <c r="J910" s="125" t="str">
        <f>_xlfn.XLOOKUP(CARTERA_2026[[#This Row],[REGION]],dimensiones!C:C,dimensiones!D:D,"")</f>
        <v>Región de Metropolitana de Santiago</v>
      </c>
    </row>
    <row r="911" spans="1:10" ht="14.25" customHeight="1" x14ac:dyDescent="0.25">
      <c r="A911">
        <v>760465631</v>
      </c>
      <c r="B911" t="s">
        <v>807</v>
      </c>
      <c r="C911" t="s">
        <v>4391</v>
      </c>
      <c r="D911">
        <v>13</v>
      </c>
      <c r="E911" t="s">
        <v>4445</v>
      </c>
      <c r="F911" t="s">
        <v>3722</v>
      </c>
      <c r="G911" t="s">
        <v>5570</v>
      </c>
      <c r="H911" t="s">
        <v>4915</v>
      </c>
      <c r="I911" s="79" t="str">
        <f>IF(CARTERA_2026[[#This Row],[RUT]]=774097899,"DIST",_xlfn.XLOOKUP(CARTERA_2026[[#This Row],[VENDEDOR]],dimensiones!$C$21:$C$28,dimensiones!$D$21:$D$28,""))</f>
        <v>ATEL</v>
      </c>
      <c r="J911" s="125" t="str">
        <f>_xlfn.XLOOKUP(CARTERA_2026[[#This Row],[REGION]],dimensiones!C:C,dimensiones!D:D,"")</f>
        <v>Región de Metropolitana de Santiago</v>
      </c>
    </row>
    <row r="912" spans="1:10" ht="14.25" customHeight="1" x14ac:dyDescent="0.25">
      <c r="A912">
        <v>760477001</v>
      </c>
      <c r="B912" t="s">
        <v>460</v>
      </c>
      <c r="C912" t="s">
        <v>4561</v>
      </c>
      <c r="D912">
        <v>13</v>
      </c>
      <c r="E912" t="s">
        <v>4445</v>
      </c>
      <c r="F912" t="s">
        <v>1928</v>
      </c>
      <c r="G912" t="s">
        <v>5568</v>
      </c>
      <c r="H912" t="s">
        <v>4915</v>
      </c>
      <c r="I912" s="79" t="str">
        <f>IF(CARTERA_2026[[#This Row],[RUT]]=774097899,"DIST",_xlfn.XLOOKUP(CARTERA_2026[[#This Row],[VENDEDOR]],dimensiones!$C$21:$C$28,dimensiones!$D$21:$D$28,""))</f>
        <v>ATEL</v>
      </c>
      <c r="J912" s="125" t="str">
        <f>_xlfn.XLOOKUP(CARTERA_2026[[#This Row],[REGION]],dimensiones!C:C,dimensiones!D:D,"")</f>
        <v>Región de Metropolitana de Santiago</v>
      </c>
    </row>
    <row r="913" spans="1:10" ht="14.25" customHeight="1" x14ac:dyDescent="0.25">
      <c r="A913">
        <v>760534870</v>
      </c>
      <c r="B913" t="s">
        <v>2472</v>
      </c>
      <c r="C913" t="s">
        <v>4391</v>
      </c>
      <c r="D913">
        <v>13</v>
      </c>
      <c r="E913" t="s">
        <v>4445</v>
      </c>
      <c r="F913" t="s">
        <v>2471</v>
      </c>
      <c r="G913" t="s">
        <v>5570</v>
      </c>
      <c r="H913" t="s">
        <v>4915</v>
      </c>
      <c r="I913" s="79" t="str">
        <f>IF(CARTERA_2026[[#This Row],[RUT]]=774097899,"DIST",_xlfn.XLOOKUP(CARTERA_2026[[#This Row],[VENDEDOR]],dimensiones!$C$21:$C$28,dimensiones!$D$21:$D$28,""))</f>
        <v>ATEL</v>
      </c>
      <c r="J913" s="125" t="str">
        <f>_xlfn.XLOOKUP(CARTERA_2026[[#This Row],[REGION]],dimensiones!C:C,dimensiones!D:D,"")</f>
        <v>Región de Metropolitana de Santiago</v>
      </c>
    </row>
    <row r="914" spans="1:10" ht="14.25" customHeight="1" x14ac:dyDescent="0.25">
      <c r="A914">
        <v>760542377</v>
      </c>
      <c r="B914" t="s">
        <v>2475</v>
      </c>
      <c r="C914" t="s">
        <v>4465</v>
      </c>
      <c r="D914">
        <v>13</v>
      </c>
      <c r="E914" t="s">
        <v>4445</v>
      </c>
      <c r="F914" t="s">
        <v>2474</v>
      </c>
      <c r="G914" t="s">
        <v>5568</v>
      </c>
      <c r="H914" t="s">
        <v>4915</v>
      </c>
      <c r="I914" s="79" t="str">
        <f>IF(CARTERA_2026[[#This Row],[RUT]]=774097899,"DIST",_xlfn.XLOOKUP(CARTERA_2026[[#This Row],[VENDEDOR]],dimensiones!$C$21:$C$28,dimensiones!$D$21:$D$28,""))</f>
        <v>ATEL</v>
      </c>
      <c r="J914" s="125" t="str">
        <f>_xlfn.XLOOKUP(CARTERA_2026[[#This Row],[REGION]],dimensiones!C:C,dimensiones!D:D,"")</f>
        <v>Región de Metropolitana de Santiago</v>
      </c>
    </row>
    <row r="915" spans="1:10" ht="14.25" customHeight="1" x14ac:dyDescent="0.25">
      <c r="A915" t="s">
        <v>4425</v>
      </c>
      <c r="B915" t="s">
        <v>2453</v>
      </c>
      <c r="C915" t="s">
        <v>4180</v>
      </c>
      <c r="D915">
        <v>8</v>
      </c>
      <c r="E915" t="s">
        <v>4445</v>
      </c>
      <c r="F915" t="s">
        <v>2452</v>
      </c>
      <c r="G915" t="s">
        <v>5570</v>
      </c>
      <c r="H915" t="s">
        <v>4915</v>
      </c>
      <c r="I915" s="79" t="str">
        <f>IF(CARTERA_2026[[#This Row],[RUT]]=774097899,"DIST",_xlfn.XLOOKUP(CARTERA_2026[[#This Row],[VENDEDOR]],dimensiones!$C$21:$C$28,dimensiones!$D$21:$D$28,""))</f>
        <v>ATEL</v>
      </c>
      <c r="J915" s="125" t="str">
        <f>_xlfn.XLOOKUP(CARTERA_2026[[#This Row],[REGION]],dimensiones!C:C,dimensiones!D:D,"")</f>
        <v>Región de Biobío</v>
      </c>
    </row>
    <row r="916" spans="1:10" ht="14.25" customHeight="1" x14ac:dyDescent="0.25">
      <c r="A916">
        <v>760579041</v>
      </c>
      <c r="B916" t="s">
        <v>108</v>
      </c>
      <c r="C916" t="s">
        <v>4460</v>
      </c>
      <c r="D916">
        <v>8</v>
      </c>
      <c r="E916" t="s">
        <v>4464</v>
      </c>
      <c r="F916" t="s">
        <v>3359</v>
      </c>
      <c r="G916" t="s">
        <v>5570</v>
      </c>
      <c r="H916" t="s">
        <v>4915</v>
      </c>
      <c r="I916" s="79" t="str">
        <f>IF(CARTERA_2026[[#This Row],[RUT]]=774097899,"DIST",_xlfn.XLOOKUP(CARTERA_2026[[#This Row],[VENDEDOR]],dimensiones!$C$21:$C$28,dimensiones!$D$21:$D$28,""))</f>
        <v>SUR1</v>
      </c>
      <c r="J916" s="125" t="str">
        <f>_xlfn.XLOOKUP(CARTERA_2026[[#This Row],[REGION]],dimensiones!C:C,dimensiones!D:D,"")</f>
        <v>Región de Biobío</v>
      </c>
    </row>
    <row r="917" spans="1:10" ht="14.25" customHeight="1" x14ac:dyDescent="0.25">
      <c r="A917">
        <v>760649511</v>
      </c>
      <c r="B917" t="s">
        <v>2480</v>
      </c>
      <c r="C917" t="s">
        <v>4394</v>
      </c>
      <c r="D917">
        <v>13</v>
      </c>
      <c r="E917" t="s">
        <v>4445</v>
      </c>
      <c r="F917" t="s">
        <v>2479</v>
      </c>
      <c r="G917" t="s">
        <v>5570</v>
      </c>
      <c r="H917" t="s">
        <v>4915</v>
      </c>
      <c r="I917" s="79" t="str">
        <f>IF(CARTERA_2026[[#This Row],[RUT]]=774097899,"DIST",_xlfn.XLOOKUP(CARTERA_2026[[#This Row],[VENDEDOR]],dimensiones!$C$21:$C$28,dimensiones!$D$21:$D$28,""))</f>
        <v>ATEL</v>
      </c>
      <c r="J917" s="125" t="str">
        <f>_xlfn.XLOOKUP(CARTERA_2026[[#This Row],[REGION]],dimensiones!C:C,dimensiones!D:D,"")</f>
        <v>Región de Metropolitana de Santiago</v>
      </c>
    </row>
    <row r="918" spans="1:10" ht="14.25" customHeight="1" x14ac:dyDescent="0.25">
      <c r="A918">
        <v>760709115</v>
      </c>
      <c r="B918" t="s">
        <v>461</v>
      </c>
      <c r="C918" t="s">
        <v>4391</v>
      </c>
      <c r="D918">
        <v>13</v>
      </c>
      <c r="E918" t="s">
        <v>4445</v>
      </c>
      <c r="F918" t="s">
        <v>4124</v>
      </c>
      <c r="G918" t="s">
        <v>5570</v>
      </c>
      <c r="H918" t="s">
        <v>4915</v>
      </c>
      <c r="I918" s="79" t="str">
        <f>IF(CARTERA_2026[[#This Row],[RUT]]=774097899,"DIST",_xlfn.XLOOKUP(CARTERA_2026[[#This Row],[VENDEDOR]],dimensiones!$C$21:$C$28,dimensiones!$D$21:$D$28,""))</f>
        <v>ATEL</v>
      </c>
      <c r="J918" s="125" t="str">
        <f>_xlfn.XLOOKUP(CARTERA_2026[[#This Row],[REGION]],dimensiones!C:C,dimensiones!D:D,"")</f>
        <v>Región de Metropolitana de Santiago</v>
      </c>
    </row>
    <row r="919" spans="1:10" ht="14.25" customHeight="1" x14ac:dyDescent="0.25">
      <c r="A919">
        <v>760738980</v>
      </c>
      <c r="B919" t="s">
        <v>462</v>
      </c>
      <c r="C919" t="s">
        <v>4264</v>
      </c>
      <c r="D919">
        <v>7</v>
      </c>
      <c r="E919" t="s">
        <v>4445</v>
      </c>
      <c r="F919" t="s">
        <v>1527</v>
      </c>
      <c r="G919" t="s">
        <v>5568</v>
      </c>
      <c r="H919" t="s">
        <v>4915</v>
      </c>
      <c r="I919" s="79" t="str">
        <f>IF(CARTERA_2026[[#This Row],[RUT]]=774097899,"DIST",_xlfn.XLOOKUP(CARTERA_2026[[#This Row],[VENDEDOR]],dimensiones!$C$21:$C$28,dimensiones!$D$21:$D$28,""))</f>
        <v>ATEL</v>
      </c>
      <c r="J919" s="125" t="str">
        <f>_xlfn.XLOOKUP(CARTERA_2026[[#This Row],[REGION]],dimensiones!C:C,dimensiones!D:D,"")</f>
        <v>Región de Maule</v>
      </c>
    </row>
    <row r="920" spans="1:10" ht="14.25" customHeight="1" x14ac:dyDescent="0.25">
      <c r="A920">
        <v>760871168</v>
      </c>
      <c r="B920" t="s">
        <v>109</v>
      </c>
      <c r="C920" t="s">
        <v>4170</v>
      </c>
      <c r="D920">
        <v>14</v>
      </c>
      <c r="E920" t="s">
        <v>4454</v>
      </c>
      <c r="F920" t="s">
        <v>3827</v>
      </c>
      <c r="G920" t="s">
        <v>5568</v>
      </c>
      <c r="H920" t="s">
        <v>4915</v>
      </c>
      <c r="I920" s="79" t="str">
        <f>IF(CARTERA_2026[[#This Row],[RUT]]=774097899,"DIST",_xlfn.XLOOKUP(CARTERA_2026[[#This Row],[VENDEDOR]],dimensiones!$C$21:$C$28,dimensiones!$D$21:$D$28,""))</f>
        <v>SUR2</v>
      </c>
      <c r="J920" s="125" t="str">
        <f>_xlfn.XLOOKUP(CARTERA_2026[[#This Row],[REGION]],dimensiones!C:C,dimensiones!D:D,"")</f>
        <v>Región de Los Ríos</v>
      </c>
    </row>
    <row r="921" spans="1:10" ht="14.25" customHeight="1" x14ac:dyDescent="0.25">
      <c r="A921" t="s">
        <v>5684</v>
      </c>
      <c r="B921" t="s">
        <v>5685</v>
      </c>
      <c r="C921" t="s">
        <v>4491</v>
      </c>
      <c r="D921">
        <v>7</v>
      </c>
      <c r="E921" t="s">
        <v>4445</v>
      </c>
      <c r="F921" t="s">
        <v>5686</v>
      </c>
      <c r="G921" t="s">
        <v>5570</v>
      </c>
      <c r="H921" t="s">
        <v>4915</v>
      </c>
      <c r="I921" s="79" t="str">
        <f>IF(CARTERA_2026[[#This Row],[RUT]]=774097899,"DIST",_xlfn.XLOOKUP(CARTERA_2026[[#This Row],[VENDEDOR]],dimensiones!$C$21:$C$28,dimensiones!$D$21:$D$28,""))</f>
        <v>ATEL</v>
      </c>
      <c r="J921" s="125" t="str">
        <f>_xlfn.XLOOKUP(CARTERA_2026[[#This Row],[REGION]],dimensiones!C:C,dimensiones!D:D,"")</f>
        <v>Región de Maule</v>
      </c>
    </row>
    <row r="922" spans="1:10" ht="14.25" customHeight="1" x14ac:dyDescent="0.25">
      <c r="A922" t="s">
        <v>705</v>
      </c>
      <c r="B922" t="s">
        <v>706</v>
      </c>
      <c r="C922" t="s">
        <v>4175</v>
      </c>
      <c r="D922">
        <v>13</v>
      </c>
      <c r="E922" t="s">
        <v>4445</v>
      </c>
      <c r="F922" t="s">
        <v>2147</v>
      </c>
      <c r="G922" t="s">
        <v>5570</v>
      </c>
      <c r="H922" t="s">
        <v>4915</v>
      </c>
      <c r="I922" s="79" t="str">
        <f>IF(CARTERA_2026[[#This Row],[RUT]]=774097899,"DIST",_xlfn.XLOOKUP(CARTERA_2026[[#This Row],[VENDEDOR]],dimensiones!$C$21:$C$28,dimensiones!$D$21:$D$28,""))</f>
        <v>ATEL</v>
      </c>
      <c r="J922" s="125" t="str">
        <f>_xlfn.XLOOKUP(CARTERA_2026[[#This Row],[REGION]],dimensiones!C:C,dimensiones!D:D,"")</f>
        <v>Región de Metropolitana de Santiago</v>
      </c>
    </row>
    <row r="923" spans="1:10" ht="14.25" customHeight="1" x14ac:dyDescent="0.25">
      <c r="A923">
        <v>761037293</v>
      </c>
      <c r="B923" t="s">
        <v>2490</v>
      </c>
      <c r="C923" t="s">
        <v>4168</v>
      </c>
      <c r="D923">
        <v>13</v>
      </c>
      <c r="E923" t="s">
        <v>4445</v>
      </c>
      <c r="F923" t="s">
        <v>2489</v>
      </c>
      <c r="G923" t="s">
        <v>5568</v>
      </c>
      <c r="H923" t="s">
        <v>4915</v>
      </c>
      <c r="I923" s="79" t="str">
        <f>IF(CARTERA_2026[[#This Row],[RUT]]=774097899,"DIST",_xlfn.XLOOKUP(CARTERA_2026[[#This Row],[VENDEDOR]],dimensiones!$C$21:$C$28,dimensiones!$D$21:$D$28,""))</f>
        <v>ATEL</v>
      </c>
      <c r="J923" s="125" t="str">
        <f>_xlfn.XLOOKUP(CARTERA_2026[[#This Row],[REGION]],dimensiones!C:C,dimensiones!D:D,"")</f>
        <v>Región de Metropolitana de Santiago</v>
      </c>
    </row>
    <row r="924" spans="1:10" ht="14.25" customHeight="1" x14ac:dyDescent="0.25">
      <c r="A924">
        <v>761066366</v>
      </c>
      <c r="B924" t="s">
        <v>2493</v>
      </c>
      <c r="C924" t="s">
        <v>4528</v>
      </c>
      <c r="D924">
        <v>13</v>
      </c>
      <c r="E924" t="s">
        <v>4445</v>
      </c>
      <c r="F924" t="s">
        <v>2492</v>
      </c>
      <c r="G924" t="s">
        <v>5568</v>
      </c>
      <c r="H924" t="s">
        <v>4915</v>
      </c>
      <c r="I924" s="79" t="str">
        <f>IF(CARTERA_2026[[#This Row],[RUT]]=774097899,"DIST",_xlfn.XLOOKUP(CARTERA_2026[[#This Row],[VENDEDOR]],dimensiones!$C$21:$C$28,dimensiones!$D$21:$D$28,""))</f>
        <v>ATEL</v>
      </c>
      <c r="J924" s="125" t="str">
        <f>_xlfn.XLOOKUP(CARTERA_2026[[#This Row],[REGION]],dimensiones!C:C,dimensiones!D:D,"")</f>
        <v>Región de Metropolitana de Santiago</v>
      </c>
    </row>
    <row r="925" spans="1:10" ht="14.25" customHeight="1" x14ac:dyDescent="0.25">
      <c r="A925">
        <v>761102370</v>
      </c>
      <c r="B925" t="s">
        <v>4754</v>
      </c>
      <c r="C925" t="s">
        <v>4168</v>
      </c>
      <c r="D925">
        <v>13</v>
      </c>
      <c r="E925" t="s">
        <v>4445</v>
      </c>
      <c r="F925" t="s">
        <v>4911</v>
      </c>
      <c r="H925" t="s">
        <v>4915</v>
      </c>
      <c r="I925" s="79" t="str">
        <f>IF(CARTERA_2026[[#This Row],[RUT]]=774097899,"DIST",_xlfn.XLOOKUP(CARTERA_2026[[#This Row],[VENDEDOR]],dimensiones!$C$21:$C$28,dimensiones!$D$21:$D$28,""))</f>
        <v>ATEL</v>
      </c>
      <c r="J925" s="125" t="str">
        <f>_xlfn.XLOOKUP(CARTERA_2026[[#This Row],[REGION]],dimensiones!C:C,dimensiones!D:D,"")</f>
        <v>Región de Metropolitana de Santiago</v>
      </c>
    </row>
    <row r="926" spans="1:10" ht="14.25" customHeight="1" x14ac:dyDescent="0.25">
      <c r="A926">
        <v>761150065</v>
      </c>
      <c r="B926" t="s">
        <v>2496</v>
      </c>
      <c r="C926" t="s">
        <v>4497</v>
      </c>
      <c r="D926">
        <v>8</v>
      </c>
      <c r="E926" t="s">
        <v>4445</v>
      </c>
      <c r="F926" t="s">
        <v>2495</v>
      </c>
      <c r="G926" t="s">
        <v>5570</v>
      </c>
      <c r="H926" t="s">
        <v>4915</v>
      </c>
      <c r="I926" s="79" t="str">
        <f>IF(CARTERA_2026[[#This Row],[RUT]]=774097899,"DIST",_xlfn.XLOOKUP(CARTERA_2026[[#This Row],[VENDEDOR]],dimensiones!$C$21:$C$28,dimensiones!$D$21:$D$28,""))</f>
        <v>ATEL</v>
      </c>
      <c r="J926" s="125" t="str">
        <f>_xlfn.XLOOKUP(CARTERA_2026[[#This Row],[REGION]],dimensiones!C:C,dimensiones!D:D,"")</f>
        <v>Región de Biobío</v>
      </c>
    </row>
    <row r="927" spans="1:10" ht="14.25" customHeight="1" x14ac:dyDescent="0.25">
      <c r="A927">
        <v>761174851</v>
      </c>
      <c r="B927" t="s">
        <v>463</v>
      </c>
      <c r="C927" t="s">
        <v>4465</v>
      </c>
      <c r="D927">
        <v>13</v>
      </c>
      <c r="E927" t="s">
        <v>4445</v>
      </c>
      <c r="F927" t="s">
        <v>2500</v>
      </c>
      <c r="G927" t="s">
        <v>5570</v>
      </c>
      <c r="H927" t="s">
        <v>4915</v>
      </c>
      <c r="I927" s="79" t="str">
        <f>IF(CARTERA_2026[[#This Row],[RUT]]=774097899,"DIST",_xlfn.XLOOKUP(CARTERA_2026[[#This Row],[VENDEDOR]],dimensiones!$C$21:$C$28,dimensiones!$D$21:$D$28,""))</f>
        <v>ATEL</v>
      </c>
      <c r="J927" s="125" t="str">
        <f>_xlfn.XLOOKUP(CARTERA_2026[[#This Row],[REGION]],dimensiones!C:C,dimensiones!D:D,"")</f>
        <v>Región de Metropolitana de Santiago</v>
      </c>
    </row>
    <row r="928" spans="1:10" ht="14.25" customHeight="1" x14ac:dyDescent="0.25">
      <c r="A928">
        <v>761181912</v>
      </c>
      <c r="B928" t="s">
        <v>5523</v>
      </c>
      <c r="C928" t="s">
        <v>4168</v>
      </c>
      <c r="D928">
        <v>13</v>
      </c>
      <c r="E928" t="s">
        <v>4445</v>
      </c>
      <c r="F928" t="s">
        <v>5524</v>
      </c>
      <c r="G928" t="s">
        <v>5568</v>
      </c>
      <c r="H928" t="s">
        <v>4915</v>
      </c>
      <c r="I928" s="79" t="str">
        <f>IF(CARTERA_2026[[#This Row],[RUT]]=774097899,"DIST",_xlfn.XLOOKUP(CARTERA_2026[[#This Row],[VENDEDOR]],dimensiones!$C$21:$C$28,dimensiones!$D$21:$D$28,""))</f>
        <v>ATEL</v>
      </c>
      <c r="J928" s="125" t="str">
        <f>_xlfn.XLOOKUP(CARTERA_2026[[#This Row],[REGION]],dimensiones!C:C,dimensiones!D:D,"")</f>
        <v>Región de Metropolitana de Santiago</v>
      </c>
    </row>
    <row r="929" spans="1:10" ht="14.25" customHeight="1" x14ac:dyDescent="0.25">
      <c r="A929">
        <v>761353470</v>
      </c>
      <c r="B929" t="s">
        <v>811</v>
      </c>
      <c r="C929" t="s">
        <v>4458</v>
      </c>
      <c r="D929">
        <v>13</v>
      </c>
      <c r="E929" t="s">
        <v>4445</v>
      </c>
      <c r="F929" t="s">
        <v>2502</v>
      </c>
      <c r="G929" t="s">
        <v>5569</v>
      </c>
      <c r="H929" t="s">
        <v>4915</v>
      </c>
      <c r="I929" s="79" t="str">
        <f>IF(CARTERA_2026[[#This Row],[RUT]]=774097899,"DIST",_xlfn.XLOOKUP(CARTERA_2026[[#This Row],[VENDEDOR]],dimensiones!$C$21:$C$28,dimensiones!$D$21:$D$28,""))</f>
        <v>ATEL</v>
      </c>
      <c r="J929" s="125" t="str">
        <f>_xlfn.XLOOKUP(CARTERA_2026[[#This Row],[REGION]],dimensiones!C:C,dimensiones!D:D,"")</f>
        <v>Región de Metropolitana de Santiago</v>
      </c>
    </row>
    <row r="930" spans="1:10" ht="14.25" customHeight="1" x14ac:dyDescent="0.25">
      <c r="A930">
        <v>761426168</v>
      </c>
      <c r="B930" t="s">
        <v>464</v>
      </c>
      <c r="C930" t="s">
        <v>4470</v>
      </c>
      <c r="D930">
        <v>13</v>
      </c>
      <c r="E930" t="s">
        <v>4445</v>
      </c>
      <c r="F930" t="s">
        <v>1256</v>
      </c>
      <c r="G930" t="s">
        <v>5568</v>
      </c>
      <c r="H930" t="s">
        <v>4915</v>
      </c>
      <c r="I930" s="79" t="str">
        <f>IF(CARTERA_2026[[#This Row],[RUT]]=774097899,"DIST",_xlfn.XLOOKUP(CARTERA_2026[[#This Row],[VENDEDOR]],dimensiones!$C$21:$C$28,dimensiones!$D$21:$D$28,""))</f>
        <v>ATEL</v>
      </c>
      <c r="J930" s="125" t="str">
        <f>_xlfn.XLOOKUP(CARTERA_2026[[#This Row],[REGION]],dimensiones!C:C,dimensiones!D:D,"")</f>
        <v>Región de Metropolitana de Santiago</v>
      </c>
    </row>
    <row r="931" spans="1:10" ht="14.25" customHeight="1" x14ac:dyDescent="0.25">
      <c r="A931">
        <v>761458922</v>
      </c>
      <c r="B931" t="s">
        <v>465</v>
      </c>
      <c r="C931" t="s">
        <v>4391</v>
      </c>
      <c r="D931">
        <v>13</v>
      </c>
      <c r="E931" t="s">
        <v>4445</v>
      </c>
      <c r="F931" t="s">
        <v>2506</v>
      </c>
      <c r="G931" t="s">
        <v>5568</v>
      </c>
      <c r="H931" t="s">
        <v>4915</v>
      </c>
      <c r="I931" s="79" t="str">
        <f>IF(CARTERA_2026[[#This Row],[RUT]]=774097899,"DIST",_xlfn.XLOOKUP(CARTERA_2026[[#This Row],[VENDEDOR]],dimensiones!$C$21:$C$28,dimensiones!$D$21:$D$28,""))</f>
        <v>ATEL</v>
      </c>
      <c r="J931" s="125" t="str">
        <f>_xlfn.XLOOKUP(CARTERA_2026[[#This Row],[REGION]],dimensiones!C:C,dimensiones!D:D,"")</f>
        <v>Región de Metropolitana de Santiago</v>
      </c>
    </row>
    <row r="932" spans="1:10" ht="14.25" customHeight="1" x14ac:dyDescent="0.25">
      <c r="A932">
        <v>761495240</v>
      </c>
      <c r="B932" t="s">
        <v>1051</v>
      </c>
      <c r="C932" t="s">
        <v>4448</v>
      </c>
      <c r="D932">
        <v>13</v>
      </c>
      <c r="E932" t="s">
        <v>4445</v>
      </c>
      <c r="F932" t="s">
        <v>2508</v>
      </c>
      <c r="G932" t="s">
        <v>5570</v>
      </c>
      <c r="H932" t="s">
        <v>4915</v>
      </c>
      <c r="I932" s="79" t="str">
        <f>IF(CARTERA_2026[[#This Row],[RUT]]=774097899,"DIST",_xlfn.XLOOKUP(CARTERA_2026[[#This Row],[VENDEDOR]],dimensiones!$C$21:$C$28,dimensiones!$D$21:$D$28,""))</f>
        <v>ATEL</v>
      </c>
      <c r="J932" s="125" t="str">
        <f>_xlfn.XLOOKUP(CARTERA_2026[[#This Row],[REGION]],dimensiones!C:C,dimensiones!D:D,"")</f>
        <v>Región de Metropolitana de Santiago</v>
      </c>
    </row>
    <row r="933" spans="1:10" ht="14.25" customHeight="1" x14ac:dyDescent="0.25">
      <c r="A933">
        <v>761531603</v>
      </c>
      <c r="B933" t="s">
        <v>5651</v>
      </c>
      <c r="C933" t="s">
        <v>4395</v>
      </c>
      <c r="D933">
        <v>13</v>
      </c>
      <c r="E933" t="s">
        <v>4445</v>
      </c>
      <c r="F933" t="s">
        <v>5652</v>
      </c>
      <c r="G933" t="s">
        <v>5568</v>
      </c>
      <c r="H933" t="s">
        <v>4915</v>
      </c>
      <c r="I933" s="79" t="str">
        <f>IF(CARTERA_2026[[#This Row],[RUT]]=774097899,"DIST",_xlfn.XLOOKUP(CARTERA_2026[[#This Row],[VENDEDOR]],dimensiones!$C$21:$C$28,dimensiones!$D$21:$D$28,""))</f>
        <v>ATEL</v>
      </c>
      <c r="J933" s="125" t="str">
        <f>_xlfn.XLOOKUP(CARTERA_2026[[#This Row],[REGION]],dimensiones!C:C,dimensiones!D:D,"")</f>
        <v>Región de Metropolitana de Santiago</v>
      </c>
    </row>
    <row r="934" spans="1:10" ht="14.25" customHeight="1" x14ac:dyDescent="0.25">
      <c r="A934">
        <v>761587234</v>
      </c>
      <c r="B934" t="s">
        <v>5063</v>
      </c>
      <c r="C934" t="s">
        <v>4175</v>
      </c>
      <c r="D934">
        <v>5</v>
      </c>
      <c r="E934" t="s">
        <v>4445</v>
      </c>
      <c r="F934" t="s">
        <v>5243</v>
      </c>
      <c r="G934" t="s">
        <v>5568</v>
      </c>
      <c r="H934" t="s">
        <v>4915</v>
      </c>
      <c r="I934" s="79" t="str">
        <f>IF(CARTERA_2026[[#This Row],[RUT]]=774097899,"DIST",_xlfn.XLOOKUP(CARTERA_2026[[#This Row],[VENDEDOR]],dimensiones!$C$21:$C$28,dimensiones!$D$21:$D$28,""))</f>
        <v>ATEL</v>
      </c>
      <c r="J934" s="125" t="str">
        <f>_xlfn.XLOOKUP(CARTERA_2026[[#This Row],[REGION]],dimensiones!C:C,dimensiones!D:D,"")</f>
        <v>Región de Valparaíso</v>
      </c>
    </row>
    <row r="935" spans="1:10" ht="14.25" customHeight="1" x14ac:dyDescent="0.25">
      <c r="A935">
        <v>761701878</v>
      </c>
      <c r="B935" t="s">
        <v>5738</v>
      </c>
      <c r="C935" t="s">
        <v>4399</v>
      </c>
      <c r="D935">
        <v>13</v>
      </c>
      <c r="E935" t="s">
        <v>4445</v>
      </c>
      <c r="F935" t="s">
        <v>5739</v>
      </c>
      <c r="H935" t="s">
        <v>4915</v>
      </c>
      <c r="I935" s="79" t="str">
        <f>IF(CARTERA_2026[[#This Row],[RUT]]=774097899,"DIST",_xlfn.XLOOKUP(CARTERA_2026[[#This Row],[VENDEDOR]],dimensiones!$C$21:$C$28,dimensiones!$D$21:$D$28,""))</f>
        <v>ATEL</v>
      </c>
      <c r="J935" s="125" t="str">
        <f>_xlfn.XLOOKUP(CARTERA_2026[[#This Row],[REGION]],dimensiones!C:C,dimensiones!D:D,"")</f>
        <v>Región de Metropolitana de Santiago</v>
      </c>
    </row>
    <row r="936" spans="1:10" ht="14.25" customHeight="1" x14ac:dyDescent="0.25">
      <c r="A936">
        <v>761732145</v>
      </c>
      <c r="B936" t="s">
        <v>812</v>
      </c>
      <c r="C936" t="s">
        <v>4168</v>
      </c>
      <c r="D936">
        <v>13</v>
      </c>
      <c r="E936" t="s">
        <v>4445</v>
      </c>
      <c r="F936" t="s">
        <v>2510</v>
      </c>
      <c r="G936" t="s">
        <v>5568</v>
      </c>
      <c r="H936" t="s">
        <v>4915</v>
      </c>
      <c r="I936" s="79" t="str">
        <f>IF(CARTERA_2026[[#This Row],[RUT]]=774097899,"DIST",_xlfn.XLOOKUP(CARTERA_2026[[#This Row],[VENDEDOR]],dimensiones!$C$21:$C$28,dimensiones!$D$21:$D$28,""))</f>
        <v>ATEL</v>
      </c>
      <c r="J936" s="125" t="str">
        <f>_xlfn.XLOOKUP(CARTERA_2026[[#This Row],[REGION]],dimensiones!C:C,dimensiones!D:D,"")</f>
        <v>Región de Metropolitana de Santiago</v>
      </c>
    </row>
    <row r="937" spans="1:10" ht="14.25" customHeight="1" x14ac:dyDescent="0.25">
      <c r="A937">
        <v>761825534</v>
      </c>
      <c r="B937" t="s">
        <v>466</v>
      </c>
      <c r="C937" t="s">
        <v>4391</v>
      </c>
      <c r="D937">
        <v>13</v>
      </c>
      <c r="E937" t="s">
        <v>4445</v>
      </c>
      <c r="F937" t="s">
        <v>1436</v>
      </c>
      <c r="G937" t="s">
        <v>5568</v>
      </c>
      <c r="H937" t="s">
        <v>4915</v>
      </c>
      <c r="I937" s="79" t="str">
        <f>IF(CARTERA_2026[[#This Row],[RUT]]=774097899,"DIST",_xlfn.XLOOKUP(CARTERA_2026[[#This Row],[VENDEDOR]],dimensiones!$C$21:$C$28,dimensiones!$D$21:$D$28,""))</f>
        <v>ATEL</v>
      </c>
      <c r="J937" s="125" t="str">
        <f>_xlfn.XLOOKUP(CARTERA_2026[[#This Row],[REGION]],dimensiones!C:C,dimensiones!D:D,"")</f>
        <v>Región de Metropolitana de Santiago</v>
      </c>
    </row>
    <row r="938" spans="1:10" ht="14.25" customHeight="1" x14ac:dyDescent="0.25">
      <c r="A938">
        <v>761843133</v>
      </c>
      <c r="B938" t="s">
        <v>467</v>
      </c>
      <c r="C938" t="s">
        <v>4391</v>
      </c>
      <c r="D938">
        <v>13</v>
      </c>
      <c r="E938" t="s">
        <v>4445</v>
      </c>
      <c r="F938" t="s">
        <v>2514</v>
      </c>
      <c r="G938" t="s">
        <v>5570</v>
      </c>
      <c r="H938" t="s">
        <v>4915</v>
      </c>
      <c r="I938" s="79" t="str">
        <f>IF(CARTERA_2026[[#This Row],[RUT]]=774097899,"DIST",_xlfn.XLOOKUP(CARTERA_2026[[#This Row],[VENDEDOR]],dimensiones!$C$21:$C$28,dimensiones!$D$21:$D$28,""))</f>
        <v>ATEL</v>
      </c>
      <c r="J938" s="125" t="str">
        <f>_xlfn.XLOOKUP(CARTERA_2026[[#This Row],[REGION]],dimensiones!C:C,dimensiones!D:D,"")</f>
        <v>Región de Metropolitana de Santiago</v>
      </c>
    </row>
    <row r="939" spans="1:10" ht="14.25" customHeight="1" x14ac:dyDescent="0.25">
      <c r="A939">
        <v>761912631</v>
      </c>
      <c r="B939" t="s">
        <v>1365</v>
      </c>
      <c r="C939" t="s">
        <v>4380</v>
      </c>
      <c r="D939">
        <v>8</v>
      </c>
      <c r="E939" t="s">
        <v>4445</v>
      </c>
      <c r="F939" t="s">
        <v>1364</v>
      </c>
      <c r="G939" t="s">
        <v>5569</v>
      </c>
      <c r="H939" t="s">
        <v>4915</v>
      </c>
      <c r="I939" s="79" t="str">
        <f>IF(CARTERA_2026[[#This Row],[RUT]]=774097899,"DIST",_xlfn.XLOOKUP(CARTERA_2026[[#This Row],[VENDEDOR]],dimensiones!$C$21:$C$28,dimensiones!$D$21:$D$28,""))</f>
        <v>ATEL</v>
      </c>
      <c r="J939" s="125" t="str">
        <f>_xlfn.XLOOKUP(CARTERA_2026[[#This Row],[REGION]],dimensiones!C:C,dimensiones!D:D,"")</f>
        <v>Región de Biobío</v>
      </c>
    </row>
    <row r="940" spans="1:10" ht="14.25" customHeight="1" x14ac:dyDescent="0.25">
      <c r="A940">
        <v>761931881</v>
      </c>
      <c r="B940" t="s">
        <v>5517</v>
      </c>
      <c r="C940" t="s">
        <v>4393</v>
      </c>
      <c r="D940">
        <v>13</v>
      </c>
      <c r="E940" t="s">
        <v>4445</v>
      </c>
      <c r="F940" t="s">
        <v>5518</v>
      </c>
      <c r="G940" t="s">
        <v>5568</v>
      </c>
      <c r="H940" t="s">
        <v>4915</v>
      </c>
      <c r="I940" s="79" t="str">
        <f>IF(CARTERA_2026[[#This Row],[RUT]]=774097899,"DIST",_xlfn.XLOOKUP(CARTERA_2026[[#This Row],[VENDEDOR]],dimensiones!$C$21:$C$28,dimensiones!$D$21:$D$28,""))</f>
        <v>ATEL</v>
      </c>
      <c r="J940" s="125" t="str">
        <f>_xlfn.XLOOKUP(CARTERA_2026[[#This Row],[REGION]],dimensiones!C:C,dimensiones!D:D,"")</f>
        <v>Región de Metropolitana de Santiago</v>
      </c>
    </row>
    <row r="941" spans="1:10" ht="14.25" customHeight="1" x14ac:dyDescent="0.25">
      <c r="A941">
        <v>761988220</v>
      </c>
      <c r="B941" t="s">
        <v>110</v>
      </c>
      <c r="C941" t="s">
        <v>4176</v>
      </c>
      <c r="D941">
        <v>13</v>
      </c>
      <c r="E941" t="s">
        <v>4445</v>
      </c>
      <c r="F941" t="s">
        <v>2498</v>
      </c>
      <c r="G941" t="s">
        <v>5570</v>
      </c>
      <c r="H941" t="s">
        <v>4915</v>
      </c>
      <c r="I941" s="79" t="str">
        <f>IF(CARTERA_2026[[#This Row],[RUT]]=774097899,"DIST",_xlfn.XLOOKUP(CARTERA_2026[[#This Row],[VENDEDOR]],dimensiones!$C$21:$C$28,dimensiones!$D$21:$D$28,""))</f>
        <v>ATEL</v>
      </c>
      <c r="J941" s="125" t="str">
        <f>_xlfn.XLOOKUP(CARTERA_2026[[#This Row],[REGION]],dimensiones!C:C,dimensiones!D:D,"")</f>
        <v>Región de Metropolitana de Santiago</v>
      </c>
    </row>
    <row r="942" spans="1:10" ht="14.25" customHeight="1" x14ac:dyDescent="0.25">
      <c r="A942">
        <v>761991272</v>
      </c>
      <c r="B942" t="s">
        <v>4439</v>
      </c>
      <c r="C942" t="s">
        <v>4456</v>
      </c>
      <c r="D942">
        <v>13</v>
      </c>
      <c r="E942" t="s">
        <v>4445</v>
      </c>
      <c r="F942" t="s">
        <v>4564</v>
      </c>
      <c r="G942" t="s">
        <v>5568</v>
      </c>
      <c r="H942" t="s">
        <v>4915</v>
      </c>
      <c r="I942" s="79" t="str">
        <f>IF(CARTERA_2026[[#This Row],[RUT]]=774097899,"DIST",_xlfn.XLOOKUP(CARTERA_2026[[#This Row],[VENDEDOR]],dimensiones!$C$21:$C$28,dimensiones!$D$21:$D$28,""))</f>
        <v>ATEL</v>
      </c>
      <c r="J942" s="125" t="str">
        <f>_xlfn.XLOOKUP(CARTERA_2026[[#This Row],[REGION]],dimensiones!C:C,dimensiones!D:D,"")</f>
        <v>Región de Metropolitana de Santiago</v>
      </c>
    </row>
    <row r="943" spans="1:10" ht="14.25" customHeight="1" x14ac:dyDescent="0.25">
      <c r="A943">
        <v>762039761</v>
      </c>
      <c r="B943" t="s">
        <v>5461</v>
      </c>
      <c r="C943" t="s">
        <v>4465</v>
      </c>
      <c r="D943">
        <v>13</v>
      </c>
      <c r="E943" t="s">
        <v>4445</v>
      </c>
      <c r="F943" t="s">
        <v>5462</v>
      </c>
      <c r="G943" t="s">
        <v>5568</v>
      </c>
      <c r="H943" t="s">
        <v>4915</v>
      </c>
      <c r="I943" s="79" t="str">
        <f>IF(CARTERA_2026[[#This Row],[RUT]]=774097899,"DIST",_xlfn.XLOOKUP(CARTERA_2026[[#This Row],[VENDEDOR]],dimensiones!$C$21:$C$28,dimensiones!$D$21:$D$28,""))</f>
        <v>ATEL</v>
      </c>
      <c r="J943" s="125" t="str">
        <f>_xlfn.XLOOKUP(CARTERA_2026[[#This Row],[REGION]],dimensiones!C:C,dimensiones!D:D,"")</f>
        <v>Región de Metropolitana de Santiago</v>
      </c>
    </row>
    <row r="944" spans="1:10" ht="14.25" customHeight="1" x14ac:dyDescent="0.25">
      <c r="A944">
        <v>762051370</v>
      </c>
      <c r="B944" t="s">
        <v>468</v>
      </c>
      <c r="C944" t="s">
        <v>4460</v>
      </c>
      <c r="D944">
        <v>8</v>
      </c>
      <c r="E944" t="s">
        <v>4445</v>
      </c>
      <c r="F944" t="s">
        <v>2518</v>
      </c>
      <c r="G944" t="s">
        <v>5568</v>
      </c>
      <c r="H944" t="s">
        <v>4915</v>
      </c>
      <c r="I944" s="79" t="str">
        <f>IF(CARTERA_2026[[#This Row],[RUT]]=774097899,"DIST",_xlfn.XLOOKUP(CARTERA_2026[[#This Row],[VENDEDOR]],dimensiones!$C$21:$C$28,dimensiones!$D$21:$D$28,""))</f>
        <v>ATEL</v>
      </c>
      <c r="J944" s="125" t="str">
        <f>_xlfn.XLOOKUP(CARTERA_2026[[#This Row],[REGION]],dimensiones!C:C,dimensiones!D:D,"")</f>
        <v>Región de Biobío</v>
      </c>
    </row>
    <row r="945" spans="1:10" ht="14.25" customHeight="1" x14ac:dyDescent="0.25">
      <c r="A945">
        <v>762051486</v>
      </c>
      <c r="B945" t="s">
        <v>469</v>
      </c>
      <c r="C945" t="s">
        <v>4528</v>
      </c>
      <c r="D945">
        <v>13</v>
      </c>
      <c r="E945" t="s">
        <v>4445</v>
      </c>
      <c r="F945" t="s">
        <v>2520</v>
      </c>
      <c r="G945" t="s">
        <v>5568</v>
      </c>
      <c r="H945" t="s">
        <v>4915</v>
      </c>
      <c r="I945" s="79" t="str">
        <f>IF(CARTERA_2026[[#This Row],[RUT]]=774097899,"DIST",_xlfn.XLOOKUP(CARTERA_2026[[#This Row],[VENDEDOR]],dimensiones!$C$21:$C$28,dimensiones!$D$21:$D$28,""))</f>
        <v>ATEL</v>
      </c>
      <c r="J945" s="125" t="str">
        <f>_xlfn.XLOOKUP(CARTERA_2026[[#This Row],[REGION]],dimensiones!C:C,dimensiones!D:D,"")</f>
        <v>Región de Metropolitana de Santiago</v>
      </c>
    </row>
    <row r="946" spans="1:10" ht="14.25" customHeight="1" x14ac:dyDescent="0.25">
      <c r="A946">
        <v>762082179</v>
      </c>
      <c r="B946" t="s">
        <v>470</v>
      </c>
      <c r="C946" t="s">
        <v>4196</v>
      </c>
      <c r="D946">
        <v>13</v>
      </c>
      <c r="E946" t="s">
        <v>4445</v>
      </c>
      <c r="F946" t="s">
        <v>2522</v>
      </c>
      <c r="G946" t="s">
        <v>5569</v>
      </c>
      <c r="H946" t="s">
        <v>4915</v>
      </c>
      <c r="I946" s="79" t="str">
        <f>IF(CARTERA_2026[[#This Row],[RUT]]=774097899,"DIST",_xlfn.XLOOKUP(CARTERA_2026[[#This Row],[VENDEDOR]],dimensiones!$C$21:$C$28,dimensiones!$D$21:$D$28,""))</f>
        <v>ATEL</v>
      </c>
      <c r="J946" s="125" t="str">
        <f>_xlfn.XLOOKUP(CARTERA_2026[[#This Row],[REGION]],dimensiones!C:C,dimensiones!D:D,"")</f>
        <v>Región de Metropolitana de Santiago</v>
      </c>
    </row>
    <row r="947" spans="1:10" ht="14.25" customHeight="1" x14ac:dyDescent="0.25">
      <c r="A947">
        <v>762090155</v>
      </c>
      <c r="B947" t="s">
        <v>4440</v>
      </c>
      <c r="C947" t="s">
        <v>4495</v>
      </c>
      <c r="D947">
        <v>16</v>
      </c>
      <c r="E947" t="s">
        <v>4445</v>
      </c>
      <c r="F947" t="s">
        <v>4565</v>
      </c>
      <c r="G947" t="s">
        <v>5568</v>
      </c>
      <c r="H947" t="s">
        <v>4915</v>
      </c>
      <c r="I947" s="79" t="str">
        <f>IF(CARTERA_2026[[#This Row],[RUT]]=774097899,"DIST",_xlfn.XLOOKUP(CARTERA_2026[[#This Row],[VENDEDOR]],dimensiones!$C$21:$C$28,dimensiones!$D$21:$D$28,""))</f>
        <v>ATEL</v>
      </c>
      <c r="J947" s="125" t="str">
        <f>_xlfn.XLOOKUP(CARTERA_2026[[#This Row],[REGION]],dimensiones!C:C,dimensiones!D:D,"")</f>
        <v>Región de Ñuble</v>
      </c>
    </row>
    <row r="948" spans="1:10" ht="14.25" customHeight="1" x14ac:dyDescent="0.25">
      <c r="A948">
        <v>762098369</v>
      </c>
      <c r="B948" t="s">
        <v>4133</v>
      </c>
      <c r="C948" t="s">
        <v>4465</v>
      </c>
      <c r="D948">
        <v>13</v>
      </c>
      <c r="E948" t="s">
        <v>4445</v>
      </c>
      <c r="F948" t="s">
        <v>4132</v>
      </c>
      <c r="G948" t="s">
        <v>5568</v>
      </c>
      <c r="H948" t="s">
        <v>4915</v>
      </c>
      <c r="I948" s="79" t="str">
        <f>IF(CARTERA_2026[[#This Row],[RUT]]=774097899,"DIST",_xlfn.XLOOKUP(CARTERA_2026[[#This Row],[VENDEDOR]],dimensiones!$C$21:$C$28,dimensiones!$D$21:$D$28,""))</f>
        <v>ATEL</v>
      </c>
      <c r="J948" s="125" t="str">
        <f>_xlfn.XLOOKUP(CARTERA_2026[[#This Row],[REGION]],dimensiones!C:C,dimensiones!D:D,"")</f>
        <v>Región de Metropolitana de Santiago</v>
      </c>
    </row>
    <row r="949" spans="1:10" ht="14.25" customHeight="1" x14ac:dyDescent="0.25">
      <c r="A949">
        <v>762152606</v>
      </c>
      <c r="B949" t="s">
        <v>2595</v>
      </c>
      <c r="C949" t="s">
        <v>4410</v>
      </c>
      <c r="D949">
        <v>13</v>
      </c>
      <c r="E949" t="s">
        <v>4445</v>
      </c>
      <c r="F949" t="s">
        <v>2594</v>
      </c>
      <c r="G949" t="s">
        <v>5568</v>
      </c>
      <c r="H949" t="s">
        <v>4915</v>
      </c>
      <c r="I949" s="79" t="str">
        <f>IF(CARTERA_2026[[#This Row],[RUT]]=774097899,"DIST",_xlfn.XLOOKUP(CARTERA_2026[[#This Row],[VENDEDOR]],dimensiones!$C$21:$C$28,dimensiones!$D$21:$D$28,""))</f>
        <v>ATEL</v>
      </c>
      <c r="J949" s="125" t="str">
        <f>_xlfn.XLOOKUP(CARTERA_2026[[#This Row],[REGION]],dimensiones!C:C,dimensiones!D:D,"")</f>
        <v>Región de Metropolitana de Santiago</v>
      </c>
    </row>
    <row r="950" spans="1:10" ht="14.25" customHeight="1" x14ac:dyDescent="0.25">
      <c r="A950">
        <v>762174413</v>
      </c>
      <c r="B950" t="s">
        <v>471</v>
      </c>
      <c r="C950" t="s">
        <v>4510</v>
      </c>
      <c r="D950">
        <v>13</v>
      </c>
      <c r="E950" t="s">
        <v>4445</v>
      </c>
      <c r="F950" t="s">
        <v>2528</v>
      </c>
      <c r="G950" t="s">
        <v>5568</v>
      </c>
      <c r="H950" t="s">
        <v>4915</v>
      </c>
      <c r="I950" s="79" t="str">
        <f>IF(CARTERA_2026[[#This Row],[RUT]]=774097899,"DIST",_xlfn.XLOOKUP(CARTERA_2026[[#This Row],[VENDEDOR]],dimensiones!$C$21:$C$28,dimensiones!$D$21:$D$28,""))</f>
        <v>ATEL</v>
      </c>
      <c r="J950" s="125" t="str">
        <f>_xlfn.XLOOKUP(CARTERA_2026[[#This Row],[REGION]],dimensiones!C:C,dimensiones!D:D,"")</f>
        <v>Región de Metropolitana de Santiago</v>
      </c>
    </row>
    <row r="951" spans="1:10" ht="14.25" customHeight="1" x14ac:dyDescent="0.25">
      <c r="A951">
        <v>762177811</v>
      </c>
      <c r="B951" t="s">
        <v>2220</v>
      </c>
      <c r="C951" t="s">
        <v>4391</v>
      </c>
      <c r="D951">
        <v>13</v>
      </c>
      <c r="E951" t="s">
        <v>4445</v>
      </c>
      <c r="F951" t="s">
        <v>2219</v>
      </c>
      <c r="G951" t="s">
        <v>5568</v>
      </c>
      <c r="H951" t="s">
        <v>4915</v>
      </c>
      <c r="I951" s="79" t="str">
        <f>IF(CARTERA_2026[[#This Row],[RUT]]=774097899,"DIST",_xlfn.XLOOKUP(CARTERA_2026[[#This Row],[VENDEDOR]],dimensiones!$C$21:$C$28,dimensiones!$D$21:$D$28,""))</f>
        <v>ATEL</v>
      </c>
      <c r="J951" s="125" t="str">
        <f>_xlfn.XLOOKUP(CARTERA_2026[[#This Row],[REGION]],dimensiones!C:C,dimensiones!D:D,"")</f>
        <v>Región de Metropolitana de Santiago</v>
      </c>
    </row>
    <row r="952" spans="1:10" ht="14.25" customHeight="1" x14ac:dyDescent="0.25">
      <c r="A952">
        <v>762187000</v>
      </c>
      <c r="B952" t="s">
        <v>473</v>
      </c>
      <c r="C952" t="s">
        <v>4168</v>
      </c>
      <c r="D952">
        <v>13</v>
      </c>
      <c r="E952" t="s">
        <v>4445</v>
      </c>
      <c r="F952" t="s">
        <v>2532</v>
      </c>
      <c r="G952" t="s">
        <v>5568</v>
      </c>
      <c r="H952" t="s">
        <v>4915</v>
      </c>
      <c r="I952" s="79" t="str">
        <f>IF(CARTERA_2026[[#This Row],[RUT]]=774097899,"DIST",_xlfn.XLOOKUP(CARTERA_2026[[#This Row],[VENDEDOR]],dimensiones!$C$21:$C$28,dimensiones!$D$21:$D$28,""))</f>
        <v>ATEL</v>
      </c>
      <c r="J952" s="125" t="str">
        <f>_xlfn.XLOOKUP(CARTERA_2026[[#This Row],[REGION]],dimensiones!C:C,dimensiones!D:D,"")</f>
        <v>Región de Metropolitana de Santiago</v>
      </c>
    </row>
    <row r="953" spans="1:10" ht="14.25" customHeight="1" x14ac:dyDescent="0.25">
      <c r="A953">
        <v>762232782</v>
      </c>
      <c r="B953" t="s">
        <v>474</v>
      </c>
      <c r="C953" t="s">
        <v>4460</v>
      </c>
      <c r="D953">
        <v>8</v>
      </c>
      <c r="E953" t="s">
        <v>4445</v>
      </c>
      <c r="F953" t="s">
        <v>2534</v>
      </c>
      <c r="G953" t="s">
        <v>5570</v>
      </c>
      <c r="H953" t="s">
        <v>4915</v>
      </c>
      <c r="I953" s="79" t="str">
        <f>IF(CARTERA_2026[[#This Row],[RUT]]=774097899,"DIST",_xlfn.XLOOKUP(CARTERA_2026[[#This Row],[VENDEDOR]],dimensiones!$C$21:$C$28,dimensiones!$D$21:$D$28,""))</f>
        <v>ATEL</v>
      </c>
      <c r="J953" s="125" t="str">
        <f>_xlfn.XLOOKUP(CARTERA_2026[[#This Row],[REGION]],dimensiones!C:C,dimensiones!D:D,"")</f>
        <v>Región de Biobío</v>
      </c>
    </row>
    <row r="954" spans="1:10" ht="14.25" customHeight="1" x14ac:dyDescent="0.25">
      <c r="A954">
        <v>762255294</v>
      </c>
      <c r="B954" t="s">
        <v>475</v>
      </c>
      <c r="C954" t="s">
        <v>4187</v>
      </c>
      <c r="D954">
        <v>13</v>
      </c>
      <c r="E954" t="s">
        <v>4445</v>
      </c>
      <c r="F954" t="s">
        <v>3653</v>
      </c>
      <c r="G954" t="s">
        <v>5568</v>
      </c>
      <c r="H954" t="s">
        <v>4915</v>
      </c>
      <c r="I954" s="79" t="str">
        <f>IF(CARTERA_2026[[#This Row],[RUT]]=774097899,"DIST",_xlfn.XLOOKUP(CARTERA_2026[[#This Row],[VENDEDOR]],dimensiones!$C$21:$C$28,dimensiones!$D$21:$D$28,""))</f>
        <v>ATEL</v>
      </c>
      <c r="J954" s="125" t="str">
        <f>_xlfn.XLOOKUP(CARTERA_2026[[#This Row],[REGION]],dimensiones!C:C,dimensiones!D:D,"")</f>
        <v>Región de Metropolitana de Santiago</v>
      </c>
    </row>
    <row r="955" spans="1:10" ht="14.25" customHeight="1" x14ac:dyDescent="0.25">
      <c r="A955">
        <v>762404028</v>
      </c>
      <c r="B955" t="s">
        <v>5716</v>
      </c>
      <c r="C955" t="s">
        <v>4285</v>
      </c>
      <c r="D955">
        <v>13</v>
      </c>
      <c r="E955" t="s">
        <v>4445</v>
      </c>
      <c r="F955" t="s">
        <v>5250</v>
      </c>
      <c r="G955" t="s">
        <v>5570</v>
      </c>
      <c r="H955" t="s">
        <v>4915</v>
      </c>
      <c r="I955" s="79" t="str">
        <f>IF(CARTERA_2026[[#This Row],[RUT]]=774097899,"DIST",_xlfn.XLOOKUP(CARTERA_2026[[#This Row],[VENDEDOR]],dimensiones!$C$21:$C$28,dimensiones!$D$21:$D$28,""))</f>
        <v>ATEL</v>
      </c>
      <c r="J955" s="125" t="str">
        <f>_xlfn.XLOOKUP(CARTERA_2026[[#This Row],[REGION]],dimensiones!C:C,dimensiones!D:D,"")</f>
        <v>Región de Metropolitana de Santiago</v>
      </c>
    </row>
    <row r="956" spans="1:10" ht="14.25" customHeight="1" x14ac:dyDescent="0.25">
      <c r="A956">
        <v>762421925</v>
      </c>
      <c r="B956" t="s">
        <v>815</v>
      </c>
      <c r="C956" t="s">
        <v>4465</v>
      </c>
      <c r="D956">
        <v>13</v>
      </c>
      <c r="E956" t="s">
        <v>4445</v>
      </c>
      <c r="F956" t="s">
        <v>2539</v>
      </c>
      <c r="G956" t="s">
        <v>5568</v>
      </c>
      <c r="H956" t="s">
        <v>4915</v>
      </c>
      <c r="I956" s="79" t="str">
        <f>IF(CARTERA_2026[[#This Row],[RUT]]=774097899,"DIST",_xlfn.XLOOKUP(CARTERA_2026[[#This Row],[VENDEDOR]],dimensiones!$C$21:$C$28,dimensiones!$D$21:$D$28,""))</f>
        <v>ATEL</v>
      </c>
      <c r="J956" s="125" t="str">
        <f>_xlfn.XLOOKUP(CARTERA_2026[[#This Row],[REGION]],dimensiones!C:C,dimensiones!D:D,"")</f>
        <v>Región de Metropolitana de Santiago</v>
      </c>
    </row>
    <row r="957" spans="1:10" ht="14.25" customHeight="1" x14ac:dyDescent="0.25">
      <c r="A957">
        <v>762427745</v>
      </c>
      <c r="B957" t="s">
        <v>111</v>
      </c>
      <c r="C957" t="s">
        <v>4394</v>
      </c>
      <c r="D957">
        <v>13</v>
      </c>
      <c r="E957" t="s">
        <v>4453</v>
      </c>
      <c r="F957" t="s">
        <v>1590</v>
      </c>
      <c r="G957" t="s">
        <v>5570</v>
      </c>
      <c r="H957" t="s">
        <v>4915</v>
      </c>
      <c r="I957" s="79" t="str">
        <f>IF(CARTERA_2026[[#This Row],[RUT]]=774097899,"DIST",_xlfn.XLOOKUP(CARTERA_2026[[#This Row],[VENDEDOR]],dimensiones!$C$21:$C$28,dimensiones!$D$21:$D$28,""))</f>
        <v>SANT2</v>
      </c>
      <c r="J957" s="125" t="str">
        <f>_xlfn.XLOOKUP(CARTERA_2026[[#This Row],[REGION]],dimensiones!C:C,dimensiones!D:D,"")</f>
        <v>Región de Metropolitana de Santiago</v>
      </c>
    </row>
    <row r="958" spans="1:10" ht="14.25" customHeight="1" x14ac:dyDescent="0.25">
      <c r="A958">
        <v>762432005</v>
      </c>
      <c r="B958" t="s">
        <v>5619</v>
      </c>
      <c r="C958" t="s">
        <v>4168</v>
      </c>
      <c r="D958">
        <v>13</v>
      </c>
      <c r="E958" t="s">
        <v>4445</v>
      </c>
      <c r="F958" t="s">
        <v>5620</v>
      </c>
      <c r="G958" t="s">
        <v>5568</v>
      </c>
      <c r="H958" t="s">
        <v>4915</v>
      </c>
      <c r="I958" s="79" t="str">
        <f>IF(CARTERA_2026[[#This Row],[RUT]]=774097899,"DIST",_xlfn.XLOOKUP(CARTERA_2026[[#This Row],[VENDEDOR]],dimensiones!$C$21:$C$28,dimensiones!$D$21:$D$28,""))</f>
        <v>ATEL</v>
      </c>
      <c r="J958" s="125" t="str">
        <f>_xlfn.XLOOKUP(CARTERA_2026[[#This Row],[REGION]],dimensiones!C:C,dimensiones!D:D,"")</f>
        <v>Región de Metropolitana de Santiago</v>
      </c>
    </row>
    <row r="959" spans="1:10" ht="14.25" customHeight="1" x14ac:dyDescent="0.25">
      <c r="A959">
        <v>762522500</v>
      </c>
      <c r="B959" t="s">
        <v>1080</v>
      </c>
      <c r="C959" t="s">
        <v>4168</v>
      </c>
      <c r="D959">
        <v>13</v>
      </c>
      <c r="E959" t="s">
        <v>4445</v>
      </c>
      <c r="F959" t="s">
        <v>2544</v>
      </c>
      <c r="G959" t="s">
        <v>5570</v>
      </c>
      <c r="H959" t="s">
        <v>4915</v>
      </c>
      <c r="I959" s="79" t="str">
        <f>IF(CARTERA_2026[[#This Row],[RUT]]=774097899,"DIST",_xlfn.XLOOKUP(CARTERA_2026[[#This Row],[VENDEDOR]],dimensiones!$C$21:$C$28,dimensiones!$D$21:$D$28,""))</f>
        <v>ATEL</v>
      </c>
      <c r="J959" s="125" t="str">
        <f>_xlfn.XLOOKUP(CARTERA_2026[[#This Row],[REGION]],dimensiones!C:C,dimensiones!D:D,"")</f>
        <v>Región de Metropolitana de Santiago</v>
      </c>
    </row>
    <row r="960" spans="1:10" ht="14.25" customHeight="1" x14ac:dyDescent="0.25">
      <c r="A960">
        <v>762561387</v>
      </c>
      <c r="B960" t="s">
        <v>4032</v>
      </c>
      <c r="C960" t="s">
        <v>4444</v>
      </c>
      <c r="D960">
        <v>13</v>
      </c>
      <c r="E960" t="s">
        <v>4445</v>
      </c>
      <c r="F960" t="s">
        <v>4031</v>
      </c>
      <c r="G960" t="s">
        <v>5568</v>
      </c>
      <c r="H960" t="s">
        <v>4915</v>
      </c>
      <c r="I960" s="79" t="str">
        <f>IF(CARTERA_2026[[#This Row],[RUT]]=774097899,"DIST",_xlfn.XLOOKUP(CARTERA_2026[[#This Row],[VENDEDOR]],dimensiones!$C$21:$C$28,dimensiones!$D$21:$D$28,""))</f>
        <v>ATEL</v>
      </c>
      <c r="J960" s="125" t="str">
        <f>_xlfn.XLOOKUP(CARTERA_2026[[#This Row],[REGION]],dimensiones!C:C,dimensiones!D:D,"")</f>
        <v>Región de Metropolitana de Santiago</v>
      </c>
    </row>
    <row r="961" spans="1:10" ht="14.25" customHeight="1" x14ac:dyDescent="0.25">
      <c r="A961">
        <v>762569094</v>
      </c>
      <c r="B961" t="s">
        <v>816</v>
      </c>
      <c r="C961" t="s">
        <v>4452</v>
      </c>
      <c r="D961">
        <v>13</v>
      </c>
      <c r="E961" t="s">
        <v>4445</v>
      </c>
      <c r="F961" t="s">
        <v>1754</v>
      </c>
      <c r="G961" t="s">
        <v>5568</v>
      </c>
      <c r="H961" t="s">
        <v>4915</v>
      </c>
      <c r="I961" s="79" t="str">
        <f>IF(CARTERA_2026[[#This Row],[RUT]]=774097899,"DIST",_xlfn.XLOOKUP(CARTERA_2026[[#This Row],[VENDEDOR]],dimensiones!$C$21:$C$28,dimensiones!$D$21:$D$28,""))</f>
        <v>ATEL</v>
      </c>
      <c r="J961" s="125" t="str">
        <f>_xlfn.XLOOKUP(CARTERA_2026[[#This Row],[REGION]],dimensiones!C:C,dimensiones!D:D,"")</f>
        <v>Región de Metropolitana de Santiago</v>
      </c>
    </row>
    <row r="962" spans="1:10" ht="14.25" customHeight="1" x14ac:dyDescent="0.25">
      <c r="A962">
        <v>762666510</v>
      </c>
      <c r="B962" t="s">
        <v>476</v>
      </c>
      <c r="C962" t="s">
        <v>4182</v>
      </c>
      <c r="D962">
        <v>2</v>
      </c>
      <c r="E962" t="s">
        <v>4445</v>
      </c>
      <c r="F962" t="s">
        <v>2549</v>
      </c>
      <c r="G962" t="s">
        <v>5570</v>
      </c>
      <c r="H962" t="s">
        <v>4915</v>
      </c>
      <c r="I962" s="79" t="str">
        <f>IF(CARTERA_2026[[#This Row],[RUT]]=774097899,"DIST",_xlfn.XLOOKUP(CARTERA_2026[[#This Row],[VENDEDOR]],dimensiones!$C$21:$C$28,dimensiones!$D$21:$D$28,""))</f>
        <v>ATEL</v>
      </c>
      <c r="J962" s="125" t="str">
        <f>_xlfn.XLOOKUP(CARTERA_2026[[#This Row],[REGION]],dimensiones!C:C,dimensiones!D:D,"")</f>
        <v>Región de Antofagasta</v>
      </c>
    </row>
    <row r="963" spans="1:10" ht="14.25" customHeight="1" x14ac:dyDescent="0.25">
      <c r="A963">
        <v>762787458</v>
      </c>
      <c r="B963" t="s">
        <v>1011</v>
      </c>
      <c r="C963" t="s">
        <v>4448</v>
      </c>
      <c r="D963">
        <v>13</v>
      </c>
      <c r="E963" t="s">
        <v>4445</v>
      </c>
      <c r="F963" t="s">
        <v>2551</v>
      </c>
      <c r="G963" t="s">
        <v>5568</v>
      </c>
      <c r="H963" t="s">
        <v>4915</v>
      </c>
      <c r="I963" s="79" t="str">
        <f>IF(CARTERA_2026[[#This Row],[RUT]]=774097899,"DIST",_xlfn.XLOOKUP(CARTERA_2026[[#This Row],[VENDEDOR]],dimensiones!$C$21:$C$28,dimensiones!$D$21:$D$28,""))</f>
        <v>ATEL</v>
      </c>
      <c r="J963" s="125" t="str">
        <f>_xlfn.XLOOKUP(CARTERA_2026[[#This Row],[REGION]],dimensiones!C:C,dimensiones!D:D,"")</f>
        <v>Región de Metropolitana de Santiago</v>
      </c>
    </row>
    <row r="964" spans="1:10" ht="14.25" customHeight="1" x14ac:dyDescent="0.25">
      <c r="A964">
        <v>762811316</v>
      </c>
      <c r="B964" t="s">
        <v>5629</v>
      </c>
      <c r="C964" t="s">
        <v>4390</v>
      </c>
      <c r="D964">
        <v>13</v>
      </c>
      <c r="E964" t="s">
        <v>4445</v>
      </c>
      <c r="F964" t="s">
        <v>5630</v>
      </c>
      <c r="G964" t="s">
        <v>5569</v>
      </c>
      <c r="H964" t="s">
        <v>4915</v>
      </c>
      <c r="I964" s="79" t="str">
        <f>IF(CARTERA_2026[[#This Row],[RUT]]=774097899,"DIST",_xlfn.XLOOKUP(CARTERA_2026[[#This Row],[VENDEDOR]],dimensiones!$C$21:$C$28,dimensiones!$D$21:$D$28,""))</f>
        <v>ATEL</v>
      </c>
      <c r="J964" s="125" t="str">
        <f>_xlfn.XLOOKUP(CARTERA_2026[[#This Row],[REGION]],dimensiones!C:C,dimensiones!D:D,"")</f>
        <v>Región de Metropolitana de Santiago</v>
      </c>
    </row>
    <row r="965" spans="1:10" ht="14.25" customHeight="1" x14ac:dyDescent="0.25">
      <c r="A965">
        <v>762886111</v>
      </c>
      <c r="B965" t="s">
        <v>3298</v>
      </c>
      <c r="C965" t="s">
        <v>4465</v>
      </c>
      <c r="D965">
        <v>13</v>
      </c>
      <c r="E965" t="s">
        <v>4445</v>
      </c>
      <c r="F965" t="s">
        <v>3297</v>
      </c>
      <c r="G965" t="s">
        <v>5570</v>
      </c>
      <c r="H965" t="s">
        <v>4915</v>
      </c>
      <c r="I965" s="79" t="str">
        <f>IF(CARTERA_2026[[#This Row],[RUT]]=774097899,"DIST",_xlfn.XLOOKUP(CARTERA_2026[[#This Row],[VENDEDOR]],dimensiones!$C$21:$C$28,dimensiones!$D$21:$D$28,""))</f>
        <v>ATEL</v>
      </c>
      <c r="J965" s="125" t="str">
        <f>_xlfn.XLOOKUP(CARTERA_2026[[#This Row],[REGION]],dimensiones!C:C,dimensiones!D:D,"")</f>
        <v>Región de Metropolitana de Santiago</v>
      </c>
    </row>
    <row r="966" spans="1:10" ht="14.25" customHeight="1" x14ac:dyDescent="0.25">
      <c r="A966">
        <v>762887231</v>
      </c>
      <c r="B966" t="s">
        <v>817</v>
      </c>
      <c r="C966" t="s">
        <v>4389</v>
      </c>
      <c r="D966">
        <v>9</v>
      </c>
      <c r="E966" t="s">
        <v>4445</v>
      </c>
      <c r="F966" t="s">
        <v>2556</v>
      </c>
      <c r="G966" t="s">
        <v>5570</v>
      </c>
      <c r="H966" t="s">
        <v>4915</v>
      </c>
      <c r="I966" s="79" t="str">
        <f>IF(CARTERA_2026[[#This Row],[RUT]]=774097899,"DIST",_xlfn.XLOOKUP(CARTERA_2026[[#This Row],[VENDEDOR]],dimensiones!$C$21:$C$28,dimensiones!$D$21:$D$28,""))</f>
        <v>ATEL</v>
      </c>
      <c r="J966" s="125" t="str">
        <f>_xlfn.XLOOKUP(CARTERA_2026[[#This Row],[REGION]],dimensiones!C:C,dimensiones!D:D,"")</f>
        <v>Región de La Araucanía</v>
      </c>
    </row>
    <row r="967" spans="1:10" ht="14.25" customHeight="1" x14ac:dyDescent="0.25">
      <c r="A967">
        <v>762996316</v>
      </c>
      <c r="B967" t="s">
        <v>2559</v>
      </c>
      <c r="C967" t="s">
        <v>4230</v>
      </c>
      <c r="D967">
        <v>10</v>
      </c>
      <c r="E967" t="s">
        <v>4445</v>
      </c>
      <c r="F967" t="s">
        <v>2558</v>
      </c>
      <c r="G967" t="s">
        <v>5568</v>
      </c>
      <c r="H967" t="s">
        <v>4915</v>
      </c>
      <c r="I967" s="79" t="str">
        <f>IF(CARTERA_2026[[#This Row],[RUT]]=774097899,"DIST",_xlfn.XLOOKUP(CARTERA_2026[[#This Row],[VENDEDOR]],dimensiones!$C$21:$C$28,dimensiones!$D$21:$D$28,""))</f>
        <v>ATEL</v>
      </c>
      <c r="J967" s="125" t="str">
        <f>_xlfn.XLOOKUP(CARTERA_2026[[#This Row],[REGION]],dimensiones!C:C,dimensiones!D:D,"")</f>
        <v>Región de Los Lagos</v>
      </c>
    </row>
    <row r="968" spans="1:10" ht="14.25" customHeight="1" x14ac:dyDescent="0.25">
      <c r="A968">
        <v>763023885</v>
      </c>
      <c r="B968" t="s">
        <v>960</v>
      </c>
      <c r="C968" t="s">
        <v>4555</v>
      </c>
      <c r="D968">
        <v>13</v>
      </c>
      <c r="E968" t="s">
        <v>4445</v>
      </c>
      <c r="F968" t="s">
        <v>2561</v>
      </c>
      <c r="G968" t="s">
        <v>5569</v>
      </c>
      <c r="H968" t="s">
        <v>4915</v>
      </c>
      <c r="I968" s="79" t="str">
        <f>IF(CARTERA_2026[[#This Row],[RUT]]=774097899,"DIST",_xlfn.XLOOKUP(CARTERA_2026[[#This Row],[VENDEDOR]],dimensiones!$C$21:$C$28,dimensiones!$D$21:$D$28,""))</f>
        <v>ATEL</v>
      </c>
      <c r="J968" s="125" t="str">
        <f>_xlfn.XLOOKUP(CARTERA_2026[[#This Row],[REGION]],dimensiones!C:C,dimensiones!D:D,"")</f>
        <v>Región de Metropolitana de Santiago</v>
      </c>
    </row>
    <row r="969" spans="1:10" ht="14.25" customHeight="1" x14ac:dyDescent="0.25">
      <c r="A969">
        <v>763058891</v>
      </c>
      <c r="B969" t="s">
        <v>5492</v>
      </c>
      <c r="C969" t="s">
        <v>4495</v>
      </c>
      <c r="D969">
        <v>13</v>
      </c>
      <c r="E969" t="s">
        <v>4445</v>
      </c>
      <c r="F969" t="s">
        <v>5493</v>
      </c>
      <c r="G969" t="s">
        <v>5568</v>
      </c>
      <c r="H969" t="s">
        <v>4915</v>
      </c>
      <c r="I969" s="79" t="str">
        <f>IF(CARTERA_2026[[#This Row],[RUT]]=774097899,"DIST",_xlfn.XLOOKUP(CARTERA_2026[[#This Row],[VENDEDOR]],dimensiones!$C$21:$C$28,dimensiones!$D$21:$D$28,""))</f>
        <v>ATEL</v>
      </c>
      <c r="J969" s="125" t="str">
        <f>_xlfn.XLOOKUP(CARTERA_2026[[#This Row],[REGION]],dimensiones!C:C,dimensiones!D:D,"")</f>
        <v>Región de Metropolitana de Santiago</v>
      </c>
    </row>
    <row r="970" spans="1:10" ht="14.25" customHeight="1" x14ac:dyDescent="0.25">
      <c r="A970">
        <v>763072797</v>
      </c>
      <c r="B970" t="s">
        <v>930</v>
      </c>
      <c r="C970" t="s">
        <v>4183</v>
      </c>
      <c r="D970">
        <v>8</v>
      </c>
      <c r="E970" t="s">
        <v>4445</v>
      </c>
      <c r="F970" t="s">
        <v>2563</v>
      </c>
      <c r="G970" t="s">
        <v>5570</v>
      </c>
      <c r="H970" t="s">
        <v>4915</v>
      </c>
      <c r="I970" s="79" t="str">
        <f>IF(CARTERA_2026[[#This Row],[RUT]]=774097899,"DIST",_xlfn.XLOOKUP(CARTERA_2026[[#This Row],[VENDEDOR]],dimensiones!$C$21:$C$28,dimensiones!$D$21:$D$28,""))</f>
        <v>ATEL</v>
      </c>
      <c r="J970" s="125" t="str">
        <f>_xlfn.XLOOKUP(CARTERA_2026[[#This Row],[REGION]],dimensiones!C:C,dimensiones!D:D,"")</f>
        <v>Región de Biobío</v>
      </c>
    </row>
    <row r="971" spans="1:10" ht="14.25" customHeight="1" x14ac:dyDescent="0.25">
      <c r="A971">
        <v>763234738</v>
      </c>
      <c r="B971" t="s">
        <v>5511</v>
      </c>
      <c r="C971" t="s">
        <v>4497</v>
      </c>
      <c r="D971">
        <v>8</v>
      </c>
      <c r="E971" t="s">
        <v>4445</v>
      </c>
      <c r="F971" t="s">
        <v>5512</v>
      </c>
      <c r="G971" t="s">
        <v>5568</v>
      </c>
      <c r="H971" t="s">
        <v>4915</v>
      </c>
      <c r="I971" s="79" t="str">
        <f>IF(CARTERA_2026[[#This Row],[RUT]]=774097899,"DIST",_xlfn.XLOOKUP(CARTERA_2026[[#This Row],[VENDEDOR]],dimensiones!$C$21:$C$28,dimensiones!$D$21:$D$28,""))</f>
        <v>ATEL</v>
      </c>
      <c r="J971" s="125" t="str">
        <f>_xlfn.XLOOKUP(CARTERA_2026[[#This Row],[REGION]],dimensiones!C:C,dimensiones!D:D,"")</f>
        <v>Región de Biobío</v>
      </c>
    </row>
    <row r="972" spans="1:10" ht="14.25" customHeight="1" x14ac:dyDescent="0.25">
      <c r="A972">
        <v>763244970</v>
      </c>
      <c r="B972" t="s">
        <v>477</v>
      </c>
      <c r="C972" t="s">
        <v>4552</v>
      </c>
      <c r="D972">
        <v>13</v>
      </c>
      <c r="E972" t="s">
        <v>4445</v>
      </c>
      <c r="F972" t="s">
        <v>2565</v>
      </c>
      <c r="G972" t="s">
        <v>5570</v>
      </c>
      <c r="H972" t="s">
        <v>4915</v>
      </c>
      <c r="I972" s="79" t="str">
        <f>IF(CARTERA_2026[[#This Row],[RUT]]=774097899,"DIST",_xlfn.XLOOKUP(CARTERA_2026[[#This Row],[VENDEDOR]],dimensiones!$C$21:$C$28,dimensiones!$D$21:$D$28,""))</f>
        <v>ATEL</v>
      </c>
      <c r="J972" s="125" t="str">
        <f>_xlfn.XLOOKUP(CARTERA_2026[[#This Row],[REGION]],dimensiones!C:C,dimensiones!D:D,"")</f>
        <v>Región de Metropolitana de Santiago</v>
      </c>
    </row>
    <row r="973" spans="1:10" ht="14.25" customHeight="1" x14ac:dyDescent="0.25">
      <c r="A973">
        <v>763252787</v>
      </c>
      <c r="B973" t="s">
        <v>5531</v>
      </c>
      <c r="C973" t="s">
        <v>4465</v>
      </c>
      <c r="D973">
        <v>13</v>
      </c>
      <c r="E973" t="s">
        <v>4445</v>
      </c>
      <c r="F973" t="s">
        <v>5532</v>
      </c>
      <c r="G973" t="s">
        <v>5568</v>
      </c>
      <c r="H973" t="s">
        <v>4915</v>
      </c>
      <c r="I973" s="79" t="str">
        <f>IF(CARTERA_2026[[#This Row],[RUT]]=774097899,"DIST",_xlfn.XLOOKUP(CARTERA_2026[[#This Row],[VENDEDOR]],dimensiones!$C$21:$C$28,dimensiones!$D$21:$D$28,""))</f>
        <v>ATEL</v>
      </c>
      <c r="J973" s="125" t="str">
        <f>_xlfn.XLOOKUP(CARTERA_2026[[#This Row],[REGION]],dimensiones!C:C,dimensiones!D:D,"")</f>
        <v>Región de Metropolitana de Santiago</v>
      </c>
    </row>
    <row r="974" spans="1:10" ht="14.25" customHeight="1" x14ac:dyDescent="0.25">
      <c r="A974" t="s">
        <v>4767</v>
      </c>
      <c r="B974" t="s">
        <v>3503</v>
      </c>
      <c r="C974" t="s">
        <v>4391</v>
      </c>
      <c r="D974">
        <v>13</v>
      </c>
      <c r="E974" t="s">
        <v>4445</v>
      </c>
      <c r="F974" t="s">
        <v>3502</v>
      </c>
      <c r="G974" t="s">
        <v>5568</v>
      </c>
      <c r="H974" t="s">
        <v>4915</v>
      </c>
      <c r="I974" s="79" t="str">
        <f>IF(CARTERA_2026[[#This Row],[RUT]]=774097899,"DIST",_xlfn.XLOOKUP(CARTERA_2026[[#This Row],[VENDEDOR]],dimensiones!$C$21:$C$28,dimensiones!$D$21:$D$28,""))</f>
        <v>ATEL</v>
      </c>
      <c r="J974" s="125" t="str">
        <f>_xlfn.XLOOKUP(CARTERA_2026[[#This Row],[REGION]],dimensiones!C:C,dimensiones!D:D,"")</f>
        <v>Región de Metropolitana de Santiago</v>
      </c>
    </row>
    <row r="975" spans="1:10" ht="14.25" customHeight="1" x14ac:dyDescent="0.25">
      <c r="A975">
        <v>763360393</v>
      </c>
      <c r="B975" t="s">
        <v>112</v>
      </c>
      <c r="C975" t="s">
        <v>4528</v>
      </c>
      <c r="D975">
        <v>13</v>
      </c>
      <c r="E975" t="s">
        <v>4457</v>
      </c>
      <c r="F975" t="s">
        <v>3913</v>
      </c>
      <c r="G975" t="s">
        <v>5570</v>
      </c>
      <c r="H975" t="s">
        <v>4915</v>
      </c>
      <c r="I975" s="79" t="str">
        <f>IF(CARTERA_2026[[#This Row],[RUT]]=774097899,"DIST",_xlfn.XLOOKUP(CARTERA_2026[[#This Row],[VENDEDOR]],dimensiones!$C$21:$C$28,dimensiones!$D$21:$D$28,""))</f>
        <v>SANT1</v>
      </c>
      <c r="J975" s="125" t="str">
        <f>_xlfn.XLOOKUP(CARTERA_2026[[#This Row],[REGION]],dimensiones!C:C,dimensiones!D:D,"")</f>
        <v>Región de Metropolitana de Santiago</v>
      </c>
    </row>
    <row r="976" spans="1:10" ht="14.25" customHeight="1" x14ac:dyDescent="0.25">
      <c r="A976">
        <v>763370003</v>
      </c>
      <c r="B976" t="s">
        <v>4567</v>
      </c>
      <c r="C976" t="s">
        <v>4390</v>
      </c>
      <c r="D976">
        <v>13</v>
      </c>
      <c r="E976" t="s">
        <v>4445</v>
      </c>
      <c r="F976" t="s">
        <v>4566</v>
      </c>
      <c r="G976" t="s">
        <v>5568</v>
      </c>
      <c r="H976" t="s">
        <v>4915</v>
      </c>
      <c r="I976" s="79" t="str">
        <f>IF(CARTERA_2026[[#This Row],[RUT]]=774097899,"DIST",_xlfn.XLOOKUP(CARTERA_2026[[#This Row],[VENDEDOR]],dimensiones!$C$21:$C$28,dimensiones!$D$21:$D$28,""))</f>
        <v>ATEL</v>
      </c>
      <c r="J976" s="125" t="str">
        <f>_xlfn.XLOOKUP(CARTERA_2026[[#This Row],[REGION]],dimensiones!C:C,dimensiones!D:D,"")</f>
        <v>Región de Metropolitana de Santiago</v>
      </c>
    </row>
    <row r="977" spans="1:10" ht="14.25" customHeight="1" x14ac:dyDescent="0.25">
      <c r="A977">
        <v>763414132</v>
      </c>
      <c r="B977" t="s">
        <v>5621</v>
      </c>
      <c r="C977" t="s">
        <v>4458</v>
      </c>
      <c r="D977">
        <v>13</v>
      </c>
      <c r="E977" t="s">
        <v>4445</v>
      </c>
      <c r="F977" t="s">
        <v>5622</v>
      </c>
      <c r="G977" t="s">
        <v>5568</v>
      </c>
      <c r="H977" t="s">
        <v>4915</v>
      </c>
      <c r="I977" s="79" t="str">
        <f>IF(CARTERA_2026[[#This Row],[RUT]]=774097899,"DIST",_xlfn.XLOOKUP(CARTERA_2026[[#This Row],[VENDEDOR]],dimensiones!$C$21:$C$28,dimensiones!$D$21:$D$28,""))</f>
        <v>ATEL</v>
      </c>
      <c r="J977" s="125" t="str">
        <f>_xlfn.XLOOKUP(CARTERA_2026[[#This Row],[REGION]],dimensiones!C:C,dimensiones!D:D,"")</f>
        <v>Región de Metropolitana de Santiago</v>
      </c>
    </row>
    <row r="978" spans="1:10" ht="14.25" customHeight="1" x14ac:dyDescent="0.25">
      <c r="A978">
        <v>763456226</v>
      </c>
      <c r="B978" t="s">
        <v>818</v>
      </c>
      <c r="C978" t="s">
        <v>4224</v>
      </c>
      <c r="D978">
        <v>10</v>
      </c>
      <c r="E978" t="s">
        <v>4445</v>
      </c>
      <c r="F978" t="s">
        <v>1857</v>
      </c>
      <c r="G978" t="s">
        <v>5570</v>
      </c>
      <c r="H978" t="s">
        <v>4915</v>
      </c>
      <c r="I978" s="79" t="str">
        <f>IF(CARTERA_2026[[#This Row],[RUT]]=774097899,"DIST",_xlfn.XLOOKUP(CARTERA_2026[[#This Row],[VENDEDOR]],dimensiones!$C$21:$C$28,dimensiones!$D$21:$D$28,""))</f>
        <v>ATEL</v>
      </c>
      <c r="J978" s="125" t="str">
        <f>_xlfn.XLOOKUP(CARTERA_2026[[#This Row],[REGION]],dimensiones!C:C,dimensiones!D:D,"")</f>
        <v>Región de Los Lagos</v>
      </c>
    </row>
    <row r="979" spans="1:10" ht="14.25" customHeight="1" x14ac:dyDescent="0.25">
      <c r="A979">
        <v>763489477</v>
      </c>
      <c r="B979" t="s">
        <v>819</v>
      </c>
      <c r="C979" t="s">
        <v>4460</v>
      </c>
      <c r="D979">
        <v>8</v>
      </c>
      <c r="E979" t="s">
        <v>4445</v>
      </c>
      <c r="F979" t="s">
        <v>2574</v>
      </c>
      <c r="G979" t="s">
        <v>5568</v>
      </c>
      <c r="H979" t="s">
        <v>4915</v>
      </c>
      <c r="I979" s="79" t="str">
        <f>IF(CARTERA_2026[[#This Row],[RUT]]=774097899,"DIST",_xlfn.XLOOKUP(CARTERA_2026[[#This Row],[VENDEDOR]],dimensiones!$C$21:$C$28,dimensiones!$D$21:$D$28,""))</f>
        <v>ATEL</v>
      </c>
      <c r="J979" s="125" t="str">
        <f>_xlfn.XLOOKUP(CARTERA_2026[[#This Row],[REGION]],dimensiones!C:C,dimensiones!D:D,"")</f>
        <v>Región de Biobío</v>
      </c>
    </row>
    <row r="980" spans="1:10" ht="14.25" customHeight="1" x14ac:dyDescent="0.25">
      <c r="A980">
        <v>763632059</v>
      </c>
      <c r="B980" t="s">
        <v>113</v>
      </c>
      <c r="C980" t="s">
        <v>4458</v>
      </c>
      <c r="D980">
        <v>13</v>
      </c>
      <c r="E980" t="s">
        <v>4445</v>
      </c>
      <c r="F980" t="s">
        <v>2576</v>
      </c>
      <c r="G980" t="s">
        <v>5570</v>
      </c>
      <c r="H980" t="s">
        <v>4915</v>
      </c>
      <c r="I980" s="79" t="str">
        <f>IF(CARTERA_2026[[#This Row],[RUT]]=774097899,"DIST",_xlfn.XLOOKUP(CARTERA_2026[[#This Row],[VENDEDOR]],dimensiones!$C$21:$C$28,dimensiones!$D$21:$D$28,""))</f>
        <v>ATEL</v>
      </c>
      <c r="J980" s="125" t="str">
        <f>_xlfn.XLOOKUP(CARTERA_2026[[#This Row],[REGION]],dimensiones!C:C,dimensiones!D:D,"")</f>
        <v>Región de Metropolitana de Santiago</v>
      </c>
    </row>
    <row r="981" spans="1:10" ht="14.25" customHeight="1" x14ac:dyDescent="0.25">
      <c r="A981" t="s">
        <v>707</v>
      </c>
      <c r="B981" t="s">
        <v>2579</v>
      </c>
      <c r="C981" t="s">
        <v>4552</v>
      </c>
      <c r="D981">
        <v>13</v>
      </c>
      <c r="E981" t="s">
        <v>4445</v>
      </c>
      <c r="F981" t="s">
        <v>2578</v>
      </c>
      <c r="G981" t="s">
        <v>5570</v>
      </c>
      <c r="H981" t="s">
        <v>4915</v>
      </c>
      <c r="I981" s="79" t="str">
        <f>IF(CARTERA_2026[[#This Row],[RUT]]=774097899,"DIST",_xlfn.XLOOKUP(CARTERA_2026[[#This Row],[VENDEDOR]],dimensiones!$C$21:$C$28,dimensiones!$D$21:$D$28,""))</f>
        <v>ATEL</v>
      </c>
      <c r="J981" s="125" t="str">
        <f>_xlfn.XLOOKUP(CARTERA_2026[[#This Row],[REGION]],dimensiones!C:C,dimensiones!D:D,"")</f>
        <v>Región de Metropolitana de Santiago</v>
      </c>
    </row>
    <row r="982" spans="1:10" ht="14.25" customHeight="1" x14ac:dyDescent="0.25">
      <c r="A982">
        <v>763686035</v>
      </c>
      <c r="B982" t="s">
        <v>2582</v>
      </c>
      <c r="C982" t="s">
        <v>4391</v>
      </c>
      <c r="D982">
        <v>13</v>
      </c>
      <c r="E982" t="s">
        <v>4445</v>
      </c>
      <c r="F982" t="s">
        <v>2581</v>
      </c>
      <c r="G982" t="s">
        <v>5570</v>
      </c>
      <c r="H982" t="s">
        <v>4915</v>
      </c>
      <c r="I982" s="79" t="str">
        <f>IF(CARTERA_2026[[#This Row],[RUT]]=774097899,"DIST",_xlfn.XLOOKUP(CARTERA_2026[[#This Row],[VENDEDOR]],dimensiones!$C$21:$C$28,dimensiones!$D$21:$D$28,""))</f>
        <v>ATEL</v>
      </c>
      <c r="J982" s="125" t="str">
        <f>_xlfn.XLOOKUP(CARTERA_2026[[#This Row],[REGION]],dimensiones!C:C,dimensiones!D:D,"")</f>
        <v>Región de Metropolitana de Santiago</v>
      </c>
    </row>
    <row r="983" spans="1:10" ht="14.25" customHeight="1" x14ac:dyDescent="0.25">
      <c r="A983">
        <v>763713024</v>
      </c>
      <c r="B983" t="s">
        <v>478</v>
      </c>
      <c r="C983" t="s">
        <v>4510</v>
      </c>
      <c r="D983">
        <v>13</v>
      </c>
      <c r="E983" t="s">
        <v>4445</v>
      </c>
      <c r="F983" t="s">
        <v>2584</v>
      </c>
      <c r="G983" t="s">
        <v>5570</v>
      </c>
      <c r="H983" t="s">
        <v>4915</v>
      </c>
      <c r="I983" s="79" t="str">
        <f>IF(CARTERA_2026[[#This Row],[RUT]]=774097899,"DIST",_xlfn.XLOOKUP(CARTERA_2026[[#This Row],[VENDEDOR]],dimensiones!$C$21:$C$28,dimensiones!$D$21:$D$28,""))</f>
        <v>ATEL</v>
      </c>
      <c r="J983" s="125" t="str">
        <f>_xlfn.XLOOKUP(CARTERA_2026[[#This Row],[REGION]],dimensiones!C:C,dimensiones!D:D,"")</f>
        <v>Región de Metropolitana de Santiago</v>
      </c>
    </row>
    <row r="984" spans="1:10" ht="14.25" customHeight="1" x14ac:dyDescent="0.25">
      <c r="A984">
        <v>763893839</v>
      </c>
      <c r="B984" t="s">
        <v>479</v>
      </c>
      <c r="C984" t="s">
        <v>4187</v>
      </c>
      <c r="D984">
        <v>13</v>
      </c>
      <c r="E984" t="s">
        <v>4445</v>
      </c>
      <c r="F984" t="s">
        <v>2586</v>
      </c>
      <c r="G984" t="s">
        <v>5568</v>
      </c>
      <c r="H984" t="s">
        <v>4915</v>
      </c>
      <c r="I984" s="79" t="str">
        <f>IF(CARTERA_2026[[#This Row],[RUT]]=774097899,"DIST",_xlfn.XLOOKUP(CARTERA_2026[[#This Row],[VENDEDOR]],dimensiones!$C$21:$C$28,dimensiones!$D$21:$D$28,""))</f>
        <v>ATEL</v>
      </c>
      <c r="J984" s="125" t="str">
        <f>_xlfn.XLOOKUP(CARTERA_2026[[#This Row],[REGION]],dimensiones!C:C,dimensiones!D:D,"")</f>
        <v>Región de Metropolitana de Santiago</v>
      </c>
    </row>
    <row r="985" spans="1:10" ht="14.25" customHeight="1" x14ac:dyDescent="0.25">
      <c r="A985">
        <v>763909670</v>
      </c>
      <c r="B985" t="s">
        <v>5494</v>
      </c>
      <c r="C985" t="s">
        <v>4391</v>
      </c>
      <c r="D985">
        <v>13</v>
      </c>
      <c r="E985" t="s">
        <v>4445</v>
      </c>
      <c r="F985" t="s">
        <v>5495</v>
      </c>
      <c r="G985" t="s">
        <v>5568</v>
      </c>
      <c r="H985" t="s">
        <v>4915</v>
      </c>
      <c r="I985" s="79" t="str">
        <f>IF(CARTERA_2026[[#This Row],[RUT]]=774097899,"DIST",_xlfn.XLOOKUP(CARTERA_2026[[#This Row],[VENDEDOR]],dimensiones!$C$21:$C$28,dimensiones!$D$21:$D$28,""))</f>
        <v>ATEL</v>
      </c>
      <c r="J985" s="125" t="str">
        <f>_xlfn.XLOOKUP(CARTERA_2026[[#This Row],[REGION]],dimensiones!C:C,dimensiones!D:D,"")</f>
        <v>Región de Metropolitana de Santiago</v>
      </c>
    </row>
    <row r="986" spans="1:10" ht="14.25" customHeight="1" x14ac:dyDescent="0.25">
      <c r="A986">
        <v>763991776</v>
      </c>
      <c r="B986" t="s">
        <v>820</v>
      </c>
      <c r="C986" t="s">
        <v>4292</v>
      </c>
      <c r="D986">
        <v>10</v>
      </c>
      <c r="E986" t="s">
        <v>4445</v>
      </c>
      <c r="F986" t="s">
        <v>2588</v>
      </c>
      <c r="G986" t="s">
        <v>5570</v>
      </c>
      <c r="H986" t="s">
        <v>4915</v>
      </c>
      <c r="I986" s="79" t="str">
        <f>IF(CARTERA_2026[[#This Row],[RUT]]=774097899,"DIST",_xlfn.XLOOKUP(CARTERA_2026[[#This Row],[VENDEDOR]],dimensiones!$C$21:$C$28,dimensiones!$D$21:$D$28,""))</f>
        <v>ATEL</v>
      </c>
      <c r="J986" s="125" t="str">
        <f>_xlfn.XLOOKUP(CARTERA_2026[[#This Row],[REGION]],dimensiones!C:C,dimensiones!D:D,"")</f>
        <v>Región de Los Lagos</v>
      </c>
    </row>
    <row r="987" spans="1:10" ht="14.25" customHeight="1" x14ac:dyDescent="0.25">
      <c r="A987">
        <v>764003837</v>
      </c>
      <c r="B987" t="s">
        <v>821</v>
      </c>
      <c r="C987" t="s">
        <v>4460</v>
      </c>
      <c r="D987">
        <v>8</v>
      </c>
      <c r="E987" t="s">
        <v>4445</v>
      </c>
      <c r="F987" t="s">
        <v>2180</v>
      </c>
      <c r="G987" t="s">
        <v>5568</v>
      </c>
      <c r="H987" t="s">
        <v>4915</v>
      </c>
      <c r="I987" s="79" t="str">
        <f>IF(CARTERA_2026[[#This Row],[RUT]]=774097899,"DIST",_xlfn.XLOOKUP(CARTERA_2026[[#This Row],[VENDEDOR]],dimensiones!$C$21:$C$28,dimensiones!$D$21:$D$28,""))</f>
        <v>ATEL</v>
      </c>
      <c r="J987" s="125" t="str">
        <f>_xlfn.XLOOKUP(CARTERA_2026[[#This Row],[REGION]],dimensiones!C:C,dimensiones!D:D,"")</f>
        <v>Región de Biobío</v>
      </c>
    </row>
    <row r="988" spans="1:10" ht="14.25" customHeight="1" x14ac:dyDescent="0.25">
      <c r="A988">
        <v>764074270</v>
      </c>
      <c r="B988" t="s">
        <v>480</v>
      </c>
      <c r="C988" t="s">
        <v>4391</v>
      </c>
      <c r="D988">
        <v>13</v>
      </c>
      <c r="E988" t="s">
        <v>4445</v>
      </c>
      <c r="F988" t="s">
        <v>2592</v>
      </c>
      <c r="G988" t="s">
        <v>5570</v>
      </c>
      <c r="H988" t="s">
        <v>4915</v>
      </c>
      <c r="I988" s="79" t="str">
        <f>IF(CARTERA_2026[[#This Row],[RUT]]=774097899,"DIST",_xlfn.XLOOKUP(CARTERA_2026[[#This Row],[VENDEDOR]],dimensiones!$C$21:$C$28,dimensiones!$D$21:$D$28,""))</f>
        <v>ATEL</v>
      </c>
      <c r="J988" s="125" t="str">
        <f>_xlfn.XLOOKUP(CARTERA_2026[[#This Row],[REGION]],dimensiones!C:C,dimensiones!D:D,"")</f>
        <v>Región de Metropolitana de Santiago</v>
      </c>
    </row>
    <row r="989" spans="1:10" ht="14.25" customHeight="1" x14ac:dyDescent="0.25">
      <c r="A989">
        <v>764164660</v>
      </c>
      <c r="B989" t="s">
        <v>481</v>
      </c>
      <c r="C989" t="s">
        <v>4390</v>
      </c>
      <c r="D989">
        <v>13</v>
      </c>
      <c r="E989" t="s">
        <v>4445</v>
      </c>
      <c r="F989" t="s">
        <v>1717</v>
      </c>
      <c r="G989" t="s">
        <v>5568</v>
      </c>
      <c r="H989" t="s">
        <v>4915</v>
      </c>
      <c r="I989" s="79" t="str">
        <f>IF(CARTERA_2026[[#This Row],[RUT]]=774097899,"DIST",_xlfn.XLOOKUP(CARTERA_2026[[#This Row],[VENDEDOR]],dimensiones!$C$21:$C$28,dimensiones!$D$21:$D$28,""))</f>
        <v>ATEL</v>
      </c>
      <c r="J989" s="125" t="str">
        <f>_xlfn.XLOOKUP(CARTERA_2026[[#This Row],[REGION]],dimensiones!C:C,dimensiones!D:D,"")</f>
        <v>Región de Metropolitana de Santiago</v>
      </c>
    </row>
    <row r="990" spans="1:10" ht="14.25" customHeight="1" x14ac:dyDescent="0.25">
      <c r="A990">
        <v>764250249</v>
      </c>
      <c r="B990" t="s">
        <v>5763</v>
      </c>
      <c r="C990" t="s">
        <v>4491</v>
      </c>
      <c r="D990">
        <v>6</v>
      </c>
      <c r="E990" t="s">
        <v>4445</v>
      </c>
      <c r="F990" t="s">
        <v>5764</v>
      </c>
      <c r="G990" t="s">
        <v>5570</v>
      </c>
      <c r="H990" t="s">
        <v>5660</v>
      </c>
      <c r="I990" s="79" t="str">
        <f>IF(CARTERA_2026[[#This Row],[RUT]]=774097899,"DIST",_xlfn.XLOOKUP(CARTERA_2026[[#This Row],[VENDEDOR]],dimensiones!$C$21:$C$28,dimensiones!$D$21:$D$28,""))</f>
        <v>ATEL</v>
      </c>
      <c r="J990" s="125" t="str">
        <f>_xlfn.XLOOKUP(CARTERA_2026[[#This Row],[REGION]],dimensiones!C:C,dimensiones!D:D,"")</f>
        <v>Región de Libertador General Bernardo O'Higgins</v>
      </c>
    </row>
    <row r="991" spans="1:10" ht="14.25" customHeight="1" x14ac:dyDescent="0.25">
      <c r="A991">
        <v>764254597</v>
      </c>
      <c r="B991" t="s">
        <v>482</v>
      </c>
      <c r="C991" t="s">
        <v>4449</v>
      </c>
      <c r="D991">
        <v>13</v>
      </c>
      <c r="E991" t="s">
        <v>4445</v>
      </c>
      <c r="F991" t="s">
        <v>2597</v>
      </c>
      <c r="G991" t="s">
        <v>5570</v>
      </c>
      <c r="H991" t="s">
        <v>4915</v>
      </c>
      <c r="I991" s="79" t="str">
        <f>IF(CARTERA_2026[[#This Row],[RUT]]=774097899,"DIST",_xlfn.XLOOKUP(CARTERA_2026[[#This Row],[VENDEDOR]],dimensiones!$C$21:$C$28,dimensiones!$D$21:$D$28,""))</f>
        <v>ATEL</v>
      </c>
      <c r="J991" s="125" t="str">
        <f>_xlfn.XLOOKUP(CARTERA_2026[[#This Row],[REGION]],dimensiones!C:C,dimensiones!D:D,"")</f>
        <v>Región de Metropolitana de Santiago</v>
      </c>
    </row>
    <row r="992" spans="1:10" ht="14.25" customHeight="1" x14ac:dyDescent="0.25">
      <c r="A992">
        <v>764259122</v>
      </c>
      <c r="B992" t="s">
        <v>931</v>
      </c>
      <c r="C992" t="s">
        <v>4497</v>
      </c>
      <c r="D992">
        <v>8</v>
      </c>
      <c r="E992" t="s">
        <v>4445</v>
      </c>
      <c r="F992" t="s">
        <v>2599</v>
      </c>
      <c r="G992" t="s">
        <v>5570</v>
      </c>
      <c r="H992" t="s">
        <v>4915</v>
      </c>
      <c r="I992" s="79" t="str">
        <f>IF(CARTERA_2026[[#This Row],[RUT]]=774097899,"DIST",_xlfn.XLOOKUP(CARTERA_2026[[#This Row],[VENDEDOR]],dimensiones!$C$21:$C$28,dimensiones!$D$21:$D$28,""))</f>
        <v>ATEL</v>
      </c>
      <c r="J992" s="125" t="str">
        <f>_xlfn.XLOOKUP(CARTERA_2026[[#This Row],[REGION]],dimensiones!C:C,dimensiones!D:D,"")</f>
        <v>Región de Biobío</v>
      </c>
    </row>
    <row r="993" spans="1:10" ht="14.25" customHeight="1" x14ac:dyDescent="0.25">
      <c r="A993">
        <v>764447409</v>
      </c>
      <c r="B993" t="s">
        <v>114</v>
      </c>
      <c r="C993" t="s">
        <v>4292</v>
      </c>
      <c r="D993">
        <v>10</v>
      </c>
      <c r="E993" t="s">
        <v>4454</v>
      </c>
      <c r="F993" t="s">
        <v>2833</v>
      </c>
      <c r="G993" t="s">
        <v>5570</v>
      </c>
      <c r="H993" t="s">
        <v>4915</v>
      </c>
      <c r="I993" s="79" t="str">
        <f>IF(CARTERA_2026[[#This Row],[RUT]]=774097899,"DIST",_xlfn.XLOOKUP(CARTERA_2026[[#This Row],[VENDEDOR]],dimensiones!$C$21:$C$28,dimensiones!$D$21:$D$28,""))</f>
        <v>SUR2</v>
      </c>
      <c r="J993" s="125" t="str">
        <f>_xlfn.XLOOKUP(CARTERA_2026[[#This Row],[REGION]],dimensiones!C:C,dimensiones!D:D,"")</f>
        <v>Región de Los Lagos</v>
      </c>
    </row>
    <row r="994" spans="1:10" ht="14.25" customHeight="1" x14ac:dyDescent="0.25">
      <c r="A994">
        <v>764497848</v>
      </c>
      <c r="B994" t="s">
        <v>2605</v>
      </c>
      <c r="C994" t="s">
        <v>4264</v>
      </c>
      <c r="D994">
        <v>7</v>
      </c>
      <c r="E994" t="s">
        <v>4445</v>
      </c>
      <c r="F994" t="s">
        <v>2604</v>
      </c>
      <c r="G994" t="s">
        <v>5570</v>
      </c>
      <c r="H994" t="s">
        <v>4915</v>
      </c>
      <c r="I994" s="79" t="str">
        <f>IF(CARTERA_2026[[#This Row],[RUT]]=774097899,"DIST",_xlfn.XLOOKUP(CARTERA_2026[[#This Row],[VENDEDOR]],dimensiones!$C$21:$C$28,dimensiones!$D$21:$D$28,""))</f>
        <v>ATEL</v>
      </c>
      <c r="J994" s="125" t="str">
        <f>_xlfn.XLOOKUP(CARTERA_2026[[#This Row],[REGION]],dimensiones!C:C,dimensiones!D:D,"")</f>
        <v>Región de Maule</v>
      </c>
    </row>
    <row r="995" spans="1:10" ht="14.25" customHeight="1" x14ac:dyDescent="0.25">
      <c r="A995">
        <v>764520084</v>
      </c>
      <c r="B995" t="s">
        <v>3795</v>
      </c>
      <c r="C995" t="s">
        <v>4456</v>
      </c>
      <c r="D995">
        <v>13</v>
      </c>
      <c r="E995" t="s">
        <v>4445</v>
      </c>
      <c r="F995" t="s">
        <v>3794</v>
      </c>
      <c r="G995" t="s">
        <v>5568</v>
      </c>
      <c r="H995" t="s">
        <v>4915</v>
      </c>
      <c r="I995" s="79" t="str">
        <f>IF(CARTERA_2026[[#This Row],[RUT]]=774097899,"DIST",_xlfn.XLOOKUP(CARTERA_2026[[#This Row],[VENDEDOR]],dimensiones!$C$21:$C$28,dimensiones!$D$21:$D$28,""))</f>
        <v>ATEL</v>
      </c>
      <c r="J995" s="125" t="str">
        <f>_xlfn.XLOOKUP(CARTERA_2026[[#This Row],[REGION]],dimensiones!C:C,dimensiones!D:D,"")</f>
        <v>Región de Metropolitana de Santiago</v>
      </c>
    </row>
    <row r="996" spans="1:10" ht="14.25" customHeight="1" x14ac:dyDescent="0.25">
      <c r="A996">
        <v>764523776</v>
      </c>
      <c r="B996" t="s">
        <v>483</v>
      </c>
      <c r="C996" t="s">
        <v>4460</v>
      </c>
      <c r="D996">
        <v>8</v>
      </c>
      <c r="E996" t="s">
        <v>4445</v>
      </c>
      <c r="F996" t="s">
        <v>2607</v>
      </c>
      <c r="G996" t="s">
        <v>5570</v>
      </c>
      <c r="H996" t="s">
        <v>4915</v>
      </c>
      <c r="I996" s="79" t="str">
        <f>IF(CARTERA_2026[[#This Row],[RUT]]=774097899,"DIST",_xlfn.XLOOKUP(CARTERA_2026[[#This Row],[VENDEDOR]],dimensiones!$C$21:$C$28,dimensiones!$D$21:$D$28,""))</f>
        <v>ATEL</v>
      </c>
      <c r="J996" s="125" t="str">
        <f>_xlfn.XLOOKUP(CARTERA_2026[[#This Row],[REGION]],dimensiones!C:C,dimensiones!D:D,"")</f>
        <v>Región de Biobío</v>
      </c>
    </row>
    <row r="997" spans="1:10" ht="14.25" customHeight="1" x14ac:dyDescent="0.25">
      <c r="A997">
        <v>764534581</v>
      </c>
      <c r="B997" t="s">
        <v>484</v>
      </c>
      <c r="C997" t="s">
        <v>4465</v>
      </c>
      <c r="D997">
        <v>13</v>
      </c>
      <c r="E997" t="s">
        <v>4445</v>
      </c>
      <c r="F997" t="s">
        <v>1610</v>
      </c>
      <c r="G997" t="s">
        <v>5570</v>
      </c>
      <c r="H997" t="s">
        <v>4915</v>
      </c>
      <c r="I997" s="79" t="str">
        <f>IF(CARTERA_2026[[#This Row],[RUT]]=774097899,"DIST",_xlfn.XLOOKUP(CARTERA_2026[[#This Row],[VENDEDOR]],dimensiones!$C$21:$C$28,dimensiones!$D$21:$D$28,""))</f>
        <v>ATEL</v>
      </c>
      <c r="J997" s="125" t="str">
        <f>_xlfn.XLOOKUP(CARTERA_2026[[#This Row],[REGION]],dimensiones!C:C,dimensiones!D:D,"")</f>
        <v>Región de Metropolitana de Santiago</v>
      </c>
    </row>
    <row r="998" spans="1:10" ht="14.25" customHeight="1" x14ac:dyDescent="0.25">
      <c r="A998">
        <v>764605608</v>
      </c>
      <c r="B998" t="s">
        <v>822</v>
      </c>
      <c r="C998" t="s">
        <v>4187</v>
      </c>
      <c r="D998">
        <v>13</v>
      </c>
      <c r="E998" t="s">
        <v>4445</v>
      </c>
      <c r="F998" t="s">
        <v>3939</v>
      </c>
      <c r="G998" t="s">
        <v>5568</v>
      </c>
      <c r="H998" t="s">
        <v>4915</v>
      </c>
      <c r="I998" s="79" t="str">
        <f>IF(CARTERA_2026[[#This Row],[RUT]]=774097899,"DIST",_xlfn.XLOOKUP(CARTERA_2026[[#This Row],[VENDEDOR]],dimensiones!$C$21:$C$28,dimensiones!$D$21:$D$28,""))</f>
        <v>ATEL</v>
      </c>
      <c r="J998" s="125" t="str">
        <f>_xlfn.XLOOKUP(CARTERA_2026[[#This Row],[REGION]],dimensiones!C:C,dimensiones!D:D,"")</f>
        <v>Región de Metropolitana de Santiago</v>
      </c>
    </row>
    <row r="999" spans="1:10" ht="14.25" customHeight="1" x14ac:dyDescent="0.25">
      <c r="A999">
        <v>764614062</v>
      </c>
      <c r="B999" t="s">
        <v>823</v>
      </c>
      <c r="C999" t="s">
        <v>4237</v>
      </c>
      <c r="D999">
        <v>2</v>
      </c>
      <c r="E999" t="s">
        <v>4445</v>
      </c>
      <c r="F999" t="s">
        <v>3941</v>
      </c>
      <c r="G999" t="s">
        <v>5568</v>
      </c>
      <c r="H999" t="s">
        <v>4915</v>
      </c>
      <c r="I999" s="79" t="str">
        <f>IF(CARTERA_2026[[#This Row],[RUT]]=774097899,"DIST",_xlfn.XLOOKUP(CARTERA_2026[[#This Row],[VENDEDOR]],dimensiones!$C$21:$C$28,dimensiones!$D$21:$D$28,""))</f>
        <v>ATEL</v>
      </c>
      <c r="J999" s="125" t="str">
        <f>_xlfn.XLOOKUP(CARTERA_2026[[#This Row],[REGION]],dimensiones!C:C,dimensiones!D:D,"")</f>
        <v>Región de Antofagasta</v>
      </c>
    </row>
    <row r="1000" spans="1:10" ht="14.25" customHeight="1" x14ac:dyDescent="0.25">
      <c r="A1000" t="s">
        <v>5661</v>
      </c>
      <c r="B1000" t="s">
        <v>5662</v>
      </c>
      <c r="C1000" t="s">
        <v>4395</v>
      </c>
      <c r="D1000">
        <v>13</v>
      </c>
      <c r="E1000" t="s">
        <v>4445</v>
      </c>
      <c r="F1000" t="s">
        <v>5663</v>
      </c>
      <c r="G1000" t="s">
        <v>5568</v>
      </c>
      <c r="H1000" t="s">
        <v>4915</v>
      </c>
      <c r="I1000" s="79" t="str">
        <f>IF(CARTERA_2026[[#This Row],[RUT]]=774097899,"DIST",_xlfn.XLOOKUP(CARTERA_2026[[#This Row],[VENDEDOR]],dimensiones!$C$21:$C$28,dimensiones!$D$21:$D$28,""))</f>
        <v>ATEL</v>
      </c>
      <c r="J1000" s="125" t="str">
        <f>_xlfn.XLOOKUP(CARTERA_2026[[#This Row],[REGION]],dimensiones!C:C,dimensiones!D:D,"")</f>
        <v>Región de Metropolitana de Santiago</v>
      </c>
    </row>
    <row r="1001" spans="1:10" ht="14.25" customHeight="1" x14ac:dyDescent="0.25">
      <c r="A1001">
        <v>764715128</v>
      </c>
      <c r="B1001" t="s">
        <v>4965</v>
      </c>
      <c r="C1001" t="s">
        <v>4218</v>
      </c>
      <c r="D1001">
        <v>9</v>
      </c>
      <c r="E1001" t="s">
        <v>4445</v>
      </c>
      <c r="F1001" t="s">
        <v>4966</v>
      </c>
      <c r="G1001" t="s">
        <v>5568</v>
      </c>
      <c r="H1001" t="s">
        <v>4915</v>
      </c>
      <c r="I1001" s="79" t="str">
        <f>IF(CARTERA_2026[[#This Row],[RUT]]=774097899,"DIST",_xlfn.XLOOKUP(CARTERA_2026[[#This Row],[VENDEDOR]],dimensiones!$C$21:$C$28,dimensiones!$D$21:$D$28,""))</f>
        <v>ATEL</v>
      </c>
      <c r="J1001" s="125" t="str">
        <f>_xlfn.XLOOKUP(CARTERA_2026[[#This Row],[REGION]],dimensiones!C:C,dimensiones!D:D,"")</f>
        <v>Región de La Araucanía</v>
      </c>
    </row>
    <row r="1002" spans="1:10" ht="14.25" customHeight="1" x14ac:dyDescent="0.25">
      <c r="A1002">
        <v>764717384</v>
      </c>
      <c r="B1002" t="s">
        <v>3276</v>
      </c>
      <c r="C1002" t="s">
        <v>4460</v>
      </c>
      <c r="D1002">
        <v>8</v>
      </c>
      <c r="E1002" t="s">
        <v>4445</v>
      </c>
      <c r="F1002" t="s">
        <v>3275</v>
      </c>
      <c r="G1002" t="s">
        <v>5568</v>
      </c>
      <c r="H1002" t="s">
        <v>4915</v>
      </c>
      <c r="I1002" s="79" t="str">
        <f>IF(CARTERA_2026[[#This Row],[RUT]]=774097899,"DIST",_xlfn.XLOOKUP(CARTERA_2026[[#This Row],[VENDEDOR]],dimensiones!$C$21:$C$28,dimensiones!$D$21:$D$28,""))</f>
        <v>ATEL</v>
      </c>
      <c r="J1002" s="125" t="str">
        <f>_xlfn.XLOOKUP(CARTERA_2026[[#This Row],[REGION]],dimensiones!C:C,dimensiones!D:D,"")</f>
        <v>Región de Biobío</v>
      </c>
    </row>
    <row r="1003" spans="1:10" ht="14.25" customHeight="1" x14ac:dyDescent="0.25">
      <c r="A1003">
        <v>764755081</v>
      </c>
      <c r="B1003" t="s">
        <v>3944</v>
      </c>
      <c r="C1003" t="s">
        <v>4551</v>
      </c>
      <c r="D1003">
        <v>13</v>
      </c>
      <c r="E1003" t="s">
        <v>4445</v>
      </c>
      <c r="F1003" t="s">
        <v>3943</v>
      </c>
      <c r="G1003" t="s">
        <v>5569</v>
      </c>
      <c r="H1003" t="s">
        <v>4915</v>
      </c>
      <c r="I1003" s="79" t="str">
        <f>IF(CARTERA_2026[[#This Row],[RUT]]=774097899,"DIST",_xlfn.XLOOKUP(CARTERA_2026[[#This Row],[VENDEDOR]],dimensiones!$C$21:$C$28,dimensiones!$D$21:$D$28,""))</f>
        <v>ATEL</v>
      </c>
      <c r="J1003" s="125" t="str">
        <f>_xlfn.XLOOKUP(CARTERA_2026[[#This Row],[REGION]],dimensiones!C:C,dimensiones!D:D,"")</f>
        <v>Región de Metropolitana de Santiago</v>
      </c>
    </row>
    <row r="1004" spans="1:10" ht="14.25" customHeight="1" x14ac:dyDescent="0.25">
      <c r="A1004">
        <v>764760271</v>
      </c>
      <c r="B1004" t="s">
        <v>485</v>
      </c>
      <c r="C1004" t="s">
        <v>4341</v>
      </c>
      <c r="D1004">
        <v>7</v>
      </c>
      <c r="E1004" t="s">
        <v>4445</v>
      </c>
      <c r="F1004" t="s">
        <v>3946</v>
      </c>
      <c r="G1004" t="s">
        <v>5570</v>
      </c>
      <c r="H1004" t="s">
        <v>4915</v>
      </c>
      <c r="I1004" s="79" t="str">
        <f>IF(CARTERA_2026[[#This Row],[RUT]]=774097899,"DIST",_xlfn.XLOOKUP(CARTERA_2026[[#This Row],[VENDEDOR]],dimensiones!$C$21:$C$28,dimensiones!$D$21:$D$28,""))</f>
        <v>ATEL</v>
      </c>
      <c r="J1004" s="125" t="str">
        <f>_xlfn.XLOOKUP(CARTERA_2026[[#This Row],[REGION]],dimensiones!C:C,dimensiones!D:D,"")</f>
        <v>Región de Maule</v>
      </c>
    </row>
    <row r="1005" spans="1:10" ht="14.25" customHeight="1" x14ac:dyDescent="0.25">
      <c r="A1005">
        <v>764793692</v>
      </c>
      <c r="B1005" t="s">
        <v>825</v>
      </c>
      <c r="C1005" t="s">
        <v>4391</v>
      </c>
      <c r="D1005">
        <v>13</v>
      </c>
      <c r="E1005" t="s">
        <v>4445</v>
      </c>
      <c r="F1005" t="s">
        <v>3948</v>
      </c>
      <c r="G1005" t="s">
        <v>5570</v>
      </c>
      <c r="H1005" t="s">
        <v>4915</v>
      </c>
      <c r="I1005" s="79" t="str">
        <f>IF(CARTERA_2026[[#This Row],[RUT]]=774097899,"DIST",_xlfn.XLOOKUP(CARTERA_2026[[#This Row],[VENDEDOR]],dimensiones!$C$21:$C$28,dimensiones!$D$21:$D$28,""))</f>
        <v>ATEL</v>
      </c>
      <c r="J1005" s="125" t="str">
        <f>_xlfn.XLOOKUP(CARTERA_2026[[#This Row],[REGION]],dimensiones!C:C,dimensiones!D:D,"")</f>
        <v>Región de Metropolitana de Santiago</v>
      </c>
    </row>
    <row r="1006" spans="1:10" ht="14.25" customHeight="1" x14ac:dyDescent="0.25">
      <c r="A1006">
        <v>764797507</v>
      </c>
      <c r="B1006" t="s">
        <v>932</v>
      </c>
      <c r="C1006" t="s">
        <v>4395</v>
      </c>
      <c r="D1006">
        <v>13</v>
      </c>
      <c r="E1006" t="s">
        <v>4445</v>
      </c>
      <c r="F1006" t="s">
        <v>3950</v>
      </c>
      <c r="G1006" t="s">
        <v>5568</v>
      </c>
      <c r="H1006" t="s">
        <v>4915</v>
      </c>
      <c r="I1006" s="79" t="str">
        <f>IF(CARTERA_2026[[#This Row],[RUT]]=774097899,"DIST",_xlfn.XLOOKUP(CARTERA_2026[[#This Row],[VENDEDOR]],dimensiones!$C$21:$C$28,dimensiones!$D$21:$D$28,""))</f>
        <v>ATEL</v>
      </c>
      <c r="J1006" s="125" t="str">
        <f>_xlfn.XLOOKUP(CARTERA_2026[[#This Row],[REGION]],dimensiones!C:C,dimensiones!D:D,"")</f>
        <v>Región de Metropolitana de Santiago</v>
      </c>
    </row>
    <row r="1007" spans="1:10" ht="14.25" customHeight="1" x14ac:dyDescent="0.25">
      <c r="A1007" t="s">
        <v>156</v>
      </c>
      <c r="B1007" t="s">
        <v>3920</v>
      </c>
      <c r="C1007" t="s">
        <v>4391</v>
      </c>
      <c r="D1007">
        <v>13</v>
      </c>
      <c r="E1007" t="s">
        <v>4445</v>
      </c>
      <c r="F1007" t="s">
        <v>3919</v>
      </c>
      <c r="G1007" t="s">
        <v>5570</v>
      </c>
      <c r="H1007" t="s">
        <v>4915</v>
      </c>
      <c r="I1007" s="79" t="str">
        <f>IF(CARTERA_2026[[#This Row],[RUT]]=774097899,"DIST",_xlfn.XLOOKUP(CARTERA_2026[[#This Row],[VENDEDOR]],dimensiones!$C$21:$C$28,dimensiones!$D$21:$D$28,""))</f>
        <v>ATEL</v>
      </c>
      <c r="J1007" s="125" t="str">
        <f>_xlfn.XLOOKUP(CARTERA_2026[[#This Row],[REGION]],dimensiones!C:C,dimensiones!D:D,"")</f>
        <v>Región de Metropolitana de Santiago</v>
      </c>
    </row>
    <row r="1008" spans="1:10" ht="14.25" customHeight="1" x14ac:dyDescent="0.25">
      <c r="A1008">
        <v>764831675</v>
      </c>
      <c r="B1008" t="s">
        <v>3954</v>
      </c>
      <c r="C1008" t="s">
        <v>4490</v>
      </c>
      <c r="D1008">
        <v>5</v>
      </c>
      <c r="E1008" t="s">
        <v>4445</v>
      </c>
      <c r="F1008" t="s">
        <v>3953</v>
      </c>
      <c r="G1008" t="s">
        <v>5568</v>
      </c>
      <c r="H1008" t="s">
        <v>4915</v>
      </c>
      <c r="I1008" s="79" t="str">
        <f>IF(CARTERA_2026[[#This Row],[RUT]]=774097899,"DIST",_xlfn.XLOOKUP(CARTERA_2026[[#This Row],[VENDEDOR]],dimensiones!$C$21:$C$28,dimensiones!$D$21:$D$28,""))</f>
        <v>ATEL</v>
      </c>
      <c r="J1008" s="125" t="str">
        <f>_xlfn.XLOOKUP(CARTERA_2026[[#This Row],[REGION]],dimensiones!C:C,dimensiones!D:D,"")</f>
        <v>Región de Valparaíso</v>
      </c>
    </row>
    <row r="1009" spans="1:10" ht="14.25" customHeight="1" x14ac:dyDescent="0.25">
      <c r="A1009">
        <v>764898419</v>
      </c>
      <c r="B1009" t="s">
        <v>5588</v>
      </c>
      <c r="C1009" t="s">
        <v>4190</v>
      </c>
      <c r="D1009">
        <v>10</v>
      </c>
      <c r="E1009" t="s">
        <v>4445</v>
      </c>
      <c r="F1009" t="s">
        <v>4878</v>
      </c>
      <c r="G1009" t="s">
        <v>5568</v>
      </c>
      <c r="H1009" t="s">
        <v>4915</v>
      </c>
      <c r="I1009" s="79" t="str">
        <f>IF(CARTERA_2026[[#This Row],[RUT]]=774097899,"DIST",_xlfn.XLOOKUP(CARTERA_2026[[#This Row],[VENDEDOR]],dimensiones!$C$21:$C$28,dimensiones!$D$21:$D$28,""))</f>
        <v>ATEL</v>
      </c>
      <c r="J1009" s="125" t="str">
        <f>_xlfn.XLOOKUP(CARTERA_2026[[#This Row],[REGION]],dimensiones!C:C,dimensiones!D:D,"")</f>
        <v>Región de Los Lagos</v>
      </c>
    </row>
    <row r="1010" spans="1:10" ht="14.25" customHeight="1" x14ac:dyDescent="0.25">
      <c r="A1010">
        <v>764919629</v>
      </c>
      <c r="B1010" t="s">
        <v>486</v>
      </c>
      <c r="C1010" t="s">
        <v>4510</v>
      </c>
      <c r="D1010">
        <v>13</v>
      </c>
      <c r="E1010" t="s">
        <v>4445</v>
      </c>
      <c r="F1010" t="s">
        <v>3956</v>
      </c>
      <c r="G1010" t="s">
        <v>5568</v>
      </c>
      <c r="H1010" t="s">
        <v>4915</v>
      </c>
      <c r="I1010" s="79" t="str">
        <f>IF(CARTERA_2026[[#This Row],[RUT]]=774097899,"DIST",_xlfn.XLOOKUP(CARTERA_2026[[#This Row],[VENDEDOR]],dimensiones!$C$21:$C$28,dimensiones!$D$21:$D$28,""))</f>
        <v>ATEL</v>
      </c>
      <c r="J1010" s="125" t="str">
        <f>_xlfn.XLOOKUP(CARTERA_2026[[#This Row],[REGION]],dimensiones!C:C,dimensiones!D:D,"")</f>
        <v>Región de Metropolitana de Santiago</v>
      </c>
    </row>
    <row r="1011" spans="1:10" ht="14.25" customHeight="1" x14ac:dyDescent="0.25">
      <c r="A1011">
        <v>764954165</v>
      </c>
      <c r="B1011" t="s">
        <v>487</v>
      </c>
      <c r="C1011" t="s">
        <v>4391</v>
      </c>
      <c r="D1011">
        <v>13</v>
      </c>
      <c r="E1011" t="s">
        <v>4445</v>
      </c>
      <c r="F1011" t="s">
        <v>1780</v>
      </c>
      <c r="G1011" t="s">
        <v>5570</v>
      </c>
      <c r="H1011" t="s">
        <v>4915</v>
      </c>
      <c r="I1011" s="79" t="str">
        <f>IF(CARTERA_2026[[#This Row],[RUT]]=774097899,"DIST",_xlfn.XLOOKUP(CARTERA_2026[[#This Row],[VENDEDOR]],dimensiones!$C$21:$C$28,dimensiones!$D$21:$D$28,""))</f>
        <v>ATEL</v>
      </c>
      <c r="J1011" s="125" t="str">
        <f>_xlfn.XLOOKUP(CARTERA_2026[[#This Row],[REGION]],dimensiones!C:C,dimensiones!D:D,"")</f>
        <v>Región de Metropolitana de Santiago</v>
      </c>
    </row>
    <row r="1012" spans="1:10" ht="14.25" customHeight="1" x14ac:dyDescent="0.25">
      <c r="A1012">
        <v>765012791</v>
      </c>
      <c r="B1012" t="s">
        <v>826</v>
      </c>
      <c r="C1012" t="s">
        <v>4383</v>
      </c>
      <c r="D1012">
        <v>13</v>
      </c>
      <c r="E1012" t="s">
        <v>4445</v>
      </c>
      <c r="F1012" t="s">
        <v>3958</v>
      </c>
      <c r="G1012" t="s">
        <v>5568</v>
      </c>
      <c r="H1012" t="s">
        <v>4915</v>
      </c>
      <c r="I1012" s="79" t="str">
        <f>IF(CARTERA_2026[[#This Row],[RUT]]=774097899,"DIST",_xlfn.XLOOKUP(CARTERA_2026[[#This Row],[VENDEDOR]],dimensiones!$C$21:$C$28,dimensiones!$D$21:$D$28,""))</f>
        <v>ATEL</v>
      </c>
      <c r="J1012" s="125" t="str">
        <f>_xlfn.XLOOKUP(CARTERA_2026[[#This Row],[REGION]],dimensiones!C:C,dimensiones!D:D,"")</f>
        <v>Región de Metropolitana de Santiago</v>
      </c>
    </row>
    <row r="1013" spans="1:10" ht="14.25" customHeight="1" x14ac:dyDescent="0.25">
      <c r="A1013">
        <v>765020239</v>
      </c>
      <c r="B1013" t="s">
        <v>5742</v>
      </c>
      <c r="C1013" t="s">
        <v>4168</v>
      </c>
      <c r="D1013"/>
      <c r="E1013" t="s">
        <v>4445</v>
      </c>
      <c r="F1013" t="s">
        <v>5743</v>
      </c>
      <c r="G1013" t="s">
        <v>5569</v>
      </c>
      <c r="H1013" t="s">
        <v>4915</v>
      </c>
      <c r="I1013" s="79" t="str">
        <f>IF(CARTERA_2026[[#This Row],[RUT]]=774097899,"DIST",_xlfn.XLOOKUP(CARTERA_2026[[#This Row],[VENDEDOR]],dimensiones!$C$21:$C$28,dimensiones!$D$21:$D$28,""))</f>
        <v>ATEL</v>
      </c>
      <c r="J1013" s="125">
        <f>_xlfn.XLOOKUP(CARTERA_2026[[#This Row],[REGION]],dimensiones!C:C,dimensiones!D:D,"")</f>
        <v>0</v>
      </c>
    </row>
    <row r="1014" spans="1:10" ht="14.25" customHeight="1" x14ac:dyDescent="0.25">
      <c r="A1014" t="s">
        <v>708</v>
      </c>
      <c r="B1014" t="s">
        <v>709</v>
      </c>
      <c r="C1014" t="s">
        <v>4395</v>
      </c>
      <c r="D1014">
        <v>13</v>
      </c>
      <c r="E1014" t="s">
        <v>4445</v>
      </c>
      <c r="F1014" t="s">
        <v>3960</v>
      </c>
      <c r="G1014" t="s">
        <v>5568</v>
      </c>
      <c r="H1014" t="s">
        <v>4915</v>
      </c>
      <c r="I1014" s="79" t="str">
        <f>IF(CARTERA_2026[[#This Row],[RUT]]=774097899,"DIST",_xlfn.XLOOKUP(CARTERA_2026[[#This Row],[VENDEDOR]],dimensiones!$C$21:$C$28,dimensiones!$D$21:$D$28,""))</f>
        <v>ATEL</v>
      </c>
      <c r="J1014" s="125" t="str">
        <f>_xlfn.XLOOKUP(CARTERA_2026[[#This Row],[REGION]],dimensiones!C:C,dimensiones!D:D,"")</f>
        <v>Región de Metropolitana de Santiago</v>
      </c>
    </row>
    <row r="1015" spans="1:10" ht="14.25" customHeight="1" x14ac:dyDescent="0.25">
      <c r="A1015">
        <v>765149134</v>
      </c>
      <c r="B1015" t="s">
        <v>5434</v>
      </c>
      <c r="C1015" t="s">
        <v>4448</v>
      </c>
      <c r="D1015">
        <v>13</v>
      </c>
      <c r="E1015" t="s">
        <v>4445</v>
      </c>
      <c r="F1015" t="s">
        <v>5435</v>
      </c>
      <c r="G1015" t="s">
        <v>5568</v>
      </c>
      <c r="H1015" t="s">
        <v>4915</v>
      </c>
      <c r="I1015" s="79" t="str">
        <f>IF(CARTERA_2026[[#This Row],[RUT]]=774097899,"DIST",_xlfn.XLOOKUP(CARTERA_2026[[#This Row],[VENDEDOR]],dimensiones!$C$21:$C$28,dimensiones!$D$21:$D$28,""))</f>
        <v>ATEL</v>
      </c>
      <c r="J1015" s="125" t="str">
        <f>_xlfn.XLOOKUP(CARTERA_2026[[#This Row],[REGION]],dimensiones!C:C,dimensiones!D:D,"")</f>
        <v>Región de Metropolitana de Santiago</v>
      </c>
    </row>
    <row r="1016" spans="1:10" ht="14.25" customHeight="1" x14ac:dyDescent="0.25">
      <c r="A1016">
        <v>765150701</v>
      </c>
      <c r="B1016" t="s">
        <v>115</v>
      </c>
      <c r="C1016" t="s">
        <v>4495</v>
      </c>
      <c r="D1016">
        <v>16</v>
      </c>
      <c r="E1016" t="s">
        <v>4464</v>
      </c>
      <c r="F1016" t="s">
        <v>3601</v>
      </c>
      <c r="G1016" t="s">
        <v>5570</v>
      </c>
      <c r="H1016" t="s">
        <v>4915</v>
      </c>
      <c r="I1016" s="79" t="str">
        <f>IF(CARTERA_2026[[#This Row],[RUT]]=774097899,"DIST",_xlfn.XLOOKUP(CARTERA_2026[[#This Row],[VENDEDOR]],dimensiones!$C$21:$C$28,dimensiones!$D$21:$D$28,""))</f>
        <v>SUR1</v>
      </c>
      <c r="J1016" s="125" t="str">
        <f>_xlfn.XLOOKUP(CARTERA_2026[[#This Row],[REGION]],dimensiones!C:C,dimensiones!D:D,"")</f>
        <v>Región de Ñuble</v>
      </c>
    </row>
    <row r="1017" spans="1:10" ht="14.25" customHeight="1" x14ac:dyDescent="0.25">
      <c r="A1017">
        <v>765184304</v>
      </c>
      <c r="B1017" t="s">
        <v>3411</v>
      </c>
      <c r="C1017" t="s">
        <v>4381</v>
      </c>
      <c r="D1017">
        <v>13</v>
      </c>
      <c r="E1017" t="s">
        <v>4445</v>
      </c>
      <c r="F1017" t="s">
        <v>3410</v>
      </c>
      <c r="G1017" t="s">
        <v>5570</v>
      </c>
      <c r="H1017" t="s">
        <v>4915</v>
      </c>
      <c r="I1017" s="79" t="str">
        <f>IF(CARTERA_2026[[#This Row],[RUT]]=774097899,"DIST",_xlfn.XLOOKUP(CARTERA_2026[[#This Row],[VENDEDOR]],dimensiones!$C$21:$C$28,dimensiones!$D$21:$D$28,""))</f>
        <v>ATEL</v>
      </c>
      <c r="J1017" s="125" t="str">
        <f>_xlfn.XLOOKUP(CARTERA_2026[[#This Row],[REGION]],dimensiones!C:C,dimensiones!D:D,"")</f>
        <v>Región de Metropolitana de Santiago</v>
      </c>
    </row>
    <row r="1018" spans="1:10" ht="14.25" customHeight="1" x14ac:dyDescent="0.25">
      <c r="A1018">
        <v>765208491</v>
      </c>
      <c r="B1018" t="s">
        <v>488</v>
      </c>
      <c r="C1018" t="s">
        <v>4391</v>
      </c>
      <c r="D1018">
        <v>13</v>
      </c>
      <c r="E1018" t="s">
        <v>4445</v>
      </c>
      <c r="F1018" t="s">
        <v>3967</v>
      </c>
      <c r="G1018" t="s">
        <v>5570</v>
      </c>
      <c r="H1018" t="s">
        <v>4915</v>
      </c>
      <c r="I1018" s="79" t="str">
        <f>IF(CARTERA_2026[[#This Row],[RUT]]=774097899,"DIST",_xlfn.XLOOKUP(CARTERA_2026[[#This Row],[VENDEDOR]],dimensiones!$C$21:$C$28,dimensiones!$D$21:$D$28,""))</f>
        <v>ATEL</v>
      </c>
      <c r="J1018" s="125" t="str">
        <f>_xlfn.XLOOKUP(CARTERA_2026[[#This Row],[REGION]],dimensiones!C:C,dimensiones!D:D,"")</f>
        <v>Región de Metropolitana de Santiago</v>
      </c>
    </row>
    <row r="1019" spans="1:10" ht="14.25" customHeight="1" x14ac:dyDescent="0.25">
      <c r="A1019">
        <v>765255600</v>
      </c>
      <c r="B1019" t="s">
        <v>1081</v>
      </c>
      <c r="C1019" t="s">
        <v>4552</v>
      </c>
      <c r="D1019">
        <v>13</v>
      </c>
      <c r="E1019" t="s">
        <v>4445</v>
      </c>
      <c r="F1019" t="s">
        <v>2610</v>
      </c>
      <c r="G1019" t="s">
        <v>5570</v>
      </c>
      <c r="H1019" t="s">
        <v>4915</v>
      </c>
      <c r="I1019" s="79" t="str">
        <f>IF(CARTERA_2026[[#This Row],[RUT]]=774097899,"DIST",_xlfn.XLOOKUP(CARTERA_2026[[#This Row],[VENDEDOR]],dimensiones!$C$21:$C$28,dimensiones!$D$21:$D$28,""))</f>
        <v>ATEL</v>
      </c>
      <c r="J1019" s="125" t="str">
        <f>_xlfn.XLOOKUP(CARTERA_2026[[#This Row],[REGION]],dimensiones!C:C,dimensiones!D:D,"")</f>
        <v>Región de Metropolitana de Santiago</v>
      </c>
    </row>
    <row r="1020" spans="1:10" ht="14.25" customHeight="1" x14ac:dyDescent="0.25">
      <c r="A1020">
        <v>765276772</v>
      </c>
      <c r="B1020" t="s">
        <v>5744</v>
      </c>
      <c r="C1020" t="s">
        <v>4497</v>
      </c>
      <c r="D1020">
        <v>8</v>
      </c>
      <c r="E1020" t="s">
        <v>4445</v>
      </c>
      <c r="F1020" t="s">
        <v>5745</v>
      </c>
      <c r="G1020" t="s">
        <v>5568</v>
      </c>
      <c r="H1020" t="s">
        <v>4915</v>
      </c>
      <c r="I1020" s="79" t="str">
        <f>IF(CARTERA_2026[[#This Row],[RUT]]=774097899,"DIST",_xlfn.XLOOKUP(CARTERA_2026[[#This Row],[VENDEDOR]],dimensiones!$C$21:$C$28,dimensiones!$D$21:$D$28,""))</f>
        <v>ATEL</v>
      </c>
      <c r="J1020" s="125" t="str">
        <f>_xlfn.XLOOKUP(CARTERA_2026[[#This Row],[REGION]],dimensiones!C:C,dimensiones!D:D,"")</f>
        <v>Región de Biobío</v>
      </c>
    </row>
    <row r="1021" spans="1:10" ht="14.25" customHeight="1" x14ac:dyDescent="0.25">
      <c r="A1021">
        <v>765327229</v>
      </c>
      <c r="B1021" t="s">
        <v>489</v>
      </c>
      <c r="C1021" t="s">
        <v>4381</v>
      </c>
      <c r="D1021">
        <v>13</v>
      </c>
      <c r="E1021" t="s">
        <v>4445</v>
      </c>
      <c r="F1021" t="s">
        <v>2612</v>
      </c>
      <c r="G1021" t="s">
        <v>5568</v>
      </c>
      <c r="H1021" t="s">
        <v>4915</v>
      </c>
      <c r="I1021" s="79" t="str">
        <f>IF(CARTERA_2026[[#This Row],[RUT]]=774097899,"DIST",_xlfn.XLOOKUP(CARTERA_2026[[#This Row],[VENDEDOR]],dimensiones!$C$21:$C$28,dimensiones!$D$21:$D$28,""))</f>
        <v>ATEL</v>
      </c>
      <c r="J1021" s="125" t="str">
        <f>_xlfn.XLOOKUP(CARTERA_2026[[#This Row],[REGION]],dimensiones!C:C,dimensiones!D:D,"")</f>
        <v>Región de Metropolitana de Santiago</v>
      </c>
    </row>
    <row r="1022" spans="1:10" ht="14.25" customHeight="1" x14ac:dyDescent="0.25">
      <c r="A1022">
        <v>765444527</v>
      </c>
      <c r="B1022" t="s">
        <v>2615</v>
      </c>
      <c r="C1022" t="s">
        <v>4401</v>
      </c>
      <c r="D1022">
        <v>13</v>
      </c>
      <c r="E1022" t="s">
        <v>5563</v>
      </c>
      <c r="F1022" t="s">
        <v>2614</v>
      </c>
      <c r="G1022" t="s">
        <v>5568</v>
      </c>
      <c r="H1022" t="s">
        <v>4915</v>
      </c>
      <c r="I1022" s="79" t="str">
        <f>IF(CARTERA_2026[[#This Row],[RUT]]=774097899,"DIST",_xlfn.XLOOKUP(CARTERA_2026[[#This Row],[VENDEDOR]],dimensiones!$C$21:$C$28,dimensiones!$D$21:$D$28,""))</f>
        <v/>
      </c>
      <c r="J1022" s="125" t="str">
        <f>_xlfn.XLOOKUP(CARTERA_2026[[#This Row],[REGION]],dimensiones!C:C,dimensiones!D:D,"")</f>
        <v>Región de Metropolitana de Santiago</v>
      </c>
    </row>
    <row r="1023" spans="1:10" ht="14.25" customHeight="1" x14ac:dyDescent="0.25">
      <c r="A1023">
        <v>765464307</v>
      </c>
      <c r="B1023" t="s">
        <v>827</v>
      </c>
      <c r="C1023" t="s">
        <v>4465</v>
      </c>
      <c r="D1023">
        <v>13</v>
      </c>
      <c r="E1023" t="s">
        <v>4445</v>
      </c>
      <c r="F1023" t="s">
        <v>2617</v>
      </c>
      <c r="G1023" t="s">
        <v>5570</v>
      </c>
      <c r="H1023" t="s">
        <v>4915</v>
      </c>
      <c r="I1023" s="79" t="str">
        <f>IF(CARTERA_2026[[#This Row],[RUT]]=774097899,"DIST",_xlfn.XLOOKUP(CARTERA_2026[[#This Row],[VENDEDOR]],dimensiones!$C$21:$C$28,dimensiones!$D$21:$D$28,""))</f>
        <v>ATEL</v>
      </c>
      <c r="J1023" s="125" t="str">
        <f>_xlfn.XLOOKUP(CARTERA_2026[[#This Row],[REGION]],dimensiones!C:C,dimensiones!D:D,"")</f>
        <v>Región de Metropolitana de Santiago</v>
      </c>
    </row>
    <row r="1024" spans="1:10" ht="14.25" customHeight="1" x14ac:dyDescent="0.25">
      <c r="A1024">
        <v>765478049</v>
      </c>
      <c r="B1024" t="s">
        <v>490</v>
      </c>
      <c r="C1024" t="s">
        <v>4250</v>
      </c>
      <c r="D1024">
        <v>5</v>
      </c>
      <c r="E1024" t="s">
        <v>4445</v>
      </c>
      <c r="F1024" t="s">
        <v>2619</v>
      </c>
      <c r="G1024" t="s">
        <v>5570</v>
      </c>
      <c r="H1024" t="s">
        <v>4915</v>
      </c>
      <c r="I1024" s="79" t="str">
        <f>IF(CARTERA_2026[[#This Row],[RUT]]=774097899,"DIST",_xlfn.XLOOKUP(CARTERA_2026[[#This Row],[VENDEDOR]],dimensiones!$C$21:$C$28,dimensiones!$D$21:$D$28,""))</f>
        <v>ATEL</v>
      </c>
      <c r="J1024" s="125" t="str">
        <f>_xlfn.XLOOKUP(CARTERA_2026[[#This Row],[REGION]],dimensiones!C:C,dimensiones!D:D,"")</f>
        <v>Región de Valparaíso</v>
      </c>
    </row>
    <row r="1025" spans="1:10" ht="14.25" customHeight="1" x14ac:dyDescent="0.25">
      <c r="A1025">
        <v>765501296</v>
      </c>
      <c r="B1025" t="s">
        <v>1015</v>
      </c>
      <c r="C1025" t="s">
        <v>4395</v>
      </c>
      <c r="D1025">
        <v>13</v>
      </c>
      <c r="E1025" t="s">
        <v>4445</v>
      </c>
      <c r="F1025" t="s">
        <v>2204</v>
      </c>
      <c r="G1025" t="s">
        <v>5568</v>
      </c>
      <c r="H1025" t="s">
        <v>4915</v>
      </c>
      <c r="I1025" s="79" t="str">
        <f>IF(CARTERA_2026[[#This Row],[RUT]]=774097899,"DIST",_xlfn.XLOOKUP(CARTERA_2026[[#This Row],[VENDEDOR]],dimensiones!$C$21:$C$28,dimensiones!$D$21:$D$28,""))</f>
        <v>ATEL</v>
      </c>
      <c r="J1025" s="125" t="str">
        <f>_xlfn.XLOOKUP(CARTERA_2026[[#This Row],[REGION]],dimensiones!C:C,dimensiones!D:D,"")</f>
        <v>Región de Metropolitana de Santiago</v>
      </c>
    </row>
    <row r="1026" spans="1:10" ht="14.25" customHeight="1" x14ac:dyDescent="0.25">
      <c r="A1026" t="s">
        <v>710</v>
      </c>
      <c r="B1026" t="s">
        <v>881</v>
      </c>
      <c r="C1026" t="s">
        <v>4175</v>
      </c>
      <c r="D1026">
        <v>5</v>
      </c>
      <c r="E1026" t="s">
        <v>4445</v>
      </c>
      <c r="F1026" t="s">
        <v>2624</v>
      </c>
      <c r="G1026" t="s">
        <v>5568</v>
      </c>
      <c r="H1026" t="s">
        <v>4915</v>
      </c>
      <c r="I1026" s="79" t="str">
        <f>IF(CARTERA_2026[[#This Row],[RUT]]=774097899,"DIST",_xlfn.XLOOKUP(CARTERA_2026[[#This Row],[VENDEDOR]],dimensiones!$C$21:$C$28,dimensiones!$D$21:$D$28,""))</f>
        <v>ATEL</v>
      </c>
      <c r="J1026" s="125" t="str">
        <f>_xlfn.XLOOKUP(CARTERA_2026[[#This Row],[REGION]],dimensiones!C:C,dimensiones!D:D,"")</f>
        <v>Región de Valparaíso</v>
      </c>
    </row>
    <row r="1027" spans="1:10" ht="14.25" customHeight="1" x14ac:dyDescent="0.25">
      <c r="A1027">
        <v>765558700</v>
      </c>
      <c r="B1027" t="s">
        <v>116</v>
      </c>
      <c r="C1027" t="s">
        <v>4170</v>
      </c>
      <c r="D1027">
        <v>14</v>
      </c>
      <c r="E1027" t="s">
        <v>4454</v>
      </c>
      <c r="F1027" t="s">
        <v>1742</v>
      </c>
      <c r="G1027" t="s">
        <v>5570</v>
      </c>
      <c r="H1027" t="s">
        <v>4915</v>
      </c>
      <c r="I1027" s="79" t="str">
        <f>IF(CARTERA_2026[[#This Row],[RUT]]=774097899,"DIST",_xlfn.XLOOKUP(CARTERA_2026[[#This Row],[VENDEDOR]],dimensiones!$C$21:$C$28,dimensiones!$D$21:$D$28,""))</f>
        <v>SUR2</v>
      </c>
      <c r="J1027" s="125" t="str">
        <f>_xlfn.XLOOKUP(CARTERA_2026[[#This Row],[REGION]],dimensiones!C:C,dimensiones!D:D,"")</f>
        <v>Región de Los Ríos</v>
      </c>
    </row>
    <row r="1028" spans="1:10" ht="14.25" customHeight="1" x14ac:dyDescent="0.25">
      <c r="A1028">
        <v>765626188</v>
      </c>
      <c r="B1028" t="s">
        <v>491</v>
      </c>
      <c r="C1028" t="s">
        <v>4182</v>
      </c>
      <c r="D1028">
        <v>2</v>
      </c>
      <c r="E1028" t="s">
        <v>4445</v>
      </c>
      <c r="F1028" t="s">
        <v>1952</v>
      </c>
      <c r="G1028" t="s">
        <v>5568</v>
      </c>
      <c r="H1028" t="s">
        <v>4915</v>
      </c>
      <c r="I1028" s="79" t="str">
        <f>IF(CARTERA_2026[[#This Row],[RUT]]=774097899,"DIST",_xlfn.XLOOKUP(CARTERA_2026[[#This Row],[VENDEDOR]],dimensiones!$C$21:$C$28,dimensiones!$D$21:$D$28,""))</f>
        <v>ATEL</v>
      </c>
      <c r="J1028" s="125" t="str">
        <f>_xlfn.XLOOKUP(CARTERA_2026[[#This Row],[REGION]],dimensiones!C:C,dimensiones!D:D,"")</f>
        <v>Región de Antofagasta</v>
      </c>
    </row>
    <row r="1029" spans="1:10" ht="14.25" customHeight="1" x14ac:dyDescent="0.25">
      <c r="A1029">
        <v>765708613</v>
      </c>
      <c r="B1029" t="s">
        <v>5765</v>
      </c>
      <c r="C1029" t="s">
        <v>4245</v>
      </c>
      <c r="D1029"/>
      <c r="E1029" t="s">
        <v>4445</v>
      </c>
      <c r="F1029" t="s">
        <v>5766</v>
      </c>
      <c r="G1029" t="s">
        <v>5570</v>
      </c>
      <c r="H1029" t="s">
        <v>4915</v>
      </c>
      <c r="I1029" s="79" t="str">
        <f>IF(CARTERA_2026[[#This Row],[RUT]]=774097899,"DIST",_xlfn.XLOOKUP(CARTERA_2026[[#This Row],[VENDEDOR]],dimensiones!$C$21:$C$28,dimensiones!$D$21:$D$28,""))</f>
        <v>ATEL</v>
      </c>
      <c r="J1029" s="125">
        <f>_xlfn.XLOOKUP(CARTERA_2026[[#This Row],[REGION]],dimensiones!C:C,dimensiones!D:D,"")</f>
        <v>0</v>
      </c>
    </row>
    <row r="1030" spans="1:10" ht="14.25" customHeight="1" x14ac:dyDescent="0.25">
      <c r="A1030">
        <v>765902134</v>
      </c>
      <c r="B1030" t="s">
        <v>492</v>
      </c>
      <c r="C1030" t="s">
        <v>4465</v>
      </c>
      <c r="D1030">
        <v>13</v>
      </c>
      <c r="E1030" t="s">
        <v>4445</v>
      </c>
      <c r="F1030" t="s">
        <v>2630</v>
      </c>
      <c r="G1030" t="s">
        <v>5568</v>
      </c>
      <c r="H1030" t="s">
        <v>4915</v>
      </c>
      <c r="I1030" s="79" t="str">
        <f>IF(CARTERA_2026[[#This Row],[RUT]]=774097899,"DIST",_xlfn.XLOOKUP(CARTERA_2026[[#This Row],[VENDEDOR]],dimensiones!$C$21:$C$28,dimensiones!$D$21:$D$28,""))</f>
        <v>ATEL</v>
      </c>
      <c r="J1030" s="125" t="str">
        <f>_xlfn.XLOOKUP(CARTERA_2026[[#This Row],[REGION]],dimensiones!C:C,dimensiones!D:D,"")</f>
        <v>Región de Metropolitana de Santiago</v>
      </c>
    </row>
    <row r="1031" spans="1:10" ht="14.25" customHeight="1" x14ac:dyDescent="0.25">
      <c r="A1031">
        <v>765944619</v>
      </c>
      <c r="B1031" t="s">
        <v>2633</v>
      </c>
      <c r="C1031" t="s">
        <v>4552</v>
      </c>
      <c r="D1031">
        <v>13</v>
      </c>
      <c r="E1031" t="s">
        <v>4445</v>
      </c>
      <c r="F1031" t="s">
        <v>2632</v>
      </c>
      <c r="G1031" t="s">
        <v>5568</v>
      </c>
      <c r="H1031" t="s">
        <v>4915</v>
      </c>
      <c r="I1031" s="79" t="str">
        <f>IF(CARTERA_2026[[#This Row],[RUT]]=774097899,"DIST",_xlfn.XLOOKUP(CARTERA_2026[[#This Row],[VENDEDOR]],dimensiones!$C$21:$C$28,dimensiones!$D$21:$D$28,""))</f>
        <v>ATEL</v>
      </c>
      <c r="J1031" s="125" t="str">
        <f>_xlfn.XLOOKUP(CARTERA_2026[[#This Row],[REGION]],dimensiones!C:C,dimensiones!D:D,"")</f>
        <v>Región de Metropolitana de Santiago</v>
      </c>
    </row>
    <row r="1032" spans="1:10" ht="14.25" customHeight="1" x14ac:dyDescent="0.25">
      <c r="A1032">
        <v>765946247</v>
      </c>
      <c r="B1032" t="s">
        <v>828</v>
      </c>
      <c r="C1032" t="s">
        <v>4391</v>
      </c>
      <c r="D1032">
        <v>13</v>
      </c>
      <c r="E1032" t="s">
        <v>4445</v>
      </c>
      <c r="F1032" t="s">
        <v>2635</v>
      </c>
      <c r="G1032" t="s">
        <v>5570</v>
      </c>
      <c r="H1032" t="s">
        <v>4915</v>
      </c>
      <c r="I1032" s="79" t="str">
        <f>IF(CARTERA_2026[[#This Row],[RUT]]=774097899,"DIST",_xlfn.XLOOKUP(CARTERA_2026[[#This Row],[VENDEDOR]],dimensiones!$C$21:$C$28,dimensiones!$D$21:$D$28,""))</f>
        <v>ATEL</v>
      </c>
      <c r="J1032" s="125" t="str">
        <f>_xlfn.XLOOKUP(CARTERA_2026[[#This Row],[REGION]],dimensiones!C:C,dimensiones!D:D,"")</f>
        <v>Región de Metropolitana de Santiago</v>
      </c>
    </row>
    <row r="1033" spans="1:10" ht="14.25" customHeight="1" x14ac:dyDescent="0.25">
      <c r="A1033">
        <v>766025838</v>
      </c>
      <c r="B1033" t="s">
        <v>493</v>
      </c>
      <c r="C1033" t="s">
        <v>4170</v>
      </c>
      <c r="D1033">
        <v>14</v>
      </c>
      <c r="E1033" t="s">
        <v>4445</v>
      </c>
      <c r="F1033" t="s">
        <v>2111</v>
      </c>
      <c r="G1033" t="s">
        <v>5568</v>
      </c>
      <c r="H1033" t="s">
        <v>4915</v>
      </c>
      <c r="I1033" s="79" t="str">
        <f>IF(CARTERA_2026[[#This Row],[RUT]]=774097899,"DIST",_xlfn.XLOOKUP(CARTERA_2026[[#This Row],[VENDEDOR]],dimensiones!$C$21:$C$28,dimensiones!$D$21:$D$28,""))</f>
        <v>ATEL</v>
      </c>
      <c r="J1033" s="125" t="str">
        <f>_xlfn.XLOOKUP(CARTERA_2026[[#This Row],[REGION]],dimensiones!C:C,dimensiones!D:D,"")</f>
        <v>Región de Los Ríos</v>
      </c>
    </row>
    <row r="1034" spans="1:10" ht="14.25" customHeight="1" x14ac:dyDescent="0.25">
      <c r="A1034">
        <v>766053971</v>
      </c>
      <c r="B1034" t="s">
        <v>5664</v>
      </c>
      <c r="C1034" t="s">
        <v>4190</v>
      </c>
      <c r="D1034">
        <v>10</v>
      </c>
      <c r="E1034" t="s">
        <v>4445</v>
      </c>
      <c r="F1034" t="s">
        <v>5665</v>
      </c>
      <c r="G1034" t="s">
        <v>5568</v>
      </c>
      <c r="H1034" t="s">
        <v>4915</v>
      </c>
      <c r="I1034" s="79" t="str">
        <f>IF(CARTERA_2026[[#This Row],[RUT]]=774097899,"DIST",_xlfn.XLOOKUP(CARTERA_2026[[#This Row],[VENDEDOR]],dimensiones!$C$21:$C$28,dimensiones!$D$21:$D$28,""))</f>
        <v>ATEL</v>
      </c>
      <c r="J1034" s="125" t="str">
        <f>_xlfn.XLOOKUP(CARTERA_2026[[#This Row],[REGION]],dimensiones!C:C,dimensiones!D:D,"")</f>
        <v>Región de Los Lagos</v>
      </c>
    </row>
    <row r="1035" spans="1:10" ht="14.25" customHeight="1" x14ac:dyDescent="0.25">
      <c r="A1035">
        <v>766208177</v>
      </c>
      <c r="B1035" t="s">
        <v>494</v>
      </c>
      <c r="C1035" t="s">
        <v>4170</v>
      </c>
      <c r="D1035">
        <v>14</v>
      </c>
      <c r="E1035" t="s">
        <v>4445</v>
      </c>
      <c r="F1035" t="s">
        <v>1322</v>
      </c>
      <c r="G1035" t="s">
        <v>5568</v>
      </c>
      <c r="H1035" t="s">
        <v>4915</v>
      </c>
      <c r="I1035" s="79" t="str">
        <f>IF(CARTERA_2026[[#This Row],[RUT]]=774097899,"DIST",_xlfn.XLOOKUP(CARTERA_2026[[#This Row],[VENDEDOR]],dimensiones!$C$21:$C$28,dimensiones!$D$21:$D$28,""))</f>
        <v>ATEL</v>
      </c>
      <c r="J1035" s="125" t="str">
        <f>_xlfn.XLOOKUP(CARTERA_2026[[#This Row],[REGION]],dimensiones!C:C,dimensiones!D:D,"")</f>
        <v>Región de Los Ríos</v>
      </c>
    </row>
    <row r="1036" spans="1:10" ht="14.25" customHeight="1" x14ac:dyDescent="0.25">
      <c r="A1036" t="s">
        <v>5472</v>
      </c>
      <c r="B1036" t="s">
        <v>5473</v>
      </c>
      <c r="C1036" t="s">
        <v>4391</v>
      </c>
      <c r="D1036">
        <v>13</v>
      </c>
      <c r="E1036" t="s">
        <v>4445</v>
      </c>
      <c r="F1036" t="s">
        <v>5474</v>
      </c>
      <c r="G1036" t="s">
        <v>5568</v>
      </c>
      <c r="H1036" t="s">
        <v>4915</v>
      </c>
      <c r="I1036" s="79" t="str">
        <f>IF(CARTERA_2026[[#This Row],[RUT]]=774097899,"DIST",_xlfn.XLOOKUP(CARTERA_2026[[#This Row],[VENDEDOR]],dimensiones!$C$21:$C$28,dimensiones!$D$21:$D$28,""))</f>
        <v>ATEL</v>
      </c>
      <c r="J1036" s="125" t="str">
        <f>_xlfn.XLOOKUP(CARTERA_2026[[#This Row],[REGION]],dimensiones!C:C,dimensiones!D:D,"")</f>
        <v>Región de Metropolitana de Santiago</v>
      </c>
    </row>
    <row r="1037" spans="1:10" ht="14.25" customHeight="1" x14ac:dyDescent="0.25">
      <c r="A1037">
        <v>766402496</v>
      </c>
      <c r="B1037" t="s">
        <v>5436</v>
      </c>
      <c r="C1037" t="s">
        <v>4410</v>
      </c>
      <c r="D1037">
        <v>13</v>
      </c>
      <c r="E1037" t="s">
        <v>4445</v>
      </c>
      <c r="F1037" t="s">
        <v>3168</v>
      </c>
      <c r="G1037" t="s">
        <v>5568</v>
      </c>
      <c r="H1037" t="s">
        <v>4915</v>
      </c>
      <c r="I1037" s="79" t="str">
        <f>IF(CARTERA_2026[[#This Row],[RUT]]=774097899,"DIST",_xlfn.XLOOKUP(CARTERA_2026[[#This Row],[VENDEDOR]],dimensiones!$C$21:$C$28,dimensiones!$D$21:$D$28,""))</f>
        <v>ATEL</v>
      </c>
      <c r="J1037" s="125" t="str">
        <f>_xlfn.XLOOKUP(CARTERA_2026[[#This Row],[REGION]],dimensiones!C:C,dimensiones!D:D,"")</f>
        <v>Región de Metropolitana de Santiago</v>
      </c>
    </row>
    <row r="1038" spans="1:10" ht="14.25" customHeight="1" x14ac:dyDescent="0.25">
      <c r="A1038">
        <v>766425852</v>
      </c>
      <c r="B1038" t="s">
        <v>495</v>
      </c>
      <c r="C1038" t="s">
        <v>4510</v>
      </c>
      <c r="D1038">
        <v>13</v>
      </c>
      <c r="E1038" t="s">
        <v>4445</v>
      </c>
      <c r="F1038" t="s">
        <v>2645</v>
      </c>
      <c r="G1038" t="s">
        <v>5568</v>
      </c>
      <c r="H1038" t="s">
        <v>4915</v>
      </c>
      <c r="I1038" s="79" t="str">
        <f>IF(CARTERA_2026[[#This Row],[RUT]]=774097899,"DIST",_xlfn.XLOOKUP(CARTERA_2026[[#This Row],[VENDEDOR]],dimensiones!$C$21:$C$28,dimensiones!$D$21:$D$28,""))</f>
        <v>ATEL</v>
      </c>
      <c r="J1038" s="125" t="str">
        <f>_xlfn.XLOOKUP(CARTERA_2026[[#This Row],[REGION]],dimensiones!C:C,dimensiones!D:D,"")</f>
        <v>Región de Metropolitana de Santiago</v>
      </c>
    </row>
    <row r="1039" spans="1:10" ht="14.25" customHeight="1" x14ac:dyDescent="0.25">
      <c r="A1039">
        <v>766434436</v>
      </c>
      <c r="B1039" t="s">
        <v>496</v>
      </c>
      <c r="C1039" t="s">
        <v>4460</v>
      </c>
      <c r="D1039">
        <v>8</v>
      </c>
      <c r="E1039" t="s">
        <v>4445</v>
      </c>
      <c r="F1039" t="s">
        <v>2647</v>
      </c>
      <c r="G1039" t="s">
        <v>5568</v>
      </c>
      <c r="H1039" t="s">
        <v>4915</v>
      </c>
      <c r="I1039" s="79" t="str">
        <f>IF(CARTERA_2026[[#This Row],[RUT]]=774097899,"DIST",_xlfn.XLOOKUP(CARTERA_2026[[#This Row],[VENDEDOR]],dimensiones!$C$21:$C$28,dimensiones!$D$21:$D$28,""))</f>
        <v>ATEL</v>
      </c>
      <c r="J1039" s="125" t="str">
        <f>_xlfn.XLOOKUP(CARTERA_2026[[#This Row],[REGION]],dimensiones!C:C,dimensiones!D:D,"")</f>
        <v>Región de Biobío</v>
      </c>
    </row>
    <row r="1040" spans="1:10" ht="14.25" customHeight="1" x14ac:dyDescent="0.25">
      <c r="A1040">
        <v>766456863</v>
      </c>
      <c r="B1040" t="s">
        <v>497</v>
      </c>
      <c r="C1040" t="s">
        <v>4195</v>
      </c>
      <c r="D1040">
        <v>13</v>
      </c>
      <c r="E1040" t="s">
        <v>4445</v>
      </c>
      <c r="F1040" t="s">
        <v>2660</v>
      </c>
      <c r="G1040" t="s">
        <v>5568</v>
      </c>
      <c r="H1040" t="s">
        <v>4915</v>
      </c>
      <c r="I1040" s="79" t="str">
        <f>IF(CARTERA_2026[[#This Row],[RUT]]=774097899,"DIST",_xlfn.XLOOKUP(CARTERA_2026[[#This Row],[VENDEDOR]],dimensiones!$C$21:$C$28,dimensiones!$D$21:$D$28,""))</f>
        <v>ATEL</v>
      </c>
      <c r="J1040" s="125" t="str">
        <f>_xlfn.XLOOKUP(CARTERA_2026[[#This Row],[REGION]],dimensiones!C:C,dimensiones!D:D,"")</f>
        <v>Región de Metropolitana de Santiago</v>
      </c>
    </row>
    <row r="1041" spans="1:10" ht="14.25" customHeight="1" x14ac:dyDescent="0.25">
      <c r="A1041">
        <v>766499104</v>
      </c>
      <c r="B1041" t="s">
        <v>830</v>
      </c>
      <c r="C1041" t="s">
        <v>4495</v>
      </c>
      <c r="D1041">
        <v>16</v>
      </c>
      <c r="E1041" t="s">
        <v>4445</v>
      </c>
      <c r="F1041" t="s">
        <v>2649</v>
      </c>
      <c r="G1041" t="s">
        <v>5570</v>
      </c>
      <c r="H1041" t="s">
        <v>4915</v>
      </c>
      <c r="I1041" s="79" t="str">
        <f>IF(CARTERA_2026[[#This Row],[RUT]]=774097899,"DIST",_xlfn.XLOOKUP(CARTERA_2026[[#This Row],[VENDEDOR]],dimensiones!$C$21:$C$28,dimensiones!$D$21:$D$28,""))</f>
        <v>ATEL</v>
      </c>
      <c r="J1041" s="125" t="str">
        <f>_xlfn.XLOOKUP(CARTERA_2026[[#This Row],[REGION]],dimensiones!C:C,dimensiones!D:D,"")</f>
        <v>Región de Ñuble</v>
      </c>
    </row>
    <row r="1042" spans="1:10" ht="14.25" customHeight="1" x14ac:dyDescent="0.25">
      <c r="A1042">
        <v>766552064</v>
      </c>
      <c r="B1042" t="s">
        <v>5791</v>
      </c>
      <c r="C1042" t="s">
        <v>4185</v>
      </c>
      <c r="D1042">
        <v>12</v>
      </c>
      <c r="E1042" t="s">
        <v>4445</v>
      </c>
      <c r="F1042" t="s">
        <v>5792</v>
      </c>
      <c r="H1042" t="s">
        <v>4915</v>
      </c>
      <c r="I1042" s="79" t="str">
        <f>IF(CARTERA_2026[[#This Row],[RUT]]=774097899,"DIST",_xlfn.XLOOKUP(CARTERA_2026[[#This Row],[VENDEDOR]],dimensiones!$C$21:$C$28,dimensiones!$D$21:$D$28,""))</f>
        <v>ATEL</v>
      </c>
      <c r="J1042" s="125" t="str">
        <f>_xlfn.XLOOKUP(CARTERA_2026[[#This Row],[REGION]],dimensiones!C:C,dimensiones!D:D,"")</f>
        <v>Región de Magallanes y de la Antártica Chilena</v>
      </c>
    </row>
    <row r="1043" spans="1:10" ht="14.25" customHeight="1" x14ac:dyDescent="0.25">
      <c r="A1043">
        <v>766658113</v>
      </c>
      <c r="B1043" t="s">
        <v>2652</v>
      </c>
      <c r="C1043" t="s">
        <v>4391</v>
      </c>
      <c r="D1043">
        <v>13</v>
      </c>
      <c r="E1043" t="s">
        <v>4445</v>
      </c>
      <c r="F1043" t="s">
        <v>2651</v>
      </c>
      <c r="G1043" t="s">
        <v>5568</v>
      </c>
      <c r="H1043" t="s">
        <v>4915</v>
      </c>
      <c r="I1043" s="79" t="str">
        <f>IF(CARTERA_2026[[#This Row],[RUT]]=774097899,"DIST",_xlfn.XLOOKUP(CARTERA_2026[[#This Row],[VENDEDOR]],dimensiones!$C$21:$C$28,dimensiones!$D$21:$D$28,""))</f>
        <v>ATEL</v>
      </c>
      <c r="J1043" s="125" t="str">
        <f>_xlfn.XLOOKUP(CARTERA_2026[[#This Row],[REGION]],dimensiones!C:C,dimensiones!D:D,"")</f>
        <v>Región de Metropolitana de Santiago</v>
      </c>
    </row>
    <row r="1044" spans="1:10" ht="14.25" customHeight="1" x14ac:dyDescent="0.25">
      <c r="A1044">
        <v>766666744</v>
      </c>
      <c r="B1044" t="s">
        <v>498</v>
      </c>
      <c r="C1044" t="s">
        <v>4391</v>
      </c>
      <c r="D1044">
        <v>13</v>
      </c>
      <c r="E1044" t="s">
        <v>4445</v>
      </c>
      <c r="F1044" t="s">
        <v>3660</v>
      </c>
      <c r="G1044" t="s">
        <v>5568</v>
      </c>
      <c r="H1044" t="s">
        <v>4915</v>
      </c>
      <c r="I1044" s="79" t="str">
        <f>IF(CARTERA_2026[[#This Row],[RUT]]=774097899,"DIST",_xlfn.XLOOKUP(CARTERA_2026[[#This Row],[VENDEDOR]],dimensiones!$C$21:$C$28,dimensiones!$D$21:$D$28,""))</f>
        <v>ATEL</v>
      </c>
      <c r="J1044" s="125" t="str">
        <f>_xlfn.XLOOKUP(CARTERA_2026[[#This Row],[REGION]],dimensiones!C:C,dimensiones!D:D,"")</f>
        <v>Región de Metropolitana de Santiago</v>
      </c>
    </row>
    <row r="1045" spans="1:10" ht="14.25" customHeight="1" x14ac:dyDescent="0.25">
      <c r="A1045">
        <v>766844154</v>
      </c>
      <c r="B1045" t="s">
        <v>4568</v>
      </c>
      <c r="C1045" t="s">
        <v>4391</v>
      </c>
      <c r="D1045">
        <v>13</v>
      </c>
      <c r="E1045" t="s">
        <v>4445</v>
      </c>
      <c r="F1045" t="s">
        <v>3789</v>
      </c>
      <c r="G1045" t="s">
        <v>5570</v>
      </c>
      <c r="H1045" t="s">
        <v>4915</v>
      </c>
      <c r="I1045" s="79" t="str">
        <f>IF(CARTERA_2026[[#This Row],[RUT]]=774097899,"DIST",_xlfn.XLOOKUP(CARTERA_2026[[#This Row],[VENDEDOR]],dimensiones!$C$21:$C$28,dimensiones!$D$21:$D$28,""))</f>
        <v>ATEL</v>
      </c>
      <c r="J1045" s="125" t="str">
        <f>_xlfn.XLOOKUP(CARTERA_2026[[#This Row],[REGION]],dimensiones!C:C,dimensiones!D:D,"")</f>
        <v>Región de Metropolitana de Santiago</v>
      </c>
    </row>
    <row r="1046" spans="1:10" ht="14.25" customHeight="1" x14ac:dyDescent="0.25">
      <c r="A1046" t="s">
        <v>4768</v>
      </c>
      <c r="B1046" t="s">
        <v>4570</v>
      </c>
      <c r="C1046" t="s">
        <v>4218</v>
      </c>
      <c r="D1046">
        <v>9</v>
      </c>
      <c r="E1046" t="s">
        <v>4445</v>
      </c>
      <c r="F1046" t="s">
        <v>4569</v>
      </c>
      <c r="G1046" t="s">
        <v>5568</v>
      </c>
      <c r="H1046" t="s">
        <v>4915</v>
      </c>
      <c r="I1046" s="79" t="str">
        <f>IF(CARTERA_2026[[#This Row],[RUT]]=774097899,"DIST",_xlfn.XLOOKUP(CARTERA_2026[[#This Row],[VENDEDOR]],dimensiones!$C$21:$C$28,dimensiones!$D$21:$D$28,""))</f>
        <v>ATEL</v>
      </c>
      <c r="J1046" s="125" t="str">
        <f>_xlfn.XLOOKUP(CARTERA_2026[[#This Row],[REGION]],dimensiones!C:C,dimensiones!D:D,"")</f>
        <v>Región de La Araucanía</v>
      </c>
    </row>
    <row r="1047" spans="1:10" ht="14.25" customHeight="1" x14ac:dyDescent="0.25">
      <c r="A1047">
        <v>766858872</v>
      </c>
      <c r="B1047" t="s">
        <v>4989</v>
      </c>
      <c r="C1047" t="s">
        <v>4168</v>
      </c>
      <c r="D1047">
        <v>13</v>
      </c>
      <c r="E1047" t="s">
        <v>4445</v>
      </c>
      <c r="F1047" t="s">
        <v>4990</v>
      </c>
      <c r="G1047" t="s">
        <v>5568</v>
      </c>
      <c r="H1047" t="s">
        <v>4915</v>
      </c>
      <c r="I1047" s="79" t="str">
        <f>IF(CARTERA_2026[[#This Row],[RUT]]=774097899,"DIST",_xlfn.XLOOKUP(CARTERA_2026[[#This Row],[VENDEDOR]],dimensiones!$C$21:$C$28,dimensiones!$D$21:$D$28,""))</f>
        <v>ATEL</v>
      </c>
      <c r="J1047" s="125" t="str">
        <f>_xlfn.XLOOKUP(CARTERA_2026[[#This Row],[REGION]],dimensiones!C:C,dimensiones!D:D,"")</f>
        <v>Región de Metropolitana de Santiago</v>
      </c>
    </row>
    <row r="1048" spans="1:10" ht="14.25" customHeight="1" x14ac:dyDescent="0.25">
      <c r="A1048">
        <v>766862357</v>
      </c>
      <c r="B1048" t="s">
        <v>499</v>
      </c>
      <c r="C1048" t="s">
        <v>4391</v>
      </c>
      <c r="D1048">
        <v>13</v>
      </c>
      <c r="E1048" t="s">
        <v>5729</v>
      </c>
      <c r="F1048" t="s">
        <v>2658</v>
      </c>
      <c r="G1048" t="s">
        <v>5570</v>
      </c>
      <c r="H1048" t="s">
        <v>4915</v>
      </c>
      <c r="I1048" s="79" t="str">
        <f>IF(CARTERA_2026[[#This Row],[RUT]]=774097899,"DIST",_xlfn.XLOOKUP(CARTERA_2026[[#This Row],[VENDEDOR]],dimensiones!$C$21:$C$28,dimensiones!$D$21:$D$28,""))</f>
        <v>SANT3</v>
      </c>
      <c r="J1048" s="125" t="str">
        <f>_xlfn.XLOOKUP(CARTERA_2026[[#This Row],[REGION]],dimensiones!C:C,dimensiones!D:D,"")</f>
        <v>Región de Metropolitana de Santiago</v>
      </c>
    </row>
    <row r="1049" spans="1:10" ht="14.25" customHeight="1" x14ac:dyDescent="0.25">
      <c r="A1049">
        <v>766878997</v>
      </c>
      <c r="B1049" t="s">
        <v>1003</v>
      </c>
      <c r="C1049" t="s">
        <v>4490</v>
      </c>
      <c r="D1049">
        <v>5</v>
      </c>
      <c r="E1049" t="s">
        <v>4445</v>
      </c>
      <c r="F1049" t="s">
        <v>2662</v>
      </c>
      <c r="G1049" t="s">
        <v>5570</v>
      </c>
      <c r="H1049" t="s">
        <v>4915</v>
      </c>
      <c r="I1049" s="79" t="str">
        <f>IF(CARTERA_2026[[#This Row],[RUT]]=774097899,"DIST",_xlfn.XLOOKUP(CARTERA_2026[[#This Row],[VENDEDOR]],dimensiones!$C$21:$C$28,dimensiones!$D$21:$D$28,""))</f>
        <v>ATEL</v>
      </c>
      <c r="J1049" s="125" t="str">
        <f>_xlfn.XLOOKUP(CARTERA_2026[[#This Row],[REGION]],dimensiones!C:C,dimensiones!D:D,"")</f>
        <v>Región de Valparaíso</v>
      </c>
    </row>
    <row r="1050" spans="1:10" ht="14.25" customHeight="1" x14ac:dyDescent="0.25">
      <c r="A1050">
        <v>766951309</v>
      </c>
      <c r="B1050" t="s">
        <v>500</v>
      </c>
      <c r="C1050" t="s">
        <v>4178</v>
      </c>
      <c r="D1050">
        <v>6</v>
      </c>
      <c r="E1050" t="s">
        <v>4445</v>
      </c>
      <c r="F1050" t="s">
        <v>2664</v>
      </c>
      <c r="G1050" t="s">
        <v>5568</v>
      </c>
      <c r="H1050" t="s">
        <v>4915</v>
      </c>
      <c r="I1050" s="79" t="str">
        <f>IF(CARTERA_2026[[#This Row],[RUT]]=774097899,"DIST",_xlfn.XLOOKUP(CARTERA_2026[[#This Row],[VENDEDOR]],dimensiones!$C$21:$C$28,dimensiones!$D$21:$D$28,""))</f>
        <v>ATEL</v>
      </c>
      <c r="J1050" s="125" t="str">
        <f>_xlfn.XLOOKUP(CARTERA_2026[[#This Row],[REGION]],dimensiones!C:C,dimensiones!D:D,"")</f>
        <v>Región de Libertador General Bernardo O'Higgins</v>
      </c>
    </row>
    <row r="1051" spans="1:10" ht="14.25" customHeight="1" x14ac:dyDescent="0.25">
      <c r="A1051">
        <v>767012691</v>
      </c>
      <c r="B1051" t="s">
        <v>4572</v>
      </c>
      <c r="C1051" t="s">
        <v>4456</v>
      </c>
      <c r="D1051">
        <v>13</v>
      </c>
      <c r="E1051" t="s">
        <v>4445</v>
      </c>
      <c r="F1051" t="s">
        <v>4571</v>
      </c>
      <c r="G1051" t="s">
        <v>5569</v>
      </c>
      <c r="H1051" t="s">
        <v>4915</v>
      </c>
      <c r="I1051" s="79" t="str">
        <f>IF(CARTERA_2026[[#This Row],[RUT]]=774097899,"DIST",_xlfn.XLOOKUP(CARTERA_2026[[#This Row],[VENDEDOR]],dimensiones!$C$21:$C$28,dimensiones!$D$21:$D$28,""))</f>
        <v>ATEL</v>
      </c>
      <c r="J1051" s="125" t="str">
        <f>_xlfn.XLOOKUP(CARTERA_2026[[#This Row],[REGION]],dimensiones!C:C,dimensiones!D:D,"")</f>
        <v>Región de Metropolitana de Santiago</v>
      </c>
    </row>
    <row r="1052" spans="1:10" ht="14.25" customHeight="1" x14ac:dyDescent="0.25">
      <c r="A1052">
        <v>767059825</v>
      </c>
      <c r="B1052" t="s">
        <v>2667</v>
      </c>
      <c r="C1052" t="s">
        <v>4399</v>
      </c>
      <c r="D1052">
        <v>13</v>
      </c>
      <c r="E1052" t="s">
        <v>4445</v>
      </c>
      <c r="F1052" t="s">
        <v>2666</v>
      </c>
      <c r="G1052" t="s">
        <v>5568</v>
      </c>
      <c r="H1052" t="s">
        <v>4915</v>
      </c>
      <c r="I1052" s="79" t="str">
        <f>IF(CARTERA_2026[[#This Row],[RUT]]=774097899,"DIST",_xlfn.XLOOKUP(CARTERA_2026[[#This Row],[VENDEDOR]],dimensiones!$C$21:$C$28,dimensiones!$D$21:$D$28,""))</f>
        <v>ATEL</v>
      </c>
      <c r="J1052" s="125" t="str">
        <f>_xlfn.XLOOKUP(CARTERA_2026[[#This Row],[REGION]],dimensiones!C:C,dimensiones!D:D,"")</f>
        <v>Región de Metropolitana de Santiago</v>
      </c>
    </row>
    <row r="1053" spans="1:10" ht="14.25" customHeight="1" x14ac:dyDescent="0.25">
      <c r="A1053">
        <v>767151837</v>
      </c>
      <c r="B1053" t="s">
        <v>5730</v>
      </c>
      <c r="C1053" t="s">
        <v>4460</v>
      </c>
      <c r="D1053">
        <v>8</v>
      </c>
      <c r="E1053" t="s">
        <v>4445</v>
      </c>
      <c r="F1053" t="s">
        <v>5731</v>
      </c>
      <c r="G1053" t="s">
        <v>5570</v>
      </c>
      <c r="H1053" t="s">
        <v>4915</v>
      </c>
      <c r="I1053" s="79" t="str">
        <f>IF(CARTERA_2026[[#This Row],[RUT]]=774097899,"DIST",_xlfn.XLOOKUP(CARTERA_2026[[#This Row],[VENDEDOR]],dimensiones!$C$21:$C$28,dimensiones!$D$21:$D$28,""))</f>
        <v>ATEL</v>
      </c>
      <c r="J1053" s="125" t="str">
        <f>_xlfn.XLOOKUP(CARTERA_2026[[#This Row],[REGION]],dimensiones!C:C,dimensiones!D:D,"")</f>
        <v>Región de Biobío</v>
      </c>
    </row>
    <row r="1054" spans="1:10" ht="14.25" customHeight="1" x14ac:dyDescent="0.25">
      <c r="A1054">
        <v>767166966</v>
      </c>
      <c r="B1054" t="s">
        <v>501</v>
      </c>
      <c r="C1054" t="s">
        <v>4495</v>
      </c>
      <c r="D1054">
        <v>16</v>
      </c>
      <c r="E1054" t="s">
        <v>4445</v>
      </c>
      <c r="F1054" t="s">
        <v>2669</v>
      </c>
      <c r="G1054" t="s">
        <v>5568</v>
      </c>
      <c r="H1054" t="s">
        <v>4915</v>
      </c>
      <c r="I1054" s="79" t="str">
        <f>IF(CARTERA_2026[[#This Row],[RUT]]=774097899,"DIST",_xlfn.XLOOKUP(CARTERA_2026[[#This Row],[VENDEDOR]],dimensiones!$C$21:$C$28,dimensiones!$D$21:$D$28,""))</f>
        <v>ATEL</v>
      </c>
      <c r="J1054" s="125" t="str">
        <f>_xlfn.XLOOKUP(CARTERA_2026[[#This Row],[REGION]],dimensiones!C:C,dimensiones!D:D,"")</f>
        <v>Región de Ñuble</v>
      </c>
    </row>
    <row r="1055" spans="1:10" ht="14.25" customHeight="1" x14ac:dyDescent="0.25">
      <c r="A1055" t="s">
        <v>711</v>
      </c>
      <c r="B1055" t="s">
        <v>712</v>
      </c>
      <c r="C1055" t="s">
        <v>4394</v>
      </c>
      <c r="D1055">
        <v>13</v>
      </c>
      <c r="E1055" t="s">
        <v>4445</v>
      </c>
      <c r="F1055" t="s">
        <v>2671</v>
      </c>
      <c r="G1055" t="s">
        <v>5568</v>
      </c>
      <c r="H1055" t="s">
        <v>4915</v>
      </c>
      <c r="I1055" s="79" t="str">
        <f>IF(CARTERA_2026[[#This Row],[RUT]]=774097899,"DIST",_xlfn.XLOOKUP(CARTERA_2026[[#This Row],[VENDEDOR]],dimensiones!$C$21:$C$28,dimensiones!$D$21:$D$28,""))</f>
        <v>ATEL</v>
      </c>
      <c r="J1055" s="125" t="str">
        <f>_xlfn.XLOOKUP(CARTERA_2026[[#This Row],[REGION]],dimensiones!C:C,dimensiones!D:D,"")</f>
        <v>Región de Metropolitana de Santiago</v>
      </c>
    </row>
    <row r="1056" spans="1:10" ht="14.25" customHeight="1" x14ac:dyDescent="0.25">
      <c r="A1056">
        <v>767253591</v>
      </c>
      <c r="B1056" t="s">
        <v>832</v>
      </c>
      <c r="C1056" t="s">
        <v>4257</v>
      </c>
      <c r="D1056">
        <v>7</v>
      </c>
      <c r="E1056" t="s">
        <v>4445</v>
      </c>
      <c r="F1056" t="s">
        <v>2673</v>
      </c>
      <c r="G1056" t="s">
        <v>5568</v>
      </c>
      <c r="H1056" t="s">
        <v>4915</v>
      </c>
      <c r="I1056" s="79" t="str">
        <f>IF(CARTERA_2026[[#This Row],[RUT]]=774097899,"DIST",_xlfn.XLOOKUP(CARTERA_2026[[#This Row],[VENDEDOR]],dimensiones!$C$21:$C$28,dimensiones!$D$21:$D$28,""))</f>
        <v>ATEL</v>
      </c>
      <c r="J1056" s="125" t="str">
        <f>_xlfn.XLOOKUP(CARTERA_2026[[#This Row],[REGION]],dimensiones!C:C,dimensiones!D:D,"")</f>
        <v>Región de Maule</v>
      </c>
    </row>
    <row r="1057" spans="1:12" ht="14.25" customHeight="1" x14ac:dyDescent="0.25">
      <c r="A1057">
        <v>767288190</v>
      </c>
      <c r="B1057" t="s">
        <v>5777</v>
      </c>
      <c r="C1057" t="s">
        <v>4381</v>
      </c>
      <c r="D1057">
        <v>13</v>
      </c>
      <c r="E1057" t="s">
        <v>4445</v>
      </c>
      <c r="F1057" t="s">
        <v>5778</v>
      </c>
      <c r="H1057" t="s">
        <v>5660</v>
      </c>
      <c r="I1057" s="79" t="str">
        <f>IF(CARTERA_2026[[#This Row],[RUT]]=774097899,"DIST",_xlfn.XLOOKUP(CARTERA_2026[[#This Row],[VENDEDOR]],dimensiones!$C$21:$C$28,dimensiones!$D$21:$D$28,""))</f>
        <v>ATEL</v>
      </c>
      <c r="J1057" s="125" t="str">
        <f>_xlfn.XLOOKUP(CARTERA_2026[[#This Row],[REGION]],dimensiones!C:C,dimensiones!D:D,"")</f>
        <v>Región de Metropolitana de Santiago</v>
      </c>
    </row>
    <row r="1058" spans="1:12" ht="14.25" customHeight="1" x14ac:dyDescent="0.25">
      <c r="A1058">
        <v>767343795</v>
      </c>
      <c r="B1058" t="s">
        <v>5005</v>
      </c>
      <c r="C1058" t="s">
        <v>4460</v>
      </c>
      <c r="D1058">
        <v>8</v>
      </c>
      <c r="E1058" t="s">
        <v>4445</v>
      </c>
      <c r="F1058" t="s">
        <v>5006</v>
      </c>
      <c r="G1058" t="s">
        <v>5568</v>
      </c>
      <c r="H1058" t="s">
        <v>4915</v>
      </c>
      <c r="I1058" s="79" t="str">
        <f>IF(CARTERA_2026[[#This Row],[RUT]]=774097899,"DIST",_xlfn.XLOOKUP(CARTERA_2026[[#This Row],[VENDEDOR]],dimensiones!$C$21:$C$28,dimensiones!$D$21:$D$28,""))</f>
        <v>ATEL</v>
      </c>
      <c r="J1058" s="125" t="str">
        <f>_xlfn.XLOOKUP(CARTERA_2026[[#This Row],[REGION]],dimensiones!C:C,dimensiones!D:D,"")</f>
        <v>Región de Biobío</v>
      </c>
    </row>
    <row r="1059" spans="1:12" ht="14.25" customHeight="1" x14ac:dyDescent="0.25">
      <c r="A1059">
        <v>767344848</v>
      </c>
      <c r="B1059" t="s">
        <v>933</v>
      </c>
      <c r="C1059" t="s">
        <v>4168</v>
      </c>
      <c r="D1059">
        <v>13</v>
      </c>
      <c r="E1059" t="s">
        <v>4445</v>
      </c>
      <c r="F1059" t="s">
        <v>2675</v>
      </c>
      <c r="G1059" t="s">
        <v>5568</v>
      </c>
      <c r="H1059" t="s">
        <v>4915</v>
      </c>
      <c r="I1059" s="79" t="str">
        <f>IF(CARTERA_2026[[#This Row],[RUT]]=774097899,"DIST",_xlfn.XLOOKUP(CARTERA_2026[[#This Row],[VENDEDOR]],dimensiones!$C$21:$C$28,dimensiones!$D$21:$D$28,""))</f>
        <v>ATEL</v>
      </c>
      <c r="J1059" s="125" t="str">
        <f>_xlfn.XLOOKUP(CARTERA_2026[[#This Row],[REGION]],dimensiones!C:C,dimensiones!D:D,"")</f>
        <v>Región de Metropolitana de Santiago</v>
      </c>
      <c r="L1059" s="91"/>
    </row>
    <row r="1060" spans="1:12" ht="14.25" customHeight="1" x14ac:dyDescent="0.25">
      <c r="A1060">
        <v>767382995</v>
      </c>
      <c r="B1060" t="s">
        <v>502</v>
      </c>
      <c r="C1060" t="s">
        <v>4460</v>
      </c>
      <c r="D1060">
        <v>8</v>
      </c>
      <c r="E1060" t="s">
        <v>4445</v>
      </c>
      <c r="F1060" t="s">
        <v>2677</v>
      </c>
      <c r="G1060" t="s">
        <v>5570</v>
      </c>
      <c r="H1060" t="s">
        <v>4915</v>
      </c>
      <c r="I1060" s="79" t="str">
        <f>IF(CARTERA_2026[[#This Row],[RUT]]=774097899,"DIST",_xlfn.XLOOKUP(CARTERA_2026[[#This Row],[VENDEDOR]],dimensiones!$C$21:$C$28,dimensiones!$D$21:$D$28,""))</f>
        <v>ATEL</v>
      </c>
      <c r="J1060" s="125" t="str">
        <f>_xlfn.XLOOKUP(CARTERA_2026[[#This Row],[REGION]],dimensiones!C:C,dimensiones!D:D,"")</f>
        <v>Región de Biobío</v>
      </c>
      <c r="L1060" s="91"/>
    </row>
    <row r="1061" spans="1:12" ht="14.25" customHeight="1" x14ac:dyDescent="0.25">
      <c r="A1061" t="s">
        <v>713</v>
      </c>
      <c r="B1061" t="s">
        <v>714</v>
      </c>
      <c r="C1061" t="s">
        <v>4391</v>
      </c>
      <c r="D1061">
        <v>13</v>
      </c>
      <c r="E1061" t="s">
        <v>4445</v>
      </c>
      <c r="F1061" t="s">
        <v>2679</v>
      </c>
      <c r="G1061" t="s">
        <v>5568</v>
      </c>
      <c r="H1061" t="s">
        <v>4915</v>
      </c>
      <c r="I1061" s="79" t="str">
        <f>IF(CARTERA_2026[[#This Row],[RUT]]=774097899,"DIST",_xlfn.XLOOKUP(CARTERA_2026[[#This Row],[VENDEDOR]],dimensiones!$C$21:$C$28,dimensiones!$D$21:$D$28,""))</f>
        <v>ATEL</v>
      </c>
      <c r="J1061" s="125" t="str">
        <f>_xlfn.XLOOKUP(CARTERA_2026[[#This Row],[REGION]],dimensiones!C:C,dimensiones!D:D,"")</f>
        <v>Región de Metropolitana de Santiago</v>
      </c>
      <c r="L1061" s="91"/>
    </row>
    <row r="1062" spans="1:12" ht="14.25" customHeight="1" x14ac:dyDescent="0.25">
      <c r="A1062">
        <v>767407939</v>
      </c>
      <c r="B1062" t="s">
        <v>833</v>
      </c>
      <c r="C1062" t="s">
        <v>4460</v>
      </c>
      <c r="D1062">
        <v>8</v>
      </c>
      <c r="E1062" t="s">
        <v>4445</v>
      </c>
      <c r="F1062" t="s">
        <v>3228</v>
      </c>
      <c r="G1062" t="s">
        <v>5570</v>
      </c>
      <c r="H1062" t="s">
        <v>4915</v>
      </c>
      <c r="I1062" s="79" t="str">
        <f>IF(CARTERA_2026[[#This Row],[RUT]]=774097899,"DIST",_xlfn.XLOOKUP(CARTERA_2026[[#This Row],[VENDEDOR]],dimensiones!$C$21:$C$28,dimensiones!$D$21:$D$28,""))</f>
        <v>ATEL</v>
      </c>
      <c r="J1062" s="125" t="str">
        <f>_xlfn.XLOOKUP(CARTERA_2026[[#This Row],[REGION]],dimensiones!C:C,dimensiones!D:D,"")</f>
        <v>Región de Biobío</v>
      </c>
      <c r="L1062" s="91"/>
    </row>
    <row r="1063" spans="1:12" ht="14.25" customHeight="1" x14ac:dyDescent="0.25">
      <c r="A1063">
        <v>767409354</v>
      </c>
      <c r="B1063" t="s">
        <v>834</v>
      </c>
      <c r="C1063" t="s">
        <v>4495</v>
      </c>
      <c r="D1063">
        <v>16</v>
      </c>
      <c r="E1063" t="s">
        <v>4445</v>
      </c>
      <c r="F1063" t="s">
        <v>3241</v>
      </c>
      <c r="G1063" t="s">
        <v>5568</v>
      </c>
      <c r="H1063" t="s">
        <v>4915</v>
      </c>
      <c r="I1063" s="79" t="str">
        <f>IF(CARTERA_2026[[#This Row],[RUT]]=774097899,"DIST",_xlfn.XLOOKUP(CARTERA_2026[[#This Row],[VENDEDOR]],dimensiones!$C$21:$C$28,dimensiones!$D$21:$D$28,""))</f>
        <v>ATEL</v>
      </c>
      <c r="J1063" s="125" t="str">
        <f>_xlfn.XLOOKUP(CARTERA_2026[[#This Row],[REGION]],dimensiones!C:C,dimensiones!D:D,"")</f>
        <v>Región de Ñuble</v>
      </c>
      <c r="L1063" s="91"/>
    </row>
    <row r="1064" spans="1:12" ht="14.25" customHeight="1" x14ac:dyDescent="0.25">
      <c r="A1064">
        <v>767409842</v>
      </c>
      <c r="B1064" t="s">
        <v>835</v>
      </c>
      <c r="C1064" t="s">
        <v>4168</v>
      </c>
      <c r="D1064">
        <v>13</v>
      </c>
      <c r="E1064" t="s">
        <v>4445</v>
      </c>
      <c r="F1064" t="s">
        <v>2685</v>
      </c>
      <c r="G1064" t="s">
        <v>5568</v>
      </c>
      <c r="H1064" t="s">
        <v>4915</v>
      </c>
      <c r="I1064" s="79" t="str">
        <f>IF(CARTERA_2026[[#This Row],[RUT]]=774097899,"DIST",_xlfn.XLOOKUP(CARTERA_2026[[#This Row],[VENDEDOR]],dimensiones!$C$21:$C$28,dimensiones!$D$21:$D$28,""))</f>
        <v>ATEL</v>
      </c>
      <c r="J1064" s="125" t="str">
        <f>_xlfn.XLOOKUP(CARTERA_2026[[#This Row],[REGION]],dimensiones!C:C,dimensiones!D:D,"")</f>
        <v>Región de Metropolitana de Santiago</v>
      </c>
      <c r="L1064" s="91"/>
    </row>
    <row r="1065" spans="1:12" ht="14.25" customHeight="1" x14ac:dyDescent="0.25">
      <c r="A1065">
        <v>767461364</v>
      </c>
      <c r="B1065" t="s">
        <v>2688</v>
      </c>
      <c r="C1065" t="s">
        <v>4465</v>
      </c>
      <c r="D1065">
        <v>13</v>
      </c>
      <c r="E1065" t="s">
        <v>4445</v>
      </c>
      <c r="F1065" t="s">
        <v>2687</v>
      </c>
      <c r="G1065" t="s">
        <v>5570</v>
      </c>
      <c r="H1065" t="s">
        <v>4915</v>
      </c>
      <c r="I1065" s="79" t="str">
        <f>IF(CARTERA_2026[[#This Row],[RUT]]=774097899,"DIST",_xlfn.XLOOKUP(CARTERA_2026[[#This Row],[VENDEDOR]],dimensiones!$C$21:$C$28,dimensiones!$D$21:$D$28,""))</f>
        <v>ATEL</v>
      </c>
      <c r="J1065" s="125" t="str">
        <f>_xlfn.XLOOKUP(CARTERA_2026[[#This Row],[REGION]],dimensiones!C:C,dimensiones!D:D,"")</f>
        <v>Región de Metropolitana de Santiago</v>
      </c>
      <c r="L1065" s="91"/>
    </row>
    <row r="1066" spans="1:12" ht="14.25" customHeight="1" x14ac:dyDescent="0.25">
      <c r="A1066">
        <v>767486421</v>
      </c>
      <c r="B1066" t="s">
        <v>503</v>
      </c>
      <c r="C1066" t="s">
        <v>4465</v>
      </c>
      <c r="D1066">
        <v>13</v>
      </c>
      <c r="E1066" t="s">
        <v>4445</v>
      </c>
      <c r="F1066" t="s">
        <v>2690</v>
      </c>
      <c r="G1066" t="s">
        <v>5570</v>
      </c>
      <c r="H1066" t="s">
        <v>4915</v>
      </c>
      <c r="I1066" s="79" t="str">
        <f>IF(CARTERA_2026[[#This Row],[RUT]]=774097899,"DIST",_xlfn.XLOOKUP(CARTERA_2026[[#This Row],[VENDEDOR]],dimensiones!$C$21:$C$28,dimensiones!$D$21:$D$28,""))</f>
        <v>ATEL</v>
      </c>
      <c r="J1066" s="125" t="str">
        <f>_xlfn.XLOOKUP(CARTERA_2026[[#This Row],[REGION]],dimensiones!C:C,dimensiones!D:D,"")</f>
        <v>Región de Metropolitana de Santiago</v>
      </c>
      <c r="L1066" s="91"/>
    </row>
    <row r="1067" spans="1:12" ht="14.25" customHeight="1" x14ac:dyDescent="0.25">
      <c r="A1067">
        <v>767495641</v>
      </c>
      <c r="B1067" t="s">
        <v>1833</v>
      </c>
      <c r="C1067" t="s">
        <v>4364</v>
      </c>
      <c r="D1067">
        <v>9</v>
      </c>
      <c r="E1067" t="s">
        <v>4445</v>
      </c>
      <c r="F1067" t="s">
        <v>1832</v>
      </c>
      <c r="G1067" t="s">
        <v>5568</v>
      </c>
      <c r="H1067" t="s">
        <v>4915</v>
      </c>
      <c r="I1067" s="79" t="str">
        <f>IF(CARTERA_2026[[#This Row],[RUT]]=774097899,"DIST",_xlfn.XLOOKUP(CARTERA_2026[[#This Row],[VENDEDOR]],dimensiones!$C$21:$C$28,dimensiones!$D$21:$D$28,""))</f>
        <v>ATEL</v>
      </c>
      <c r="J1067" s="125" t="str">
        <f>_xlfn.XLOOKUP(CARTERA_2026[[#This Row],[REGION]],dimensiones!C:C,dimensiones!D:D,"")</f>
        <v>Región de La Araucanía</v>
      </c>
      <c r="L1067" s="91"/>
    </row>
    <row r="1068" spans="1:12" ht="14.25" customHeight="1" x14ac:dyDescent="0.25">
      <c r="A1068">
        <v>767529732</v>
      </c>
      <c r="B1068" t="s">
        <v>2696</v>
      </c>
      <c r="C1068" t="s">
        <v>4305</v>
      </c>
      <c r="D1068">
        <v>5</v>
      </c>
      <c r="E1068" t="s">
        <v>4445</v>
      </c>
      <c r="F1068" t="s">
        <v>2695</v>
      </c>
      <c r="G1068" t="s">
        <v>5570</v>
      </c>
      <c r="H1068" t="s">
        <v>4915</v>
      </c>
      <c r="I1068" s="79" t="str">
        <f>IF(CARTERA_2026[[#This Row],[RUT]]=774097899,"DIST",_xlfn.XLOOKUP(CARTERA_2026[[#This Row],[VENDEDOR]],dimensiones!$C$21:$C$28,dimensiones!$D$21:$D$28,""))</f>
        <v>ATEL</v>
      </c>
      <c r="J1068" s="125" t="str">
        <f>_xlfn.XLOOKUP(CARTERA_2026[[#This Row],[REGION]],dimensiones!C:C,dimensiones!D:D,"")</f>
        <v>Región de Valparaíso</v>
      </c>
      <c r="L1068" s="91"/>
    </row>
    <row r="1069" spans="1:12" ht="14.25" customHeight="1" x14ac:dyDescent="0.25">
      <c r="A1069">
        <v>767542968</v>
      </c>
      <c r="B1069" t="s">
        <v>2711</v>
      </c>
      <c r="C1069" t="s">
        <v>4172</v>
      </c>
      <c r="D1069">
        <v>13</v>
      </c>
      <c r="E1069" t="s">
        <v>4445</v>
      </c>
      <c r="F1069" t="s">
        <v>2710</v>
      </c>
      <c r="H1069" t="s">
        <v>4915</v>
      </c>
      <c r="I1069" s="79" t="str">
        <f>IF(CARTERA_2026[[#This Row],[RUT]]=774097899,"DIST",_xlfn.XLOOKUP(CARTERA_2026[[#This Row],[VENDEDOR]],dimensiones!$C$21:$C$28,dimensiones!$D$21:$D$28,""))</f>
        <v>ATEL</v>
      </c>
      <c r="J1069" s="125" t="str">
        <f>_xlfn.XLOOKUP(CARTERA_2026[[#This Row],[REGION]],dimensiones!C:C,dimensiones!D:D,"")</f>
        <v>Región de Metropolitana de Santiago</v>
      </c>
      <c r="L1069" s="91"/>
    </row>
    <row r="1070" spans="1:12" ht="14.25" customHeight="1" x14ac:dyDescent="0.25">
      <c r="A1070">
        <v>767568088</v>
      </c>
      <c r="B1070" t="s">
        <v>836</v>
      </c>
      <c r="C1070" t="s">
        <v>4395</v>
      </c>
      <c r="D1070">
        <v>13</v>
      </c>
      <c r="E1070" t="s">
        <v>4445</v>
      </c>
      <c r="F1070" t="s">
        <v>1978</v>
      </c>
      <c r="G1070" t="s">
        <v>5568</v>
      </c>
      <c r="H1070" t="s">
        <v>4915</v>
      </c>
      <c r="I1070" s="79" t="str">
        <f>IF(CARTERA_2026[[#This Row],[RUT]]=774097899,"DIST",_xlfn.XLOOKUP(CARTERA_2026[[#This Row],[VENDEDOR]],dimensiones!$C$21:$C$28,dimensiones!$D$21:$D$28,""))</f>
        <v>ATEL</v>
      </c>
      <c r="J1070" s="125" t="str">
        <f>_xlfn.XLOOKUP(CARTERA_2026[[#This Row],[REGION]],dimensiones!C:C,dimensiones!D:D,"")</f>
        <v>Región de Metropolitana de Santiago</v>
      </c>
      <c r="L1070" s="91"/>
    </row>
    <row r="1071" spans="1:12" ht="14.25" customHeight="1" x14ac:dyDescent="0.25">
      <c r="A1071" t="s">
        <v>715</v>
      </c>
      <c r="B1071" t="s">
        <v>716</v>
      </c>
      <c r="C1071" t="s">
        <v>4391</v>
      </c>
      <c r="D1071">
        <v>13</v>
      </c>
      <c r="E1071" t="s">
        <v>4445</v>
      </c>
      <c r="F1071" t="s">
        <v>2701</v>
      </c>
      <c r="G1071" t="s">
        <v>5568</v>
      </c>
      <c r="H1071" t="s">
        <v>4915</v>
      </c>
      <c r="I1071" s="79" t="str">
        <f>IF(CARTERA_2026[[#This Row],[RUT]]=774097899,"DIST",_xlfn.XLOOKUP(CARTERA_2026[[#This Row],[VENDEDOR]],dimensiones!$C$21:$C$28,dimensiones!$D$21:$D$28,""))</f>
        <v>ATEL</v>
      </c>
      <c r="J1071" s="125" t="str">
        <f>_xlfn.XLOOKUP(CARTERA_2026[[#This Row],[REGION]],dimensiones!C:C,dimensiones!D:D,"")</f>
        <v>Región de Metropolitana de Santiago</v>
      </c>
      <c r="L1071" s="91"/>
    </row>
    <row r="1072" spans="1:12" ht="14.25" customHeight="1" x14ac:dyDescent="0.25">
      <c r="A1072">
        <v>767586930</v>
      </c>
      <c r="B1072" t="s">
        <v>2704</v>
      </c>
      <c r="C1072" t="s">
        <v>4465</v>
      </c>
      <c r="D1072">
        <v>13</v>
      </c>
      <c r="E1072" t="s">
        <v>4445</v>
      </c>
      <c r="F1072" t="s">
        <v>2703</v>
      </c>
      <c r="G1072" t="s">
        <v>5568</v>
      </c>
      <c r="H1072" t="s">
        <v>4915</v>
      </c>
      <c r="I1072" s="79" t="str">
        <f>IF(CARTERA_2026[[#This Row],[RUT]]=774097899,"DIST",_xlfn.XLOOKUP(CARTERA_2026[[#This Row],[VENDEDOR]],dimensiones!$C$21:$C$28,dimensiones!$D$21:$D$28,""))</f>
        <v>ATEL</v>
      </c>
      <c r="J1072" s="125" t="str">
        <f>_xlfn.XLOOKUP(CARTERA_2026[[#This Row],[REGION]],dimensiones!C:C,dimensiones!D:D,"")</f>
        <v>Región de Metropolitana de Santiago</v>
      </c>
      <c r="L1072" s="91"/>
    </row>
    <row r="1073" spans="1:12" ht="14.25" customHeight="1" x14ac:dyDescent="0.25">
      <c r="A1073" t="s">
        <v>4761</v>
      </c>
      <c r="B1073" t="s">
        <v>955</v>
      </c>
      <c r="C1073" t="s">
        <v>4401</v>
      </c>
      <c r="D1073">
        <v>13</v>
      </c>
      <c r="E1073" t="s">
        <v>4445</v>
      </c>
      <c r="F1073" t="s">
        <v>2706</v>
      </c>
      <c r="G1073" t="s">
        <v>5568</v>
      </c>
      <c r="H1073" t="s">
        <v>4915</v>
      </c>
      <c r="I1073" s="79" t="str">
        <f>IF(CARTERA_2026[[#This Row],[RUT]]=774097899,"DIST",_xlfn.XLOOKUP(CARTERA_2026[[#This Row],[VENDEDOR]],dimensiones!$C$21:$C$28,dimensiones!$D$21:$D$28,""))</f>
        <v>ATEL</v>
      </c>
      <c r="J1073" s="125" t="str">
        <f>_xlfn.XLOOKUP(CARTERA_2026[[#This Row],[REGION]],dimensiones!C:C,dimensiones!D:D,"")</f>
        <v>Región de Metropolitana de Santiago</v>
      </c>
      <c r="L1073" s="91"/>
    </row>
    <row r="1074" spans="1:12" ht="14.25" customHeight="1" x14ac:dyDescent="0.25">
      <c r="A1074">
        <v>767754396</v>
      </c>
      <c r="B1074" t="s">
        <v>504</v>
      </c>
      <c r="C1074" t="s">
        <v>4391</v>
      </c>
      <c r="D1074">
        <v>13</v>
      </c>
      <c r="E1074" t="s">
        <v>4445</v>
      </c>
      <c r="F1074" t="s">
        <v>2708</v>
      </c>
      <c r="G1074" t="s">
        <v>5568</v>
      </c>
      <c r="H1074" t="s">
        <v>4915</v>
      </c>
      <c r="I1074" s="79" t="str">
        <f>IF(CARTERA_2026[[#This Row],[RUT]]=774097899,"DIST",_xlfn.XLOOKUP(CARTERA_2026[[#This Row],[VENDEDOR]],dimensiones!$C$21:$C$28,dimensiones!$D$21:$D$28,""))</f>
        <v>ATEL</v>
      </c>
      <c r="J1074" s="125" t="str">
        <f>_xlfn.XLOOKUP(CARTERA_2026[[#This Row],[REGION]],dimensiones!C:C,dimensiones!D:D,"")</f>
        <v>Región de Metropolitana de Santiago</v>
      </c>
    </row>
    <row r="1075" spans="1:12" ht="14.25" customHeight="1" x14ac:dyDescent="0.25">
      <c r="A1075">
        <v>767813252</v>
      </c>
      <c r="B1075" t="s">
        <v>837</v>
      </c>
      <c r="C1075" t="s">
        <v>4506</v>
      </c>
      <c r="D1075">
        <v>13</v>
      </c>
      <c r="E1075" t="s">
        <v>4445</v>
      </c>
      <c r="F1075" t="s">
        <v>2712</v>
      </c>
      <c r="G1075" t="s">
        <v>5568</v>
      </c>
      <c r="H1075" t="s">
        <v>4915</v>
      </c>
      <c r="I1075" s="79" t="str">
        <f>IF(CARTERA_2026[[#This Row],[RUT]]=774097899,"DIST",_xlfn.XLOOKUP(CARTERA_2026[[#This Row],[VENDEDOR]],dimensiones!$C$21:$C$28,dimensiones!$D$21:$D$28,""))</f>
        <v>ATEL</v>
      </c>
      <c r="J1075" s="125" t="str">
        <f>_xlfn.XLOOKUP(CARTERA_2026[[#This Row],[REGION]],dimensiones!C:C,dimensiones!D:D,"")</f>
        <v>Región de Metropolitana de Santiago</v>
      </c>
    </row>
    <row r="1076" spans="1:12" ht="14.25" customHeight="1" x14ac:dyDescent="0.25">
      <c r="A1076">
        <v>767839332</v>
      </c>
      <c r="B1076" t="s">
        <v>2715</v>
      </c>
      <c r="C1076" t="s">
        <v>4490</v>
      </c>
      <c r="D1076">
        <v>5</v>
      </c>
      <c r="E1076" t="s">
        <v>4445</v>
      </c>
      <c r="F1076" t="s">
        <v>2714</v>
      </c>
      <c r="G1076" t="s">
        <v>5568</v>
      </c>
      <c r="H1076" t="s">
        <v>4915</v>
      </c>
      <c r="I1076" s="79" t="str">
        <f>IF(CARTERA_2026[[#This Row],[RUT]]=774097899,"DIST",_xlfn.XLOOKUP(CARTERA_2026[[#This Row],[VENDEDOR]],dimensiones!$C$21:$C$28,dimensiones!$D$21:$D$28,""))</f>
        <v>ATEL</v>
      </c>
      <c r="J1076" s="125" t="str">
        <f>_xlfn.XLOOKUP(CARTERA_2026[[#This Row],[REGION]],dimensiones!C:C,dimensiones!D:D,"")</f>
        <v>Región de Valparaíso</v>
      </c>
    </row>
    <row r="1077" spans="1:12" ht="14.25" customHeight="1" x14ac:dyDescent="0.25">
      <c r="A1077">
        <v>767852096</v>
      </c>
      <c r="B1077" t="s">
        <v>5496</v>
      </c>
      <c r="C1077" t="s">
        <v>4245</v>
      </c>
      <c r="D1077">
        <v>4</v>
      </c>
      <c r="E1077" t="s">
        <v>4445</v>
      </c>
      <c r="F1077" t="s">
        <v>5497</v>
      </c>
      <c r="G1077" t="s">
        <v>5568</v>
      </c>
      <c r="H1077" t="s">
        <v>4915</v>
      </c>
      <c r="I1077" s="79" t="str">
        <f>IF(CARTERA_2026[[#This Row],[RUT]]=774097899,"DIST",_xlfn.XLOOKUP(CARTERA_2026[[#This Row],[VENDEDOR]],dimensiones!$C$21:$C$28,dimensiones!$D$21:$D$28,""))</f>
        <v>ATEL</v>
      </c>
      <c r="J1077" s="125" t="str">
        <f>_xlfn.XLOOKUP(CARTERA_2026[[#This Row],[REGION]],dimensiones!C:C,dimensiones!D:D,"")</f>
        <v>Región de Coquimbo</v>
      </c>
    </row>
    <row r="1078" spans="1:12" ht="14.25" customHeight="1" x14ac:dyDescent="0.25">
      <c r="A1078">
        <v>767884176</v>
      </c>
      <c r="B1078" t="s">
        <v>838</v>
      </c>
      <c r="C1078" t="s">
        <v>4551</v>
      </c>
      <c r="D1078">
        <v>13</v>
      </c>
      <c r="E1078" t="s">
        <v>4445</v>
      </c>
      <c r="F1078" t="s">
        <v>2717</v>
      </c>
      <c r="G1078" t="s">
        <v>5568</v>
      </c>
      <c r="H1078" t="s">
        <v>4915</v>
      </c>
      <c r="I1078" s="79" t="str">
        <f>IF(CARTERA_2026[[#This Row],[RUT]]=774097899,"DIST",_xlfn.XLOOKUP(CARTERA_2026[[#This Row],[VENDEDOR]],dimensiones!$C$21:$C$28,dimensiones!$D$21:$D$28,""))</f>
        <v>ATEL</v>
      </c>
      <c r="J1078" s="125" t="str">
        <f>_xlfn.XLOOKUP(CARTERA_2026[[#This Row],[REGION]],dimensiones!C:C,dimensiones!D:D,"")</f>
        <v>Región de Metropolitana de Santiago</v>
      </c>
    </row>
    <row r="1079" spans="1:12" ht="14.25" customHeight="1" x14ac:dyDescent="0.25">
      <c r="A1079">
        <v>767892799</v>
      </c>
      <c r="B1079" t="s">
        <v>839</v>
      </c>
      <c r="C1079" t="s">
        <v>4465</v>
      </c>
      <c r="D1079">
        <v>13</v>
      </c>
      <c r="E1079" t="s">
        <v>4445</v>
      </c>
      <c r="F1079" t="s">
        <v>2719</v>
      </c>
      <c r="G1079" t="s">
        <v>5568</v>
      </c>
      <c r="H1079" t="s">
        <v>4915</v>
      </c>
      <c r="I1079" s="79" t="str">
        <f>IF(CARTERA_2026[[#This Row],[RUT]]=774097899,"DIST",_xlfn.XLOOKUP(CARTERA_2026[[#This Row],[VENDEDOR]],dimensiones!$C$21:$C$28,dimensiones!$D$21:$D$28,""))</f>
        <v>ATEL</v>
      </c>
      <c r="J1079" s="125" t="str">
        <f>_xlfn.XLOOKUP(CARTERA_2026[[#This Row],[REGION]],dimensiones!C:C,dimensiones!D:D,"")</f>
        <v>Región de Metropolitana de Santiago</v>
      </c>
    </row>
    <row r="1080" spans="1:12" ht="14.25" customHeight="1" x14ac:dyDescent="0.25">
      <c r="A1080">
        <v>767904088</v>
      </c>
      <c r="B1080" t="s">
        <v>840</v>
      </c>
      <c r="C1080" t="s">
        <v>4465</v>
      </c>
      <c r="D1080">
        <v>13</v>
      </c>
      <c r="E1080" t="s">
        <v>4445</v>
      </c>
      <c r="F1080" t="s">
        <v>2721</v>
      </c>
      <c r="G1080" t="s">
        <v>5576</v>
      </c>
      <c r="H1080" t="s">
        <v>4915</v>
      </c>
      <c r="I1080" s="79" t="str">
        <f>IF(CARTERA_2026[[#This Row],[RUT]]=774097899,"DIST",_xlfn.XLOOKUP(CARTERA_2026[[#This Row],[VENDEDOR]],dimensiones!$C$21:$C$28,dimensiones!$D$21:$D$28,""))</f>
        <v>ATEL</v>
      </c>
      <c r="J1080" s="125" t="str">
        <f>_xlfn.XLOOKUP(CARTERA_2026[[#This Row],[REGION]],dimensiones!C:C,dimensiones!D:D,"")</f>
        <v>Región de Metropolitana de Santiago</v>
      </c>
    </row>
    <row r="1081" spans="1:12" ht="14.25" customHeight="1" x14ac:dyDescent="0.25">
      <c r="A1081">
        <v>767952236</v>
      </c>
      <c r="B1081" t="s">
        <v>5007</v>
      </c>
      <c r="C1081" t="s">
        <v>4529</v>
      </c>
      <c r="D1081">
        <v>13</v>
      </c>
      <c r="E1081" t="s">
        <v>4445</v>
      </c>
      <c r="F1081" t="s">
        <v>5008</v>
      </c>
      <c r="G1081" t="s">
        <v>5568</v>
      </c>
      <c r="H1081" t="s">
        <v>4915</v>
      </c>
      <c r="I1081" s="79" t="str">
        <f>IF(CARTERA_2026[[#This Row],[RUT]]=774097899,"DIST",_xlfn.XLOOKUP(CARTERA_2026[[#This Row],[VENDEDOR]],dimensiones!$C$21:$C$28,dimensiones!$D$21:$D$28,""))</f>
        <v>ATEL</v>
      </c>
      <c r="J1081" s="125" t="str">
        <f>_xlfn.XLOOKUP(CARTERA_2026[[#This Row],[REGION]],dimensiones!C:C,dimensiones!D:D,"")</f>
        <v>Región de Metropolitana de Santiago</v>
      </c>
    </row>
    <row r="1082" spans="1:12" ht="14.25" customHeight="1" x14ac:dyDescent="0.25">
      <c r="A1082">
        <v>768078661</v>
      </c>
      <c r="B1082" t="s">
        <v>841</v>
      </c>
      <c r="C1082" t="s">
        <v>4465</v>
      </c>
      <c r="D1082">
        <v>13</v>
      </c>
      <c r="E1082" t="s">
        <v>4445</v>
      </c>
      <c r="F1082" t="s">
        <v>2723</v>
      </c>
      <c r="G1082" t="s">
        <v>5570</v>
      </c>
      <c r="H1082" t="s">
        <v>4915</v>
      </c>
      <c r="I1082" s="79" t="str">
        <f>IF(CARTERA_2026[[#This Row],[RUT]]=774097899,"DIST",_xlfn.XLOOKUP(CARTERA_2026[[#This Row],[VENDEDOR]],dimensiones!$C$21:$C$28,dimensiones!$D$21:$D$28,""))</f>
        <v>ATEL</v>
      </c>
      <c r="J1082" s="125" t="str">
        <f>_xlfn.XLOOKUP(CARTERA_2026[[#This Row],[REGION]],dimensiones!C:C,dimensiones!D:D,"")</f>
        <v>Región de Metropolitana de Santiago</v>
      </c>
    </row>
    <row r="1083" spans="1:12" ht="14.25" customHeight="1" x14ac:dyDescent="0.25">
      <c r="A1083">
        <v>768101337</v>
      </c>
      <c r="B1083" t="s">
        <v>4574</v>
      </c>
      <c r="C1083" t="s">
        <v>4563</v>
      </c>
      <c r="D1083">
        <v>5</v>
      </c>
      <c r="E1083" t="s">
        <v>4445</v>
      </c>
      <c r="F1083" t="s">
        <v>4573</v>
      </c>
      <c r="G1083" t="s">
        <v>5568</v>
      </c>
      <c r="H1083" t="s">
        <v>4915</v>
      </c>
      <c r="I1083" s="79" t="str">
        <f>IF(CARTERA_2026[[#This Row],[RUT]]=774097899,"DIST",_xlfn.XLOOKUP(CARTERA_2026[[#This Row],[VENDEDOR]],dimensiones!$C$21:$C$28,dimensiones!$D$21:$D$28,""))</f>
        <v>ATEL</v>
      </c>
      <c r="J1083" s="125" t="str">
        <f>_xlfn.XLOOKUP(CARTERA_2026[[#This Row],[REGION]],dimensiones!C:C,dimensiones!D:D,"")</f>
        <v>Región de Valparaíso</v>
      </c>
    </row>
    <row r="1084" spans="1:12" ht="14.25" customHeight="1" x14ac:dyDescent="0.25">
      <c r="A1084" t="s">
        <v>4769</v>
      </c>
      <c r="B1084" t="s">
        <v>2726</v>
      </c>
      <c r="C1084" t="s">
        <v>4391</v>
      </c>
      <c r="D1084">
        <v>13</v>
      </c>
      <c r="E1084" t="s">
        <v>4445</v>
      </c>
      <c r="F1084" t="s">
        <v>2725</v>
      </c>
      <c r="G1084" t="s">
        <v>5568</v>
      </c>
      <c r="H1084" t="s">
        <v>4915</v>
      </c>
      <c r="I1084" s="79" t="str">
        <f>IF(CARTERA_2026[[#This Row],[RUT]]=774097899,"DIST",_xlfn.XLOOKUP(CARTERA_2026[[#This Row],[VENDEDOR]],dimensiones!$C$21:$C$28,dimensiones!$D$21:$D$28,""))</f>
        <v>ATEL</v>
      </c>
      <c r="J1084" s="125" t="str">
        <f>_xlfn.XLOOKUP(CARTERA_2026[[#This Row],[REGION]],dimensiones!C:C,dimensiones!D:D,"")</f>
        <v>Región de Metropolitana de Santiago</v>
      </c>
    </row>
    <row r="1085" spans="1:12" ht="14.25" customHeight="1" x14ac:dyDescent="0.25">
      <c r="A1085">
        <v>768142173</v>
      </c>
      <c r="B1085" t="s">
        <v>505</v>
      </c>
      <c r="C1085" t="s">
        <v>4196</v>
      </c>
      <c r="D1085">
        <v>13</v>
      </c>
      <c r="E1085" t="s">
        <v>4445</v>
      </c>
      <c r="F1085" t="s">
        <v>2728</v>
      </c>
      <c r="G1085" t="s">
        <v>5568</v>
      </c>
      <c r="H1085" t="s">
        <v>4915</v>
      </c>
      <c r="I1085" s="79" t="str">
        <f>IF(CARTERA_2026[[#This Row],[RUT]]=774097899,"DIST",_xlfn.XLOOKUP(CARTERA_2026[[#This Row],[VENDEDOR]],dimensiones!$C$21:$C$28,dimensiones!$D$21:$D$28,""))</f>
        <v>ATEL</v>
      </c>
      <c r="J1085" s="125" t="str">
        <f>_xlfn.XLOOKUP(CARTERA_2026[[#This Row],[REGION]],dimensiones!C:C,dimensiones!D:D,"")</f>
        <v>Región de Metropolitana de Santiago</v>
      </c>
    </row>
    <row r="1086" spans="1:12" ht="14.25" customHeight="1" x14ac:dyDescent="0.25">
      <c r="A1086">
        <v>768144222</v>
      </c>
      <c r="B1086" t="s">
        <v>3301</v>
      </c>
      <c r="C1086" t="s">
        <v>4183</v>
      </c>
      <c r="D1086">
        <v>8</v>
      </c>
      <c r="E1086" t="s">
        <v>4445</v>
      </c>
      <c r="F1086" t="s">
        <v>3300</v>
      </c>
      <c r="G1086" t="s">
        <v>5569</v>
      </c>
      <c r="H1086" t="s">
        <v>4915</v>
      </c>
      <c r="I1086" s="79" t="str">
        <f>IF(CARTERA_2026[[#This Row],[RUT]]=774097899,"DIST",_xlfn.XLOOKUP(CARTERA_2026[[#This Row],[VENDEDOR]],dimensiones!$C$21:$C$28,dimensiones!$D$21:$D$28,""))</f>
        <v>ATEL</v>
      </c>
      <c r="J1086" s="125" t="str">
        <f>_xlfn.XLOOKUP(CARTERA_2026[[#This Row],[REGION]],dimensiones!C:C,dimensiones!D:D,"")</f>
        <v>Región de Biobío</v>
      </c>
    </row>
    <row r="1087" spans="1:12" ht="14.25" customHeight="1" x14ac:dyDescent="0.25">
      <c r="A1087">
        <v>768173605</v>
      </c>
      <c r="B1087" t="s">
        <v>5793</v>
      </c>
      <c r="C1087" t="s">
        <v>4391</v>
      </c>
      <c r="D1087">
        <v>13</v>
      </c>
      <c r="E1087" t="s">
        <v>4445</v>
      </c>
      <c r="F1087" t="s">
        <v>5794</v>
      </c>
      <c r="G1087" t="s">
        <v>5568</v>
      </c>
      <c r="H1087" t="s">
        <v>4915</v>
      </c>
      <c r="I1087" s="79" t="str">
        <f>IF(CARTERA_2026[[#This Row],[RUT]]=774097899,"DIST",_xlfn.XLOOKUP(CARTERA_2026[[#This Row],[VENDEDOR]],dimensiones!$C$21:$C$28,dimensiones!$D$21:$D$28,""))</f>
        <v>ATEL</v>
      </c>
      <c r="J1087" s="125" t="str">
        <f>_xlfn.XLOOKUP(CARTERA_2026[[#This Row],[REGION]],dimensiones!C:C,dimensiones!D:D,"")</f>
        <v>Región de Metropolitana de Santiago</v>
      </c>
    </row>
    <row r="1088" spans="1:12" ht="14.25" customHeight="1" x14ac:dyDescent="0.25">
      <c r="A1088">
        <v>768224552</v>
      </c>
      <c r="B1088" t="s">
        <v>4980</v>
      </c>
      <c r="C1088" t="s">
        <v>4197</v>
      </c>
      <c r="D1088">
        <v>13</v>
      </c>
      <c r="E1088" t="s">
        <v>4445</v>
      </c>
      <c r="F1088" t="s">
        <v>4981</v>
      </c>
      <c r="G1088" t="s">
        <v>5568</v>
      </c>
      <c r="H1088" t="s">
        <v>4915</v>
      </c>
      <c r="I1088" s="79" t="str">
        <f>IF(CARTERA_2026[[#This Row],[RUT]]=774097899,"DIST",_xlfn.XLOOKUP(CARTERA_2026[[#This Row],[VENDEDOR]],dimensiones!$C$21:$C$28,dimensiones!$D$21:$D$28,""))</f>
        <v>ATEL</v>
      </c>
      <c r="J1088" s="125" t="str">
        <f>_xlfn.XLOOKUP(CARTERA_2026[[#This Row],[REGION]],dimensiones!C:C,dimensiones!D:D,"")</f>
        <v>Región de Metropolitana de Santiago</v>
      </c>
    </row>
    <row r="1089" spans="1:11" ht="14.25" customHeight="1" x14ac:dyDescent="0.25">
      <c r="A1089">
        <v>768357935</v>
      </c>
      <c r="B1089" t="s">
        <v>2734</v>
      </c>
      <c r="C1089" t="s">
        <v>4391</v>
      </c>
      <c r="D1089">
        <v>13</v>
      </c>
      <c r="E1089" t="s">
        <v>4445</v>
      </c>
      <c r="F1089" t="s">
        <v>2733</v>
      </c>
      <c r="G1089" t="s">
        <v>5568</v>
      </c>
      <c r="H1089" t="s">
        <v>4915</v>
      </c>
      <c r="I1089" s="79" t="str">
        <f>IF(CARTERA_2026[[#This Row],[RUT]]=774097899,"DIST",_xlfn.XLOOKUP(CARTERA_2026[[#This Row],[VENDEDOR]],dimensiones!$C$21:$C$28,dimensiones!$D$21:$D$28,""))</f>
        <v>ATEL</v>
      </c>
      <c r="J1089" s="125" t="str">
        <f>_xlfn.XLOOKUP(CARTERA_2026[[#This Row],[REGION]],dimensiones!C:C,dimensiones!D:D,"")</f>
        <v>Región de Metropolitana de Santiago</v>
      </c>
    </row>
    <row r="1090" spans="1:11" ht="14.25" customHeight="1" x14ac:dyDescent="0.25">
      <c r="A1090">
        <v>768426007</v>
      </c>
      <c r="B1090" t="s">
        <v>506</v>
      </c>
      <c r="C1090" t="s">
        <v>4257</v>
      </c>
      <c r="D1090">
        <v>7</v>
      </c>
      <c r="E1090" t="s">
        <v>5729</v>
      </c>
      <c r="F1090" t="s">
        <v>3671</v>
      </c>
      <c r="G1090" t="s">
        <v>5570</v>
      </c>
      <c r="H1090" t="s">
        <v>4915</v>
      </c>
      <c r="I1090" s="79" t="str">
        <f>IF(CARTERA_2026[[#This Row],[RUT]]=774097899,"DIST",_xlfn.XLOOKUP(CARTERA_2026[[#This Row],[VENDEDOR]],dimensiones!$C$21:$C$28,dimensiones!$D$21:$D$28,""))</f>
        <v>SANT3</v>
      </c>
      <c r="J1090" s="125" t="str">
        <f>_xlfn.XLOOKUP(CARTERA_2026[[#This Row],[REGION]],dimensiones!C:C,dimensiones!D:D,"")</f>
        <v>Región de Maule</v>
      </c>
    </row>
    <row r="1091" spans="1:11" ht="14.25" customHeight="1" x14ac:dyDescent="0.25">
      <c r="A1091">
        <v>768449252</v>
      </c>
      <c r="B1091" t="s">
        <v>507</v>
      </c>
      <c r="C1091" t="s">
        <v>4391</v>
      </c>
      <c r="D1091">
        <v>13</v>
      </c>
      <c r="E1091" t="s">
        <v>4445</v>
      </c>
      <c r="F1091" t="s">
        <v>2738</v>
      </c>
      <c r="G1091" t="s">
        <v>5570</v>
      </c>
      <c r="H1091" t="s">
        <v>4915</v>
      </c>
      <c r="I1091" s="79" t="str">
        <f>IF(CARTERA_2026[[#This Row],[RUT]]=774097899,"DIST",_xlfn.XLOOKUP(CARTERA_2026[[#This Row],[VENDEDOR]],dimensiones!$C$21:$C$28,dimensiones!$D$21:$D$28,""))</f>
        <v>ATEL</v>
      </c>
      <c r="J1091" s="125" t="str">
        <f>_xlfn.XLOOKUP(CARTERA_2026[[#This Row],[REGION]],dimensiones!C:C,dimensiones!D:D,"")</f>
        <v>Región de Metropolitana de Santiago</v>
      </c>
    </row>
    <row r="1092" spans="1:11" ht="14.25" customHeight="1" x14ac:dyDescent="0.25">
      <c r="A1092">
        <v>768473536</v>
      </c>
      <c r="B1092" t="s">
        <v>508</v>
      </c>
      <c r="C1092" t="s">
        <v>4416</v>
      </c>
      <c r="D1092">
        <v>13</v>
      </c>
      <c r="E1092" t="s">
        <v>4445</v>
      </c>
      <c r="F1092" t="s">
        <v>4099</v>
      </c>
      <c r="G1092" t="s">
        <v>5568</v>
      </c>
      <c r="H1092" t="s">
        <v>4915</v>
      </c>
      <c r="I1092" s="79" t="str">
        <f>IF(CARTERA_2026[[#This Row],[RUT]]=774097899,"DIST",_xlfn.XLOOKUP(CARTERA_2026[[#This Row],[VENDEDOR]],dimensiones!$C$21:$C$28,dimensiones!$D$21:$D$28,""))</f>
        <v>ATEL</v>
      </c>
      <c r="J1092" s="125" t="str">
        <f>_xlfn.XLOOKUP(CARTERA_2026[[#This Row],[REGION]],dimensiones!C:C,dimensiones!D:D,"")</f>
        <v>Región de Metropolitana de Santiago</v>
      </c>
    </row>
    <row r="1093" spans="1:11" ht="14.25" customHeight="1" x14ac:dyDescent="0.25">
      <c r="A1093">
        <v>768489920</v>
      </c>
      <c r="B1093" t="s">
        <v>4576</v>
      </c>
      <c r="C1093" t="s">
        <v>4497</v>
      </c>
      <c r="D1093">
        <v>8</v>
      </c>
      <c r="E1093" t="s">
        <v>4445</v>
      </c>
      <c r="F1093" t="s">
        <v>4575</v>
      </c>
      <c r="H1093" t="s">
        <v>4915</v>
      </c>
      <c r="I1093" s="79" t="str">
        <f>IF(CARTERA_2026[[#This Row],[RUT]]=774097899,"DIST",_xlfn.XLOOKUP(CARTERA_2026[[#This Row],[VENDEDOR]],dimensiones!$C$21:$C$28,dimensiones!$D$21:$D$28,""))</f>
        <v>ATEL</v>
      </c>
      <c r="J1093" s="125" t="str">
        <f>_xlfn.XLOOKUP(CARTERA_2026[[#This Row],[REGION]],dimensiones!C:C,dimensiones!D:D,"")</f>
        <v>Región de Biobío</v>
      </c>
    </row>
    <row r="1094" spans="1:11" ht="14.25" customHeight="1" x14ac:dyDescent="0.25">
      <c r="A1094" t="s">
        <v>717</v>
      </c>
      <c r="B1094" t="s">
        <v>2741</v>
      </c>
      <c r="C1094" t="s">
        <v>4497</v>
      </c>
      <c r="D1094">
        <v>8</v>
      </c>
      <c r="E1094" t="s">
        <v>4445</v>
      </c>
      <c r="F1094" t="s">
        <v>2740</v>
      </c>
      <c r="G1094" t="s">
        <v>5570</v>
      </c>
      <c r="H1094" t="s">
        <v>4915</v>
      </c>
      <c r="I1094" s="79" t="str">
        <f>IF(CARTERA_2026[[#This Row],[RUT]]=774097899,"DIST",_xlfn.XLOOKUP(CARTERA_2026[[#This Row],[VENDEDOR]],dimensiones!$C$21:$C$28,dimensiones!$D$21:$D$28,""))</f>
        <v>ATEL</v>
      </c>
      <c r="J1094" s="125" t="str">
        <f>_xlfn.XLOOKUP(CARTERA_2026[[#This Row],[REGION]],dimensiones!C:C,dimensiones!D:D,"")</f>
        <v>Región de Biobío</v>
      </c>
    </row>
    <row r="1095" spans="1:11" ht="14.25" customHeight="1" x14ac:dyDescent="0.25">
      <c r="A1095">
        <v>768526907</v>
      </c>
      <c r="B1095" t="s">
        <v>2744</v>
      </c>
      <c r="C1095" t="s">
        <v>4465</v>
      </c>
      <c r="D1095">
        <v>13</v>
      </c>
      <c r="E1095" t="s">
        <v>4445</v>
      </c>
      <c r="F1095" t="s">
        <v>2743</v>
      </c>
      <c r="G1095" t="s">
        <v>5568</v>
      </c>
      <c r="H1095" t="s">
        <v>4915</v>
      </c>
      <c r="I1095" s="79" t="str">
        <f>IF(CARTERA_2026[[#This Row],[RUT]]=774097899,"DIST",_xlfn.XLOOKUP(CARTERA_2026[[#This Row],[VENDEDOR]],dimensiones!$C$21:$C$28,dimensiones!$D$21:$D$28,""))</f>
        <v>ATEL</v>
      </c>
      <c r="J1095" s="125" t="str">
        <f>_xlfn.XLOOKUP(CARTERA_2026[[#This Row],[REGION]],dimensiones!C:C,dimensiones!D:D,"")</f>
        <v>Región de Metropolitana de Santiago</v>
      </c>
    </row>
    <row r="1096" spans="1:11" ht="14.25" customHeight="1" x14ac:dyDescent="0.25">
      <c r="A1096">
        <v>768557993</v>
      </c>
      <c r="B1096" t="s">
        <v>2747</v>
      </c>
      <c r="C1096" t="s">
        <v>4168</v>
      </c>
      <c r="D1096">
        <v>13</v>
      </c>
      <c r="E1096" t="s">
        <v>4445</v>
      </c>
      <c r="F1096" t="s">
        <v>2746</v>
      </c>
      <c r="G1096" t="s">
        <v>5568</v>
      </c>
      <c r="H1096" t="s">
        <v>4915</v>
      </c>
      <c r="I1096" s="79" t="str">
        <f>IF(CARTERA_2026[[#This Row],[RUT]]=774097899,"DIST",_xlfn.XLOOKUP(CARTERA_2026[[#This Row],[VENDEDOR]],dimensiones!$C$21:$C$28,dimensiones!$D$21:$D$28,""))</f>
        <v>ATEL</v>
      </c>
      <c r="J1096" s="125" t="str">
        <f>_xlfn.XLOOKUP(CARTERA_2026[[#This Row],[REGION]],dimensiones!C:C,dimensiones!D:D,"")</f>
        <v>Región de Metropolitana de Santiago</v>
      </c>
    </row>
    <row r="1097" spans="1:11" ht="14.25" customHeight="1" x14ac:dyDescent="0.25">
      <c r="A1097">
        <v>768575673</v>
      </c>
      <c r="B1097" t="s">
        <v>5643</v>
      </c>
      <c r="C1097" t="s">
        <v>4178</v>
      </c>
      <c r="D1097">
        <v>13</v>
      </c>
      <c r="E1097" t="s">
        <v>4445</v>
      </c>
      <c r="F1097" t="s">
        <v>5644</v>
      </c>
      <c r="G1097" t="s">
        <v>5568</v>
      </c>
      <c r="H1097" t="s">
        <v>4915</v>
      </c>
      <c r="I1097" s="79" t="str">
        <f>IF(CARTERA_2026[[#This Row],[RUT]]=774097899,"DIST",_xlfn.XLOOKUP(CARTERA_2026[[#This Row],[VENDEDOR]],dimensiones!$C$21:$C$28,dimensiones!$D$21:$D$28,""))</f>
        <v>ATEL</v>
      </c>
      <c r="J1097" s="125" t="str">
        <f>_xlfn.XLOOKUP(CARTERA_2026[[#This Row],[REGION]],dimensiones!C:C,dimensiones!D:D,"")</f>
        <v>Región de Metropolitana de Santiago</v>
      </c>
    </row>
    <row r="1098" spans="1:11" ht="14.25" customHeight="1" x14ac:dyDescent="0.25">
      <c r="A1098" t="s">
        <v>4770</v>
      </c>
      <c r="B1098" t="s">
        <v>2750</v>
      </c>
      <c r="C1098" t="s">
        <v>4510</v>
      </c>
      <c r="D1098">
        <v>13</v>
      </c>
      <c r="E1098" t="s">
        <v>4445</v>
      </c>
      <c r="F1098" t="s">
        <v>2749</v>
      </c>
      <c r="G1098" t="s">
        <v>5568</v>
      </c>
      <c r="H1098" t="s">
        <v>4915</v>
      </c>
      <c r="I1098" s="79" t="str">
        <f>IF(CARTERA_2026[[#This Row],[RUT]]=774097899,"DIST",_xlfn.XLOOKUP(CARTERA_2026[[#This Row],[VENDEDOR]],dimensiones!$C$21:$C$28,dimensiones!$D$21:$D$28,""))</f>
        <v>ATEL</v>
      </c>
      <c r="J1098" s="125" t="str">
        <f>_xlfn.XLOOKUP(CARTERA_2026[[#This Row],[REGION]],dimensiones!C:C,dimensiones!D:D,"")</f>
        <v>Región de Metropolitana de Santiago</v>
      </c>
    </row>
    <row r="1099" spans="1:11" ht="14.25" customHeight="1" x14ac:dyDescent="0.25">
      <c r="A1099">
        <v>768658846</v>
      </c>
      <c r="B1099" t="s">
        <v>510</v>
      </c>
      <c r="C1099" t="s">
        <v>4391</v>
      </c>
      <c r="D1099">
        <v>13</v>
      </c>
      <c r="E1099" t="s">
        <v>4445</v>
      </c>
      <c r="F1099" t="s">
        <v>2752</v>
      </c>
      <c r="G1099" t="s">
        <v>5568</v>
      </c>
      <c r="H1099" t="s">
        <v>4915</v>
      </c>
      <c r="I1099" s="79" t="str">
        <f>IF(CARTERA_2026[[#This Row],[RUT]]=774097899,"DIST",_xlfn.XLOOKUP(CARTERA_2026[[#This Row],[VENDEDOR]],dimensiones!$C$21:$C$28,dimensiones!$D$21:$D$28,""))</f>
        <v>ATEL</v>
      </c>
      <c r="J1099" s="125" t="str">
        <f>_xlfn.XLOOKUP(CARTERA_2026[[#This Row],[REGION]],dimensiones!C:C,dimensiones!D:D,"")</f>
        <v>Región de Metropolitana de Santiago</v>
      </c>
      <c r="K1099" s="16"/>
    </row>
    <row r="1100" spans="1:11" ht="14.25" customHeight="1" x14ac:dyDescent="0.25">
      <c r="A1100" t="s">
        <v>718</v>
      </c>
      <c r="B1100" t="s">
        <v>719</v>
      </c>
      <c r="C1100" t="s">
        <v>4465</v>
      </c>
      <c r="D1100">
        <v>13</v>
      </c>
      <c r="E1100" t="s">
        <v>4445</v>
      </c>
      <c r="F1100" t="s">
        <v>1986</v>
      </c>
      <c r="G1100" t="s">
        <v>5570</v>
      </c>
      <c r="H1100" t="s">
        <v>4915</v>
      </c>
      <c r="I1100" s="79" t="str">
        <f>IF(CARTERA_2026[[#This Row],[RUT]]=774097899,"DIST",_xlfn.XLOOKUP(CARTERA_2026[[#This Row],[VENDEDOR]],dimensiones!$C$21:$C$28,dimensiones!$D$21:$D$28,""))</f>
        <v>ATEL</v>
      </c>
      <c r="J1100" s="125" t="str">
        <f>_xlfn.XLOOKUP(CARTERA_2026[[#This Row],[REGION]],dimensiones!C:C,dimensiones!D:D,"")</f>
        <v>Región de Metropolitana de Santiago</v>
      </c>
      <c r="K1100" s="16"/>
    </row>
    <row r="1101" spans="1:11" ht="14.25" customHeight="1" x14ac:dyDescent="0.25">
      <c r="A1101" t="s">
        <v>720</v>
      </c>
      <c r="B1101" t="s">
        <v>721</v>
      </c>
      <c r="C1101" t="s">
        <v>4175</v>
      </c>
      <c r="D1101">
        <v>5</v>
      </c>
      <c r="E1101" t="s">
        <v>4445</v>
      </c>
      <c r="F1101" t="s">
        <v>2756</v>
      </c>
      <c r="G1101" t="s">
        <v>5570</v>
      </c>
      <c r="H1101" t="s">
        <v>4915</v>
      </c>
      <c r="I1101" s="79" t="str">
        <f>IF(CARTERA_2026[[#This Row],[RUT]]=774097899,"DIST",_xlfn.XLOOKUP(CARTERA_2026[[#This Row],[VENDEDOR]],dimensiones!$C$21:$C$28,dimensiones!$D$21:$D$28,""))</f>
        <v>ATEL</v>
      </c>
      <c r="J1101" s="125" t="str">
        <f>_xlfn.XLOOKUP(CARTERA_2026[[#This Row],[REGION]],dimensiones!C:C,dimensiones!D:D,"")</f>
        <v>Región de Valparaíso</v>
      </c>
      <c r="K1101" s="16"/>
    </row>
    <row r="1102" spans="1:11" ht="14.25" customHeight="1" x14ac:dyDescent="0.25">
      <c r="A1102">
        <v>768795401</v>
      </c>
      <c r="B1102" t="s">
        <v>5544</v>
      </c>
      <c r="C1102" t="s">
        <v>4460</v>
      </c>
      <c r="D1102">
        <v>8</v>
      </c>
      <c r="E1102" t="s">
        <v>4445</v>
      </c>
      <c r="F1102" t="s">
        <v>5545</v>
      </c>
      <c r="G1102" t="s">
        <v>5570</v>
      </c>
      <c r="H1102" t="s">
        <v>4915</v>
      </c>
      <c r="I1102" s="79" t="str">
        <f>IF(CARTERA_2026[[#This Row],[RUT]]=774097899,"DIST",_xlfn.XLOOKUP(CARTERA_2026[[#This Row],[VENDEDOR]],dimensiones!$C$21:$C$28,dimensiones!$D$21:$D$28,""))</f>
        <v>ATEL</v>
      </c>
      <c r="J1102" s="125" t="str">
        <f>_xlfn.XLOOKUP(CARTERA_2026[[#This Row],[REGION]],dimensiones!C:C,dimensiones!D:D,"")</f>
        <v>Región de Biobío</v>
      </c>
      <c r="K1102" s="16"/>
    </row>
    <row r="1103" spans="1:11" ht="14.25" customHeight="1" x14ac:dyDescent="0.25">
      <c r="A1103">
        <v>768805636</v>
      </c>
      <c r="B1103" t="s">
        <v>511</v>
      </c>
      <c r="C1103" t="s">
        <v>4395</v>
      </c>
      <c r="D1103">
        <v>13</v>
      </c>
      <c r="E1103" t="s">
        <v>4445</v>
      </c>
      <c r="F1103" t="s">
        <v>1318</v>
      </c>
      <c r="G1103" t="s">
        <v>5570</v>
      </c>
      <c r="H1103" t="s">
        <v>4915</v>
      </c>
      <c r="I1103" s="79" t="str">
        <f>IF(CARTERA_2026[[#This Row],[RUT]]=774097899,"DIST",_xlfn.XLOOKUP(CARTERA_2026[[#This Row],[VENDEDOR]],dimensiones!$C$21:$C$28,dimensiones!$D$21:$D$28,""))</f>
        <v>ATEL</v>
      </c>
      <c r="J1103" s="125" t="str">
        <f>_xlfn.XLOOKUP(CARTERA_2026[[#This Row],[REGION]],dimensiones!C:C,dimensiones!D:D,"")</f>
        <v>Región de Metropolitana de Santiago</v>
      </c>
    </row>
    <row r="1104" spans="1:11" ht="14.25" customHeight="1" x14ac:dyDescent="0.25">
      <c r="A1104" t="s">
        <v>4771</v>
      </c>
      <c r="B1104" t="s">
        <v>3365</v>
      </c>
      <c r="C1104" t="s">
        <v>4381</v>
      </c>
      <c r="D1104">
        <v>13</v>
      </c>
      <c r="E1104" t="s">
        <v>4445</v>
      </c>
      <c r="F1104" t="s">
        <v>3364</v>
      </c>
      <c r="G1104" t="s">
        <v>5568</v>
      </c>
      <c r="H1104" t="s">
        <v>4915</v>
      </c>
      <c r="I1104" s="79" t="str">
        <f>IF(CARTERA_2026[[#This Row],[RUT]]=774097899,"DIST",_xlfn.XLOOKUP(CARTERA_2026[[#This Row],[VENDEDOR]],dimensiones!$C$21:$C$28,dimensiones!$D$21:$D$28,""))</f>
        <v>ATEL</v>
      </c>
      <c r="J1104" s="125" t="str">
        <f>_xlfn.XLOOKUP(CARTERA_2026[[#This Row],[REGION]],dimensiones!C:C,dimensiones!D:D,"")</f>
        <v>Región de Metropolitana de Santiago</v>
      </c>
    </row>
    <row r="1105" spans="1:12" ht="14.25" customHeight="1" x14ac:dyDescent="0.25">
      <c r="A1105">
        <v>768840040</v>
      </c>
      <c r="B1105" t="s">
        <v>5513</v>
      </c>
      <c r="C1105" t="s">
        <v>4183</v>
      </c>
      <c r="D1105">
        <v>8</v>
      </c>
      <c r="E1105" t="s">
        <v>4445</v>
      </c>
      <c r="F1105" t="s">
        <v>5514</v>
      </c>
      <c r="G1105" t="s">
        <v>5569</v>
      </c>
      <c r="H1105" t="s">
        <v>4915</v>
      </c>
      <c r="I1105" s="79" t="str">
        <f>IF(CARTERA_2026[[#This Row],[RUT]]=774097899,"DIST",_xlfn.XLOOKUP(CARTERA_2026[[#This Row],[VENDEDOR]],dimensiones!$C$21:$C$28,dimensiones!$D$21:$D$28,""))</f>
        <v>ATEL</v>
      </c>
      <c r="J1105" s="125" t="str">
        <f>_xlfn.XLOOKUP(CARTERA_2026[[#This Row],[REGION]],dimensiones!C:C,dimensiones!D:D,"")</f>
        <v>Región de Biobío</v>
      </c>
      <c r="K1105" s="16"/>
    </row>
    <row r="1106" spans="1:12" ht="14.25" customHeight="1" x14ac:dyDescent="0.25">
      <c r="A1106">
        <v>768893845</v>
      </c>
      <c r="B1106" t="s">
        <v>512</v>
      </c>
      <c r="C1106" t="s">
        <v>4273</v>
      </c>
      <c r="D1106">
        <v>8</v>
      </c>
      <c r="E1106" t="s">
        <v>4445</v>
      </c>
      <c r="F1106" t="s">
        <v>2764</v>
      </c>
      <c r="G1106" t="s">
        <v>5570</v>
      </c>
      <c r="H1106" t="s">
        <v>4915</v>
      </c>
      <c r="I1106" s="79" t="str">
        <f>IF(CARTERA_2026[[#This Row],[RUT]]=774097899,"DIST",_xlfn.XLOOKUP(CARTERA_2026[[#This Row],[VENDEDOR]],dimensiones!$C$21:$C$28,dimensiones!$D$21:$D$28,""))</f>
        <v>ATEL</v>
      </c>
      <c r="J1106" s="125" t="str">
        <f>_xlfn.XLOOKUP(CARTERA_2026[[#This Row],[REGION]],dimensiones!C:C,dimensiones!D:D,"")</f>
        <v>Región de Biobío</v>
      </c>
      <c r="K1106" s="16"/>
    </row>
    <row r="1107" spans="1:12" ht="14.25" customHeight="1" x14ac:dyDescent="0.25">
      <c r="A1107">
        <v>768905975</v>
      </c>
      <c r="B1107" t="s">
        <v>513</v>
      </c>
      <c r="C1107" t="s">
        <v>4394</v>
      </c>
      <c r="D1107">
        <v>13</v>
      </c>
      <c r="E1107" t="s">
        <v>4445</v>
      </c>
      <c r="F1107" t="s">
        <v>1451</v>
      </c>
      <c r="G1107" t="s">
        <v>5568</v>
      </c>
      <c r="H1107" t="s">
        <v>4915</v>
      </c>
      <c r="I1107" s="79" t="str">
        <f>IF(CARTERA_2026[[#This Row],[RUT]]=774097899,"DIST",_xlfn.XLOOKUP(CARTERA_2026[[#This Row],[VENDEDOR]],dimensiones!$C$21:$C$28,dimensiones!$D$21:$D$28,""))</f>
        <v>ATEL</v>
      </c>
      <c r="J1107" s="125" t="str">
        <f>_xlfn.XLOOKUP(CARTERA_2026[[#This Row],[REGION]],dimensiones!C:C,dimensiones!D:D,"")</f>
        <v>Región de Metropolitana de Santiago</v>
      </c>
      <c r="K1107" s="16"/>
    </row>
    <row r="1108" spans="1:12" ht="14.25" customHeight="1" x14ac:dyDescent="0.25">
      <c r="A1108">
        <v>768913161</v>
      </c>
      <c r="B1108" t="s">
        <v>2770</v>
      </c>
      <c r="C1108" t="s">
        <v>4460</v>
      </c>
      <c r="D1108">
        <v>8</v>
      </c>
      <c r="E1108" t="s">
        <v>4445</v>
      </c>
      <c r="F1108" t="s">
        <v>2769</v>
      </c>
      <c r="G1108" t="s">
        <v>5568</v>
      </c>
      <c r="H1108" t="s">
        <v>4915</v>
      </c>
      <c r="I1108" s="79" t="str">
        <f>IF(CARTERA_2026[[#This Row],[RUT]]=774097899,"DIST",_xlfn.XLOOKUP(CARTERA_2026[[#This Row],[VENDEDOR]],dimensiones!$C$21:$C$28,dimensiones!$D$21:$D$28,""))</f>
        <v>ATEL</v>
      </c>
      <c r="J1108" s="125" t="str">
        <f>_xlfn.XLOOKUP(CARTERA_2026[[#This Row],[REGION]],dimensiones!C:C,dimensiones!D:D,"")</f>
        <v>Región de Biobío</v>
      </c>
      <c r="K1108" s="16"/>
    </row>
    <row r="1109" spans="1:12" ht="14.25" customHeight="1" x14ac:dyDescent="0.25">
      <c r="A1109">
        <v>769078231</v>
      </c>
      <c r="B1109" t="s">
        <v>5666</v>
      </c>
      <c r="C1109" t="s">
        <v>4218</v>
      </c>
      <c r="D1109">
        <v>9</v>
      </c>
      <c r="E1109" t="s">
        <v>4445</v>
      </c>
      <c r="F1109" t="s">
        <v>5667</v>
      </c>
      <c r="G1109" t="s">
        <v>5568</v>
      </c>
      <c r="H1109" t="s">
        <v>4915</v>
      </c>
      <c r="I1109" s="79" t="str">
        <f>IF(CARTERA_2026[[#This Row],[RUT]]=774097899,"DIST",_xlfn.XLOOKUP(CARTERA_2026[[#This Row],[VENDEDOR]],dimensiones!$C$21:$C$28,dimensiones!$D$21:$D$28,""))</f>
        <v>ATEL</v>
      </c>
      <c r="J1109" s="125" t="str">
        <f>_xlfn.XLOOKUP(CARTERA_2026[[#This Row],[REGION]],dimensiones!C:C,dimensiones!D:D,"")</f>
        <v>Región de La Araucanía</v>
      </c>
      <c r="K1109" s="16"/>
    </row>
    <row r="1110" spans="1:12" ht="14.25" customHeight="1" x14ac:dyDescent="0.25">
      <c r="A1110">
        <v>769142584</v>
      </c>
      <c r="B1110" t="s">
        <v>4578</v>
      </c>
      <c r="C1110" t="s">
        <v>4465</v>
      </c>
      <c r="D1110">
        <v>13</v>
      </c>
      <c r="E1110" t="s">
        <v>4445</v>
      </c>
      <c r="F1110" t="s">
        <v>4577</v>
      </c>
      <c r="G1110" t="s">
        <v>5568</v>
      </c>
      <c r="H1110" t="s">
        <v>4915</v>
      </c>
      <c r="I1110" s="79" t="str">
        <f>IF(CARTERA_2026[[#This Row],[RUT]]=774097899,"DIST",_xlfn.XLOOKUP(CARTERA_2026[[#This Row],[VENDEDOR]],dimensiones!$C$21:$C$28,dimensiones!$D$21:$D$28,""))</f>
        <v>ATEL</v>
      </c>
      <c r="J1110" s="125" t="str">
        <f>_xlfn.XLOOKUP(CARTERA_2026[[#This Row],[REGION]],dimensiones!C:C,dimensiones!D:D,"")</f>
        <v>Región de Metropolitana de Santiago</v>
      </c>
      <c r="K1110" s="16"/>
    </row>
    <row r="1111" spans="1:12" ht="14.25" customHeight="1" x14ac:dyDescent="0.25">
      <c r="A1111">
        <v>769148574</v>
      </c>
      <c r="B1111" t="s">
        <v>4995</v>
      </c>
      <c r="C1111" t="s">
        <v>4275</v>
      </c>
      <c r="D1111">
        <v>8</v>
      </c>
      <c r="E1111" t="s">
        <v>4445</v>
      </c>
      <c r="F1111" t="s">
        <v>4996</v>
      </c>
      <c r="G1111" t="s">
        <v>5568</v>
      </c>
      <c r="H1111" t="s">
        <v>4915</v>
      </c>
      <c r="I1111" s="79" t="str">
        <f>IF(CARTERA_2026[[#This Row],[RUT]]=774097899,"DIST",_xlfn.XLOOKUP(CARTERA_2026[[#This Row],[VENDEDOR]],dimensiones!$C$21:$C$28,dimensiones!$D$21:$D$28,""))</f>
        <v>ATEL</v>
      </c>
      <c r="J1111" s="125" t="str">
        <f>_xlfn.XLOOKUP(CARTERA_2026[[#This Row],[REGION]],dimensiones!C:C,dimensiones!D:D,"")</f>
        <v>Región de Biobío</v>
      </c>
    </row>
    <row r="1112" spans="1:12" ht="14.25" customHeight="1" x14ac:dyDescent="0.25">
      <c r="A1112">
        <v>769304231</v>
      </c>
      <c r="B1112" t="s">
        <v>2773</v>
      </c>
      <c r="C1112" t="s">
        <v>4456</v>
      </c>
      <c r="D1112">
        <v>13</v>
      </c>
      <c r="E1112" t="s">
        <v>4445</v>
      </c>
      <c r="F1112" t="s">
        <v>2772</v>
      </c>
      <c r="G1112" t="s">
        <v>5568</v>
      </c>
      <c r="H1112" t="s">
        <v>4915</v>
      </c>
      <c r="I1112" s="79" t="str">
        <f>IF(CARTERA_2026[[#This Row],[RUT]]=774097899,"DIST",_xlfn.XLOOKUP(CARTERA_2026[[#This Row],[VENDEDOR]],dimensiones!$C$21:$C$28,dimensiones!$D$21:$D$28,""))</f>
        <v>ATEL</v>
      </c>
      <c r="J1112" s="125" t="str">
        <f>_xlfn.XLOOKUP(CARTERA_2026[[#This Row],[REGION]],dimensiones!C:C,dimensiones!D:D,"")</f>
        <v>Región de Metropolitana de Santiago</v>
      </c>
    </row>
    <row r="1113" spans="1:12" ht="14.25" customHeight="1" x14ac:dyDescent="0.25">
      <c r="A1113">
        <v>769372512</v>
      </c>
      <c r="B1113" t="s">
        <v>5580</v>
      </c>
      <c r="C1113" t="s">
        <v>4391</v>
      </c>
      <c r="D1113">
        <v>13</v>
      </c>
      <c r="E1113" t="s">
        <v>4445</v>
      </c>
      <c r="F1113" t="s">
        <v>5581</v>
      </c>
      <c r="G1113" t="s">
        <v>5568</v>
      </c>
      <c r="H1113" t="s">
        <v>4915</v>
      </c>
      <c r="I1113" s="79" t="str">
        <f>IF(CARTERA_2026[[#This Row],[RUT]]=774097899,"DIST",_xlfn.XLOOKUP(CARTERA_2026[[#This Row],[VENDEDOR]],dimensiones!$C$21:$C$28,dimensiones!$D$21:$D$28,""))</f>
        <v>ATEL</v>
      </c>
      <c r="J1113" s="125" t="str">
        <f>_xlfn.XLOOKUP(CARTERA_2026[[#This Row],[REGION]],dimensiones!C:C,dimensiones!D:D,"")</f>
        <v>Región de Metropolitana de Santiago</v>
      </c>
    </row>
    <row r="1114" spans="1:12" ht="14.25" customHeight="1" x14ac:dyDescent="0.25">
      <c r="A1114" t="s">
        <v>722</v>
      </c>
      <c r="B1114" t="s">
        <v>723</v>
      </c>
      <c r="C1114" t="s">
        <v>4466</v>
      </c>
      <c r="D1114">
        <v>3</v>
      </c>
      <c r="E1114" t="s">
        <v>4445</v>
      </c>
      <c r="F1114" t="s">
        <v>2248</v>
      </c>
      <c r="G1114" t="s">
        <v>5570</v>
      </c>
      <c r="H1114" t="s">
        <v>4915</v>
      </c>
      <c r="I1114" s="79" t="str">
        <f>IF(CARTERA_2026[[#This Row],[RUT]]=774097899,"DIST",_xlfn.XLOOKUP(CARTERA_2026[[#This Row],[VENDEDOR]],dimensiones!$C$21:$C$28,dimensiones!$D$21:$D$28,""))</f>
        <v>ATEL</v>
      </c>
      <c r="J1114" s="125" t="str">
        <f>_xlfn.XLOOKUP(CARTERA_2026[[#This Row],[REGION]],dimensiones!C:C,dimensiones!D:D,"")</f>
        <v>Región de Atacama</v>
      </c>
    </row>
    <row r="1115" spans="1:12" ht="14.25" customHeight="1" x14ac:dyDescent="0.25">
      <c r="A1115">
        <v>769396942</v>
      </c>
      <c r="B1115" t="s">
        <v>514</v>
      </c>
      <c r="C1115" t="s">
        <v>4544</v>
      </c>
      <c r="D1115">
        <v>9</v>
      </c>
      <c r="E1115" t="s">
        <v>4445</v>
      </c>
      <c r="F1115" t="s">
        <v>2778</v>
      </c>
      <c r="G1115" t="s">
        <v>5570</v>
      </c>
      <c r="H1115" t="s">
        <v>4915</v>
      </c>
      <c r="I1115" s="79" t="str">
        <f>IF(CARTERA_2026[[#This Row],[RUT]]=774097899,"DIST",_xlfn.XLOOKUP(CARTERA_2026[[#This Row],[VENDEDOR]],dimensiones!$C$21:$C$28,dimensiones!$D$21:$D$28,""))</f>
        <v>ATEL</v>
      </c>
      <c r="J1115" s="125" t="str">
        <f>_xlfn.XLOOKUP(CARTERA_2026[[#This Row],[REGION]],dimensiones!C:C,dimensiones!D:D,"")</f>
        <v>Región de La Araucanía</v>
      </c>
      <c r="L1115" s="16"/>
    </row>
    <row r="1116" spans="1:12" ht="14.25" customHeight="1" x14ac:dyDescent="0.25">
      <c r="A1116">
        <v>769501495</v>
      </c>
      <c r="B1116" t="s">
        <v>5455</v>
      </c>
      <c r="C1116" t="s">
        <v>4264</v>
      </c>
      <c r="D1116">
        <v>7</v>
      </c>
      <c r="E1116" t="s">
        <v>4445</v>
      </c>
      <c r="F1116" t="s">
        <v>5456</v>
      </c>
      <c r="G1116" t="s">
        <v>5570</v>
      </c>
      <c r="H1116" t="s">
        <v>4915</v>
      </c>
      <c r="I1116" s="79" t="str">
        <f>IF(CARTERA_2026[[#This Row],[RUT]]=774097899,"DIST",_xlfn.XLOOKUP(CARTERA_2026[[#This Row],[VENDEDOR]],dimensiones!$C$21:$C$28,dimensiones!$D$21:$D$28,""))</f>
        <v>ATEL</v>
      </c>
      <c r="J1116" s="125" t="str">
        <f>_xlfn.XLOOKUP(CARTERA_2026[[#This Row],[REGION]],dimensiones!C:C,dimensiones!D:D,"")</f>
        <v>Región de Maule</v>
      </c>
      <c r="L1116" s="16"/>
    </row>
    <row r="1117" spans="1:12" ht="14.25" customHeight="1" x14ac:dyDescent="0.25">
      <c r="A1117">
        <v>769535454</v>
      </c>
      <c r="B1117" t="s">
        <v>5653</v>
      </c>
      <c r="C1117" t="s">
        <v>4182</v>
      </c>
      <c r="D1117">
        <v>2</v>
      </c>
      <c r="E1117" t="s">
        <v>4445</v>
      </c>
      <c r="F1117" t="s">
        <v>5654</v>
      </c>
      <c r="G1117" t="s">
        <v>5568</v>
      </c>
      <c r="H1117" t="s">
        <v>4915</v>
      </c>
      <c r="I1117" s="79" t="str">
        <f>IF(CARTERA_2026[[#This Row],[RUT]]=774097899,"DIST",_xlfn.XLOOKUP(CARTERA_2026[[#This Row],[VENDEDOR]],dimensiones!$C$21:$C$28,dimensiones!$D$21:$D$28,""))</f>
        <v>ATEL</v>
      </c>
      <c r="J1117" s="125" t="str">
        <f>_xlfn.XLOOKUP(CARTERA_2026[[#This Row],[REGION]],dimensiones!C:C,dimensiones!D:D,"")</f>
        <v>Región de Antofagasta</v>
      </c>
      <c r="L1117" s="16"/>
    </row>
    <row r="1118" spans="1:12" ht="14.25" customHeight="1" x14ac:dyDescent="0.25">
      <c r="A1118">
        <v>769610235</v>
      </c>
      <c r="B1118" t="s">
        <v>2781</v>
      </c>
      <c r="C1118" t="s">
        <v>4245</v>
      </c>
      <c r="D1118">
        <v>4</v>
      </c>
      <c r="E1118" t="s">
        <v>4445</v>
      </c>
      <c r="F1118" t="s">
        <v>2780</v>
      </c>
      <c r="G1118" t="s">
        <v>5568</v>
      </c>
      <c r="H1118" t="s">
        <v>4915</v>
      </c>
      <c r="I1118" s="79" t="str">
        <f>IF(CARTERA_2026[[#This Row],[RUT]]=774097899,"DIST",_xlfn.XLOOKUP(CARTERA_2026[[#This Row],[VENDEDOR]],dimensiones!$C$21:$C$28,dimensiones!$D$21:$D$28,""))</f>
        <v>ATEL</v>
      </c>
      <c r="J1118" s="125" t="str">
        <f>_xlfn.XLOOKUP(CARTERA_2026[[#This Row],[REGION]],dimensiones!C:C,dimensiones!D:D,"")</f>
        <v>Región de Coquimbo</v>
      </c>
      <c r="L1118" s="16"/>
    </row>
    <row r="1119" spans="1:12" ht="14.25" customHeight="1" x14ac:dyDescent="0.25">
      <c r="A1119">
        <v>769729186</v>
      </c>
      <c r="B1119" t="s">
        <v>3457</v>
      </c>
      <c r="C1119" t="s">
        <v>4460</v>
      </c>
      <c r="D1119">
        <v>8</v>
      </c>
      <c r="E1119" t="s">
        <v>4445</v>
      </c>
      <c r="F1119" t="s">
        <v>3456</v>
      </c>
      <c r="G1119" t="s">
        <v>5568</v>
      </c>
      <c r="H1119" t="s">
        <v>4915</v>
      </c>
      <c r="I1119" s="79" t="str">
        <f>IF(CARTERA_2026[[#This Row],[RUT]]=774097899,"DIST",_xlfn.XLOOKUP(CARTERA_2026[[#This Row],[VENDEDOR]],dimensiones!$C$21:$C$28,dimensiones!$D$21:$D$28,""))</f>
        <v>ATEL</v>
      </c>
      <c r="J1119" s="125" t="str">
        <f>_xlfn.XLOOKUP(CARTERA_2026[[#This Row],[REGION]],dimensiones!C:C,dimensiones!D:D,"")</f>
        <v>Región de Biobío</v>
      </c>
    </row>
    <row r="1120" spans="1:12" ht="14.25" customHeight="1" x14ac:dyDescent="0.25">
      <c r="A1120">
        <v>769770453</v>
      </c>
      <c r="B1120" t="s">
        <v>515</v>
      </c>
      <c r="C1120" t="s">
        <v>4394</v>
      </c>
      <c r="D1120">
        <v>13</v>
      </c>
      <c r="E1120" t="s">
        <v>4445</v>
      </c>
      <c r="F1120" t="s">
        <v>3370</v>
      </c>
      <c r="G1120" t="s">
        <v>5568</v>
      </c>
      <c r="H1120" t="s">
        <v>4915</v>
      </c>
      <c r="I1120" s="79" t="str">
        <f>IF(CARTERA_2026[[#This Row],[RUT]]=774097899,"DIST",_xlfn.XLOOKUP(CARTERA_2026[[#This Row],[VENDEDOR]],dimensiones!$C$21:$C$28,dimensiones!$D$21:$D$28,""))</f>
        <v>ATEL</v>
      </c>
      <c r="J1120" s="125" t="str">
        <f>_xlfn.XLOOKUP(CARTERA_2026[[#This Row],[REGION]],dimensiones!C:C,dimensiones!D:D,"")</f>
        <v>Región de Metropolitana de Santiago</v>
      </c>
    </row>
    <row r="1121" spans="1:15" ht="14.25" customHeight="1" x14ac:dyDescent="0.25">
      <c r="A1121">
        <v>769798501</v>
      </c>
      <c r="B1121" t="s">
        <v>3886</v>
      </c>
      <c r="C1121" t="s">
        <v>4561</v>
      </c>
      <c r="D1121">
        <v>13</v>
      </c>
      <c r="E1121" t="s">
        <v>4445</v>
      </c>
      <c r="F1121" t="s">
        <v>3885</v>
      </c>
      <c r="G1121" t="s">
        <v>5568</v>
      </c>
      <c r="H1121" t="s">
        <v>4915</v>
      </c>
      <c r="I1121" s="79" t="str">
        <f>IF(CARTERA_2026[[#This Row],[RUT]]=774097899,"DIST",_xlfn.XLOOKUP(CARTERA_2026[[#This Row],[VENDEDOR]],dimensiones!$C$21:$C$28,dimensiones!$D$21:$D$28,""))</f>
        <v>ATEL</v>
      </c>
      <c r="J1121" s="125" t="str">
        <f>_xlfn.XLOOKUP(CARTERA_2026[[#This Row],[REGION]],dimensiones!C:C,dimensiones!D:D,"")</f>
        <v>Región de Metropolitana de Santiago</v>
      </c>
    </row>
    <row r="1122" spans="1:15" ht="14.25" customHeight="1" x14ac:dyDescent="0.25">
      <c r="A1122">
        <v>769834427</v>
      </c>
      <c r="B1122" t="s">
        <v>2789</v>
      </c>
      <c r="C1122" t="s">
        <v>4185</v>
      </c>
      <c r="D1122">
        <v>12</v>
      </c>
      <c r="E1122" t="s">
        <v>4445</v>
      </c>
      <c r="F1122" t="s">
        <v>2788</v>
      </c>
      <c r="G1122" t="s">
        <v>5570</v>
      </c>
      <c r="H1122" t="s">
        <v>4915</v>
      </c>
      <c r="I1122" s="79" t="str">
        <f>IF(CARTERA_2026[[#This Row],[RUT]]=774097899,"DIST",_xlfn.XLOOKUP(CARTERA_2026[[#This Row],[VENDEDOR]],dimensiones!$C$21:$C$28,dimensiones!$D$21:$D$28,""))</f>
        <v>ATEL</v>
      </c>
      <c r="J1122" s="125" t="str">
        <f>_xlfn.XLOOKUP(CARTERA_2026[[#This Row],[REGION]],dimensiones!C:C,dimensiones!D:D,"")</f>
        <v>Región de Magallanes y de la Antártica Chilena</v>
      </c>
    </row>
    <row r="1123" spans="1:15" ht="14.25" customHeight="1" x14ac:dyDescent="0.25">
      <c r="A1123">
        <v>769902112</v>
      </c>
      <c r="B1123" t="s">
        <v>2792</v>
      </c>
      <c r="C1123" t="s">
        <v>4465</v>
      </c>
      <c r="D1123">
        <v>13</v>
      </c>
      <c r="E1123" t="s">
        <v>4445</v>
      </c>
      <c r="F1123" t="s">
        <v>2791</v>
      </c>
      <c r="G1123" t="s">
        <v>5568</v>
      </c>
      <c r="H1123" t="s">
        <v>4915</v>
      </c>
      <c r="I1123" s="79" t="str">
        <f>IF(CARTERA_2026[[#This Row],[RUT]]=774097899,"DIST",_xlfn.XLOOKUP(CARTERA_2026[[#This Row],[VENDEDOR]],dimensiones!$C$21:$C$28,dimensiones!$D$21:$D$28,""))</f>
        <v>ATEL</v>
      </c>
      <c r="J1123" s="125" t="str">
        <f>_xlfn.XLOOKUP(CARTERA_2026[[#This Row],[REGION]],dimensiones!C:C,dimensiones!D:D,"")</f>
        <v>Región de Metropolitana de Santiago</v>
      </c>
    </row>
    <row r="1124" spans="1:15" ht="14.25" customHeight="1" x14ac:dyDescent="0.25">
      <c r="A1124">
        <v>769915311</v>
      </c>
      <c r="B1124" t="s">
        <v>516</v>
      </c>
      <c r="C1124" t="s">
        <v>4218</v>
      </c>
      <c r="D1124">
        <v>9</v>
      </c>
      <c r="E1124" t="s">
        <v>4445</v>
      </c>
      <c r="F1124" t="s">
        <v>3714</v>
      </c>
      <c r="G1124" t="s">
        <v>5568</v>
      </c>
      <c r="H1124" t="s">
        <v>4915</v>
      </c>
      <c r="I1124" s="79" t="str">
        <f>IF(CARTERA_2026[[#This Row],[RUT]]=774097899,"DIST",_xlfn.XLOOKUP(CARTERA_2026[[#This Row],[VENDEDOR]],dimensiones!$C$21:$C$28,dimensiones!$D$21:$D$28,""))</f>
        <v>ATEL</v>
      </c>
      <c r="J1124" s="125" t="str">
        <f>_xlfn.XLOOKUP(CARTERA_2026[[#This Row],[REGION]],dimensiones!C:C,dimensiones!D:D,"")</f>
        <v>Región de La Araucanía</v>
      </c>
    </row>
    <row r="1125" spans="1:15" ht="14.25" customHeight="1" x14ac:dyDescent="0.25">
      <c r="A1125">
        <v>769919759</v>
      </c>
      <c r="B1125" t="s">
        <v>517</v>
      </c>
      <c r="C1125" t="s">
        <v>4390</v>
      </c>
      <c r="D1125">
        <v>13</v>
      </c>
      <c r="E1125" t="s">
        <v>4445</v>
      </c>
      <c r="F1125" t="s">
        <v>2796</v>
      </c>
      <c r="G1125" t="s">
        <v>5568</v>
      </c>
      <c r="H1125" t="s">
        <v>4915</v>
      </c>
      <c r="I1125" s="79" t="str">
        <f>IF(CARTERA_2026[[#This Row],[RUT]]=774097899,"DIST",_xlfn.XLOOKUP(CARTERA_2026[[#This Row],[VENDEDOR]],dimensiones!$C$21:$C$28,dimensiones!$D$21:$D$28,""))</f>
        <v>ATEL</v>
      </c>
      <c r="J1125" s="125" t="str">
        <f>_xlfn.XLOOKUP(CARTERA_2026[[#This Row],[REGION]],dimensiones!C:C,dimensiones!D:D,"")</f>
        <v>Región de Metropolitana de Santiago</v>
      </c>
    </row>
    <row r="1126" spans="1:15" ht="14.25" customHeight="1" x14ac:dyDescent="0.25">
      <c r="A1126">
        <v>769957855</v>
      </c>
      <c r="B1126" t="s">
        <v>518</v>
      </c>
      <c r="C1126" t="s">
        <v>4497</v>
      </c>
      <c r="D1126">
        <v>8</v>
      </c>
      <c r="E1126" t="s">
        <v>4445</v>
      </c>
      <c r="F1126" t="s">
        <v>2798</v>
      </c>
      <c r="G1126" t="s">
        <v>5568</v>
      </c>
      <c r="H1126" t="s">
        <v>4915</v>
      </c>
      <c r="I1126" s="79" t="str">
        <f>IF(CARTERA_2026[[#This Row],[RUT]]=774097899,"DIST",_xlfn.XLOOKUP(CARTERA_2026[[#This Row],[VENDEDOR]],dimensiones!$C$21:$C$28,dimensiones!$D$21:$D$28,""))</f>
        <v>ATEL</v>
      </c>
      <c r="J1126" s="125" t="str">
        <f>_xlfn.XLOOKUP(CARTERA_2026[[#This Row],[REGION]],dimensiones!C:C,dimensiones!D:D,"")</f>
        <v>Región de Biobío</v>
      </c>
    </row>
    <row r="1127" spans="1:15" ht="14.25" customHeight="1" x14ac:dyDescent="0.25">
      <c r="A1127">
        <v>769958789</v>
      </c>
      <c r="B1127" t="s">
        <v>519</v>
      </c>
      <c r="C1127" t="s">
        <v>4393</v>
      </c>
      <c r="D1127">
        <v>13</v>
      </c>
      <c r="E1127" t="s">
        <v>4445</v>
      </c>
      <c r="F1127" t="s">
        <v>3252</v>
      </c>
      <c r="G1127" t="s">
        <v>5568</v>
      </c>
      <c r="H1127" t="s">
        <v>4915</v>
      </c>
      <c r="I1127" s="79" t="str">
        <f>IF(CARTERA_2026[[#This Row],[RUT]]=774097899,"DIST",_xlfn.XLOOKUP(CARTERA_2026[[#This Row],[VENDEDOR]],dimensiones!$C$21:$C$28,dimensiones!$D$21:$D$28,""))</f>
        <v>ATEL</v>
      </c>
      <c r="J1127" s="125" t="str">
        <f>_xlfn.XLOOKUP(CARTERA_2026[[#This Row],[REGION]],dimensiones!C:C,dimensiones!D:D,"")</f>
        <v>Región de Metropolitana de Santiago</v>
      </c>
    </row>
    <row r="1128" spans="1:15" ht="14.25" customHeight="1" x14ac:dyDescent="0.25">
      <c r="A1128">
        <v>769987304</v>
      </c>
      <c r="B1128" t="s">
        <v>2435</v>
      </c>
      <c r="C1128" t="s">
        <v>4183</v>
      </c>
      <c r="D1128">
        <v>8</v>
      </c>
      <c r="E1128" t="s">
        <v>4445</v>
      </c>
      <c r="F1128" t="s">
        <v>2434</v>
      </c>
      <c r="G1128" t="s">
        <v>5568</v>
      </c>
      <c r="H1128" t="s">
        <v>4915</v>
      </c>
      <c r="I1128" s="79" t="str">
        <f>IF(CARTERA_2026[[#This Row],[RUT]]=774097899,"DIST",_xlfn.XLOOKUP(CARTERA_2026[[#This Row],[VENDEDOR]],dimensiones!$C$21:$C$28,dimensiones!$D$21:$D$28,""))</f>
        <v>ATEL</v>
      </c>
      <c r="J1128" s="125" t="str">
        <f>_xlfn.XLOOKUP(CARTERA_2026[[#This Row],[REGION]],dimensiones!C:C,dimensiones!D:D,"")</f>
        <v>Región de Biobío</v>
      </c>
    </row>
    <row r="1129" spans="1:15" ht="14.25" customHeight="1" x14ac:dyDescent="0.25">
      <c r="A1129">
        <v>770052645</v>
      </c>
      <c r="B1129" t="s">
        <v>5668</v>
      </c>
      <c r="C1129" t="s">
        <v>4206</v>
      </c>
      <c r="D1129">
        <v>6</v>
      </c>
      <c r="E1129" t="s">
        <v>4445</v>
      </c>
      <c r="F1129" t="s">
        <v>5669</v>
      </c>
      <c r="G1129" t="s">
        <v>5568</v>
      </c>
      <c r="H1129" t="s">
        <v>4915</v>
      </c>
      <c r="I1129" s="79" t="str">
        <f>IF(CARTERA_2026[[#This Row],[RUT]]=774097899,"DIST",_xlfn.XLOOKUP(CARTERA_2026[[#This Row],[VENDEDOR]],dimensiones!$C$21:$C$28,dimensiones!$D$21:$D$28,""))</f>
        <v>ATEL</v>
      </c>
      <c r="J1129" s="125" t="str">
        <f>_xlfn.XLOOKUP(CARTERA_2026[[#This Row],[REGION]],dimensiones!C:C,dimensiones!D:D,"")</f>
        <v>Región de Libertador General Bernardo O'Higgins</v>
      </c>
      <c r="L1129" s="16"/>
    </row>
    <row r="1130" spans="1:15" ht="14.25" customHeight="1" x14ac:dyDescent="0.25">
      <c r="A1130">
        <v>770084466</v>
      </c>
      <c r="B1130" t="s">
        <v>520</v>
      </c>
      <c r="C1130" t="s">
        <v>4257</v>
      </c>
      <c r="D1130">
        <v>7</v>
      </c>
      <c r="E1130" t="s">
        <v>4445</v>
      </c>
      <c r="F1130" t="s">
        <v>1974</v>
      </c>
      <c r="G1130" t="s">
        <v>5568</v>
      </c>
      <c r="H1130" t="s">
        <v>4915</v>
      </c>
      <c r="I1130" s="79" t="str">
        <f>IF(CARTERA_2026[[#This Row],[RUT]]=774097899,"DIST",_xlfn.XLOOKUP(CARTERA_2026[[#This Row],[VENDEDOR]],dimensiones!$C$21:$C$28,dimensiones!$D$21:$D$28,""))</f>
        <v>ATEL</v>
      </c>
      <c r="J1130" s="125" t="str">
        <f>_xlfn.XLOOKUP(CARTERA_2026[[#This Row],[REGION]],dimensiones!C:C,dimensiones!D:D,"")</f>
        <v>Región de Maule</v>
      </c>
      <c r="L1130" s="16"/>
    </row>
    <row r="1131" spans="1:15" ht="14.25" customHeight="1" x14ac:dyDescent="0.25">
      <c r="A1131">
        <v>770085454</v>
      </c>
      <c r="B1131" t="s">
        <v>2808</v>
      </c>
      <c r="C1131" t="s">
        <v>4182</v>
      </c>
      <c r="D1131">
        <v>2</v>
      </c>
      <c r="E1131" t="s">
        <v>4445</v>
      </c>
      <c r="F1131" t="s">
        <v>2807</v>
      </c>
      <c r="G1131" t="s">
        <v>5570</v>
      </c>
      <c r="H1131" t="s">
        <v>4915</v>
      </c>
      <c r="I1131" s="79" t="str">
        <f>IF(CARTERA_2026[[#This Row],[RUT]]=774097899,"DIST",_xlfn.XLOOKUP(CARTERA_2026[[#This Row],[VENDEDOR]],dimensiones!$C$21:$C$28,dimensiones!$D$21:$D$28,""))</f>
        <v>ATEL</v>
      </c>
      <c r="J1131" s="125" t="str">
        <f>_xlfn.XLOOKUP(CARTERA_2026[[#This Row],[REGION]],dimensiones!C:C,dimensiones!D:D,"")</f>
        <v>Región de Antofagasta</v>
      </c>
      <c r="L1131" s="16"/>
    </row>
    <row r="1132" spans="1:15" ht="14.25" customHeight="1" x14ac:dyDescent="0.25">
      <c r="A1132">
        <v>770120012</v>
      </c>
      <c r="B1132" t="s">
        <v>2811</v>
      </c>
      <c r="C1132" t="s">
        <v>4395</v>
      </c>
      <c r="D1132">
        <v>13</v>
      </c>
      <c r="E1132" t="s">
        <v>4445</v>
      </c>
      <c r="F1132" t="s">
        <v>2810</v>
      </c>
      <c r="G1132" t="s">
        <v>5569</v>
      </c>
      <c r="H1132" t="s">
        <v>4915</v>
      </c>
      <c r="I1132" s="79" t="str">
        <f>IF(CARTERA_2026[[#This Row],[RUT]]=774097899,"DIST",_xlfn.XLOOKUP(CARTERA_2026[[#This Row],[VENDEDOR]],dimensiones!$C$21:$C$28,dimensiones!$D$21:$D$28,""))</f>
        <v>ATEL</v>
      </c>
      <c r="J1132" s="125" t="str">
        <f>_xlfn.XLOOKUP(CARTERA_2026[[#This Row],[REGION]],dimensiones!C:C,dimensiones!D:D,"")</f>
        <v>Región de Metropolitana de Santiago</v>
      </c>
      <c r="L1132" s="16"/>
    </row>
    <row r="1133" spans="1:15" ht="14.25" customHeight="1" x14ac:dyDescent="0.25">
      <c r="A1133">
        <v>770220416</v>
      </c>
      <c r="B1133" t="s">
        <v>5498</v>
      </c>
      <c r="C1133" t="s">
        <v>4395</v>
      </c>
      <c r="D1133">
        <v>13</v>
      </c>
      <c r="E1133" t="s">
        <v>4445</v>
      </c>
      <c r="F1133" t="s">
        <v>5499</v>
      </c>
      <c r="G1133" t="s">
        <v>5569</v>
      </c>
      <c r="H1133" t="s">
        <v>4915</v>
      </c>
      <c r="I1133" s="79" t="str">
        <f>IF(CARTERA_2026[[#This Row],[RUT]]=774097899,"DIST",_xlfn.XLOOKUP(CARTERA_2026[[#This Row],[VENDEDOR]],dimensiones!$C$21:$C$28,dimensiones!$D$21:$D$28,""))</f>
        <v>ATEL</v>
      </c>
      <c r="J1133" s="125" t="str">
        <f>_xlfn.XLOOKUP(CARTERA_2026[[#This Row],[REGION]],dimensiones!C:C,dimensiones!D:D,"")</f>
        <v>Región de Metropolitana de Santiago</v>
      </c>
      <c r="L1133" s="16"/>
    </row>
    <row r="1134" spans="1:15" ht="14.25" customHeight="1" x14ac:dyDescent="0.25">
      <c r="A1134">
        <v>770252970</v>
      </c>
      <c r="B1134" t="s">
        <v>846</v>
      </c>
      <c r="C1134" t="s">
        <v>4168</v>
      </c>
      <c r="D1134">
        <v>13</v>
      </c>
      <c r="E1134" t="s">
        <v>4445</v>
      </c>
      <c r="F1134" t="s">
        <v>2813</v>
      </c>
      <c r="G1134" t="s">
        <v>5570</v>
      </c>
      <c r="H1134" t="s">
        <v>4915</v>
      </c>
      <c r="I1134" s="79" t="str">
        <f>IF(CARTERA_2026[[#This Row],[RUT]]=774097899,"DIST",_xlfn.XLOOKUP(CARTERA_2026[[#This Row],[VENDEDOR]],dimensiones!$C$21:$C$28,dimensiones!$D$21:$D$28,""))</f>
        <v>ATEL</v>
      </c>
      <c r="J1134" s="125" t="str">
        <f>_xlfn.XLOOKUP(CARTERA_2026[[#This Row],[REGION]],dimensiones!C:C,dimensiones!D:D,"")</f>
        <v>Región de Metropolitana de Santiago</v>
      </c>
      <c r="L1134" s="16"/>
      <c r="O1134" s="16"/>
    </row>
    <row r="1135" spans="1:15" ht="14.25" customHeight="1" x14ac:dyDescent="0.25">
      <c r="A1135">
        <v>770253160</v>
      </c>
      <c r="B1135" t="s">
        <v>521</v>
      </c>
      <c r="C1135" t="s">
        <v>4465</v>
      </c>
      <c r="D1135">
        <v>13</v>
      </c>
      <c r="E1135" t="s">
        <v>4445</v>
      </c>
      <c r="F1135" t="s">
        <v>3580</v>
      </c>
      <c r="G1135" t="s">
        <v>5568</v>
      </c>
      <c r="H1135" t="s">
        <v>4915</v>
      </c>
      <c r="I1135" s="79" t="str">
        <f>IF(CARTERA_2026[[#This Row],[RUT]]=774097899,"DIST",_xlfn.XLOOKUP(CARTERA_2026[[#This Row],[VENDEDOR]],dimensiones!$C$21:$C$28,dimensiones!$D$21:$D$28,""))</f>
        <v>ATEL</v>
      </c>
      <c r="J1135" s="125" t="str">
        <f>_xlfn.XLOOKUP(CARTERA_2026[[#This Row],[REGION]],dimensiones!C:C,dimensiones!D:D,"")</f>
        <v>Región de Metropolitana de Santiago</v>
      </c>
      <c r="O1135" s="16"/>
    </row>
    <row r="1136" spans="1:15" ht="14.25" customHeight="1" x14ac:dyDescent="0.25">
      <c r="A1136">
        <v>770264847</v>
      </c>
      <c r="B1136" t="s">
        <v>1004</v>
      </c>
      <c r="C1136" t="s">
        <v>4497</v>
      </c>
      <c r="D1136">
        <v>8</v>
      </c>
      <c r="E1136" t="s">
        <v>4445</v>
      </c>
      <c r="F1136" t="s">
        <v>2817</v>
      </c>
      <c r="G1136" t="s">
        <v>5570</v>
      </c>
      <c r="H1136" t="s">
        <v>4915</v>
      </c>
      <c r="I1136" s="79" t="str">
        <f>IF(CARTERA_2026[[#This Row],[RUT]]=774097899,"DIST",_xlfn.XLOOKUP(CARTERA_2026[[#This Row],[VENDEDOR]],dimensiones!$C$21:$C$28,dimensiones!$D$21:$D$28,""))</f>
        <v>ATEL</v>
      </c>
      <c r="J1136" s="125" t="str">
        <f>_xlfn.XLOOKUP(CARTERA_2026[[#This Row],[REGION]],dimensiones!C:C,dimensiones!D:D,"")</f>
        <v>Región de Biobío</v>
      </c>
      <c r="O1136" s="16"/>
    </row>
    <row r="1137" spans="1:31" ht="14.25" customHeight="1" x14ac:dyDescent="0.25">
      <c r="A1137">
        <v>770270642</v>
      </c>
      <c r="B1137" t="s">
        <v>2820</v>
      </c>
      <c r="C1137" t="s">
        <v>4391</v>
      </c>
      <c r="D1137">
        <v>13</v>
      </c>
      <c r="E1137" t="s">
        <v>4445</v>
      </c>
      <c r="F1137" t="s">
        <v>2819</v>
      </c>
      <c r="G1137" t="s">
        <v>5568</v>
      </c>
      <c r="H1137" t="s">
        <v>4915</v>
      </c>
      <c r="I1137" s="79" t="str">
        <f>IF(CARTERA_2026[[#This Row],[RUT]]=774097899,"DIST",_xlfn.XLOOKUP(CARTERA_2026[[#This Row],[VENDEDOR]],dimensiones!$C$21:$C$28,dimensiones!$D$21:$D$28,""))</f>
        <v>ATEL</v>
      </c>
      <c r="J1137" s="125" t="str">
        <f>_xlfn.XLOOKUP(CARTERA_2026[[#This Row],[REGION]],dimensiones!C:C,dimensiones!D:D,"")</f>
        <v>Región de Metropolitana de Santiago</v>
      </c>
      <c r="O1137" s="16"/>
    </row>
    <row r="1138" spans="1:31" ht="14.25" customHeight="1" x14ac:dyDescent="0.25">
      <c r="A1138">
        <v>770324580</v>
      </c>
      <c r="B1138" t="s">
        <v>5714</v>
      </c>
      <c r="C1138" t="s">
        <v>4465</v>
      </c>
      <c r="D1138">
        <v>13</v>
      </c>
      <c r="E1138" t="s">
        <v>4445</v>
      </c>
      <c r="F1138" t="s">
        <v>5715</v>
      </c>
      <c r="G1138" t="s">
        <v>5568</v>
      </c>
      <c r="H1138" t="s">
        <v>4915</v>
      </c>
      <c r="I1138" s="79" t="str">
        <f>IF(CARTERA_2026[[#This Row],[RUT]]=774097899,"DIST",_xlfn.XLOOKUP(CARTERA_2026[[#This Row],[VENDEDOR]],dimensiones!$C$21:$C$28,dimensiones!$D$21:$D$28,""))</f>
        <v>ATEL</v>
      </c>
      <c r="J1138" s="125" t="str">
        <f>_xlfn.XLOOKUP(CARTERA_2026[[#This Row],[REGION]],dimensiones!C:C,dimensiones!D:D,"")</f>
        <v>Región de Metropolitana de Santiago</v>
      </c>
    </row>
    <row r="1139" spans="1:31" ht="14.25" customHeight="1" x14ac:dyDescent="0.25">
      <c r="A1139">
        <v>770342554</v>
      </c>
      <c r="B1139" t="s">
        <v>3057</v>
      </c>
      <c r="C1139" t="s">
        <v>4490</v>
      </c>
      <c r="D1139">
        <v>5</v>
      </c>
      <c r="E1139" t="s">
        <v>4445</v>
      </c>
      <c r="F1139" t="s">
        <v>3056</v>
      </c>
      <c r="G1139" t="s">
        <v>5568</v>
      </c>
      <c r="H1139" t="s">
        <v>4915</v>
      </c>
      <c r="I1139" s="79" t="str">
        <f>IF(CARTERA_2026[[#This Row],[RUT]]=774097899,"DIST",_xlfn.XLOOKUP(CARTERA_2026[[#This Row],[VENDEDOR]],dimensiones!$C$21:$C$28,dimensiones!$D$21:$D$28,""))</f>
        <v>ATEL</v>
      </c>
      <c r="J1139" s="125" t="str">
        <f>_xlfn.XLOOKUP(CARTERA_2026[[#This Row],[REGION]],dimensiones!C:C,dimensiones!D:D,"")</f>
        <v>Región de Valparaíso</v>
      </c>
    </row>
    <row r="1140" spans="1:31" ht="14.25" customHeight="1" x14ac:dyDescent="0.25">
      <c r="A1140" t="s">
        <v>934</v>
      </c>
      <c r="B1140" t="s">
        <v>941</v>
      </c>
      <c r="C1140" t="s">
        <v>4178</v>
      </c>
      <c r="D1140">
        <v>6</v>
      </c>
      <c r="E1140" t="s">
        <v>4445</v>
      </c>
      <c r="F1140" t="s">
        <v>2822</v>
      </c>
      <c r="G1140" t="s">
        <v>5568</v>
      </c>
      <c r="H1140" t="s">
        <v>4915</v>
      </c>
      <c r="I1140" s="79" t="str">
        <f>IF(CARTERA_2026[[#This Row],[RUT]]=774097899,"DIST",_xlfn.XLOOKUP(CARTERA_2026[[#This Row],[VENDEDOR]],dimensiones!$C$21:$C$28,dimensiones!$D$21:$D$28,""))</f>
        <v>ATEL</v>
      </c>
      <c r="J1140" s="125" t="str">
        <f>_xlfn.XLOOKUP(CARTERA_2026[[#This Row],[REGION]],dimensiones!C:C,dimensiones!D:D,"")</f>
        <v>Región de Libertador General Bernardo O'Higgins</v>
      </c>
    </row>
    <row r="1141" spans="1:31" ht="14.25" customHeight="1" x14ac:dyDescent="0.25">
      <c r="A1141">
        <v>770377528</v>
      </c>
      <c r="B1141" t="s">
        <v>4991</v>
      </c>
      <c r="C1141" t="s">
        <v>4168</v>
      </c>
      <c r="D1141">
        <v>13</v>
      </c>
      <c r="E1141" t="s">
        <v>4445</v>
      </c>
      <c r="F1141" t="s">
        <v>4992</v>
      </c>
      <c r="G1141" t="s">
        <v>5568</v>
      </c>
      <c r="H1141" t="s">
        <v>4915</v>
      </c>
      <c r="I1141" s="79" t="str">
        <f>IF(CARTERA_2026[[#This Row],[RUT]]=774097899,"DIST",_xlfn.XLOOKUP(CARTERA_2026[[#This Row],[VENDEDOR]],dimensiones!$C$21:$C$28,dimensiones!$D$21:$D$28,""))</f>
        <v>ATEL</v>
      </c>
      <c r="J1141" s="125" t="str">
        <f>_xlfn.XLOOKUP(CARTERA_2026[[#This Row],[REGION]],dimensiones!C:C,dimensiones!D:D,"")</f>
        <v>Región de Metropolitana de Santiago</v>
      </c>
      <c r="K1141" s="16"/>
      <c r="L1141" s="16"/>
    </row>
    <row r="1142" spans="1:31" ht="14.25" customHeight="1" x14ac:dyDescent="0.25">
      <c r="A1142">
        <v>770422620</v>
      </c>
      <c r="B1142" t="s">
        <v>935</v>
      </c>
      <c r="C1142" t="s">
        <v>4460</v>
      </c>
      <c r="D1142">
        <v>8</v>
      </c>
      <c r="E1142" t="s">
        <v>4445</v>
      </c>
      <c r="F1142" t="s">
        <v>2824</v>
      </c>
      <c r="G1142" t="s">
        <v>5570</v>
      </c>
      <c r="H1142" t="s">
        <v>4915</v>
      </c>
      <c r="I1142" s="79" t="str">
        <f>IF(CARTERA_2026[[#This Row],[RUT]]=774097899,"DIST",_xlfn.XLOOKUP(CARTERA_2026[[#This Row],[VENDEDOR]],dimensiones!$C$21:$C$28,dimensiones!$D$21:$D$28,""))</f>
        <v>ATEL</v>
      </c>
      <c r="J1142" s="125" t="str">
        <f>_xlfn.XLOOKUP(CARTERA_2026[[#This Row],[REGION]],dimensiones!C:C,dimensiones!D:D,"")</f>
        <v>Región de Biobío</v>
      </c>
      <c r="K1142" s="16"/>
      <c r="L1142" s="16"/>
    </row>
    <row r="1143" spans="1:31" ht="14.25" customHeight="1" x14ac:dyDescent="0.25">
      <c r="A1143">
        <v>770443032</v>
      </c>
      <c r="B1143" t="s">
        <v>522</v>
      </c>
      <c r="C1143" t="s">
        <v>4465</v>
      </c>
      <c r="D1143">
        <v>13</v>
      </c>
      <c r="E1143" t="s">
        <v>4445</v>
      </c>
      <c r="F1143" t="s">
        <v>2826</v>
      </c>
      <c r="G1143" t="s">
        <v>5570</v>
      </c>
      <c r="H1143" t="s">
        <v>4915</v>
      </c>
      <c r="I1143" s="79" t="str">
        <f>IF(CARTERA_2026[[#This Row],[RUT]]=774097899,"DIST",_xlfn.XLOOKUP(CARTERA_2026[[#This Row],[VENDEDOR]],dimensiones!$C$21:$C$28,dimensiones!$D$21:$D$28,""))</f>
        <v>ATEL</v>
      </c>
      <c r="J1143" s="125" t="str">
        <f>_xlfn.XLOOKUP(CARTERA_2026[[#This Row],[REGION]],dimensiones!C:C,dimensiones!D:D,"")</f>
        <v>Región de Metropolitana de Santiago</v>
      </c>
      <c r="K1143" s="16"/>
      <c r="L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  <c r="AA1143" s="16"/>
      <c r="AB1143" s="16"/>
      <c r="AC1143" s="16"/>
      <c r="AD1143" s="16"/>
      <c r="AE1143" s="16"/>
    </row>
    <row r="1144" spans="1:31" ht="14.25" customHeight="1" x14ac:dyDescent="0.25">
      <c r="A1144">
        <v>770510473</v>
      </c>
      <c r="B1144" t="s">
        <v>523</v>
      </c>
      <c r="C1144" t="s">
        <v>4395</v>
      </c>
      <c r="D1144">
        <v>13</v>
      </c>
      <c r="E1144" t="s">
        <v>4445</v>
      </c>
      <c r="F1144" t="s">
        <v>2237</v>
      </c>
      <c r="G1144" t="s">
        <v>5570</v>
      </c>
      <c r="H1144" t="s">
        <v>4915</v>
      </c>
      <c r="I1144" s="79" t="str">
        <f>IF(CARTERA_2026[[#This Row],[RUT]]=774097899,"DIST",_xlfn.XLOOKUP(CARTERA_2026[[#This Row],[VENDEDOR]],dimensiones!$C$21:$C$28,dimensiones!$D$21:$D$28,""))</f>
        <v>ATEL</v>
      </c>
      <c r="J1144" s="125" t="str">
        <f>_xlfn.XLOOKUP(CARTERA_2026[[#This Row],[REGION]],dimensiones!C:C,dimensiones!D:D,"")</f>
        <v>Región de Metropolitana de Santiago</v>
      </c>
      <c r="K1144" s="16"/>
      <c r="L1144" s="16"/>
      <c r="N1144" s="37"/>
      <c r="O1144" s="16"/>
      <c r="P1144" s="16"/>
      <c r="Q1144" s="36"/>
      <c r="R1144" s="16"/>
      <c r="S1144" s="36"/>
      <c r="T1144" s="16"/>
      <c r="U1144" s="16"/>
      <c r="V1144" s="36"/>
      <c r="W1144" s="36"/>
      <c r="X1144" s="38"/>
      <c r="Y1144" s="38"/>
      <c r="Z1144" s="39"/>
      <c r="AA1144" s="16"/>
      <c r="AB1144" s="40"/>
      <c r="AC1144" s="16"/>
      <c r="AD1144" s="16"/>
      <c r="AE1144" s="16"/>
    </row>
    <row r="1145" spans="1:31" ht="14.25" customHeight="1" x14ac:dyDescent="0.25">
      <c r="A1145">
        <v>770540283</v>
      </c>
      <c r="B1145" t="s">
        <v>4580</v>
      </c>
      <c r="C1145" t="s">
        <v>4465</v>
      </c>
      <c r="D1145">
        <v>13</v>
      </c>
      <c r="E1145" t="s">
        <v>4445</v>
      </c>
      <c r="F1145" t="s">
        <v>4579</v>
      </c>
      <c r="G1145" t="s">
        <v>5568</v>
      </c>
      <c r="H1145" t="s">
        <v>4915</v>
      </c>
      <c r="I1145" s="79" t="str">
        <f>IF(CARTERA_2026[[#This Row],[RUT]]=774097899,"DIST",_xlfn.XLOOKUP(CARTERA_2026[[#This Row],[VENDEDOR]],dimensiones!$C$21:$C$28,dimensiones!$D$21:$D$28,""))</f>
        <v>ATEL</v>
      </c>
      <c r="J1145" s="125" t="str">
        <f>_xlfn.XLOOKUP(CARTERA_2026[[#This Row],[REGION]],dimensiones!C:C,dimensiones!D:D,"")</f>
        <v>Región de Metropolitana de Santiago</v>
      </c>
      <c r="K1145" s="16"/>
      <c r="L1145" s="16"/>
      <c r="N1145" s="37"/>
      <c r="O1145" s="16"/>
      <c r="P1145" s="16"/>
      <c r="Q1145" s="36"/>
      <c r="R1145" s="16"/>
      <c r="S1145" s="36"/>
      <c r="T1145" s="16"/>
      <c r="U1145" s="16"/>
      <c r="V1145" s="36"/>
      <c r="W1145" s="36"/>
      <c r="X1145" s="38"/>
      <c r="Y1145" s="38"/>
      <c r="Z1145" s="39"/>
      <c r="AA1145" s="16"/>
      <c r="AB1145" s="40"/>
      <c r="AC1145" s="16"/>
      <c r="AD1145" s="16"/>
      <c r="AE1145" s="16"/>
    </row>
    <row r="1146" spans="1:31" ht="14.25" customHeight="1" x14ac:dyDescent="0.25">
      <c r="A1146">
        <v>770634911</v>
      </c>
      <c r="B1146" t="s">
        <v>4752</v>
      </c>
      <c r="C1146" t="s">
        <v>4552</v>
      </c>
      <c r="D1146">
        <v>13</v>
      </c>
      <c r="E1146" t="s">
        <v>4445</v>
      </c>
      <c r="F1146" t="s">
        <v>4909</v>
      </c>
      <c r="G1146" t="s">
        <v>5568</v>
      </c>
      <c r="H1146" t="s">
        <v>4915</v>
      </c>
      <c r="I1146" s="79" t="str">
        <f>IF(CARTERA_2026[[#This Row],[RUT]]=774097899,"DIST",_xlfn.XLOOKUP(CARTERA_2026[[#This Row],[VENDEDOR]],dimensiones!$C$21:$C$28,dimensiones!$D$21:$D$28,""))</f>
        <v>ATEL</v>
      </c>
      <c r="J1146" s="125" t="str">
        <f>_xlfn.XLOOKUP(CARTERA_2026[[#This Row],[REGION]],dimensiones!C:C,dimensiones!D:D,"")</f>
        <v>Región de Metropolitana de Santiago</v>
      </c>
      <c r="N1146" s="37"/>
      <c r="O1146" s="16"/>
      <c r="P1146" s="16"/>
      <c r="Q1146" s="36"/>
      <c r="R1146" s="16"/>
      <c r="S1146" s="36"/>
      <c r="T1146" s="16"/>
      <c r="U1146" s="16"/>
      <c r="V1146" s="36"/>
      <c r="W1146" s="36"/>
      <c r="X1146" s="38"/>
      <c r="Y1146" s="38"/>
      <c r="Z1146" s="39"/>
      <c r="AA1146" s="16"/>
      <c r="AB1146" s="40"/>
      <c r="AC1146" s="16"/>
      <c r="AD1146" s="16"/>
      <c r="AE1146" s="16"/>
    </row>
    <row r="1147" spans="1:31" ht="14.25" customHeight="1" x14ac:dyDescent="0.25">
      <c r="A1147">
        <v>770697182</v>
      </c>
      <c r="B1147" t="s">
        <v>524</v>
      </c>
      <c r="C1147" t="s">
        <v>4395</v>
      </c>
      <c r="D1147">
        <v>13</v>
      </c>
      <c r="E1147" t="s">
        <v>4445</v>
      </c>
      <c r="F1147" t="s">
        <v>2831</v>
      </c>
      <c r="G1147" t="s">
        <v>5569</v>
      </c>
      <c r="H1147" t="s">
        <v>4915</v>
      </c>
      <c r="I1147" s="79" t="str">
        <f>IF(CARTERA_2026[[#This Row],[RUT]]=774097899,"DIST",_xlfn.XLOOKUP(CARTERA_2026[[#This Row],[VENDEDOR]],dimensiones!$C$21:$C$28,dimensiones!$D$21:$D$28,""))</f>
        <v>ATEL</v>
      </c>
      <c r="J1147" s="125" t="str">
        <f>_xlfn.XLOOKUP(CARTERA_2026[[#This Row],[REGION]],dimensiones!C:C,dimensiones!D:D,"")</f>
        <v>Región de Metropolitana de Santiago</v>
      </c>
      <c r="N1147" s="37"/>
      <c r="O1147" s="16"/>
      <c r="P1147" s="16"/>
      <c r="Q1147" s="36"/>
      <c r="R1147" s="16"/>
      <c r="S1147" s="36"/>
      <c r="T1147" s="16"/>
      <c r="U1147" s="16"/>
      <c r="V1147" s="36"/>
      <c r="W1147" s="36"/>
      <c r="X1147" s="38"/>
      <c r="Y1147" s="38"/>
      <c r="Z1147" s="39"/>
      <c r="AA1147" s="16"/>
      <c r="AB1147" s="40"/>
      <c r="AC1147" s="16"/>
      <c r="AD1147" s="16"/>
      <c r="AE1147" s="16"/>
    </row>
    <row r="1148" spans="1:31" ht="14.25" customHeight="1" x14ac:dyDescent="0.25">
      <c r="A1148">
        <v>770724309</v>
      </c>
      <c r="B1148" t="s">
        <v>525</v>
      </c>
      <c r="C1148" t="s">
        <v>4264</v>
      </c>
      <c r="D1148">
        <v>7</v>
      </c>
      <c r="E1148" t="s">
        <v>4445</v>
      </c>
      <c r="F1148" t="s">
        <v>4122</v>
      </c>
      <c r="G1148" t="s">
        <v>5570</v>
      </c>
      <c r="H1148" t="s">
        <v>4915</v>
      </c>
      <c r="I1148" s="79" t="str">
        <f>IF(CARTERA_2026[[#This Row],[RUT]]=774097899,"DIST",_xlfn.XLOOKUP(CARTERA_2026[[#This Row],[VENDEDOR]],dimensiones!$C$21:$C$28,dimensiones!$D$21:$D$28,""))</f>
        <v>ATEL</v>
      </c>
      <c r="J1148" s="125" t="str">
        <f>_xlfn.XLOOKUP(CARTERA_2026[[#This Row],[REGION]],dimensiones!C:C,dimensiones!D:D,"")</f>
        <v>Región de Maule</v>
      </c>
      <c r="N1148" s="37"/>
      <c r="O1148" s="16"/>
      <c r="P1148" s="16"/>
      <c r="Q1148" s="36"/>
      <c r="R1148" s="16"/>
      <c r="S1148" s="36"/>
      <c r="T1148" s="16"/>
      <c r="U1148" s="16"/>
      <c r="V1148" s="36"/>
      <c r="W1148" s="36"/>
      <c r="X1148" s="38"/>
      <c r="Y1148" s="38"/>
      <c r="Z1148" s="39"/>
      <c r="AA1148" s="16"/>
      <c r="AB1148" s="40"/>
      <c r="AC1148" s="16"/>
      <c r="AD1148" s="16"/>
      <c r="AE1148" s="16"/>
    </row>
    <row r="1149" spans="1:31" ht="14.25" customHeight="1" x14ac:dyDescent="0.25">
      <c r="A1149">
        <v>770734444</v>
      </c>
      <c r="B1149" t="s">
        <v>5700</v>
      </c>
      <c r="C1149" t="s">
        <v>4465</v>
      </c>
      <c r="D1149">
        <v>13</v>
      </c>
      <c r="E1149" t="s">
        <v>4445</v>
      </c>
      <c r="F1149" t="s">
        <v>5701</v>
      </c>
      <c r="G1149" t="s">
        <v>5568</v>
      </c>
      <c r="H1149" t="s">
        <v>4915</v>
      </c>
      <c r="I1149" s="79" t="str">
        <f>IF(CARTERA_2026[[#This Row],[RUT]]=774097899,"DIST",_xlfn.XLOOKUP(CARTERA_2026[[#This Row],[VENDEDOR]],dimensiones!$C$21:$C$28,dimensiones!$D$21:$D$28,""))</f>
        <v>ATEL</v>
      </c>
      <c r="J1149" s="125" t="str">
        <f>_xlfn.XLOOKUP(CARTERA_2026[[#This Row],[REGION]],dimensiones!C:C,dimensiones!D:D,"")</f>
        <v>Región de Metropolitana de Santiago</v>
      </c>
      <c r="N1149" s="37"/>
      <c r="O1149" s="16"/>
      <c r="P1149" s="16"/>
      <c r="Q1149" s="36"/>
      <c r="R1149" s="16"/>
      <c r="S1149" s="36"/>
      <c r="T1149" s="16"/>
      <c r="U1149" s="16"/>
      <c r="V1149" s="36"/>
      <c r="W1149" s="36"/>
      <c r="X1149" s="38"/>
      <c r="Y1149" s="38"/>
      <c r="Z1149" s="39"/>
      <c r="AA1149" s="16"/>
      <c r="AB1149" s="40"/>
      <c r="AC1149" s="16"/>
      <c r="AD1149" s="16"/>
      <c r="AE1149" s="16"/>
    </row>
    <row r="1150" spans="1:31" ht="14.25" customHeight="1" x14ac:dyDescent="0.25">
      <c r="A1150">
        <v>770796555</v>
      </c>
      <c r="B1150" t="s">
        <v>5475</v>
      </c>
      <c r="C1150" t="s">
        <v>4273</v>
      </c>
      <c r="D1150">
        <v>8</v>
      </c>
      <c r="E1150" t="s">
        <v>4445</v>
      </c>
      <c r="F1150" t="s">
        <v>5476</v>
      </c>
      <c r="G1150" t="s">
        <v>5568</v>
      </c>
      <c r="H1150" t="s">
        <v>4915</v>
      </c>
      <c r="I1150" s="79" t="str">
        <f>IF(CARTERA_2026[[#This Row],[RUT]]=774097899,"DIST",_xlfn.XLOOKUP(CARTERA_2026[[#This Row],[VENDEDOR]],dimensiones!$C$21:$C$28,dimensiones!$D$21:$D$28,""))</f>
        <v>ATEL</v>
      </c>
      <c r="J1150" s="125" t="str">
        <f>_xlfn.XLOOKUP(CARTERA_2026[[#This Row],[REGION]],dimensiones!C:C,dimensiones!D:D,"")</f>
        <v>Región de Biobío</v>
      </c>
      <c r="N1150" s="37"/>
      <c r="O1150" s="16"/>
      <c r="P1150" s="16"/>
      <c r="Q1150" s="36"/>
      <c r="R1150" s="16"/>
      <c r="S1150" s="36"/>
      <c r="T1150" s="16"/>
      <c r="U1150" s="16"/>
      <c r="V1150" s="36"/>
      <c r="W1150" s="36"/>
      <c r="X1150" s="38"/>
      <c r="Y1150" s="38"/>
      <c r="Z1150" s="39"/>
      <c r="AA1150" s="16"/>
      <c r="AB1150" s="40"/>
      <c r="AC1150" s="16"/>
      <c r="AD1150" s="16"/>
      <c r="AE1150" s="16"/>
    </row>
    <row r="1151" spans="1:31" ht="14.25" customHeight="1" x14ac:dyDescent="0.25">
      <c r="A1151">
        <v>770834589</v>
      </c>
      <c r="B1151" t="s">
        <v>1082</v>
      </c>
      <c r="C1151" t="s">
        <v>4168</v>
      </c>
      <c r="D1151">
        <v>13</v>
      </c>
      <c r="E1151" t="s">
        <v>4445</v>
      </c>
      <c r="F1151" t="s">
        <v>2835</v>
      </c>
      <c r="G1151" t="s">
        <v>5570</v>
      </c>
      <c r="H1151" t="s">
        <v>4915</v>
      </c>
      <c r="I1151" s="79" t="str">
        <f>IF(CARTERA_2026[[#This Row],[RUT]]=774097899,"DIST",_xlfn.XLOOKUP(CARTERA_2026[[#This Row],[VENDEDOR]],dimensiones!$C$21:$C$28,dimensiones!$D$21:$D$28,""))</f>
        <v>ATEL</v>
      </c>
      <c r="J1151" s="125" t="str">
        <f>_xlfn.XLOOKUP(CARTERA_2026[[#This Row],[REGION]],dimensiones!C:C,dimensiones!D:D,"")</f>
        <v>Región de Metropolitana de Santiago</v>
      </c>
      <c r="N1151" s="37"/>
      <c r="O1151" s="16"/>
      <c r="P1151" s="16"/>
      <c r="Q1151" s="36"/>
      <c r="R1151" s="16"/>
      <c r="S1151" s="36"/>
      <c r="T1151" s="16"/>
      <c r="U1151" s="16"/>
      <c r="V1151" s="36"/>
      <c r="W1151" s="36"/>
      <c r="X1151" s="38"/>
      <c r="Y1151" s="38"/>
      <c r="Z1151" s="39"/>
      <c r="AA1151" s="16"/>
      <c r="AB1151" s="40"/>
      <c r="AC1151" s="16"/>
      <c r="AD1151" s="16"/>
      <c r="AE1151" s="16"/>
    </row>
    <row r="1152" spans="1:31" ht="14.25" customHeight="1" x14ac:dyDescent="0.25">
      <c r="A1152">
        <v>770867053</v>
      </c>
      <c r="B1152" t="s">
        <v>2838</v>
      </c>
      <c r="C1152" t="s">
        <v>4381</v>
      </c>
      <c r="D1152">
        <v>13</v>
      </c>
      <c r="E1152" t="s">
        <v>4445</v>
      </c>
      <c r="F1152" t="s">
        <v>2837</v>
      </c>
      <c r="G1152" t="s">
        <v>5568</v>
      </c>
      <c r="H1152" t="s">
        <v>4915</v>
      </c>
      <c r="I1152" s="79" t="str">
        <f>IF(CARTERA_2026[[#This Row],[RUT]]=774097899,"DIST",_xlfn.XLOOKUP(CARTERA_2026[[#This Row],[VENDEDOR]],dimensiones!$C$21:$C$28,dimensiones!$D$21:$D$28,""))</f>
        <v>ATEL</v>
      </c>
      <c r="J1152" s="125" t="str">
        <f>_xlfn.XLOOKUP(CARTERA_2026[[#This Row],[REGION]],dimensiones!C:C,dimensiones!D:D,"")</f>
        <v>Región de Metropolitana de Santiago</v>
      </c>
      <c r="N1152" s="37"/>
      <c r="O1152" s="16"/>
      <c r="P1152" s="16"/>
      <c r="Q1152" s="36"/>
      <c r="R1152" s="16"/>
      <c r="S1152" s="36"/>
      <c r="T1152" s="16"/>
      <c r="U1152" s="16"/>
      <c r="V1152" s="36"/>
      <c r="W1152" s="36"/>
      <c r="X1152" s="38"/>
      <c r="Y1152" s="38"/>
      <c r="Z1152" s="39"/>
      <c r="AA1152" s="16"/>
      <c r="AB1152" s="40"/>
      <c r="AC1152" s="16"/>
      <c r="AD1152" s="16"/>
      <c r="AE1152" s="16"/>
    </row>
    <row r="1153" spans="1:31" ht="14.25" customHeight="1" x14ac:dyDescent="0.25">
      <c r="A1153">
        <v>770874432</v>
      </c>
      <c r="B1153" t="s">
        <v>2167</v>
      </c>
      <c r="C1153" t="s">
        <v>4465</v>
      </c>
      <c r="D1153">
        <v>13</v>
      </c>
      <c r="E1153" t="s">
        <v>4445</v>
      </c>
      <c r="F1153" t="s">
        <v>2166</v>
      </c>
      <c r="G1153" t="s">
        <v>5570</v>
      </c>
      <c r="H1153" t="s">
        <v>4915</v>
      </c>
      <c r="I1153" s="79" t="str">
        <f>IF(CARTERA_2026[[#This Row],[RUT]]=774097899,"DIST",_xlfn.XLOOKUP(CARTERA_2026[[#This Row],[VENDEDOR]],dimensiones!$C$21:$C$28,dimensiones!$D$21:$D$28,""))</f>
        <v>ATEL</v>
      </c>
      <c r="J1153" s="125" t="str">
        <f>_xlfn.XLOOKUP(CARTERA_2026[[#This Row],[REGION]],dimensiones!C:C,dimensiones!D:D,"")</f>
        <v>Región de Metropolitana de Santiago</v>
      </c>
      <c r="N1153" s="37"/>
      <c r="O1153" s="16"/>
      <c r="P1153" s="16"/>
      <c r="Q1153" s="36"/>
      <c r="R1153" s="16"/>
      <c r="S1153" s="36"/>
      <c r="T1153" s="16"/>
      <c r="U1153" s="16"/>
      <c r="V1153" s="36"/>
      <c r="W1153" s="36"/>
      <c r="X1153" s="38"/>
      <c r="Y1153" s="38"/>
      <c r="Z1153" s="39"/>
      <c r="AA1153" s="16"/>
      <c r="AB1153" s="40"/>
      <c r="AC1153" s="16"/>
      <c r="AD1153" s="16"/>
      <c r="AE1153" s="16"/>
    </row>
    <row r="1154" spans="1:31" ht="14.25" customHeight="1" x14ac:dyDescent="0.25">
      <c r="A1154">
        <v>770930960</v>
      </c>
      <c r="B1154" t="s">
        <v>2841</v>
      </c>
      <c r="C1154" t="s">
        <v>4490</v>
      </c>
      <c r="D1154">
        <v>5</v>
      </c>
      <c r="E1154" t="s">
        <v>4445</v>
      </c>
      <c r="F1154" t="s">
        <v>2840</v>
      </c>
      <c r="G1154" t="s">
        <v>5568</v>
      </c>
      <c r="H1154" t="s">
        <v>4915</v>
      </c>
      <c r="I1154" s="79" t="str">
        <f>IF(CARTERA_2026[[#This Row],[RUT]]=774097899,"DIST",_xlfn.XLOOKUP(CARTERA_2026[[#This Row],[VENDEDOR]],dimensiones!$C$21:$C$28,dimensiones!$D$21:$D$28,""))</f>
        <v>ATEL</v>
      </c>
      <c r="J1154" s="125" t="str">
        <f>_xlfn.XLOOKUP(CARTERA_2026[[#This Row],[REGION]],dimensiones!C:C,dimensiones!D:D,"")</f>
        <v>Región de Valparaíso</v>
      </c>
      <c r="N1154" s="37"/>
      <c r="O1154" s="16"/>
      <c r="P1154" s="16"/>
      <c r="Q1154" s="36"/>
      <c r="R1154" s="16"/>
      <c r="S1154" s="36"/>
      <c r="T1154" s="16"/>
      <c r="U1154" s="16"/>
      <c r="V1154" s="36"/>
      <c r="W1154" s="36"/>
      <c r="X1154" s="38"/>
      <c r="Y1154" s="38"/>
      <c r="Z1154" s="39"/>
      <c r="AA1154" s="16"/>
      <c r="AB1154" s="40"/>
      <c r="AC1154" s="16"/>
      <c r="AD1154" s="16"/>
      <c r="AE1154" s="16"/>
    </row>
    <row r="1155" spans="1:31" ht="14.25" customHeight="1" x14ac:dyDescent="0.25">
      <c r="A1155">
        <v>770940354</v>
      </c>
      <c r="B1155" t="s">
        <v>526</v>
      </c>
      <c r="C1155" t="s">
        <v>4168</v>
      </c>
      <c r="D1155">
        <v>13</v>
      </c>
      <c r="E1155" t="s">
        <v>4445</v>
      </c>
      <c r="F1155" t="s">
        <v>2843</v>
      </c>
      <c r="G1155" t="s">
        <v>5568</v>
      </c>
      <c r="H1155" t="s">
        <v>4915</v>
      </c>
      <c r="I1155" s="79" t="str">
        <f>IF(CARTERA_2026[[#This Row],[RUT]]=774097899,"DIST",_xlfn.XLOOKUP(CARTERA_2026[[#This Row],[VENDEDOR]],dimensiones!$C$21:$C$28,dimensiones!$D$21:$D$28,""))</f>
        <v>ATEL</v>
      </c>
      <c r="J1155" s="125" t="str">
        <f>_xlfn.XLOOKUP(CARTERA_2026[[#This Row],[REGION]],dimensiones!C:C,dimensiones!D:D,"")</f>
        <v>Región de Metropolitana de Santiago</v>
      </c>
      <c r="N1155" s="37"/>
      <c r="O1155" s="16"/>
      <c r="P1155" s="16"/>
      <c r="Q1155" s="36"/>
      <c r="R1155" s="16"/>
      <c r="S1155" s="36"/>
      <c r="T1155" s="16"/>
      <c r="U1155" s="16"/>
      <c r="V1155" s="36"/>
      <c r="W1155" s="36"/>
      <c r="X1155" s="38"/>
      <c r="Y1155" s="38"/>
      <c r="Z1155" s="39"/>
      <c r="AA1155" s="16"/>
      <c r="AB1155" s="40"/>
      <c r="AC1155" s="16"/>
      <c r="AD1155" s="16"/>
      <c r="AE1155" s="16"/>
    </row>
    <row r="1156" spans="1:31" ht="14.25" customHeight="1" x14ac:dyDescent="0.25">
      <c r="A1156">
        <v>771015123</v>
      </c>
      <c r="B1156" t="s">
        <v>3777</v>
      </c>
      <c r="C1156" t="s">
        <v>4168</v>
      </c>
      <c r="D1156">
        <v>13</v>
      </c>
      <c r="E1156" t="s">
        <v>4445</v>
      </c>
      <c r="F1156" t="s">
        <v>3776</v>
      </c>
      <c r="G1156" t="s">
        <v>5568</v>
      </c>
      <c r="H1156" t="s">
        <v>4915</v>
      </c>
      <c r="I1156" s="79" t="str">
        <f>IF(CARTERA_2026[[#This Row],[RUT]]=774097899,"DIST",_xlfn.XLOOKUP(CARTERA_2026[[#This Row],[VENDEDOR]],dimensiones!$C$21:$C$28,dimensiones!$D$21:$D$28,""))</f>
        <v>ATEL</v>
      </c>
      <c r="J1156" s="125" t="str">
        <f>_xlfn.XLOOKUP(CARTERA_2026[[#This Row],[REGION]],dimensiones!C:C,dimensiones!D:D,"")</f>
        <v>Región de Metropolitana de Santiago</v>
      </c>
    </row>
    <row r="1157" spans="1:31" ht="14.25" customHeight="1" x14ac:dyDescent="0.25">
      <c r="A1157">
        <v>771077935</v>
      </c>
      <c r="B1157" t="s">
        <v>2849</v>
      </c>
      <c r="C1157" t="s">
        <v>4555</v>
      </c>
      <c r="D1157">
        <v>13</v>
      </c>
      <c r="E1157" t="s">
        <v>4445</v>
      </c>
      <c r="F1157" t="s">
        <v>2848</v>
      </c>
      <c r="G1157" t="s">
        <v>5568</v>
      </c>
      <c r="H1157" t="s">
        <v>4915</v>
      </c>
      <c r="I1157" s="79" t="str">
        <f>IF(CARTERA_2026[[#This Row],[RUT]]=774097899,"DIST",_xlfn.XLOOKUP(CARTERA_2026[[#This Row],[VENDEDOR]],dimensiones!$C$21:$C$28,dimensiones!$D$21:$D$28,""))</f>
        <v>ATEL</v>
      </c>
      <c r="J1157" s="125" t="str">
        <f>_xlfn.XLOOKUP(CARTERA_2026[[#This Row],[REGION]],dimensiones!C:C,dimensiones!D:D,"")</f>
        <v>Región de Metropolitana de Santiago</v>
      </c>
    </row>
    <row r="1158" spans="1:31" ht="14.25" customHeight="1" x14ac:dyDescent="0.25">
      <c r="A1158">
        <v>771139620</v>
      </c>
      <c r="B1158" t="s">
        <v>848</v>
      </c>
      <c r="C1158" t="s">
        <v>4470</v>
      </c>
      <c r="D1158">
        <v>13</v>
      </c>
      <c r="E1158" t="s">
        <v>4445</v>
      </c>
      <c r="F1158" t="s">
        <v>2851</v>
      </c>
      <c r="G1158" t="s">
        <v>5570</v>
      </c>
      <c r="H1158" t="s">
        <v>4915</v>
      </c>
      <c r="I1158" s="79" t="str">
        <f>IF(CARTERA_2026[[#This Row],[RUT]]=774097899,"DIST",_xlfn.XLOOKUP(CARTERA_2026[[#This Row],[VENDEDOR]],dimensiones!$C$21:$C$28,dimensiones!$D$21:$D$28,""))</f>
        <v>ATEL</v>
      </c>
      <c r="J1158" s="125" t="str">
        <f>_xlfn.XLOOKUP(CARTERA_2026[[#This Row],[REGION]],dimensiones!C:C,dimensiones!D:D,"")</f>
        <v>Región de Metropolitana de Santiago</v>
      </c>
    </row>
    <row r="1159" spans="1:31" ht="14.25" customHeight="1" x14ac:dyDescent="0.25">
      <c r="A1159">
        <v>771164862</v>
      </c>
      <c r="B1159" t="s">
        <v>5457</v>
      </c>
      <c r="C1159" t="s">
        <v>4391</v>
      </c>
      <c r="D1159">
        <v>13</v>
      </c>
      <c r="E1159" t="s">
        <v>4445</v>
      </c>
      <c r="F1159" t="s">
        <v>5458</v>
      </c>
      <c r="G1159" t="s">
        <v>5568</v>
      </c>
      <c r="H1159" t="s">
        <v>4915</v>
      </c>
      <c r="I1159" s="79" t="str">
        <f>IF(CARTERA_2026[[#This Row],[RUT]]=774097899,"DIST",_xlfn.XLOOKUP(CARTERA_2026[[#This Row],[VENDEDOR]],dimensiones!$C$21:$C$28,dimensiones!$D$21:$D$28,""))</f>
        <v>ATEL</v>
      </c>
      <c r="J1159" s="125" t="str">
        <f>_xlfn.XLOOKUP(CARTERA_2026[[#This Row],[REGION]],dimensiones!C:C,dimensiones!D:D,"")</f>
        <v>Región de Metropolitana de Santiago</v>
      </c>
    </row>
    <row r="1160" spans="1:31" ht="14.25" customHeight="1" x14ac:dyDescent="0.25">
      <c r="A1160">
        <v>771264034</v>
      </c>
      <c r="B1160" t="s">
        <v>3340</v>
      </c>
      <c r="C1160" t="s">
        <v>4175</v>
      </c>
      <c r="D1160">
        <v>5</v>
      </c>
      <c r="E1160" t="s">
        <v>4445</v>
      </c>
      <c r="F1160" t="s">
        <v>3339</v>
      </c>
      <c r="G1160" t="s">
        <v>5568</v>
      </c>
      <c r="H1160" t="s">
        <v>4915</v>
      </c>
      <c r="I1160" s="79" t="str">
        <f>IF(CARTERA_2026[[#This Row],[RUT]]=774097899,"DIST",_xlfn.XLOOKUP(CARTERA_2026[[#This Row],[VENDEDOR]],dimensiones!$C$21:$C$28,dimensiones!$D$21:$D$28,""))</f>
        <v>ATEL</v>
      </c>
      <c r="J1160" s="125" t="str">
        <f>_xlfn.XLOOKUP(CARTERA_2026[[#This Row],[REGION]],dimensiones!C:C,dimensiones!D:D,"")</f>
        <v>Región de Valparaíso</v>
      </c>
    </row>
    <row r="1161" spans="1:31" ht="14.25" customHeight="1" x14ac:dyDescent="0.25">
      <c r="A1161">
        <v>771314945</v>
      </c>
      <c r="B1161" t="s">
        <v>527</v>
      </c>
      <c r="C1161" t="s">
        <v>4460</v>
      </c>
      <c r="D1161">
        <v>8</v>
      </c>
      <c r="E1161" t="s">
        <v>4445</v>
      </c>
      <c r="F1161" t="s">
        <v>2856</v>
      </c>
      <c r="G1161" t="s">
        <v>5570</v>
      </c>
      <c r="H1161" t="s">
        <v>4915</v>
      </c>
      <c r="I1161" s="79" t="str">
        <f>IF(CARTERA_2026[[#This Row],[RUT]]=774097899,"DIST",_xlfn.XLOOKUP(CARTERA_2026[[#This Row],[VENDEDOR]],dimensiones!$C$21:$C$28,dimensiones!$D$21:$D$28,""))</f>
        <v>ATEL</v>
      </c>
      <c r="J1161" s="125" t="str">
        <f>_xlfn.XLOOKUP(CARTERA_2026[[#This Row],[REGION]],dimensiones!C:C,dimensiones!D:D,"")</f>
        <v>Región de Biobío</v>
      </c>
    </row>
    <row r="1162" spans="1:31" ht="14.25" customHeight="1" x14ac:dyDescent="0.25">
      <c r="A1162">
        <v>771399762</v>
      </c>
      <c r="B1162" t="s">
        <v>5546</v>
      </c>
      <c r="C1162" t="s">
        <v>4380</v>
      </c>
      <c r="D1162">
        <v>8</v>
      </c>
      <c r="E1162" t="s">
        <v>4445</v>
      </c>
      <c r="F1162" t="s">
        <v>5547</v>
      </c>
      <c r="G1162" t="s">
        <v>5569</v>
      </c>
      <c r="H1162" t="s">
        <v>4915</v>
      </c>
      <c r="I1162" s="79" t="str">
        <f>IF(CARTERA_2026[[#This Row],[RUT]]=774097899,"DIST",_xlfn.XLOOKUP(CARTERA_2026[[#This Row],[VENDEDOR]],dimensiones!$C$21:$C$28,dimensiones!$D$21:$D$28,""))</f>
        <v>ATEL</v>
      </c>
      <c r="J1162" s="125" t="str">
        <f>_xlfn.XLOOKUP(CARTERA_2026[[#This Row],[REGION]],dimensiones!C:C,dimensiones!D:D,"")</f>
        <v>Región de Biobío</v>
      </c>
    </row>
    <row r="1163" spans="1:31" ht="14.25" customHeight="1" x14ac:dyDescent="0.25">
      <c r="A1163">
        <v>771451667</v>
      </c>
      <c r="B1163" t="s">
        <v>5674</v>
      </c>
      <c r="C1163" t="s">
        <v>4510</v>
      </c>
      <c r="D1163">
        <v>13</v>
      </c>
      <c r="E1163" t="s">
        <v>4445</v>
      </c>
      <c r="F1163" t="s">
        <v>5675</v>
      </c>
      <c r="G1163" t="s">
        <v>5569</v>
      </c>
      <c r="H1163" t="s">
        <v>4915</v>
      </c>
      <c r="I1163" s="79" t="str">
        <f>IF(CARTERA_2026[[#This Row],[RUT]]=774097899,"DIST",_xlfn.XLOOKUP(CARTERA_2026[[#This Row],[VENDEDOR]],dimensiones!$C$21:$C$28,dimensiones!$D$21:$D$28,""))</f>
        <v>ATEL</v>
      </c>
      <c r="J1163" s="125" t="str">
        <f>_xlfn.XLOOKUP(CARTERA_2026[[#This Row],[REGION]],dimensiones!C:C,dimensiones!D:D,"")</f>
        <v>Región de Metropolitana de Santiago</v>
      </c>
    </row>
    <row r="1164" spans="1:31" ht="14.25" customHeight="1" x14ac:dyDescent="0.25">
      <c r="A1164">
        <v>771455840</v>
      </c>
      <c r="B1164" t="s">
        <v>528</v>
      </c>
      <c r="C1164" t="s">
        <v>4257</v>
      </c>
      <c r="D1164">
        <v>7</v>
      </c>
      <c r="E1164" t="s">
        <v>4445</v>
      </c>
      <c r="F1164" t="s">
        <v>2858</v>
      </c>
      <c r="G1164" t="s">
        <v>5570</v>
      </c>
      <c r="H1164" t="s">
        <v>4915</v>
      </c>
      <c r="I1164" s="79" t="str">
        <f>IF(CARTERA_2026[[#This Row],[RUT]]=774097899,"DIST",_xlfn.XLOOKUP(CARTERA_2026[[#This Row],[VENDEDOR]],dimensiones!$C$21:$C$28,dimensiones!$D$21:$D$28,""))</f>
        <v>ATEL</v>
      </c>
      <c r="J1164" s="125" t="str">
        <f>_xlfn.XLOOKUP(CARTERA_2026[[#This Row],[REGION]],dimensiones!C:C,dimensiones!D:D,"")</f>
        <v>Región de Maule</v>
      </c>
    </row>
    <row r="1165" spans="1:31" ht="14.25" customHeight="1" x14ac:dyDescent="0.25">
      <c r="A1165">
        <v>771477356</v>
      </c>
      <c r="B1165" t="s">
        <v>529</v>
      </c>
      <c r="C1165" t="s">
        <v>4495</v>
      </c>
      <c r="D1165">
        <v>16</v>
      </c>
      <c r="E1165" t="s">
        <v>4445</v>
      </c>
      <c r="F1165" t="s">
        <v>1969</v>
      </c>
      <c r="G1165" t="s">
        <v>5568</v>
      </c>
      <c r="H1165" t="s">
        <v>4915</v>
      </c>
      <c r="I1165" s="79" t="str">
        <f>IF(CARTERA_2026[[#This Row],[RUT]]=774097899,"DIST",_xlfn.XLOOKUP(CARTERA_2026[[#This Row],[VENDEDOR]],dimensiones!$C$21:$C$28,dimensiones!$D$21:$D$28,""))</f>
        <v>ATEL</v>
      </c>
      <c r="J1165" s="125" t="str">
        <f>_xlfn.XLOOKUP(CARTERA_2026[[#This Row],[REGION]],dimensiones!C:C,dimensiones!D:D,"")</f>
        <v>Región de Ñuble</v>
      </c>
    </row>
    <row r="1166" spans="1:31" ht="14.25" customHeight="1" x14ac:dyDescent="0.25">
      <c r="A1166" t="s">
        <v>4928</v>
      </c>
      <c r="B1166" t="s">
        <v>4929</v>
      </c>
      <c r="C1166" t="s">
        <v>4287</v>
      </c>
      <c r="D1166">
        <v>13</v>
      </c>
      <c r="E1166" t="s">
        <v>4445</v>
      </c>
      <c r="F1166" t="s">
        <v>4930</v>
      </c>
      <c r="G1166" t="s">
        <v>5568</v>
      </c>
      <c r="H1166" t="s">
        <v>4915</v>
      </c>
      <c r="I1166" s="79" t="str">
        <f>IF(CARTERA_2026[[#This Row],[RUT]]=774097899,"DIST",_xlfn.XLOOKUP(CARTERA_2026[[#This Row],[VENDEDOR]],dimensiones!$C$21:$C$28,dimensiones!$D$21:$D$28,""))</f>
        <v>ATEL</v>
      </c>
      <c r="J1166" s="125" t="str">
        <f>_xlfn.XLOOKUP(CARTERA_2026[[#This Row],[REGION]],dimensiones!C:C,dimensiones!D:D,"")</f>
        <v>Región de Metropolitana de Santiago</v>
      </c>
    </row>
    <row r="1167" spans="1:31" ht="14.25" customHeight="1" x14ac:dyDescent="0.25">
      <c r="A1167">
        <v>771478026</v>
      </c>
      <c r="B1167" t="s">
        <v>530</v>
      </c>
      <c r="C1167" t="s">
        <v>4168</v>
      </c>
      <c r="D1167">
        <v>13</v>
      </c>
      <c r="E1167" t="s">
        <v>4445</v>
      </c>
      <c r="F1167" t="s">
        <v>2863</v>
      </c>
      <c r="G1167" t="s">
        <v>5568</v>
      </c>
      <c r="H1167" t="s">
        <v>4915</v>
      </c>
      <c r="I1167" s="79" t="str">
        <f>IF(CARTERA_2026[[#This Row],[RUT]]=774097899,"DIST",_xlfn.XLOOKUP(CARTERA_2026[[#This Row],[VENDEDOR]],dimensiones!$C$21:$C$28,dimensiones!$D$21:$D$28,""))</f>
        <v>ATEL</v>
      </c>
      <c r="J1167" s="125" t="str">
        <f>_xlfn.XLOOKUP(CARTERA_2026[[#This Row],[REGION]],dimensiones!C:C,dimensiones!D:D,"")</f>
        <v>Región de Metropolitana de Santiago</v>
      </c>
    </row>
    <row r="1168" spans="1:31" ht="14.25" customHeight="1" x14ac:dyDescent="0.25">
      <c r="A1168">
        <v>771480330</v>
      </c>
      <c r="B1168" t="s">
        <v>531</v>
      </c>
      <c r="C1168" t="s">
        <v>4528</v>
      </c>
      <c r="D1168">
        <v>13</v>
      </c>
      <c r="E1168" t="s">
        <v>4445</v>
      </c>
      <c r="F1168" t="s">
        <v>2865</v>
      </c>
      <c r="G1168" t="s">
        <v>5570</v>
      </c>
      <c r="H1168" t="s">
        <v>4915</v>
      </c>
      <c r="I1168" s="79" t="str">
        <f>IF(CARTERA_2026[[#This Row],[RUT]]=774097899,"DIST",_xlfn.XLOOKUP(CARTERA_2026[[#This Row],[VENDEDOR]],dimensiones!$C$21:$C$28,dimensiones!$D$21:$D$28,""))</f>
        <v>ATEL</v>
      </c>
      <c r="J1168" s="125" t="str">
        <f>_xlfn.XLOOKUP(CARTERA_2026[[#This Row],[REGION]],dimensiones!C:C,dimensiones!D:D,"")</f>
        <v>Región de Metropolitana de Santiago</v>
      </c>
    </row>
    <row r="1169" spans="1:10" ht="14.25" customHeight="1" x14ac:dyDescent="0.25">
      <c r="A1169">
        <v>771497691</v>
      </c>
      <c r="B1169" t="s">
        <v>849</v>
      </c>
      <c r="C1169" t="s">
        <v>4391</v>
      </c>
      <c r="D1169">
        <v>13</v>
      </c>
      <c r="E1169" t="s">
        <v>4445</v>
      </c>
      <c r="F1169" t="s">
        <v>1271</v>
      </c>
      <c r="G1169" t="s">
        <v>5570</v>
      </c>
      <c r="H1169" t="s">
        <v>4915</v>
      </c>
      <c r="I1169" s="79" t="str">
        <f>IF(CARTERA_2026[[#This Row],[RUT]]=774097899,"DIST",_xlfn.XLOOKUP(CARTERA_2026[[#This Row],[VENDEDOR]],dimensiones!$C$21:$C$28,dimensiones!$D$21:$D$28,""))</f>
        <v>ATEL</v>
      </c>
      <c r="J1169" s="125" t="str">
        <f>_xlfn.XLOOKUP(CARTERA_2026[[#This Row],[REGION]],dimensiones!C:C,dimensiones!D:D,"")</f>
        <v>Región de Metropolitana de Santiago</v>
      </c>
    </row>
    <row r="1170" spans="1:10" ht="14.25" customHeight="1" x14ac:dyDescent="0.25">
      <c r="A1170">
        <v>771509398</v>
      </c>
      <c r="B1170" t="s">
        <v>5805</v>
      </c>
      <c r="C1170" t="s">
        <v>4528</v>
      </c>
      <c r="D1170">
        <v>13</v>
      </c>
      <c r="E1170" t="s">
        <v>4445</v>
      </c>
      <c r="F1170" t="s">
        <v>5806</v>
      </c>
      <c r="H1170" t="s">
        <v>4915</v>
      </c>
      <c r="I1170" s="79" t="str">
        <f>IF(CARTERA_2026[[#This Row],[RUT]]=774097899,"DIST",_xlfn.XLOOKUP(CARTERA_2026[[#This Row],[VENDEDOR]],dimensiones!$C$21:$C$28,dimensiones!$D$21:$D$28,""))</f>
        <v>ATEL</v>
      </c>
      <c r="J1170" s="125" t="str">
        <f>_xlfn.XLOOKUP(CARTERA_2026[[#This Row],[REGION]],dimensiones!C:C,dimensiones!D:D,"")</f>
        <v>Región de Metropolitana de Santiago</v>
      </c>
    </row>
    <row r="1171" spans="1:10" ht="14.25" customHeight="1" x14ac:dyDescent="0.25">
      <c r="A1171">
        <v>771513638</v>
      </c>
      <c r="B1171" t="s">
        <v>532</v>
      </c>
      <c r="C1171" t="s">
        <v>4409</v>
      </c>
      <c r="D1171">
        <v>13</v>
      </c>
      <c r="E1171" t="s">
        <v>4445</v>
      </c>
      <c r="F1171" t="s">
        <v>2870</v>
      </c>
      <c r="G1171" t="s">
        <v>5568</v>
      </c>
      <c r="H1171" t="s">
        <v>4915</v>
      </c>
      <c r="I1171" s="79" t="str">
        <f>IF(CARTERA_2026[[#This Row],[RUT]]=774097899,"DIST",_xlfn.XLOOKUP(CARTERA_2026[[#This Row],[VENDEDOR]],dimensiones!$C$21:$C$28,dimensiones!$D$21:$D$28,""))</f>
        <v>ATEL</v>
      </c>
      <c r="J1171" s="125" t="str">
        <f>_xlfn.XLOOKUP(CARTERA_2026[[#This Row],[REGION]],dimensiones!C:C,dimensiones!D:D,"")</f>
        <v>Región de Metropolitana de Santiago</v>
      </c>
    </row>
    <row r="1172" spans="1:10" ht="14.25" customHeight="1" x14ac:dyDescent="0.25">
      <c r="A1172">
        <v>771532128</v>
      </c>
      <c r="B1172" t="s">
        <v>850</v>
      </c>
      <c r="C1172" t="s">
        <v>4391</v>
      </c>
      <c r="D1172">
        <v>13</v>
      </c>
      <c r="E1172" t="s">
        <v>4445</v>
      </c>
      <c r="F1172" t="s">
        <v>2872</v>
      </c>
      <c r="G1172" t="s">
        <v>5568</v>
      </c>
      <c r="H1172" t="s">
        <v>4915</v>
      </c>
      <c r="I1172" s="79" t="str">
        <f>IF(CARTERA_2026[[#This Row],[RUT]]=774097899,"DIST",_xlfn.XLOOKUP(CARTERA_2026[[#This Row],[VENDEDOR]],dimensiones!$C$21:$C$28,dimensiones!$D$21:$D$28,""))</f>
        <v>ATEL</v>
      </c>
      <c r="J1172" s="125" t="str">
        <f>_xlfn.XLOOKUP(CARTERA_2026[[#This Row],[REGION]],dimensiones!C:C,dimensiones!D:D,"")</f>
        <v>Región de Metropolitana de Santiago</v>
      </c>
    </row>
    <row r="1173" spans="1:10" ht="14.25" customHeight="1" x14ac:dyDescent="0.25">
      <c r="A1173">
        <v>771563767</v>
      </c>
      <c r="B1173" t="s">
        <v>3337</v>
      </c>
      <c r="C1173" t="s">
        <v>4395</v>
      </c>
      <c r="D1173">
        <v>13</v>
      </c>
      <c r="E1173" t="s">
        <v>4445</v>
      </c>
      <c r="F1173" t="s">
        <v>3336</v>
      </c>
      <c r="G1173" t="s">
        <v>5569</v>
      </c>
      <c r="H1173" t="s">
        <v>4915</v>
      </c>
      <c r="I1173" s="79" t="str">
        <f>IF(CARTERA_2026[[#This Row],[RUT]]=774097899,"DIST",_xlfn.XLOOKUP(CARTERA_2026[[#This Row],[VENDEDOR]],dimensiones!$C$21:$C$28,dimensiones!$D$21:$D$28,""))</f>
        <v>ATEL</v>
      </c>
      <c r="J1173" s="125" t="str">
        <f>_xlfn.XLOOKUP(CARTERA_2026[[#This Row],[REGION]],dimensiones!C:C,dimensiones!D:D,"")</f>
        <v>Región de Metropolitana de Santiago</v>
      </c>
    </row>
    <row r="1174" spans="1:10" ht="14.25" customHeight="1" x14ac:dyDescent="0.25">
      <c r="A1174">
        <v>771564356</v>
      </c>
      <c r="B1174" t="s">
        <v>533</v>
      </c>
      <c r="C1174" t="s">
        <v>4465</v>
      </c>
      <c r="D1174">
        <v>13</v>
      </c>
      <c r="E1174" t="s">
        <v>4445</v>
      </c>
      <c r="F1174" t="s">
        <v>2877</v>
      </c>
      <c r="G1174" t="s">
        <v>5568</v>
      </c>
      <c r="H1174" t="s">
        <v>4915</v>
      </c>
      <c r="I1174" s="79" t="str">
        <f>IF(CARTERA_2026[[#This Row],[RUT]]=774097899,"DIST",_xlfn.XLOOKUP(CARTERA_2026[[#This Row],[VENDEDOR]],dimensiones!$C$21:$C$28,dimensiones!$D$21:$D$28,""))</f>
        <v>ATEL</v>
      </c>
      <c r="J1174" s="125" t="str">
        <f>_xlfn.XLOOKUP(CARTERA_2026[[#This Row],[REGION]],dimensiones!C:C,dimensiones!D:D,"")</f>
        <v>Región de Metropolitana de Santiago</v>
      </c>
    </row>
    <row r="1175" spans="1:10" ht="14.25" customHeight="1" x14ac:dyDescent="0.25">
      <c r="A1175">
        <v>771601715</v>
      </c>
      <c r="B1175" t="s">
        <v>534</v>
      </c>
      <c r="C1175" t="s">
        <v>4528</v>
      </c>
      <c r="D1175">
        <v>13</v>
      </c>
      <c r="E1175" t="s">
        <v>4445</v>
      </c>
      <c r="F1175" t="s">
        <v>2879</v>
      </c>
      <c r="G1175" t="s">
        <v>5568</v>
      </c>
      <c r="H1175" t="s">
        <v>4915</v>
      </c>
      <c r="I1175" s="79" t="str">
        <f>IF(CARTERA_2026[[#This Row],[RUT]]=774097899,"DIST",_xlfn.XLOOKUP(CARTERA_2026[[#This Row],[VENDEDOR]],dimensiones!$C$21:$C$28,dimensiones!$D$21:$D$28,""))</f>
        <v>ATEL</v>
      </c>
      <c r="J1175" s="125" t="str">
        <f>_xlfn.XLOOKUP(CARTERA_2026[[#This Row],[REGION]],dimensiones!C:C,dimensiones!D:D,"")</f>
        <v>Región de Metropolitana de Santiago</v>
      </c>
    </row>
    <row r="1176" spans="1:10" ht="14.25" customHeight="1" x14ac:dyDescent="0.25">
      <c r="A1176" t="s">
        <v>5577</v>
      </c>
      <c r="B1176" t="s">
        <v>5578</v>
      </c>
      <c r="C1176" t="s">
        <v>4175</v>
      </c>
      <c r="D1176">
        <v>5</v>
      </c>
      <c r="E1176" t="s">
        <v>4445</v>
      </c>
      <c r="F1176" t="s">
        <v>5579</v>
      </c>
      <c r="G1176" t="s">
        <v>5570</v>
      </c>
      <c r="H1176" t="s">
        <v>4915</v>
      </c>
      <c r="I1176" s="79" t="str">
        <f>IF(CARTERA_2026[[#This Row],[RUT]]=774097899,"DIST",_xlfn.XLOOKUP(CARTERA_2026[[#This Row],[VENDEDOR]],dimensiones!$C$21:$C$28,dimensiones!$D$21:$D$28,""))</f>
        <v>ATEL</v>
      </c>
      <c r="J1176" s="125" t="str">
        <f>_xlfn.XLOOKUP(CARTERA_2026[[#This Row],[REGION]],dimensiones!C:C,dimensiones!D:D,"")</f>
        <v>Región de Valparaíso</v>
      </c>
    </row>
    <row r="1177" spans="1:10" ht="14.25" customHeight="1" x14ac:dyDescent="0.25">
      <c r="A1177">
        <v>771711480</v>
      </c>
      <c r="B1177" t="s">
        <v>4433</v>
      </c>
      <c r="C1177" t="s">
        <v>4245</v>
      </c>
      <c r="D1177">
        <v>4</v>
      </c>
      <c r="E1177" t="s">
        <v>4445</v>
      </c>
      <c r="F1177" t="s">
        <v>4581</v>
      </c>
      <c r="G1177" t="s">
        <v>5568</v>
      </c>
      <c r="H1177" t="s">
        <v>4915</v>
      </c>
      <c r="I1177" s="79" t="str">
        <f>IF(CARTERA_2026[[#This Row],[RUT]]=774097899,"DIST",_xlfn.XLOOKUP(CARTERA_2026[[#This Row],[VENDEDOR]],dimensiones!$C$21:$C$28,dimensiones!$D$21:$D$28,""))</f>
        <v>ATEL</v>
      </c>
      <c r="J1177" s="125" t="str">
        <f>_xlfn.XLOOKUP(CARTERA_2026[[#This Row],[REGION]],dimensiones!C:C,dimensiones!D:D,"")</f>
        <v>Región de Coquimbo</v>
      </c>
    </row>
    <row r="1178" spans="1:10" ht="14.25" customHeight="1" x14ac:dyDescent="0.25">
      <c r="A1178">
        <v>771736238</v>
      </c>
      <c r="B1178" t="s">
        <v>4583</v>
      </c>
      <c r="C1178" t="s">
        <v>4465</v>
      </c>
      <c r="D1178">
        <v>13</v>
      </c>
      <c r="E1178" t="s">
        <v>4445</v>
      </c>
      <c r="F1178" t="s">
        <v>4582</v>
      </c>
      <c r="G1178" t="s">
        <v>5568</v>
      </c>
      <c r="H1178" t="s">
        <v>4915</v>
      </c>
      <c r="I1178" s="79" t="str">
        <f>IF(CARTERA_2026[[#This Row],[RUT]]=774097899,"DIST",_xlfn.XLOOKUP(CARTERA_2026[[#This Row],[VENDEDOR]],dimensiones!$C$21:$C$28,dimensiones!$D$21:$D$28,""))</f>
        <v>ATEL</v>
      </c>
      <c r="J1178" s="125" t="str">
        <f>_xlfn.XLOOKUP(CARTERA_2026[[#This Row],[REGION]],dimensiones!C:C,dimensiones!D:D,"")</f>
        <v>Región de Metropolitana de Santiago</v>
      </c>
    </row>
    <row r="1179" spans="1:10" ht="14.25" customHeight="1" x14ac:dyDescent="0.25">
      <c r="A1179">
        <v>771784062</v>
      </c>
      <c r="B1179" t="s">
        <v>535</v>
      </c>
      <c r="C1179" t="s">
        <v>4182</v>
      </c>
      <c r="D1179">
        <v>2</v>
      </c>
      <c r="E1179" t="s">
        <v>4445</v>
      </c>
      <c r="F1179" t="s">
        <v>2881</v>
      </c>
      <c r="G1179" t="s">
        <v>5576</v>
      </c>
      <c r="H1179" t="s">
        <v>4915</v>
      </c>
      <c r="I1179" s="79" t="str">
        <f>IF(CARTERA_2026[[#This Row],[RUT]]=774097899,"DIST",_xlfn.XLOOKUP(CARTERA_2026[[#This Row],[VENDEDOR]],dimensiones!$C$21:$C$28,dimensiones!$D$21:$D$28,""))</f>
        <v>ATEL</v>
      </c>
      <c r="J1179" s="125" t="str">
        <f>_xlfn.XLOOKUP(CARTERA_2026[[#This Row],[REGION]],dimensiones!C:C,dimensiones!D:D,"")</f>
        <v>Región de Antofagasta</v>
      </c>
    </row>
    <row r="1180" spans="1:10" ht="14.25" customHeight="1" x14ac:dyDescent="0.25">
      <c r="A1180">
        <v>771834574</v>
      </c>
      <c r="B1180" t="s">
        <v>4982</v>
      </c>
      <c r="C1180" t="s">
        <v>4264</v>
      </c>
      <c r="D1180">
        <v>7</v>
      </c>
      <c r="E1180" t="s">
        <v>4445</v>
      </c>
      <c r="F1180" t="s">
        <v>4983</v>
      </c>
      <c r="H1180" t="s">
        <v>4915</v>
      </c>
      <c r="I1180" s="79" t="str">
        <f>IF(CARTERA_2026[[#This Row],[RUT]]=774097899,"DIST",_xlfn.XLOOKUP(CARTERA_2026[[#This Row],[VENDEDOR]],dimensiones!$C$21:$C$28,dimensiones!$D$21:$D$28,""))</f>
        <v>ATEL</v>
      </c>
      <c r="J1180" s="125" t="str">
        <f>_xlfn.XLOOKUP(CARTERA_2026[[#This Row],[REGION]],dimensiones!C:C,dimensiones!D:D,"")</f>
        <v>Región de Maule</v>
      </c>
    </row>
    <row r="1181" spans="1:10" ht="14.25" customHeight="1" x14ac:dyDescent="0.25">
      <c r="A1181">
        <v>771855199</v>
      </c>
      <c r="B1181" t="s">
        <v>536</v>
      </c>
      <c r="C1181" t="s">
        <v>4168</v>
      </c>
      <c r="D1181">
        <v>13</v>
      </c>
      <c r="E1181" t="s">
        <v>4445</v>
      </c>
      <c r="F1181" t="s">
        <v>1286</v>
      </c>
      <c r="G1181" t="s">
        <v>5568</v>
      </c>
      <c r="H1181" t="s">
        <v>4915</v>
      </c>
      <c r="I1181" s="79" t="str">
        <f>IF(CARTERA_2026[[#This Row],[RUT]]=774097899,"DIST",_xlfn.XLOOKUP(CARTERA_2026[[#This Row],[VENDEDOR]],dimensiones!$C$21:$C$28,dimensiones!$D$21:$D$28,""))</f>
        <v>ATEL</v>
      </c>
      <c r="J1181" s="125" t="str">
        <f>_xlfn.XLOOKUP(CARTERA_2026[[#This Row],[REGION]],dimensiones!C:C,dimensiones!D:D,"")</f>
        <v>Región de Metropolitana de Santiago</v>
      </c>
    </row>
    <row r="1182" spans="1:10" ht="14.25" customHeight="1" x14ac:dyDescent="0.25">
      <c r="A1182">
        <v>771867634</v>
      </c>
      <c r="B1182" t="s">
        <v>851</v>
      </c>
      <c r="C1182" t="s">
        <v>4175</v>
      </c>
      <c r="D1182">
        <v>5</v>
      </c>
      <c r="E1182" t="s">
        <v>4445</v>
      </c>
      <c r="F1182" t="s">
        <v>2886</v>
      </c>
      <c r="G1182" t="s">
        <v>5568</v>
      </c>
      <c r="H1182" t="s">
        <v>4915</v>
      </c>
      <c r="I1182" s="79" t="str">
        <f>IF(CARTERA_2026[[#This Row],[RUT]]=774097899,"DIST",_xlfn.XLOOKUP(CARTERA_2026[[#This Row],[VENDEDOR]],dimensiones!$C$21:$C$28,dimensiones!$D$21:$D$28,""))</f>
        <v>ATEL</v>
      </c>
      <c r="J1182" s="125" t="str">
        <f>_xlfn.XLOOKUP(CARTERA_2026[[#This Row],[REGION]],dimensiones!C:C,dimensiones!D:D,"")</f>
        <v>Región de Valparaíso</v>
      </c>
    </row>
    <row r="1183" spans="1:10" ht="14.25" customHeight="1" x14ac:dyDescent="0.25">
      <c r="A1183">
        <v>771868592</v>
      </c>
      <c r="B1183" t="s">
        <v>537</v>
      </c>
      <c r="C1183" t="s">
        <v>4218</v>
      </c>
      <c r="D1183">
        <v>9</v>
      </c>
      <c r="E1183" t="s">
        <v>4445</v>
      </c>
      <c r="F1183" t="s">
        <v>1228</v>
      </c>
      <c r="G1183" t="s">
        <v>5568</v>
      </c>
      <c r="H1183" t="s">
        <v>4915</v>
      </c>
      <c r="I1183" s="79" t="str">
        <f>IF(CARTERA_2026[[#This Row],[RUT]]=774097899,"DIST",_xlfn.XLOOKUP(CARTERA_2026[[#This Row],[VENDEDOR]],dimensiones!$C$21:$C$28,dimensiones!$D$21:$D$28,""))</f>
        <v>ATEL</v>
      </c>
      <c r="J1183" s="125" t="str">
        <f>_xlfn.XLOOKUP(CARTERA_2026[[#This Row],[REGION]],dimensiones!C:C,dimensiones!D:D,"")</f>
        <v>Región de La Araucanía</v>
      </c>
    </row>
    <row r="1184" spans="1:10" ht="14.25" customHeight="1" x14ac:dyDescent="0.25">
      <c r="A1184">
        <v>771873316</v>
      </c>
      <c r="B1184" t="s">
        <v>2892</v>
      </c>
      <c r="C1184" t="s">
        <v>4264</v>
      </c>
      <c r="D1184">
        <v>7</v>
      </c>
      <c r="E1184" t="s">
        <v>4445</v>
      </c>
      <c r="F1184" t="s">
        <v>2891</v>
      </c>
      <c r="G1184" t="s">
        <v>5568</v>
      </c>
      <c r="H1184" t="s">
        <v>4915</v>
      </c>
      <c r="I1184" s="79" t="str">
        <f>IF(CARTERA_2026[[#This Row],[RUT]]=774097899,"DIST",_xlfn.XLOOKUP(CARTERA_2026[[#This Row],[VENDEDOR]],dimensiones!$C$21:$C$28,dimensiones!$D$21:$D$28,""))</f>
        <v>ATEL</v>
      </c>
      <c r="J1184" s="125" t="str">
        <f>_xlfn.XLOOKUP(CARTERA_2026[[#This Row],[REGION]],dimensiones!C:C,dimensiones!D:D,"")</f>
        <v>Región de Maule</v>
      </c>
    </row>
    <row r="1185" spans="1:10" ht="14.25" customHeight="1" x14ac:dyDescent="0.25">
      <c r="A1185">
        <v>771875475</v>
      </c>
      <c r="B1185" t="s">
        <v>2895</v>
      </c>
      <c r="C1185" t="s">
        <v>4175</v>
      </c>
      <c r="D1185">
        <v>5</v>
      </c>
      <c r="E1185" t="s">
        <v>4445</v>
      </c>
      <c r="F1185" t="s">
        <v>2894</v>
      </c>
      <c r="G1185" t="s">
        <v>5568</v>
      </c>
      <c r="H1185" t="s">
        <v>4915</v>
      </c>
      <c r="I1185" s="79" t="str">
        <f>IF(CARTERA_2026[[#This Row],[RUT]]=774097899,"DIST",_xlfn.XLOOKUP(CARTERA_2026[[#This Row],[VENDEDOR]],dimensiones!$C$21:$C$28,dimensiones!$D$21:$D$28,""))</f>
        <v>ATEL</v>
      </c>
      <c r="J1185" s="125" t="str">
        <f>_xlfn.XLOOKUP(CARTERA_2026[[#This Row],[REGION]],dimensiones!C:C,dimensiones!D:D,"")</f>
        <v>Región de Valparaíso</v>
      </c>
    </row>
    <row r="1186" spans="1:10" ht="14.25" customHeight="1" x14ac:dyDescent="0.25">
      <c r="A1186">
        <v>771893740</v>
      </c>
      <c r="B1186" t="s">
        <v>852</v>
      </c>
      <c r="C1186" t="s">
        <v>4168</v>
      </c>
      <c r="D1186">
        <v>13</v>
      </c>
      <c r="E1186" t="s">
        <v>4445</v>
      </c>
      <c r="F1186" t="s">
        <v>2897</v>
      </c>
      <c r="G1186" t="s">
        <v>5569</v>
      </c>
      <c r="H1186" t="s">
        <v>4915</v>
      </c>
      <c r="I1186" s="79" t="str">
        <f>IF(CARTERA_2026[[#This Row],[RUT]]=774097899,"DIST",_xlfn.XLOOKUP(CARTERA_2026[[#This Row],[VENDEDOR]],dimensiones!$C$21:$C$28,dimensiones!$D$21:$D$28,""))</f>
        <v>ATEL</v>
      </c>
      <c r="J1186" s="125" t="str">
        <f>_xlfn.XLOOKUP(CARTERA_2026[[#This Row],[REGION]],dimensiones!C:C,dimensiones!D:D,"")</f>
        <v>Región de Metropolitana de Santiago</v>
      </c>
    </row>
    <row r="1187" spans="1:10" ht="14.25" customHeight="1" x14ac:dyDescent="0.25">
      <c r="A1187">
        <v>771907199</v>
      </c>
      <c r="B1187" t="s">
        <v>1038</v>
      </c>
      <c r="C1187" t="s">
        <v>4465</v>
      </c>
      <c r="D1187">
        <v>13</v>
      </c>
      <c r="E1187" t="s">
        <v>4445</v>
      </c>
      <c r="F1187" t="s">
        <v>2899</v>
      </c>
      <c r="G1187" t="s">
        <v>5568</v>
      </c>
      <c r="H1187" t="s">
        <v>4915</v>
      </c>
      <c r="I1187" s="79" t="str">
        <f>IF(CARTERA_2026[[#This Row],[RUT]]=774097899,"DIST",_xlfn.XLOOKUP(CARTERA_2026[[#This Row],[VENDEDOR]],dimensiones!$C$21:$C$28,dimensiones!$D$21:$D$28,""))</f>
        <v>ATEL</v>
      </c>
      <c r="J1187" s="125" t="str">
        <f>_xlfn.XLOOKUP(CARTERA_2026[[#This Row],[REGION]],dimensiones!C:C,dimensiones!D:D,"")</f>
        <v>Región de Metropolitana de Santiago</v>
      </c>
    </row>
    <row r="1188" spans="1:10" ht="14.25" customHeight="1" x14ac:dyDescent="0.25">
      <c r="A1188">
        <v>771908802</v>
      </c>
      <c r="B1188" t="s">
        <v>2100</v>
      </c>
      <c r="C1188" t="s">
        <v>4456</v>
      </c>
      <c r="D1188">
        <v>13</v>
      </c>
      <c r="E1188" t="s">
        <v>4445</v>
      </c>
      <c r="F1188" t="s">
        <v>2901</v>
      </c>
      <c r="G1188" t="s">
        <v>5568</v>
      </c>
      <c r="H1188" t="s">
        <v>4915</v>
      </c>
      <c r="I1188" s="79" t="str">
        <f>IF(CARTERA_2026[[#This Row],[RUT]]=774097899,"DIST",_xlfn.XLOOKUP(CARTERA_2026[[#This Row],[VENDEDOR]],dimensiones!$C$21:$C$28,dimensiones!$D$21:$D$28,""))</f>
        <v>ATEL</v>
      </c>
      <c r="J1188" s="125" t="str">
        <f>_xlfn.XLOOKUP(CARTERA_2026[[#This Row],[REGION]],dimensiones!C:C,dimensiones!D:D,"")</f>
        <v>Región de Metropolitana de Santiago</v>
      </c>
    </row>
    <row r="1189" spans="1:10" ht="14.25" customHeight="1" x14ac:dyDescent="0.25">
      <c r="A1189">
        <v>771911862</v>
      </c>
      <c r="B1189" t="s">
        <v>539</v>
      </c>
      <c r="C1189" t="s">
        <v>4245</v>
      </c>
      <c r="D1189">
        <v>4</v>
      </c>
      <c r="E1189" t="s">
        <v>4445</v>
      </c>
      <c r="F1189" t="s">
        <v>2902</v>
      </c>
      <c r="G1189" t="s">
        <v>5570</v>
      </c>
      <c r="H1189" t="s">
        <v>4915</v>
      </c>
      <c r="I1189" s="79" t="str">
        <f>IF(CARTERA_2026[[#This Row],[RUT]]=774097899,"DIST",_xlfn.XLOOKUP(CARTERA_2026[[#This Row],[VENDEDOR]],dimensiones!$C$21:$C$28,dimensiones!$D$21:$D$28,""))</f>
        <v>ATEL</v>
      </c>
      <c r="J1189" s="125" t="str">
        <f>_xlfn.XLOOKUP(CARTERA_2026[[#This Row],[REGION]],dimensiones!C:C,dimensiones!D:D,"")</f>
        <v>Región de Coquimbo</v>
      </c>
    </row>
    <row r="1190" spans="1:10" ht="14.25" customHeight="1" x14ac:dyDescent="0.25">
      <c r="A1190">
        <v>771935117</v>
      </c>
      <c r="B1190" t="s">
        <v>2905</v>
      </c>
      <c r="C1190" t="s">
        <v>4218</v>
      </c>
      <c r="D1190">
        <v>9</v>
      </c>
      <c r="E1190" t="s">
        <v>4445</v>
      </c>
      <c r="F1190" t="s">
        <v>2904</v>
      </c>
      <c r="G1190" t="s">
        <v>5568</v>
      </c>
      <c r="H1190" t="s">
        <v>4915</v>
      </c>
      <c r="I1190" s="79" t="str">
        <f>IF(CARTERA_2026[[#This Row],[RUT]]=774097899,"DIST",_xlfn.XLOOKUP(CARTERA_2026[[#This Row],[VENDEDOR]],dimensiones!$C$21:$C$28,dimensiones!$D$21:$D$28,""))</f>
        <v>ATEL</v>
      </c>
      <c r="J1190" s="125" t="str">
        <f>_xlfn.XLOOKUP(CARTERA_2026[[#This Row],[REGION]],dimensiones!C:C,dimensiones!D:D,"")</f>
        <v>Región de La Araucanía</v>
      </c>
    </row>
    <row r="1191" spans="1:10" ht="14.25" customHeight="1" x14ac:dyDescent="0.25">
      <c r="A1191">
        <v>771962610</v>
      </c>
      <c r="B1191" t="s">
        <v>5463</v>
      </c>
      <c r="C1191" t="s">
        <v>4175</v>
      </c>
      <c r="D1191">
        <v>5</v>
      </c>
      <c r="E1191" t="s">
        <v>4445</v>
      </c>
      <c r="F1191" t="s">
        <v>5464</v>
      </c>
      <c r="G1191" t="s">
        <v>5568</v>
      </c>
      <c r="H1191" t="s">
        <v>4915</v>
      </c>
      <c r="I1191" s="79" t="str">
        <f>IF(CARTERA_2026[[#This Row],[RUT]]=774097899,"DIST",_xlfn.XLOOKUP(CARTERA_2026[[#This Row],[VENDEDOR]],dimensiones!$C$21:$C$28,dimensiones!$D$21:$D$28,""))</f>
        <v>ATEL</v>
      </c>
      <c r="J1191" s="125" t="str">
        <f>_xlfn.XLOOKUP(CARTERA_2026[[#This Row],[REGION]],dimensiones!C:C,dimensiones!D:D,"")</f>
        <v>Región de Valparaíso</v>
      </c>
    </row>
    <row r="1192" spans="1:10" ht="14.25" customHeight="1" x14ac:dyDescent="0.25">
      <c r="A1192" t="s">
        <v>724</v>
      </c>
      <c r="B1192" t="s">
        <v>725</v>
      </c>
      <c r="C1192" t="s">
        <v>4465</v>
      </c>
      <c r="D1192">
        <v>13</v>
      </c>
      <c r="E1192" t="s">
        <v>4445</v>
      </c>
      <c r="F1192" t="s">
        <v>2907</v>
      </c>
      <c r="G1192" t="s">
        <v>5570</v>
      </c>
      <c r="H1192" t="s">
        <v>4915</v>
      </c>
      <c r="I1192" s="79" t="str">
        <f>IF(CARTERA_2026[[#This Row],[RUT]]=774097899,"DIST",_xlfn.XLOOKUP(CARTERA_2026[[#This Row],[VENDEDOR]],dimensiones!$C$21:$C$28,dimensiones!$D$21:$D$28,""))</f>
        <v>ATEL</v>
      </c>
      <c r="J1192" s="125" t="str">
        <f>_xlfn.XLOOKUP(CARTERA_2026[[#This Row],[REGION]],dimensiones!C:C,dimensiones!D:D,"")</f>
        <v>Región de Metropolitana de Santiago</v>
      </c>
    </row>
    <row r="1193" spans="1:10" ht="14.25" customHeight="1" x14ac:dyDescent="0.25">
      <c r="A1193">
        <v>772043074</v>
      </c>
      <c r="B1193" t="s">
        <v>540</v>
      </c>
      <c r="C1193" t="s">
        <v>4293</v>
      </c>
      <c r="D1193">
        <v>10</v>
      </c>
      <c r="E1193" t="s">
        <v>4445</v>
      </c>
      <c r="F1193" t="s">
        <v>2909</v>
      </c>
      <c r="G1193" t="s">
        <v>5568</v>
      </c>
      <c r="H1193" t="s">
        <v>4915</v>
      </c>
      <c r="I1193" s="79" t="str">
        <f>IF(CARTERA_2026[[#This Row],[RUT]]=774097899,"DIST",_xlfn.XLOOKUP(CARTERA_2026[[#This Row],[VENDEDOR]],dimensiones!$C$21:$C$28,dimensiones!$D$21:$D$28,""))</f>
        <v>ATEL</v>
      </c>
      <c r="J1193" s="125" t="str">
        <f>_xlfn.XLOOKUP(CARTERA_2026[[#This Row],[REGION]],dimensiones!C:C,dimensiones!D:D,"")</f>
        <v>Región de Los Lagos</v>
      </c>
    </row>
    <row r="1194" spans="1:10" ht="14.25" customHeight="1" x14ac:dyDescent="0.25">
      <c r="A1194">
        <v>772070012</v>
      </c>
      <c r="B1194" t="s">
        <v>5631</v>
      </c>
      <c r="C1194" t="s">
        <v>4467</v>
      </c>
      <c r="D1194">
        <v>14</v>
      </c>
      <c r="E1194" t="s">
        <v>4445</v>
      </c>
      <c r="F1194" t="s">
        <v>5632</v>
      </c>
      <c r="G1194" t="s">
        <v>5568</v>
      </c>
      <c r="H1194" t="s">
        <v>4915</v>
      </c>
      <c r="I1194" s="79" t="str">
        <f>IF(CARTERA_2026[[#This Row],[RUT]]=774097899,"DIST",_xlfn.XLOOKUP(CARTERA_2026[[#This Row],[VENDEDOR]],dimensiones!$C$21:$C$28,dimensiones!$D$21:$D$28,""))</f>
        <v>ATEL</v>
      </c>
      <c r="J1194" s="125" t="str">
        <f>_xlfn.XLOOKUP(CARTERA_2026[[#This Row],[REGION]],dimensiones!C:C,dimensiones!D:D,"")</f>
        <v>Región de Los Ríos</v>
      </c>
    </row>
    <row r="1195" spans="1:10" ht="14.25" customHeight="1" x14ac:dyDescent="0.25">
      <c r="A1195">
        <v>772087233</v>
      </c>
      <c r="B1195" t="s">
        <v>541</v>
      </c>
      <c r="C1195" t="s">
        <v>4168</v>
      </c>
      <c r="D1195">
        <v>13</v>
      </c>
      <c r="E1195" t="s">
        <v>4445</v>
      </c>
      <c r="F1195" t="s">
        <v>1905</v>
      </c>
      <c r="G1195" t="s">
        <v>5568</v>
      </c>
      <c r="H1195" t="s">
        <v>4915</v>
      </c>
      <c r="I1195" s="79" t="str">
        <f>IF(CARTERA_2026[[#This Row],[RUT]]=774097899,"DIST",_xlfn.XLOOKUP(CARTERA_2026[[#This Row],[VENDEDOR]],dimensiones!$C$21:$C$28,dimensiones!$D$21:$D$28,""))</f>
        <v>ATEL</v>
      </c>
      <c r="J1195" s="125" t="str">
        <f>_xlfn.XLOOKUP(CARTERA_2026[[#This Row],[REGION]],dimensiones!C:C,dimensiones!D:D,"")</f>
        <v>Región de Metropolitana de Santiago</v>
      </c>
    </row>
    <row r="1196" spans="1:10" ht="14.25" customHeight="1" x14ac:dyDescent="0.25">
      <c r="A1196">
        <v>772221533</v>
      </c>
      <c r="B1196" t="s">
        <v>853</v>
      </c>
      <c r="C1196" t="s">
        <v>4465</v>
      </c>
      <c r="D1196">
        <v>13</v>
      </c>
      <c r="E1196" t="s">
        <v>4445</v>
      </c>
      <c r="F1196" t="s">
        <v>2914</v>
      </c>
      <c r="G1196" t="s">
        <v>5570</v>
      </c>
      <c r="H1196" t="s">
        <v>4915</v>
      </c>
      <c r="I1196" s="79" t="str">
        <f>IF(CARTERA_2026[[#This Row],[RUT]]=774097899,"DIST",_xlfn.XLOOKUP(CARTERA_2026[[#This Row],[VENDEDOR]],dimensiones!$C$21:$C$28,dimensiones!$D$21:$D$28,""))</f>
        <v>ATEL</v>
      </c>
      <c r="J1196" s="125" t="str">
        <f>_xlfn.XLOOKUP(CARTERA_2026[[#This Row],[REGION]],dimensiones!C:C,dimensiones!D:D,"")</f>
        <v>Región de Metropolitana de Santiago</v>
      </c>
    </row>
    <row r="1197" spans="1:10" ht="14.25" customHeight="1" x14ac:dyDescent="0.25">
      <c r="A1197">
        <v>772235445</v>
      </c>
      <c r="B1197" t="s">
        <v>854</v>
      </c>
      <c r="C1197" t="s">
        <v>4183</v>
      </c>
      <c r="D1197">
        <v>8</v>
      </c>
      <c r="E1197" t="s">
        <v>4445</v>
      </c>
      <c r="F1197" t="s">
        <v>1359</v>
      </c>
      <c r="G1197" t="s">
        <v>5568</v>
      </c>
      <c r="H1197" t="s">
        <v>4915</v>
      </c>
      <c r="I1197" s="79" t="str">
        <f>IF(CARTERA_2026[[#This Row],[RUT]]=774097899,"DIST",_xlfn.XLOOKUP(CARTERA_2026[[#This Row],[VENDEDOR]],dimensiones!$C$21:$C$28,dimensiones!$D$21:$D$28,""))</f>
        <v>ATEL</v>
      </c>
      <c r="J1197" s="125" t="str">
        <f>_xlfn.XLOOKUP(CARTERA_2026[[#This Row],[REGION]],dimensiones!C:C,dimensiones!D:D,"")</f>
        <v>Región de Biobío</v>
      </c>
    </row>
    <row r="1198" spans="1:10" ht="14.25" customHeight="1" x14ac:dyDescent="0.25">
      <c r="A1198">
        <v>772263198</v>
      </c>
      <c r="B1198" t="s">
        <v>2920</v>
      </c>
      <c r="C1198" t="s">
        <v>4401</v>
      </c>
      <c r="D1198">
        <v>13</v>
      </c>
      <c r="E1198" t="s">
        <v>4445</v>
      </c>
      <c r="F1198" t="s">
        <v>2919</v>
      </c>
      <c r="G1198" t="s">
        <v>5568</v>
      </c>
      <c r="H1198" t="s">
        <v>4915</v>
      </c>
      <c r="I1198" s="79" t="str">
        <f>IF(CARTERA_2026[[#This Row],[RUT]]=774097899,"DIST",_xlfn.XLOOKUP(CARTERA_2026[[#This Row],[VENDEDOR]],dimensiones!$C$21:$C$28,dimensiones!$D$21:$D$28,""))</f>
        <v>ATEL</v>
      </c>
      <c r="J1198" s="125" t="str">
        <f>_xlfn.XLOOKUP(CARTERA_2026[[#This Row],[REGION]],dimensiones!C:C,dimensiones!D:D,"")</f>
        <v>Región de Metropolitana de Santiago</v>
      </c>
    </row>
    <row r="1199" spans="1:10" ht="14.25" customHeight="1" x14ac:dyDescent="0.25">
      <c r="A1199">
        <v>772336489</v>
      </c>
      <c r="B1199" t="s">
        <v>2923</v>
      </c>
      <c r="C1199" t="s">
        <v>4200</v>
      </c>
      <c r="D1199">
        <v>6</v>
      </c>
      <c r="E1199" t="s">
        <v>4445</v>
      </c>
      <c r="F1199" t="s">
        <v>2922</v>
      </c>
      <c r="G1199" t="s">
        <v>5568</v>
      </c>
      <c r="H1199" t="s">
        <v>4915</v>
      </c>
      <c r="I1199" s="79" t="str">
        <f>IF(CARTERA_2026[[#This Row],[RUT]]=774097899,"DIST",_xlfn.XLOOKUP(CARTERA_2026[[#This Row],[VENDEDOR]],dimensiones!$C$21:$C$28,dimensiones!$D$21:$D$28,""))</f>
        <v>ATEL</v>
      </c>
      <c r="J1199" s="125" t="str">
        <f>_xlfn.XLOOKUP(CARTERA_2026[[#This Row],[REGION]],dimensiones!C:C,dimensiones!D:D,"")</f>
        <v>Región de Libertador General Bernardo O'Higgins</v>
      </c>
    </row>
    <row r="1200" spans="1:10" ht="14.25" customHeight="1" x14ac:dyDescent="0.25">
      <c r="A1200">
        <v>772351844</v>
      </c>
      <c r="B1200" t="s">
        <v>5548</v>
      </c>
      <c r="C1200" t="s">
        <v>4391</v>
      </c>
      <c r="D1200">
        <v>13</v>
      </c>
      <c r="E1200" t="s">
        <v>5549</v>
      </c>
      <c r="F1200" t="s">
        <v>5550</v>
      </c>
      <c r="H1200" t="s">
        <v>4915</v>
      </c>
      <c r="I1200" s="79" t="str">
        <f>IF(CARTERA_2026[[#This Row],[RUT]]=774097899,"DIST",_xlfn.XLOOKUP(CARTERA_2026[[#This Row],[VENDEDOR]],dimensiones!$C$21:$C$28,dimensiones!$D$21:$D$28,""))</f>
        <v/>
      </c>
      <c r="J1200" s="125" t="str">
        <f>_xlfn.XLOOKUP(CARTERA_2026[[#This Row],[REGION]],dimensiones!C:C,dimensiones!D:D,"")</f>
        <v>Región de Metropolitana de Santiago</v>
      </c>
    </row>
    <row r="1201" spans="1:10" ht="14.25" customHeight="1" x14ac:dyDescent="0.25">
      <c r="A1201">
        <v>772409702</v>
      </c>
      <c r="B1201" t="s">
        <v>5486</v>
      </c>
      <c r="C1201" t="s">
        <v>4552</v>
      </c>
      <c r="D1201">
        <v>13</v>
      </c>
      <c r="E1201" t="s">
        <v>4445</v>
      </c>
      <c r="F1201" t="s">
        <v>5487</v>
      </c>
      <c r="G1201" t="s">
        <v>5570</v>
      </c>
      <c r="H1201" t="s">
        <v>4915</v>
      </c>
      <c r="I1201" s="79" t="str">
        <f>IF(CARTERA_2026[[#This Row],[RUT]]=774097899,"DIST",_xlfn.XLOOKUP(CARTERA_2026[[#This Row],[VENDEDOR]],dimensiones!$C$21:$C$28,dimensiones!$D$21:$D$28,""))</f>
        <v>ATEL</v>
      </c>
      <c r="J1201" s="125" t="str">
        <f>_xlfn.XLOOKUP(CARTERA_2026[[#This Row],[REGION]],dimensiones!C:C,dimensiones!D:D,"")</f>
        <v>Región de Metropolitana de Santiago</v>
      </c>
    </row>
    <row r="1202" spans="1:10" ht="14.25" customHeight="1" x14ac:dyDescent="0.25">
      <c r="A1202" t="s">
        <v>726</v>
      </c>
      <c r="B1202" t="s">
        <v>727</v>
      </c>
      <c r="C1202" t="s">
        <v>4528</v>
      </c>
      <c r="D1202">
        <v>13</v>
      </c>
      <c r="E1202" t="s">
        <v>4445</v>
      </c>
      <c r="F1202" t="s">
        <v>2925</v>
      </c>
      <c r="G1202" t="s">
        <v>5570</v>
      </c>
      <c r="H1202" t="s">
        <v>4915</v>
      </c>
      <c r="I1202" s="79" t="str">
        <f>IF(CARTERA_2026[[#This Row],[RUT]]=774097899,"DIST",_xlfn.XLOOKUP(CARTERA_2026[[#This Row],[VENDEDOR]],dimensiones!$C$21:$C$28,dimensiones!$D$21:$D$28,""))</f>
        <v>ATEL</v>
      </c>
      <c r="J1202" s="125" t="str">
        <f>_xlfn.XLOOKUP(CARTERA_2026[[#This Row],[REGION]],dimensiones!C:C,dimensiones!D:D,"")</f>
        <v>Región de Metropolitana de Santiago</v>
      </c>
    </row>
    <row r="1203" spans="1:10" ht="14.25" customHeight="1" x14ac:dyDescent="0.25">
      <c r="A1203">
        <v>772442858</v>
      </c>
      <c r="B1203" t="s">
        <v>1087</v>
      </c>
      <c r="C1203" t="s">
        <v>4490</v>
      </c>
      <c r="D1203">
        <v>5</v>
      </c>
      <c r="E1203" t="s">
        <v>4445</v>
      </c>
      <c r="F1203" t="s">
        <v>3105</v>
      </c>
      <c r="G1203" t="s">
        <v>5570</v>
      </c>
      <c r="H1203" t="s">
        <v>4915</v>
      </c>
      <c r="I1203" s="79" t="str">
        <f>IF(CARTERA_2026[[#This Row],[RUT]]=774097899,"DIST",_xlfn.XLOOKUP(CARTERA_2026[[#This Row],[VENDEDOR]],dimensiones!$C$21:$C$28,dimensiones!$D$21:$D$28,""))</f>
        <v>ATEL</v>
      </c>
      <c r="J1203" s="125" t="str">
        <f>_xlfn.XLOOKUP(CARTERA_2026[[#This Row],[REGION]],dimensiones!C:C,dimensiones!D:D,"")</f>
        <v>Región de Valparaíso</v>
      </c>
    </row>
    <row r="1204" spans="1:10" ht="14.25" customHeight="1" x14ac:dyDescent="0.25">
      <c r="A1204" t="s">
        <v>979</v>
      </c>
      <c r="B1204" t="s">
        <v>984</v>
      </c>
      <c r="C1204" t="s">
        <v>4391</v>
      </c>
      <c r="D1204">
        <v>13</v>
      </c>
      <c r="E1204" t="s">
        <v>4445</v>
      </c>
      <c r="F1204" t="s">
        <v>2930</v>
      </c>
      <c r="G1204" t="s">
        <v>5570</v>
      </c>
      <c r="H1204" t="s">
        <v>4915</v>
      </c>
      <c r="I1204" s="79" t="str">
        <f>IF(CARTERA_2026[[#This Row],[RUT]]=774097899,"DIST",_xlfn.XLOOKUP(CARTERA_2026[[#This Row],[VENDEDOR]],dimensiones!$C$21:$C$28,dimensiones!$D$21:$D$28,""))</f>
        <v>ATEL</v>
      </c>
      <c r="J1204" s="125" t="str">
        <f>_xlfn.XLOOKUP(CARTERA_2026[[#This Row],[REGION]],dimensiones!C:C,dimensiones!D:D,"")</f>
        <v>Región de Metropolitana de Santiago</v>
      </c>
    </row>
    <row r="1205" spans="1:10" ht="14.25" customHeight="1" x14ac:dyDescent="0.25">
      <c r="A1205">
        <v>772638388</v>
      </c>
      <c r="B1205" t="s">
        <v>4585</v>
      </c>
      <c r="C1205" t="s">
        <v>4175</v>
      </c>
      <c r="D1205">
        <v>5</v>
      </c>
      <c r="E1205" t="s">
        <v>4445</v>
      </c>
      <c r="F1205" t="s">
        <v>4584</v>
      </c>
      <c r="G1205" t="s">
        <v>5568</v>
      </c>
      <c r="H1205" t="s">
        <v>4915</v>
      </c>
      <c r="I1205" s="79" t="str">
        <f>IF(CARTERA_2026[[#This Row],[RUT]]=774097899,"DIST",_xlfn.XLOOKUP(CARTERA_2026[[#This Row],[VENDEDOR]],dimensiones!$C$21:$C$28,dimensiones!$D$21:$D$28,""))</f>
        <v>ATEL</v>
      </c>
      <c r="J1205" s="125" t="str">
        <f>_xlfn.XLOOKUP(CARTERA_2026[[#This Row],[REGION]],dimensiones!C:C,dimensiones!D:D,"")</f>
        <v>Región de Valparaíso</v>
      </c>
    </row>
    <row r="1206" spans="1:10" ht="14.25" customHeight="1" x14ac:dyDescent="0.25">
      <c r="A1206">
        <v>772762143</v>
      </c>
      <c r="B1206" t="s">
        <v>2933</v>
      </c>
      <c r="C1206" t="s">
        <v>4168</v>
      </c>
      <c r="D1206">
        <v>13</v>
      </c>
      <c r="E1206" t="s">
        <v>4445</v>
      </c>
      <c r="F1206" t="s">
        <v>2932</v>
      </c>
      <c r="G1206" t="s">
        <v>5570</v>
      </c>
      <c r="H1206" t="s">
        <v>4915</v>
      </c>
      <c r="I1206" s="79" t="str">
        <f>IF(CARTERA_2026[[#This Row],[RUT]]=774097899,"DIST",_xlfn.XLOOKUP(CARTERA_2026[[#This Row],[VENDEDOR]],dimensiones!$C$21:$C$28,dimensiones!$D$21:$D$28,""))</f>
        <v>ATEL</v>
      </c>
      <c r="J1206" s="125" t="str">
        <f>_xlfn.XLOOKUP(CARTERA_2026[[#This Row],[REGION]],dimensiones!C:C,dimensiones!D:D,"")</f>
        <v>Región de Metropolitana de Santiago</v>
      </c>
    </row>
    <row r="1207" spans="1:10" ht="14.25" customHeight="1" x14ac:dyDescent="0.25">
      <c r="A1207">
        <v>772777159</v>
      </c>
      <c r="B1207" t="s">
        <v>543</v>
      </c>
      <c r="C1207" t="s">
        <v>4395</v>
      </c>
      <c r="D1207">
        <v>13</v>
      </c>
      <c r="E1207" t="s">
        <v>4445</v>
      </c>
      <c r="F1207" t="s">
        <v>2935</v>
      </c>
      <c r="G1207" t="s">
        <v>5569</v>
      </c>
      <c r="H1207" t="s">
        <v>4915</v>
      </c>
      <c r="I1207" s="79" t="str">
        <f>IF(CARTERA_2026[[#This Row],[RUT]]=774097899,"DIST",_xlfn.XLOOKUP(CARTERA_2026[[#This Row],[VENDEDOR]],dimensiones!$C$21:$C$28,dimensiones!$D$21:$D$28,""))</f>
        <v>ATEL</v>
      </c>
      <c r="J1207" s="125" t="str">
        <f>_xlfn.XLOOKUP(CARTERA_2026[[#This Row],[REGION]],dimensiones!C:C,dimensiones!D:D,"")</f>
        <v>Región de Metropolitana de Santiago</v>
      </c>
    </row>
    <row r="1208" spans="1:10" ht="14.25" customHeight="1" x14ac:dyDescent="0.25">
      <c r="A1208">
        <v>772966326</v>
      </c>
      <c r="B1208" t="s">
        <v>544</v>
      </c>
      <c r="C1208" t="s">
        <v>4391</v>
      </c>
      <c r="D1208">
        <v>13</v>
      </c>
      <c r="E1208" t="s">
        <v>4445</v>
      </c>
      <c r="F1208" t="s">
        <v>2937</v>
      </c>
      <c r="G1208" t="s">
        <v>5568</v>
      </c>
      <c r="H1208" t="s">
        <v>4915</v>
      </c>
      <c r="I1208" s="79" t="str">
        <f>IF(CARTERA_2026[[#This Row],[RUT]]=774097899,"DIST",_xlfn.XLOOKUP(CARTERA_2026[[#This Row],[VENDEDOR]],dimensiones!$C$21:$C$28,dimensiones!$D$21:$D$28,""))</f>
        <v>ATEL</v>
      </c>
      <c r="J1208" s="125" t="str">
        <f>_xlfn.XLOOKUP(CARTERA_2026[[#This Row],[REGION]],dimensiones!C:C,dimensiones!D:D,"")</f>
        <v>Región de Metropolitana de Santiago</v>
      </c>
    </row>
    <row r="1209" spans="1:10" ht="14.25" customHeight="1" x14ac:dyDescent="0.25">
      <c r="A1209">
        <v>772971834</v>
      </c>
      <c r="B1209" t="s">
        <v>2939</v>
      </c>
      <c r="C1209" t="s">
        <v>4395</v>
      </c>
      <c r="D1209">
        <v>13</v>
      </c>
      <c r="E1209" t="s">
        <v>4445</v>
      </c>
      <c r="F1209" t="s">
        <v>2938</v>
      </c>
      <c r="G1209" t="s">
        <v>5568</v>
      </c>
      <c r="H1209" t="s">
        <v>4915</v>
      </c>
      <c r="I1209" s="79" t="str">
        <f>IF(CARTERA_2026[[#This Row],[RUT]]=774097899,"DIST",_xlfn.XLOOKUP(CARTERA_2026[[#This Row],[VENDEDOR]],dimensiones!$C$21:$C$28,dimensiones!$D$21:$D$28,""))</f>
        <v>ATEL</v>
      </c>
      <c r="J1209" s="125" t="str">
        <f>_xlfn.XLOOKUP(CARTERA_2026[[#This Row],[REGION]],dimensiones!C:C,dimensiones!D:D,"")</f>
        <v>Región de Metropolitana de Santiago</v>
      </c>
    </row>
    <row r="1210" spans="1:10" ht="14.25" customHeight="1" x14ac:dyDescent="0.25">
      <c r="A1210" t="s">
        <v>4772</v>
      </c>
      <c r="B1210" t="s">
        <v>2942</v>
      </c>
      <c r="C1210" t="s">
        <v>4391</v>
      </c>
      <c r="D1210">
        <v>13</v>
      </c>
      <c r="E1210" t="s">
        <v>4445</v>
      </c>
      <c r="F1210" t="s">
        <v>2941</v>
      </c>
      <c r="G1210" t="s">
        <v>5568</v>
      </c>
      <c r="H1210" t="s">
        <v>4915</v>
      </c>
      <c r="I1210" s="79" t="str">
        <f>IF(CARTERA_2026[[#This Row],[RUT]]=774097899,"DIST",_xlfn.XLOOKUP(CARTERA_2026[[#This Row],[VENDEDOR]],dimensiones!$C$21:$C$28,dimensiones!$D$21:$D$28,""))</f>
        <v>ATEL</v>
      </c>
      <c r="J1210" s="125" t="str">
        <f>_xlfn.XLOOKUP(CARTERA_2026[[#This Row],[REGION]],dimensiones!C:C,dimensiones!D:D,"")</f>
        <v>Región de Metropolitana de Santiago</v>
      </c>
    </row>
    <row r="1211" spans="1:10" ht="14.25" customHeight="1" x14ac:dyDescent="0.25">
      <c r="A1211">
        <v>773121702</v>
      </c>
      <c r="B1211" t="s">
        <v>3293</v>
      </c>
      <c r="C1211" t="s">
        <v>4552</v>
      </c>
      <c r="D1211">
        <v>13</v>
      </c>
      <c r="E1211" t="s">
        <v>4445</v>
      </c>
      <c r="F1211" t="s">
        <v>3292</v>
      </c>
      <c r="G1211" t="s">
        <v>5570</v>
      </c>
      <c r="H1211" t="s">
        <v>4915</v>
      </c>
      <c r="I1211" s="79" t="str">
        <f>IF(CARTERA_2026[[#This Row],[RUT]]=774097899,"DIST",_xlfn.XLOOKUP(CARTERA_2026[[#This Row],[VENDEDOR]],dimensiones!$C$21:$C$28,dimensiones!$D$21:$D$28,""))</f>
        <v>ATEL</v>
      </c>
      <c r="J1211" s="125" t="str">
        <f>_xlfn.XLOOKUP(CARTERA_2026[[#This Row],[REGION]],dimensiones!C:C,dimensiones!D:D,"")</f>
        <v>Región de Metropolitana de Santiago</v>
      </c>
    </row>
    <row r="1212" spans="1:10" ht="14.25" customHeight="1" x14ac:dyDescent="0.25">
      <c r="A1212">
        <v>773173559</v>
      </c>
      <c r="B1212" t="s">
        <v>5797</v>
      </c>
      <c r="C1212" t="s">
        <v>4391</v>
      </c>
      <c r="D1212">
        <v>13</v>
      </c>
      <c r="E1212" t="s">
        <v>4445</v>
      </c>
      <c r="F1212" t="s">
        <v>5789</v>
      </c>
      <c r="G1212" t="s">
        <v>5568</v>
      </c>
      <c r="H1212" t="s">
        <v>4915</v>
      </c>
      <c r="I1212" s="79" t="str">
        <f>IF(CARTERA_2026[[#This Row],[RUT]]=774097899,"DIST",_xlfn.XLOOKUP(CARTERA_2026[[#This Row],[VENDEDOR]],dimensiones!$C$21:$C$28,dimensiones!$D$21:$D$28,""))</f>
        <v>ATEL</v>
      </c>
      <c r="J1212" s="125" t="str">
        <f>_xlfn.XLOOKUP(CARTERA_2026[[#This Row],[REGION]],dimensiones!C:C,dimensiones!D:D,"")</f>
        <v>Región de Metropolitana de Santiago</v>
      </c>
    </row>
    <row r="1213" spans="1:10" ht="14.25" customHeight="1" x14ac:dyDescent="0.25">
      <c r="A1213">
        <v>773179093</v>
      </c>
      <c r="B1213" t="s">
        <v>5746</v>
      </c>
      <c r="C1213" t="s">
        <v>4257</v>
      </c>
      <c r="D1213">
        <v>7</v>
      </c>
      <c r="E1213" t="s">
        <v>4445</v>
      </c>
      <c r="F1213" t="s">
        <v>5747</v>
      </c>
      <c r="G1213" t="s">
        <v>5568</v>
      </c>
      <c r="H1213" t="s">
        <v>4915</v>
      </c>
      <c r="I1213" s="79" t="str">
        <f>IF(CARTERA_2026[[#This Row],[RUT]]=774097899,"DIST",_xlfn.XLOOKUP(CARTERA_2026[[#This Row],[VENDEDOR]],dimensiones!$C$21:$C$28,dimensiones!$D$21:$D$28,""))</f>
        <v>ATEL</v>
      </c>
      <c r="J1213" s="125" t="str">
        <f>_xlfn.XLOOKUP(CARTERA_2026[[#This Row],[REGION]],dimensiones!C:C,dimensiones!D:D,"")</f>
        <v>Región de Maule</v>
      </c>
    </row>
    <row r="1214" spans="1:10" ht="14.25" customHeight="1" x14ac:dyDescent="0.25">
      <c r="A1214">
        <v>773250065</v>
      </c>
      <c r="B1214" t="s">
        <v>2947</v>
      </c>
      <c r="C1214" t="s">
        <v>4465</v>
      </c>
      <c r="D1214">
        <v>13</v>
      </c>
      <c r="E1214" t="s">
        <v>4445</v>
      </c>
      <c r="F1214" t="s">
        <v>2946</v>
      </c>
      <c r="G1214" t="s">
        <v>5570</v>
      </c>
      <c r="H1214" t="s">
        <v>4915</v>
      </c>
      <c r="I1214" s="79" t="str">
        <f>IF(CARTERA_2026[[#This Row],[RUT]]=774097899,"DIST",_xlfn.XLOOKUP(CARTERA_2026[[#This Row],[VENDEDOR]],dimensiones!$C$21:$C$28,dimensiones!$D$21:$D$28,""))</f>
        <v>ATEL</v>
      </c>
      <c r="J1214" s="125" t="str">
        <f>_xlfn.XLOOKUP(CARTERA_2026[[#This Row],[REGION]],dimensiones!C:C,dimensiones!D:D,"")</f>
        <v>Región de Metropolitana de Santiago</v>
      </c>
    </row>
    <row r="1215" spans="1:10" ht="14.25" customHeight="1" x14ac:dyDescent="0.25">
      <c r="A1215">
        <v>773262896</v>
      </c>
      <c r="B1215" t="s">
        <v>1092</v>
      </c>
      <c r="C1215" t="s">
        <v>4391</v>
      </c>
      <c r="D1215">
        <v>13</v>
      </c>
      <c r="E1215" t="s">
        <v>4445</v>
      </c>
      <c r="F1215" t="s">
        <v>2949</v>
      </c>
      <c r="G1215" t="s">
        <v>5568</v>
      </c>
      <c r="H1215" t="s">
        <v>4915</v>
      </c>
      <c r="I1215" s="79" t="str">
        <f>IF(CARTERA_2026[[#This Row],[RUT]]=774097899,"DIST",_xlfn.XLOOKUP(CARTERA_2026[[#This Row],[VENDEDOR]],dimensiones!$C$21:$C$28,dimensiones!$D$21:$D$28,""))</f>
        <v>ATEL</v>
      </c>
      <c r="J1215" s="125" t="str">
        <f>_xlfn.XLOOKUP(CARTERA_2026[[#This Row],[REGION]],dimensiones!C:C,dimensiones!D:D,"")</f>
        <v>Región de Metropolitana de Santiago</v>
      </c>
    </row>
    <row r="1216" spans="1:10" ht="14.25" customHeight="1" x14ac:dyDescent="0.25">
      <c r="A1216">
        <v>773352550</v>
      </c>
      <c r="B1216" t="s">
        <v>5623</v>
      </c>
      <c r="C1216" t="s">
        <v>4465</v>
      </c>
      <c r="D1216">
        <v>13</v>
      </c>
      <c r="E1216" t="s">
        <v>4445</v>
      </c>
      <c r="F1216" t="s">
        <v>5624</v>
      </c>
      <c r="G1216" t="s">
        <v>5568</v>
      </c>
      <c r="H1216" t="s">
        <v>4915</v>
      </c>
      <c r="I1216" s="79" t="str">
        <f>IF(CARTERA_2026[[#This Row],[RUT]]=774097899,"DIST",_xlfn.XLOOKUP(CARTERA_2026[[#This Row],[VENDEDOR]],dimensiones!$C$21:$C$28,dimensiones!$D$21:$D$28,""))</f>
        <v>ATEL</v>
      </c>
      <c r="J1216" s="125" t="str">
        <f>_xlfn.XLOOKUP(CARTERA_2026[[#This Row],[REGION]],dimensiones!C:C,dimensiones!D:D,"")</f>
        <v>Región de Metropolitana de Santiago</v>
      </c>
    </row>
    <row r="1217" spans="1:10" ht="14.25" customHeight="1" x14ac:dyDescent="0.25">
      <c r="A1217">
        <v>773361207</v>
      </c>
      <c r="B1217" t="s">
        <v>5633</v>
      </c>
      <c r="C1217" t="s">
        <v>4494</v>
      </c>
      <c r="D1217">
        <v>7</v>
      </c>
      <c r="E1217" t="s">
        <v>4445</v>
      </c>
      <c r="F1217" t="s">
        <v>5634</v>
      </c>
      <c r="G1217" t="s">
        <v>5568</v>
      </c>
      <c r="H1217" t="s">
        <v>4915</v>
      </c>
      <c r="I1217" s="79" t="str">
        <f>IF(CARTERA_2026[[#This Row],[RUT]]=774097899,"DIST",_xlfn.XLOOKUP(CARTERA_2026[[#This Row],[VENDEDOR]],dimensiones!$C$21:$C$28,dimensiones!$D$21:$D$28,""))</f>
        <v>ATEL</v>
      </c>
      <c r="J1217" s="125" t="str">
        <f>_xlfn.XLOOKUP(CARTERA_2026[[#This Row],[REGION]],dimensiones!C:C,dimensiones!D:D,"")</f>
        <v>Región de Maule</v>
      </c>
    </row>
    <row r="1218" spans="1:10" ht="14.25" customHeight="1" x14ac:dyDescent="0.25">
      <c r="A1218" t="s">
        <v>728</v>
      </c>
      <c r="B1218" t="s">
        <v>2952</v>
      </c>
      <c r="C1218" t="s">
        <v>4448</v>
      </c>
      <c r="D1218">
        <v>13</v>
      </c>
      <c r="E1218" t="s">
        <v>4445</v>
      </c>
      <c r="F1218" t="s">
        <v>2951</v>
      </c>
      <c r="G1218" t="s">
        <v>5568</v>
      </c>
      <c r="H1218" t="s">
        <v>4915</v>
      </c>
      <c r="I1218" s="79" t="str">
        <f>IF(CARTERA_2026[[#This Row],[RUT]]=774097899,"DIST",_xlfn.XLOOKUP(CARTERA_2026[[#This Row],[VENDEDOR]],dimensiones!$C$21:$C$28,dimensiones!$D$21:$D$28,""))</f>
        <v>ATEL</v>
      </c>
      <c r="J1218" s="125" t="str">
        <f>_xlfn.XLOOKUP(CARTERA_2026[[#This Row],[REGION]],dimensiones!C:C,dimensiones!D:D,"")</f>
        <v>Región de Metropolitana de Santiago</v>
      </c>
    </row>
    <row r="1219" spans="1:10" ht="14.25" customHeight="1" x14ac:dyDescent="0.25">
      <c r="A1219">
        <v>773506590</v>
      </c>
      <c r="B1219" t="s">
        <v>5477</v>
      </c>
      <c r="C1219" t="s">
        <v>4465</v>
      </c>
      <c r="D1219">
        <v>13</v>
      </c>
      <c r="E1219" t="s">
        <v>4445</v>
      </c>
      <c r="F1219" t="s">
        <v>5478</v>
      </c>
      <c r="G1219" t="s">
        <v>5570</v>
      </c>
      <c r="H1219" t="s">
        <v>4915</v>
      </c>
      <c r="I1219" s="79" t="str">
        <f>IF(CARTERA_2026[[#This Row],[RUT]]=774097899,"DIST",_xlfn.XLOOKUP(CARTERA_2026[[#This Row],[VENDEDOR]],dimensiones!$C$21:$C$28,dimensiones!$D$21:$D$28,""))</f>
        <v>ATEL</v>
      </c>
      <c r="J1219" s="125" t="str">
        <f>_xlfn.XLOOKUP(CARTERA_2026[[#This Row],[REGION]],dimensiones!C:C,dimensiones!D:D,"")</f>
        <v>Región de Metropolitana de Santiago</v>
      </c>
    </row>
    <row r="1220" spans="1:10" ht="14.25" customHeight="1" x14ac:dyDescent="0.25">
      <c r="A1220">
        <v>773533776</v>
      </c>
      <c r="B1220" t="s">
        <v>5582</v>
      </c>
      <c r="C1220" t="s">
        <v>4465</v>
      </c>
      <c r="D1220">
        <v>13</v>
      </c>
      <c r="E1220" t="s">
        <v>4445</v>
      </c>
      <c r="F1220" t="s">
        <v>4905</v>
      </c>
      <c r="G1220" t="s">
        <v>5568</v>
      </c>
      <c r="H1220" t="s">
        <v>4915</v>
      </c>
      <c r="I1220" s="79" t="str">
        <f>IF(CARTERA_2026[[#This Row],[RUT]]=774097899,"DIST",_xlfn.XLOOKUP(CARTERA_2026[[#This Row],[VENDEDOR]],dimensiones!$C$21:$C$28,dimensiones!$D$21:$D$28,""))</f>
        <v>ATEL</v>
      </c>
      <c r="J1220" s="125" t="str">
        <f>_xlfn.XLOOKUP(CARTERA_2026[[#This Row],[REGION]],dimensiones!C:C,dimensiones!D:D,"")</f>
        <v>Región de Metropolitana de Santiago</v>
      </c>
    </row>
    <row r="1221" spans="1:10" ht="14.25" customHeight="1" x14ac:dyDescent="0.25">
      <c r="A1221">
        <v>773540845</v>
      </c>
      <c r="B1221" t="s">
        <v>545</v>
      </c>
      <c r="C1221" t="s">
        <v>4465</v>
      </c>
      <c r="D1221">
        <v>13</v>
      </c>
      <c r="E1221" t="s">
        <v>4445</v>
      </c>
      <c r="F1221" t="s">
        <v>2954</v>
      </c>
      <c r="G1221" t="s">
        <v>5568</v>
      </c>
      <c r="H1221" t="s">
        <v>4915</v>
      </c>
      <c r="I1221" s="79" t="str">
        <f>IF(CARTERA_2026[[#This Row],[RUT]]=774097899,"DIST",_xlfn.XLOOKUP(CARTERA_2026[[#This Row],[VENDEDOR]],dimensiones!$C$21:$C$28,dimensiones!$D$21:$D$28,""))</f>
        <v>ATEL</v>
      </c>
      <c r="J1221" s="125" t="str">
        <f>_xlfn.XLOOKUP(CARTERA_2026[[#This Row],[REGION]],dimensiones!C:C,dimensiones!D:D,"")</f>
        <v>Región de Metropolitana de Santiago</v>
      </c>
    </row>
    <row r="1222" spans="1:10" ht="14.25" customHeight="1" x14ac:dyDescent="0.25">
      <c r="A1222">
        <v>773553866</v>
      </c>
      <c r="B1222" t="s">
        <v>1439</v>
      </c>
      <c r="C1222" t="s">
        <v>4185</v>
      </c>
      <c r="D1222">
        <v>12</v>
      </c>
      <c r="E1222" t="s">
        <v>4445</v>
      </c>
      <c r="F1222" t="s">
        <v>1438</v>
      </c>
      <c r="G1222" t="s">
        <v>5569</v>
      </c>
      <c r="H1222" t="s">
        <v>4915</v>
      </c>
      <c r="I1222" s="79" t="str">
        <f>IF(CARTERA_2026[[#This Row],[RUT]]=774097899,"DIST",_xlfn.XLOOKUP(CARTERA_2026[[#This Row],[VENDEDOR]],dimensiones!$C$21:$C$28,dimensiones!$D$21:$D$28,""))</f>
        <v>ATEL</v>
      </c>
      <c r="J1222" s="125" t="str">
        <f>_xlfn.XLOOKUP(CARTERA_2026[[#This Row],[REGION]],dimensiones!C:C,dimensiones!D:D,"")</f>
        <v>Región de Magallanes y de la Antártica Chilena</v>
      </c>
    </row>
    <row r="1223" spans="1:10" ht="14.25" customHeight="1" x14ac:dyDescent="0.25">
      <c r="A1223">
        <v>773608377</v>
      </c>
      <c r="B1223" t="s">
        <v>2960</v>
      </c>
      <c r="C1223" t="s">
        <v>4245</v>
      </c>
      <c r="D1223">
        <v>4</v>
      </c>
      <c r="E1223" t="s">
        <v>4445</v>
      </c>
      <c r="F1223" t="s">
        <v>2959</v>
      </c>
      <c r="G1223" t="s">
        <v>5568</v>
      </c>
      <c r="H1223" t="s">
        <v>4915</v>
      </c>
      <c r="I1223" s="79" t="str">
        <f>IF(CARTERA_2026[[#This Row],[RUT]]=774097899,"DIST",_xlfn.XLOOKUP(CARTERA_2026[[#This Row],[VENDEDOR]],dimensiones!$C$21:$C$28,dimensiones!$D$21:$D$28,""))</f>
        <v>ATEL</v>
      </c>
      <c r="J1223" s="125" t="str">
        <f>_xlfn.XLOOKUP(CARTERA_2026[[#This Row],[REGION]],dimensiones!C:C,dimensiones!D:D,"")</f>
        <v>Región de Coquimbo</v>
      </c>
    </row>
    <row r="1224" spans="1:10" ht="14.25" customHeight="1" x14ac:dyDescent="0.25">
      <c r="A1224">
        <v>773625522</v>
      </c>
      <c r="B1224" t="s">
        <v>2963</v>
      </c>
      <c r="C1224" t="s">
        <v>4168</v>
      </c>
      <c r="D1224">
        <v>13</v>
      </c>
      <c r="E1224" t="s">
        <v>4445</v>
      </c>
      <c r="F1224" t="s">
        <v>2962</v>
      </c>
      <c r="G1224" t="s">
        <v>5570</v>
      </c>
      <c r="H1224" t="s">
        <v>4915</v>
      </c>
      <c r="I1224" s="79" t="str">
        <f>IF(CARTERA_2026[[#This Row],[RUT]]=774097899,"DIST",_xlfn.XLOOKUP(CARTERA_2026[[#This Row],[VENDEDOR]],dimensiones!$C$21:$C$28,dimensiones!$D$21:$D$28,""))</f>
        <v>ATEL</v>
      </c>
      <c r="J1224" s="125" t="str">
        <f>_xlfn.XLOOKUP(CARTERA_2026[[#This Row],[REGION]],dimensiones!C:C,dimensiones!D:D,"")</f>
        <v>Región de Metropolitana de Santiago</v>
      </c>
    </row>
    <row r="1225" spans="1:10" ht="14.25" customHeight="1" x14ac:dyDescent="0.25">
      <c r="A1225" t="s">
        <v>4773</v>
      </c>
      <c r="B1225" t="s">
        <v>2966</v>
      </c>
      <c r="C1225" t="s">
        <v>4391</v>
      </c>
      <c r="D1225">
        <v>13</v>
      </c>
      <c r="E1225" t="s">
        <v>4445</v>
      </c>
      <c r="F1225" t="s">
        <v>2965</v>
      </c>
      <c r="G1225" t="s">
        <v>5568</v>
      </c>
      <c r="H1225" t="s">
        <v>4915</v>
      </c>
      <c r="I1225" s="79" t="str">
        <f>IF(CARTERA_2026[[#This Row],[RUT]]=774097899,"DIST",_xlfn.XLOOKUP(CARTERA_2026[[#This Row],[VENDEDOR]],dimensiones!$C$21:$C$28,dimensiones!$D$21:$D$28,""))</f>
        <v>ATEL</v>
      </c>
      <c r="J1225" s="125" t="str">
        <f>_xlfn.XLOOKUP(CARTERA_2026[[#This Row],[REGION]],dimensiones!C:C,dimensiones!D:D,"")</f>
        <v>Región de Metropolitana de Santiago</v>
      </c>
    </row>
    <row r="1226" spans="1:10" ht="14.25" customHeight="1" x14ac:dyDescent="0.25">
      <c r="A1226" t="s">
        <v>5551</v>
      </c>
      <c r="B1226" t="s">
        <v>5552</v>
      </c>
      <c r="C1226" t="s">
        <v>4399</v>
      </c>
      <c r="D1226">
        <v>13</v>
      </c>
      <c r="E1226" t="s">
        <v>4445</v>
      </c>
      <c r="F1226" t="s">
        <v>5553</v>
      </c>
      <c r="G1226" t="s">
        <v>5568</v>
      </c>
      <c r="H1226" t="s">
        <v>4915</v>
      </c>
      <c r="I1226" s="79" t="str">
        <f>IF(CARTERA_2026[[#This Row],[RUT]]=774097899,"DIST",_xlfn.XLOOKUP(CARTERA_2026[[#This Row],[VENDEDOR]],dimensiones!$C$21:$C$28,dimensiones!$D$21:$D$28,""))</f>
        <v>ATEL</v>
      </c>
      <c r="J1226" s="125" t="str">
        <f>_xlfn.XLOOKUP(CARTERA_2026[[#This Row],[REGION]],dimensiones!C:C,dimensiones!D:D,"")</f>
        <v>Región de Metropolitana de Santiago</v>
      </c>
    </row>
    <row r="1227" spans="1:10" ht="14.25" customHeight="1" x14ac:dyDescent="0.25">
      <c r="A1227">
        <v>773717435</v>
      </c>
      <c r="B1227" t="s">
        <v>2969</v>
      </c>
      <c r="C1227" t="s">
        <v>4391</v>
      </c>
      <c r="D1227">
        <v>13</v>
      </c>
      <c r="E1227" t="s">
        <v>4445</v>
      </c>
      <c r="F1227" t="s">
        <v>2968</v>
      </c>
      <c r="G1227" t="s">
        <v>5568</v>
      </c>
      <c r="H1227" t="s">
        <v>4915</v>
      </c>
      <c r="I1227" s="79" t="str">
        <f>IF(CARTERA_2026[[#This Row],[RUT]]=774097899,"DIST",_xlfn.XLOOKUP(CARTERA_2026[[#This Row],[VENDEDOR]],dimensiones!$C$21:$C$28,dimensiones!$D$21:$D$28,""))</f>
        <v>ATEL</v>
      </c>
      <c r="J1227" s="125" t="str">
        <f>_xlfn.XLOOKUP(CARTERA_2026[[#This Row],[REGION]],dimensiones!C:C,dimensiones!D:D,"")</f>
        <v>Región de Metropolitana de Santiago</v>
      </c>
    </row>
    <row r="1228" spans="1:10" ht="14.25" customHeight="1" x14ac:dyDescent="0.25">
      <c r="A1228">
        <v>773729751</v>
      </c>
      <c r="B1228" t="s">
        <v>986</v>
      </c>
      <c r="C1228" t="s">
        <v>4391</v>
      </c>
      <c r="D1228">
        <v>13</v>
      </c>
      <c r="E1228" t="s">
        <v>4445</v>
      </c>
      <c r="F1228" t="s">
        <v>2971</v>
      </c>
      <c r="G1228" t="s">
        <v>5568</v>
      </c>
      <c r="H1228" t="s">
        <v>4915</v>
      </c>
      <c r="I1228" s="79" t="str">
        <f>IF(CARTERA_2026[[#This Row],[RUT]]=774097899,"DIST",_xlfn.XLOOKUP(CARTERA_2026[[#This Row],[VENDEDOR]],dimensiones!$C$21:$C$28,dimensiones!$D$21:$D$28,""))</f>
        <v>ATEL</v>
      </c>
      <c r="J1228" s="125" t="str">
        <f>_xlfn.XLOOKUP(CARTERA_2026[[#This Row],[REGION]],dimensiones!C:C,dimensiones!D:D,"")</f>
        <v>Región de Metropolitana de Santiago</v>
      </c>
    </row>
    <row r="1229" spans="1:10" ht="14.25" customHeight="1" x14ac:dyDescent="0.25">
      <c r="A1229">
        <v>773828466</v>
      </c>
      <c r="B1229" t="s">
        <v>3700</v>
      </c>
      <c r="C1229" t="s">
        <v>4391</v>
      </c>
      <c r="D1229">
        <v>13</v>
      </c>
      <c r="E1229" t="s">
        <v>4445</v>
      </c>
      <c r="F1229" t="s">
        <v>3699</v>
      </c>
      <c r="G1229" t="s">
        <v>5568</v>
      </c>
      <c r="H1229" t="s">
        <v>4915</v>
      </c>
      <c r="I1229" s="79" t="str">
        <f>IF(CARTERA_2026[[#This Row],[RUT]]=774097899,"DIST",_xlfn.XLOOKUP(CARTERA_2026[[#This Row],[VENDEDOR]],dimensiones!$C$21:$C$28,dimensiones!$D$21:$D$28,""))</f>
        <v>ATEL</v>
      </c>
      <c r="J1229" s="125" t="str">
        <f>_xlfn.XLOOKUP(CARTERA_2026[[#This Row],[REGION]],dimensiones!C:C,dimensiones!D:D,"")</f>
        <v>Región de Metropolitana de Santiago</v>
      </c>
    </row>
    <row r="1230" spans="1:10" ht="14.25" customHeight="1" x14ac:dyDescent="0.25">
      <c r="A1230">
        <v>773833737</v>
      </c>
      <c r="B1230" t="s">
        <v>5748</v>
      </c>
      <c r="C1230" t="s">
        <v>4389</v>
      </c>
      <c r="D1230">
        <v>9</v>
      </c>
      <c r="E1230" t="s">
        <v>4445</v>
      </c>
      <c r="F1230" t="s">
        <v>5749</v>
      </c>
      <c r="G1230" t="s">
        <v>5570</v>
      </c>
      <c r="H1230" t="s">
        <v>4915</v>
      </c>
      <c r="I1230" s="79" t="str">
        <f>IF(CARTERA_2026[[#This Row],[RUT]]=774097899,"DIST",_xlfn.XLOOKUP(CARTERA_2026[[#This Row],[VENDEDOR]],dimensiones!$C$21:$C$28,dimensiones!$D$21:$D$28,""))</f>
        <v>ATEL</v>
      </c>
      <c r="J1230" s="125" t="str">
        <f>_xlfn.XLOOKUP(CARTERA_2026[[#This Row],[REGION]],dimensiones!C:C,dimensiones!D:D,"")</f>
        <v>Región de La Araucanía</v>
      </c>
    </row>
    <row r="1231" spans="1:10" ht="14.25" customHeight="1" x14ac:dyDescent="0.25">
      <c r="A1231">
        <v>773845166</v>
      </c>
      <c r="B1231" t="s">
        <v>546</v>
      </c>
      <c r="C1231" t="s">
        <v>4465</v>
      </c>
      <c r="D1231">
        <v>13</v>
      </c>
      <c r="E1231" t="s">
        <v>4445</v>
      </c>
      <c r="F1231" t="s">
        <v>2975</v>
      </c>
      <c r="G1231" t="s">
        <v>5570</v>
      </c>
      <c r="H1231" t="s">
        <v>4915</v>
      </c>
      <c r="I1231" s="79" t="str">
        <f>IF(CARTERA_2026[[#This Row],[RUT]]=774097899,"DIST",_xlfn.XLOOKUP(CARTERA_2026[[#This Row],[VENDEDOR]],dimensiones!$C$21:$C$28,dimensiones!$D$21:$D$28,""))</f>
        <v>ATEL</v>
      </c>
      <c r="J1231" s="125" t="str">
        <f>_xlfn.XLOOKUP(CARTERA_2026[[#This Row],[REGION]],dimensiones!C:C,dimensiones!D:D,"")</f>
        <v>Región de Metropolitana de Santiago</v>
      </c>
    </row>
    <row r="1232" spans="1:10" ht="14.25" customHeight="1" x14ac:dyDescent="0.25">
      <c r="A1232">
        <v>773851808</v>
      </c>
      <c r="B1232" t="s">
        <v>547</v>
      </c>
      <c r="C1232" t="s">
        <v>4391</v>
      </c>
      <c r="D1232">
        <v>13</v>
      </c>
      <c r="E1232" t="s">
        <v>4445</v>
      </c>
      <c r="F1232" t="s">
        <v>2977</v>
      </c>
      <c r="G1232" t="s">
        <v>5568</v>
      </c>
      <c r="H1232" t="s">
        <v>4915</v>
      </c>
      <c r="I1232" s="79" t="str">
        <f>IF(CARTERA_2026[[#This Row],[RUT]]=774097899,"DIST",_xlfn.XLOOKUP(CARTERA_2026[[#This Row],[VENDEDOR]],dimensiones!$C$21:$C$28,dimensiones!$D$21:$D$28,""))</f>
        <v>ATEL</v>
      </c>
      <c r="J1232" s="125" t="str">
        <f>_xlfn.XLOOKUP(CARTERA_2026[[#This Row],[REGION]],dimensiones!C:C,dimensiones!D:D,"")</f>
        <v>Región de Metropolitana de Santiago</v>
      </c>
    </row>
    <row r="1233" spans="1:10" ht="14.25" customHeight="1" x14ac:dyDescent="0.25">
      <c r="A1233">
        <v>773890455</v>
      </c>
      <c r="B1233" t="s">
        <v>2980</v>
      </c>
      <c r="C1233" t="s">
        <v>4460</v>
      </c>
      <c r="D1233">
        <v>8</v>
      </c>
      <c r="E1233" t="s">
        <v>4445</v>
      </c>
      <c r="F1233" t="s">
        <v>2979</v>
      </c>
      <c r="G1233" t="s">
        <v>5568</v>
      </c>
      <c r="H1233" t="s">
        <v>4915</v>
      </c>
      <c r="I1233" s="79" t="str">
        <f>IF(CARTERA_2026[[#This Row],[RUT]]=774097899,"DIST",_xlfn.XLOOKUP(CARTERA_2026[[#This Row],[VENDEDOR]],dimensiones!$C$21:$C$28,dimensiones!$D$21:$D$28,""))</f>
        <v>ATEL</v>
      </c>
      <c r="J1233" s="125" t="str">
        <f>_xlfn.XLOOKUP(CARTERA_2026[[#This Row],[REGION]],dimensiones!C:C,dimensiones!D:D,"")</f>
        <v>Región de Biobío</v>
      </c>
    </row>
    <row r="1234" spans="1:10" ht="14.25" customHeight="1" x14ac:dyDescent="0.25">
      <c r="A1234">
        <v>774020101</v>
      </c>
      <c r="B1234" t="s">
        <v>1078</v>
      </c>
      <c r="C1234" t="s">
        <v>4257</v>
      </c>
      <c r="D1234">
        <v>7</v>
      </c>
      <c r="E1234" t="s">
        <v>4445</v>
      </c>
      <c r="F1234" t="s">
        <v>2982</v>
      </c>
      <c r="G1234" t="s">
        <v>5570</v>
      </c>
      <c r="H1234" t="s">
        <v>4915</v>
      </c>
      <c r="I1234" s="79" t="str">
        <f>IF(CARTERA_2026[[#This Row],[RUT]]=774097899,"DIST",_xlfn.XLOOKUP(CARTERA_2026[[#This Row],[VENDEDOR]],dimensiones!$C$21:$C$28,dimensiones!$D$21:$D$28,""))</f>
        <v>ATEL</v>
      </c>
      <c r="J1234" s="125" t="str">
        <f>_xlfn.XLOOKUP(CARTERA_2026[[#This Row],[REGION]],dimensiones!C:C,dimensiones!D:D,"")</f>
        <v>Región de Maule</v>
      </c>
    </row>
    <row r="1235" spans="1:10" ht="14.25" customHeight="1" x14ac:dyDescent="0.25">
      <c r="A1235" t="s">
        <v>730</v>
      </c>
      <c r="B1235" t="s">
        <v>2985</v>
      </c>
      <c r="C1235" t="s">
        <v>4493</v>
      </c>
      <c r="D1235">
        <v>13</v>
      </c>
      <c r="E1235" t="s">
        <v>4445</v>
      </c>
      <c r="F1235" t="s">
        <v>2984</v>
      </c>
      <c r="G1235" t="s">
        <v>5568</v>
      </c>
      <c r="H1235" t="s">
        <v>4915</v>
      </c>
      <c r="I1235" s="79" t="str">
        <f>IF(CARTERA_2026[[#This Row],[RUT]]=774097899,"DIST",_xlfn.XLOOKUP(CARTERA_2026[[#This Row],[VENDEDOR]],dimensiones!$C$21:$C$28,dimensiones!$D$21:$D$28,""))</f>
        <v>ATEL</v>
      </c>
      <c r="J1235" s="125" t="str">
        <f>_xlfn.XLOOKUP(CARTERA_2026[[#This Row],[REGION]],dimensiones!C:C,dimensiones!D:D,"")</f>
        <v>Región de Metropolitana de Santiago</v>
      </c>
    </row>
    <row r="1236" spans="1:10" ht="14.25" customHeight="1" x14ac:dyDescent="0.25">
      <c r="A1236" t="s">
        <v>731</v>
      </c>
      <c r="B1236" t="s">
        <v>732</v>
      </c>
      <c r="C1236" t="s">
        <v>4224</v>
      </c>
      <c r="D1236">
        <v>10</v>
      </c>
      <c r="E1236" t="s">
        <v>4445</v>
      </c>
      <c r="F1236" t="s">
        <v>2987</v>
      </c>
      <c r="G1236" t="s">
        <v>5570</v>
      </c>
      <c r="H1236" t="s">
        <v>4915</v>
      </c>
      <c r="I1236" s="79" t="str">
        <f>IF(CARTERA_2026[[#This Row],[RUT]]=774097899,"DIST",_xlfn.XLOOKUP(CARTERA_2026[[#This Row],[VENDEDOR]],dimensiones!$C$21:$C$28,dimensiones!$D$21:$D$28,""))</f>
        <v>ATEL</v>
      </c>
      <c r="J1236" s="125" t="str">
        <f>_xlfn.XLOOKUP(CARTERA_2026[[#This Row],[REGION]],dimensiones!C:C,dimensiones!D:D,"")</f>
        <v>Región de Los Lagos</v>
      </c>
    </row>
    <row r="1237" spans="1:10" ht="14.25" customHeight="1" x14ac:dyDescent="0.25">
      <c r="A1237">
        <v>774103872</v>
      </c>
      <c r="B1237" t="s">
        <v>5717</v>
      </c>
      <c r="C1237" t="s">
        <v>4465</v>
      </c>
      <c r="D1237">
        <v>13</v>
      </c>
      <c r="E1237" t="s">
        <v>4445</v>
      </c>
      <c r="F1237" t="s">
        <v>5718</v>
      </c>
      <c r="G1237" t="s">
        <v>5568</v>
      </c>
      <c r="H1237" t="s">
        <v>4915</v>
      </c>
      <c r="I1237" s="79" t="str">
        <f>IF(CARTERA_2026[[#This Row],[RUT]]=774097899,"DIST",_xlfn.XLOOKUP(CARTERA_2026[[#This Row],[VENDEDOR]],dimensiones!$C$21:$C$28,dimensiones!$D$21:$D$28,""))</f>
        <v>ATEL</v>
      </c>
      <c r="J1237" s="125" t="str">
        <f>_xlfn.XLOOKUP(CARTERA_2026[[#This Row],[REGION]],dimensiones!C:C,dimensiones!D:D,"")</f>
        <v>Región de Metropolitana de Santiago</v>
      </c>
    </row>
    <row r="1238" spans="1:10" ht="14.25" customHeight="1" x14ac:dyDescent="0.25">
      <c r="A1238">
        <v>774104089</v>
      </c>
      <c r="B1238" t="s">
        <v>3751</v>
      </c>
      <c r="C1238" t="s">
        <v>4551</v>
      </c>
      <c r="D1238">
        <v>13</v>
      </c>
      <c r="E1238" t="s">
        <v>4445</v>
      </c>
      <c r="F1238" t="s">
        <v>3750</v>
      </c>
      <c r="G1238" t="s">
        <v>5570</v>
      </c>
      <c r="H1238" t="s">
        <v>4915</v>
      </c>
      <c r="I1238" s="79" t="str">
        <f>IF(CARTERA_2026[[#This Row],[RUT]]=774097899,"DIST",_xlfn.XLOOKUP(CARTERA_2026[[#This Row],[VENDEDOR]],dimensiones!$C$21:$C$28,dimensiones!$D$21:$D$28,""))</f>
        <v>ATEL</v>
      </c>
      <c r="J1238" s="125" t="str">
        <f>_xlfn.XLOOKUP(CARTERA_2026[[#This Row],[REGION]],dimensiones!C:C,dimensiones!D:D,"")</f>
        <v>Región de Metropolitana de Santiago</v>
      </c>
    </row>
    <row r="1239" spans="1:10" ht="14.25" customHeight="1" x14ac:dyDescent="0.25">
      <c r="A1239">
        <v>774104216</v>
      </c>
      <c r="B1239" t="s">
        <v>549</v>
      </c>
      <c r="C1239" t="s">
        <v>4448</v>
      </c>
      <c r="D1239">
        <v>13</v>
      </c>
      <c r="E1239" t="s">
        <v>4445</v>
      </c>
      <c r="F1239" t="s">
        <v>2992</v>
      </c>
      <c r="G1239" t="s">
        <v>5570</v>
      </c>
      <c r="H1239" t="s">
        <v>4915</v>
      </c>
      <c r="I1239" s="79" t="str">
        <f>IF(CARTERA_2026[[#This Row],[RUT]]=774097899,"DIST",_xlfn.XLOOKUP(CARTERA_2026[[#This Row],[VENDEDOR]],dimensiones!$C$21:$C$28,dimensiones!$D$21:$D$28,""))</f>
        <v>ATEL</v>
      </c>
      <c r="J1239" s="125" t="str">
        <f>_xlfn.XLOOKUP(CARTERA_2026[[#This Row],[REGION]],dimensiones!C:C,dimensiones!D:D,"")</f>
        <v>Región de Metropolitana de Santiago</v>
      </c>
    </row>
    <row r="1240" spans="1:10" ht="14.25" customHeight="1" x14ac:dyDescent="0.25">
      <c r="A1240">
        <v>774175083</v>
      </c>
      <c r="B1240" t="s">
        <v>857</v>
      </c>
      <c r="C1240" t="s">
        <v>4171</v>
      </c>
      <c r="D1240">
        <v>4</v>
      </c>
      <c r="E1240" t="s">
        <v>4445</v>
      </c>
      <c r="F1240" t="s">
        <v>2007</v>
      </c>
      <c r="G1240" t="s">
        <v>5570</v>
      </c>
      <c r="H1240" t="s">
        <v>4915</v>
      </c>
      <c r="I1240" s="79" t="str">
        <f>IF(CARTERA_2026[[#This Row],[RUT]]=774097899,"DIST",_xlfn.XLOOKUP(CARTERA_2026[[#This Row],[VENDEDOR]],dimensiones!$C$21:$C$28,dimensiones!$D$21:$D$28,""))</f>
        <v>ATEL</v>
      </c>
      <c r="J1240" s="125" t="str">
        <f>_xlfn.XLOOKUP(CARTERA_2026[[#This Row],[REGION]],dimensiones!C:C,dimensiones!D:D,"")</f>
        <v>Región de Coquimbo</v>
      </c>
    </row>
    <row r="1241" spans="1:10" ht="14.25" customHeight="1" x14ac:dyDescent="0.25">
      <c r="A1241">
        <v>774193332</v>
      </c>
      <c r="B1241" t="s">
        <v>1001</v>
      </c>
      <c r="C1241" t="s">
        <v>4185</v>
      </c>
      <c r="D1241">
        <v>12</v>
      </c>
      <c r="E1241" t="s">
        <v>4445</v>
      </c>
      <c r="F1241" t="s">
        <v>2094</v>
      </c>
      <c r="G1241" t="s">
        <v>5568</v>
      </c>
      <c r="H1241" t="s">
        <v>4915</v>
      </c>
      <c r="I1241" s="79" t="str">
        <f>IF(CARTERA_2026[[#This Row],[RUT]]=774097899,"DIST",_xlfn.XLOOKUP(CARTERA_2026[[#This Row],[VENDEDOR]],dimensiones!$C$21:$C$28,dimensiones!$D$21:$D$28,""))</f>
        <v>ATEL</v>
      </c>
      <c r="J1241" s="125" t="str">
        <f>_xlfn.XLOOKUP(CARTERA_2026[[#This Row],[REGION]],dimensiones!C:C,dimensiones!D:D,"")</f>
        <v>Región de Magallanes y de la Antártica Chilena</v>
      </c>
    </row>
    <row r="1242" spans="1:10" ht="14.25" customHeight="1" x14ac:dyDescent="0.25">
      <c r="A1242">
        <v>774277315</v>
      </c>
      <c r="B1242" t="s">
        <v>5447</v>
      </c>
      <c r="C1242" t="s">
        <v>4563</v>
      </c>
      <c r="D1242">
        <v>5</v>
      </c>
      <c r="E1242" t="s">
        <v>4445</v>
      </c>
      <c r="F1242" t="s">
        <v>5448</v>
      </c>
      <c r="G1242" t="s">
        <v>5570</v>
      </c>
      <c r="H1242" t="s">
        <v>4915</v>
      </c>
      <c r="I1242" s="79" t="str">
        <f>IF(CARTERA_2026[[#This Row],[RUT]]=774097899,"DIST",_xlfn.XLOOKUP(CARTERA_2026[[#This Row],[VENDEDOR]],dimensiones!$C$21:$C$28,dimensiones!$D$21:$D$28,""))</f>
        <v>ATEL</v>
      </c>
      <c r="J1242" s="125" t="str">
        <f>_xlfn.XLOOKUP(CARTERA_2026[[#This Row],[REGION]],dimensiones!C:C,dimensiones!D:D,"")</f>
        <v>Región de Valparaíso</v>
      </c>
    </row>
    <row r="1243" spans="1:10" ht="14.25" customHeight="1" x14ac:dyDescent="0.25">
      <c r="A1243">
        <v>774284893</v>
      </c>
      <c r="B1243" t="s">
        <v>4429</v>
      </c>
      <c r="C1243" t="s">
        <v>4460</v>
      </c>
      <c r="D1243">
        <v>8</v>
      </c>
      <c r="E1243" t="s">
        <v>4445</v>
      </c>
      <c r="F1243" t="s">
        <v>4586</v>
      </c>
      <c r="G1243" t="s">
        <v>5568</v>
      </c>
      <c r="H1243" t="s">
        <v>4915</v>
      </c>
      <c r="I1243" s="79" t="str">
        <f>IF(CARTERA_2026[[#This Row],[RUT]]=774097899,"DIST",_xlfn.XLOOKUP(CARTERA_2026[[#This Row],[VENDEDOR]],dimensiones!$C$21:$C$28,dimensiones!$D$21:$D$28,""))</f>
        <v>ATEL</v>
      </c>
      <c r="J1243" s="125" t="str">
        <f>_xlfn.XLOOKUP(CARTERA_2026[[#This Row],[REGION]],dimensiones!C:C,dimensiones!D:D,"")</f>
        <v>Región de Biobío</v>
      </c>
    </row>
    <row r="1244" spans="1:10" ht="14.25" customHeight="1" x14ac:dyDescent="0.25">
      <c r="A1244">
        <v>774317910</v>
      </c>
      <c r="B1244" t="s">
        <v>3000</v>
      </c>
      <c r="C1244" t="s">
        <v>4183</v>
      </c>
      <c r="D1244">
        <v>8</v>
      </c>
      <c r="E1244" t="s">
        <v>4445</v>
      </c>
      <c r="F1244" t="s">
        <v>2999</v>
      </c>
      <c r="G1244" t="s">
        <v>5569</v>
      </c>
      <c r="H1244" t="s">
        <v>4915</v>
      </c>
      <c r="I1244" s="79" t="str">
        <f>IF(CARTERA_2026[[#This Row],[RUT]]=774097899,"DIST",_xlfn.XLOOKUP(CARTERA_2026[[#This Row],[VENDEDOR]],dimensiones!$C$21:$C$28,dimensiones!$D$21:$D$28,""))</f>
        <v>ATEL</v>
      </c>
      <c r="J1244" s="125" t="str">
        <f>_xlfn.XLOOKUP(CARTERA_2026[[#This Row],[REGION]],dimensiones!C:C,dimensiones!D:D,"")</f>
        <v>Región de Biobío</v>
      </c>
    </row>
    <row r="1245" spans="1:10" ht="14.25" customHeight="1" x14ac:dyDescent="0.25">
      <c r="A1245">
        <v>774328483</v>
      </c>
      <c r="B1245" t="s">
        <v>858</v>
      </c>
      <c r="C1245" t="s">
        <v>4313</v>
      </c>
      <c r="D1245">
        <v>5</v>
      </c>
      <c r="E1245" t="s">
        <v>4445</v>
      </c>
      <c r="F1245" t="s">
        <v>2390</v>
      </c>
      <c r="G1245" t="s">
        <v>5570</v>
      </c>
      <c r="H1245" t="s">
        <v>4915</v>
      </c>
      <c r="I1245" s="79" t="str">
        <f>IF(CARTERA_2026[[#This Row],[RUT]]=774097899,"DIST",_xlfn.XLOOKUP(CARTERA_2026[[#This Row],[VENDEDOR]],dimensiones!$C$21:$C$28,dimensiones!$D$21:$D$28,""))</f>
        <v>ATEL</v>
      </c>
      <c r="J1245" s="125" t="str">
        <f>_xlfn.XLOOKUP(CARTERA_2026[[#This Row],[REGION]],dimensiones!C:C,dimensiones!D:D,"")</f>
        <v>Región de Valparaíso</v>
      </c>
    </row>
    <row r="1246" spans="1:10" ht="14.25" customHeight="1" x14ac:dyDescent="0.25">
      <c r="A1246" t="s">
        <v>946</v>
      </c>
      <c r="B1246" t="s">
        <v>947</v>
      </c>
      <c r="C1246" t="s">
        <v>4287</v>
      </c>
      <c r="D1246">
        <v>13</v>
      </c>
      <c r="E1246" t="s">
        <v>4445</v>
      </c>
      <c r="F1246" t="s">
        <v>1740</v>
      </c>
      <c r="G1246" t="s">
        <v>5568</v>
      </c>
      <c r="H1246" t="s">
        <v>4915</v>
      </c>
      <c r="I1246" s="79" t="str">
        <f>IF(CARTERA_2026[[#This Row],[RUT]]=774097899,"DIST",_xlfn.XLOOKUP(CARTERA_2026[[#This Row],[VENDEDOR]],dimensiones!$C$21:$C$28,dimensiones!$D$21:$D$28,""))</f>
        <v>ATEL</v>
      </c>
      <c r="J1246" s="125" t="str">
        <f>_xlfn.XLOOKUP(CARTERA_2026[[#This Row],[REGION]],dimensiones!C:C,dimensiones!D:D,"")</f>
        <v>Región de Metropolitana de Santiago</v>
      </c>
    </row>
    <row r="1247" spans="1:10" ht="14.25" customHeight="1" x14ac:dyDescent="0.25">
      <c r="A1247">
        <v>774393307</v>
      </c>
      <c r="B1247" t="s">
        <v>990</v>
      </c>
      <c r="C1247" t="s">
        <v>4460</v>
      </c>
      <c r="D1247">
        <v>8</v>
      </c>
      <c r="E1247" t="s">
        <v>4445</v>
      </c>
      <c r="F1247" t="s">
        <v>3006</v>
      </c>
      <c r="G1247" t="s">
        <v>5568</v>
      </c>
      <c r="H1247" t="s">
        <v>4915</v>
      </c>
      <c r="I1247" s="79" t="str">
        <f>IF(CARTERA_2026[[#This Row],[RUT]]=774097899,"DIST",_xlfn.XLOOKUP(CARTERA_2026[[#This Row],[VENDEDOR]],dimensiones!$C$21:$C$28,dimensiones!$D$21:$D$28,""))</f>
        <v>ATEL</v>
      </c>
      <c r="J1247" s="125" t="str">
        <f>_xlfn.XLOOKUP(CARTERA_2026[[#This Row],[REGION]],dimensiones!C:C,dimensiones!D:D,"")</f>
        <v>Región de Biobío</v>
      </c>
    </row>
    <row r="1248" spans="1:10" ht="14.25" customHeight="1" x14ac:dyDescent="0.25">
      <c r="A1248">
        <v>774396861</v>
      </c>
      <c r="B1248" t="s">
        <v>3009</v>
      </c>
      <c r="C1248" t="s">
        <v>4168</v>
      </c>
      <c r="D1248">
        <v>13</v>
      </c>
      <c r="E1248" t="s">
        <v>4445</v>
      </c>
      <c r="F1248" t="s">
        <v>3008</v>
      </c>
      <c r="G1248" t="s">
        <v>5569</v>
      </c>
      <c r="H1248" t="s">
        <v>4915</v>
      </c>
      <c r="I1248" s="79" t="str">
        <f>IF(CARTERA_2026[[#This Row],[RUT]]=774097899,"DIST",_xlfn.XLOOKUP(CARTERA_2026[[#This Row],[VENDEDOR]],dimensiones!$C$21:$C$28,dimensiones!$D$21:$D$28,""))</f>
        <v>ATEL</v>
      </c>
      <c r="J1248" s="125" t="str">
        <f>_xlfn.XLOOKUP(CARTERA_2026[[#This Row],[REGION]],dimensiones!C:C,dimensiones!D:D,"")</f>
        <v>Región de Metropolitana de Santiago</v>
      </c>
    </row>
    <row r="1249" spans="1:10" ht="14.25" customHeight="1" x14ac:dyDescent="0.25">
      <c r="A1249">
        <v>774432280</v>
      </c>
      <c r="B1249" t="s">
        <v>1013</v>
      </c>
      <c r="C1249" t="s">
        <v>4280</v>
      </c>
      <c r="D1249">
        <v>14</v>
      </c>
      <c r="E1249" t="s">
        <v>4445</v>
      </c>
      <c r="F1249" t="s">
        <v>3317</v>
      </c>
      <c r="G1249" t="s">
        <v>5570</v>
      </c>
      <c r="H1249" t="s">
        <v>4915</v>
      </c>
      <c r="I1249" s="79" t="str">
        <f>IF(CARTERA_2026[[#This Row],[RUT]]=774097899,"DIST",_xlfn.XLOOKUP(CARTERA_2026[[#This Row],[VENDEDOR]],dimensiones!$C$21:$C$28,dimensiones!$D$21:$D$28,""))</f>
        <v>ATEL</v>
      </c>
      <c r="J1249" s="125" t="str">
        <f>_xlfn.XLOOKUP(CARTERA_2026[[#This Row],[REGION]],dimensiones!C:C,dimensiones!D:D,"")</f>
        <v>Región de Los Ríos</v>
      </c>
    </row>
    <row r="1250" spans="1:10" ht="14.25" customHeight="1" x14ac:dyDescent="0.25">
      <c r="A1250">
        <v>774448799</v>
      </c>
      <c r="B1250" t="s">
        <v>551</v>
      </c>
      <c r="C1250" t="s">
        <v>4458</v>
      </c>
      <c r="D1250">
        <v>13</v>
      </c>
      <c r="E1250" t="s">
        <v>4445</v>
      </c>
      <c r="F1250" t="s">
        <v>3014</v>
      </c>
      <c r="G1250" t="s">
        <v>5568</v>
      </c>
      <c r="H1250" t="s">
        <v>4915</v>
      </c>
      <c r="I1250" s="79" t="str">
        <f>IF(CARTERA_2026[[#This Row],[RUT]]=774097899,"DIST",_xlfn.XLOOKUP(CARTERA_2026[[#This Row],[VENDEDOR]],dimensiones!$C$21:$C$28,dimensiones!$D$21:$D$28,""))</f>
        <v>ATEL</v>
      </c>
      <c r="J1250" s="125" t="str">
        <f>_xlfn.XLOOKUP(CARTERA_2026[[#This Row],[REGION]],dimensiones!C:C,dimensiones!D:D,"")</f>
        <v>Región de Metropolitana de Santiago</v>
      </c>
    </row>
    <row r="1251" spans="1:10" ht="14.25" customHeight="1" x14ac:dyDescent="0.25">
      <c r="A1251">
        <v>774535047</v>
      </c>
      <c r="B1251" t="s">
        <v>5723</v>
      </c>
      <c r="C1251" t="s">
        <v>4391</v>
      </c>
      <c r="D1251">
        <v>13</v>
      </c>
      <c r="E1251" t="s">
        <v>4445</v>
      </c>
      <c r="F1251" t="s">
        <v>5724</v>
      </c>
      <c r="G1251" t="s">
        <v>5570</v>
      </c>
      <c r="H1251" t="s">
        <v>4915</v>
      </c>
      <c r="I1251" s="79" t="str">
        <f>IF(CARTERA_2026[[#This Row],[RUT]]=774097899,"DIST",_xlfn.XLOOKUP(CARTERA_2026[[#This Row],[VENDEDOR]],dimensiones!$C$21:$C$28,dimensiones!$D$21:$D$28,""))</f>
        <v>ATEL</v>
      </c>
      <c r="J1251" s="125" t="str">
        <f>_xlfn.XLOOKUP(CARTERA_2026[[#This Row],[REGION]],dimensiones!C:C,dimensiones!D:D,"")</f>
        <v>Región de Metropolitana de Santiago</v>
      </c>
    </row>
    <row r="1252" spans="1:10" ht="14.25" customHeight="1" x14ac:dyDescent="0.25">
      <c r="A1252">
        <v>774652477</v>
      </c>
      <c r="B1252" t="s">
        <v>5759</v>
      </c>
      <c r="C1252" t="s">
        <v>4465</v>
      </c>
      <c r="D1252"/>
      <c r="E1252" t="s">
        <v>4445</v>
      </c>
      <c r="F1252" t="s">
        <v>5760</v>
      </c>
      <c r="G1252" t="s">
        <v>5570</v>
      </c>
      <c r="H1252" t="s">
        <v>4915</v>
      </c>
      <c r="I1252" s="79" t="str">
        <f>IF(CARTERA_2026[[#This Row],[RUT]]=774097899,"DIST",_xlfn.XLOOKUP(CARTERA_2026[[#This Row],[VENDEDOR]],dimensiones!$C$21:$C$28,dimensiones!$D$21:$D$28,""))</f>
        <v>ATEL</v>
      </c>
      <c r="J1252" s="125">
        <f>_xlfn.XLOOKUP(CARTERA_2026[[#This Row],[REGION]],dimensiones!C:C,dimensiones!D:D,"")</f>
        <v>0</v>
      </c>
    </row>
    <row r="1253" spans="1:10" ht="14.25" customHeight="1" x14ac:dyDescent="0.25">
      <c r="A1253">
        <v>774696415</v>
      </c>
      <c r="B1253" t="s">
        <v>5609</v>
      </c>
      <c r="C1253" t="s">
        <v>4411</v>
      </c>
      <c r="D1253">
        <v>13</v>
      </c>
      <c r="E1253" t="s">
        <v>4445</v>
      </c>
      <c r="F1253" t="s">
        <v>5610</v>
      </c>
      <c r="G1253" t="s">
        <v>5568</v>
      </c>
      <c r="H1253" t="s">
        <v>4915</v>
      </c>
      <c r="I1253" s="79" t="str">
        <f>IF(CARTERA_2026[[#This Row],[RUT]]=774097899,"DIST",_xlfn.XLOOKUP(CARTERA_2026[[#This Row],[VENDEDOR]],dimensiones!$C$21:$C$28,dimensiones!$D$21:$D$28,""))</f>
        <v>ATEL</v>
      </c>
      <c r="J1253" s="125" t="str">
        <f>_xlfn.XLOOKUP(CARTERA_2026[[#This Row],[REGION]],dimensiones!C:C,dimensiones!D:D,"")</f>
        <v>Región de Metropolitana de Santiago</v>
      </c>
    </row>
    <row r="1254" spans="1:10" ht="14.25" customHeight="1" x14ac:dyDescent="0.25">
      <c r="A1254" t="s">
        <v>4774</v>
      </c>
      <c r="B1254" t="s">
        <v>4588</v>
      </c>
      <c r="C1254" t="s">
        <v>4561</v>
      </c>
      <c r="D1254">
        <v>13</v>
      </c>
      <c r="E1254" t="s">
        <v>4445</v>
      </c>
      <c r="F1254" t="s">
        <v>4587</v>
      </c>
      <c r="G1254" t="s">
        <v>5568</v>
      </c>
      <c r="H1254" t="s">
        <v>4915</v>
      </c>
      <c r="I1254" s="79" t="str">
        <f>IF(CARTERA_2026[[#This Row],[RUT]]=774097899,"DIST",_xlfn.XLOOKUP(CARTERA_2026[[#This Row],[VENDEDOR]],dimensiones!$C$21:$C$28,dimensiones!$D$21:$D$28,""))</f>
        <v>ATEL</v>
      </c>
      <c r="J1254" s="125" t="str">
        <f>_xlfn.XLOOKUP(CARTERA_2026[[#This Row],[REGION]],dimensiones!C:C,dimensiones!D:D,"")</f>
        <v>Región de Metropolitana de Santiago</v>
      </c>
    </row>
    <row r="1255" spans="1:10" ht="14.25" customHeight="1" x14ac:dyDescent="0.25">
      <c r="A1255">
        <v>774831975</v>
      </c>
      <c r="B1255" t="s">
        <v>552</v>
      </c>
      <c r="C1255" t="s">
        <v>4465</v>
      </c>
      <c r="D1255">
        <v>13</v>
      </c>
      <c r="E1255" t="s">
        <v>4445</v>
      </c>
      <c r="F1255" t="s">
        <v>3016</v>
      </c>
      <c r="G1255" t="s">
        <v>5570</v>
      </c>
      <c r="H1255" t="s">
        <v>4915</v>
      </c>
      <c r="I1255" s="79" t="str">
        <f>IF(CARTERA_2026[[#This Row],[RUT]]=774097899,"DIST",_xlfn.XLOOKUP(CARTERA_2026[[#This Row],[VENDEDOR]],dimensiones!$C$21:$C$28,dimensiones!$D$21:$D$28,""))</f>
        <v>ATEL</v>
      </c>
      <c r="J1255" s="125" t="str">
        <f>_xlfn.XLOOKUP(CARTERA_2026[[#This Row],[REGION]],dimensiones!C:C,dimensiones!D:D,"")</f>
        <v>Región de Metropolitana de Santiago</v>
      </c>
    </row>
    <row r="1256" spans="1:10" ht="14.25" customHeight="1" x14ac:dyDescent="0.25">
      <c r="A1256">
        <v>774884955</v>
      </c>
      <c r="B1256" t="s">
        <v>5625</v>
      </c>
      <c r="C1256" t="s">
        <v>4391</v>
      </c>
      <c r="D1256">
        <v>13</v>
      </c>
      <c r="E1256" t="s">
        <v>4445</v>
      </c>
      <c r="F1256" t="s">
        <v>5626</v>
      </c>
      <c r="G1256" t="s">
        <v>5568</v>
      </c>
      <c r="H1256" t="s">
        <v>4915</v>
      </c>
      <c r="I1256" s="79" t="str">
        <f>IF(CARTERA_2026[[#This Row],[RUT]]=774097899,"DIST",_xlfn.XLOOKUP(CARTERA_2026[[#This Row],[VENDEDOR]],dimensiones!$C$21:$C$28,dimensiones!$D$21:$D$28,""))</f>
        <v>ATEL</v>
      </c>
      <c r="J1256" s="125" t="str">
        <f>_xlfn.XLOOKUP(CARTERA_2026[[#This Row],[REGION]],dimensiones!C:C,dimensiones!D:D,"")</f>
        <v>Región de Metropolitana de Santiago</v>
      </c>
    </row>
    <row r="1257" spans="1:10" ht="14.25" customHeight="1" x14ac:dyDescent="0.25">
      <c r="A1257">
        <v>774889191</v>
      </c>
      <c r="B1257" t="s">
        <v>859</v>
      </c>
      <c r="C1257" t="s">
        <v>4168</v>
      </c>
      <c r="D1257">
        <v>13</v>
      </c>
      <c r="E1257" t="s">
        <v>4445</v>
      </c>
      <c r="F1257" t="s">
        <v>3018</v>
      </c>
      <c r="G1257" t="s">
        <v>5570</v>
      </c>
      <c r="H1257" t="s">
        <v>4915</v>
      </c>
      <c r="I1257" s="79" t="str">
        <f>IF(CARTERA_2026[[#This Row],[RUT]]=774097899,"DIST",_xlfn.XLOOKUP(CARTERA_2026[[#This Row],[VENDEDOR]],dimensiones!$C$21:$C$28,dimensiones!$D$21:$D$28,""))</f>
        <v>ATEL</v>
      </c>
      <c r="J1257" s="125" t="str">
        <f>_xlfn.XLOOKUP(CARTERA_2026[[#This Row],[REGION]],dimensiones!C:C,dimensiones!D:D,"")</f>
        <v>Región de Metropolitana de Santiago</v>
      </c>
    </row>
    <row r="1258" spans="1:10" ht="14.25" customHeight="1" x14ac:dyDescent="0.25">
      <c r="A1258" t="s">
        <v>4762</v>
      </c>
      <c r="B1258" t="s">
        <v>3021</v>
      </c>
      <c r="C1258" t="s">
        <v>4168</v>
      </c>
      <c r="D1258">
        <v>13</v>
      </c>
      <c r="E1258" t="s">
        <v>4445</v>
      </c>
      <c r="F1258" t="s">
        <v>3020</v>
      </c>
      <c r="G1258" t="s">
        <v>5570</v>
      </c>
      <c r="H1258" t="s">
        <v>4915</v>
      </c>
      <c r="I1258" s="79" t="str">
        <f>IF(CARTERA_2026[[#This Row],[RUT]]=774097899,"DIST",_xlfn.XLOOKUP(CARTERA_2026[[#This Row],[VENDEDOR]],dimensiones!$C$21:$C$28,dimensiones!$D$21:$D$28,""))</f>
        <v>ATEL</v>
      </c>
      <c r="J1258" s="125" t="str">
        <f>_xlfn.XLOOKUP(CARTERA_2026[[#This Row],[REGION]],dimensiones!C:C,dimensiones!D:D,"")</f>
        <v>Región de Metropolitana de Santiago</v>
      </c>
    </row>
    <row r="1259" spans="1:10" ht="14.25" customHeight="1" x14ac:dyDescent="0.25">
      <c r="A1259">
        <v>774904492</v>
      </c>
      <c r="B1259" t="s">
        <v>2693</v>
      </c>
      <c r="C1259" t="s">
        <v>4391</v>
      </c>
      <c r="D1259">
        <v>13</v>
      </c>
      <c r="E1259" t="s">
        <v>4445</v>
      </c>
      <c r="F1259" t="s">
        <v>2692</v>
      </c>
      <c r="G1259" t="s">
        <v>5568</v>
      </c>
      <c r="H1259" t="s">
        <v>4915</v>
      </c>
      <c r="I1259" s="79" t="str">
        <f>IF(CARTERA_2026[[#This Row],[RUT]]=774097899,"DIST",_xlfn.XLOOKUP(CARTERA_2026[[#This Row],[VENDEDOR]],dimensiones!$C$21:$C$28,dimensiones!$D$21:$D$28,""))</f>
        <v>ATEL</v>
      </c>
      <c r="J1259" s="125" t="str">
        <f>_xlfn.XLOOKUP(CARTERA_2026[[#This Row],[REGION]],dimensiones!C:C,dimensiones!D:D,"")</f>
        <v>Región de Metropolitana de Santiago</v>
      </c>
    </row>
    <row r="1260" spans="1:10" ht="14.25" customHeight="1" x14ac:dyDescent="0.25">
      <c r="A1260">
        <v>775003081</v>
      </c>
      <c r="B1260" t="s">
        <v>5647</v>
      </c>
      <c r="C1260" t="s">
        <v>4292</v>
      </c>
      <c r="D1260">
        <v>10</v>
      </c>
      <c r="E1260" t="s">
        <v>4445</v>
      </c>
      <c r="F1260" t="s">
        <v>5648</v>
      </c>
      <c r="G1260" t="s">
        <v>5568</v>
      </c>
      <c r="H1260" t="s">
        <v>4915</v>
      </c>
      <c r="I1260" s="79" t="str">
        <f>IF(CARTERA_2026[[#This Row],[RUT]]=774097899,"DIST",_xlfn.XLOOKUP(CARTERA_2026[[#This Row],[VENDEDOR]],dimensiones!$C$21:$C$28,dimensiones!$D$21:$D$28,""))</f>
        <v>ATEL</v>
      </c>
      <c r="J1260" s="125" t="str">
        <f>_xlfn.XLOOKUP(CARTERA_2026[[#This Row],[REGION]],dimensiones!C:C,dimensiones!D:D,"")</f>
        <v>Región de Los Lagos</v>
      </c>
    </row>
    <row r="1261" spans="1:10" ht="14.25" customHeight="1" x14ac:dyDescent="0.25">
      <c r="A1261">
        <v>775013796</v>
      </c>
      <c r="B1261" t="s">
        <v>553</v>
      </c>
      <c r="C1261" t="s">
        <v>4250</v>
      </c>
      <c r="D1261">
        <v>5</v>
      </c>
      <c r="E1261" t="s">
        <v>4445</v>
      </c>
      <c r="F1261" t="s">
        <v>3023</v>
      </c>
      <c r="G1261" t="s">
        <v>5570</v>
      </c>
      <c r="H1261" t="s">
        <v>4915</v>
      </c>
      <c r="I1261" s="79" t="str">
        <f>IF(CARTERA_2026[[#This Row],[RUT]]=774097899,"DIST",_xlfn.XLOOKUP(CARTERA_2026[[#This Row],[VENDEDOR]],dimensiones!$C$21:$C$28,dimensiones!$D$21:$D$28,""))</f>
        <v>ATEL</v>
      </c>
      <c r="J1261" s="125" t="str">
        <f>_xlfn.XLOOKUP(CARTERA_2026[[#This Row],[REGION]],dimensiones!C:C,dimensiones!D:D,"")</f>
        <v>Región de Valparaíso</v>
      </c>
    </row>
    <row r="1262" spans="1:10" ht="14.25" customHeight="1" x14ac:dyDescent="0.25">
      <c r="A1262">
        <v>775046813</v>
      </c>
      <c r="B1262" t="s">
        <v>554</v>
      </c>
      <c r="C1262" t="s">
        <v>4168</v>
      </c>
      <c r="D1262">
        <v>13</v>
      </c>
      <c r="E1262" t="s">
        <v>4445</v>
      </c>
      <c r="F1262" t="s">
        <v>3025</v>
      </c>
      <c r="G1262" t="s">
        <v>5568</v>
      </c>
      <c r="H1262" t="s">
        <v>4915</v>
      </c>
      <c r="I1262" s="79" t="str">
        <f>IF(CARTERA_2026[[#This Row],[RUT]]=774097899,"DIST",_xlfn.XLOOKUP(CARTERA_2026[[#This Row],[VENDEDOR]],dimensiones!$C$21:$C$28,dimensiones!$D$21:$D$28,""))</f>
        <v>ATEL</v>
      </c>
      <c r="J1262" s="125" t="str">
        <f>_xlfn.XLOOKUP(CARTERA_2026[[#This Row],[REGION]],dimensiones!C:C,dimensiones!D:D,"")</f>
        <v>Región de Metropolitana de Santiago</v>
      </c>
    </row>
    <row r="1263" spans="1:10" ht="14.25" customHeight="1" x14ac:dyDescent="0.25">
      <c r="A1263">
        <v>775139897</v>
      </c>
      <c r="B1263" t="s">
        <v>3689</v>
      </c>
      <c r="C1263" t="s">
        <v>4175</v>
      </c>
      <c r="D1263">
        <v>5</v>
      </c>
      <c r="E1263" t="s">
        <v>4445</v>
      </c>
      <c r="F1263" t="s">
        <v>3688</v>
      </c>
      <c r="G1263" t="s">
        <v>5570</v>
      </c>
      <c r="H1263" t="s">
        <v>4915</v>
      </c>
      <c r="I1263" s="79" t="str">
        <f>IF(CARTERA_2026[[#This Row],[RUT]]=774097899,"DIST",_xlfn.XLOOKUP(CARTERA_2026[[#This Row],[VENDEDOR]],dimensiones!$C$21:$C$28,dimensiones!$D$21:$D$28,""))</f>
        <v>ATEL</v>
      </c>
      <c r="J1263" s="125" t="str">
        <f>_xlfn.XLOOKUP(CARTERA_2026[[#This Row],[REGION]],dimensiones!C:C,dimensiones!D:D,"")</f>
        <v>Región de Valparaíso</v>
      </c>
    </row>
    <row r="1264" spans="1:10" ht="14.25" customHeight="1" x14ac:dyDescent="0.25">
      <c r="A1264" t="s">
        <v>733</v>
      </c>
      <c r="B1264" t="s">
        <v>734</v>
      </c>
      <c r="C1264" t="s">
        <v>4168</v>
      </c>
      <c r="D1264">
        <v>13</v>
      </c>
      <c r="E1264" t="s">
        <v>4445</v>
      </c>
      <c r="F1264" t="s">
        <v>3030</v>
      </c>
      <c r="G1264" t="s">
        <v>5570</v>
      </c>
      <c r="H1264" t="s">
        <v>4915</v>
      </c>
      <c r="I1264" s="79" t="str">
        <f>IF(CARTERA_2026[[#This Row],[RUT]]=774097899,"DIST",_xlfn.XLOOKUP(CARTERA_2026[[#This Row],[VENDEDOR]],dimensiones!$C$21:$C$28,dimensiones!$D$21:$D$28,""))</f>
        <v>ATEL</v>
      </c>
      <c r="J1264" s="125" t="str">
        <f>_xlfn.XLOOKUP(CARTERA_2026[[#This Row],[REGION]],dimensiones!C:C,dimensiones!D:D,"")</f>
        <v>Región de Metropolitana de Santiago</v>
      </c>
    </row>
    <row r="1265" spans="1:10" ht="14.25" customHeight="1" x14ac:dyDescent="0.25">
      <c r="A1265">
        <v>775190604</v>
      </c>
      <c r="B1265" t="s">
        <v>555</v>
      </c>
      <c r="C1265" t="s">
        <v>4465</v>
      </c>
      <c r="D1265">
        <v>13</v>
      </c>
      <c r="E1265" t="s">
        <v>4445</v>
      </c>
      <c r="F1265" t="s">
        <v>3979</v>
      </c>
      <c r="G1265" t="s">
        <v>5570</v>
      </c>
      <c r="H1265" t="s">
        <v>4915</v>
      </c>
      <c r="I1265" s="79" t="str">
        <f>IF(CARTERA_2026[[#This Row],[RUT]]=774097899,"DIST",_xlfn.XLOOKUP(CARTERA_2026[[#This Row],[VENDEDOR]],dimensiones!$C$21:$C$28,dimensiones!$D$21:$D$28,""))</f>
        <v>ATEL</v>
      </c>
      <c r="J1265" s="125" t="str">
        <f>_xlfn.XLOOKUP(CARTERA_2026[[#This Row],[REGION]],dimensiones!C:C,dimensiones!D:D,"")</f>
        <v>Región de Metropolitana de Santiago</v>
      </c>
    </row>
    <row r="1266" spans="1:10" ht="14.25" customHeight="1" x14ac:dyDescent="0.25">
      <c r="A1266">
        <v>775202769</v>
      </c>
      <c r="B1266" t="s">
        <v>945</v>
      </c>
      <c r="C1266" t="s">
        <v>4391</v>
      </c>
      <c r="D1266">
        <v>13</v>
      </c>
      <c r="E1266" t="s">
        <v>4445</v>
      </c>
      <c r="F1266" t="s">
        <v>3034</v>
      </c>
      <c r="G1266" t="s">
        <v>5568</v>
      </c>
      <c r="H1266" t="s">
        <v>4915</v>
      </c>
      <c r="I1266" s="79" t="str">
        <f>IF(CARTERA_2026[[#This Row],[RUT]]=774097899,"DIST",_xlfn.XLOOKUP(CARTERA_2026[[#This Row],[VENDEDOR]],dimensiones!$C$21:$C$28,dimensiones!$D$21:$D$28,""))</f>
        <v>ATEL</v>
      </c>
      <c r="J1266" s="125" t="str">
        <f>_xlfn.XLOOKUP(CARTERA_2026[[#This Row],[REGION]],dimensiones!C:C,dimensiones!D:D,"")</f>
        <v>Región de Metropolitana de Santiago</v>
      </c>
    </row>
    <row r="1267" spans="1:10" ht="14.25" customHeight="1" x14ac:dyDescent="0.25">
      <c r="A1267">
        <v>775208740</v>
      </c>
      <c r="B1267" t="s">
        <v>3965</v>
      </c>
      <c r="C1267" t="s">
        <v>4552</v>
      </c>
      <c r="D1267">
        <v>13</v>
      </c>
      <c r="E1267" t="s">
        <v>4445</v>
      </c>
      <c r="F1267" t="s">
        <v>3964</v>
      </c>
      <c r="G1267" t="s">
        <v>5568</v>
      </c>
      <c r="H1267" t="s">
        <v>4915</v>
      </c>
      <c r="I1267" s="79" t="str">
        <f>IF(CARTERA_2026[[#This Row],[RUT]]=774097899,"DIST",_xlfn.XLOOKUP(CARTERA_2026[[#This Row],[VENDEDOR]],dimensiones!$C$21:$C$28,dimensiones!$D$21:$D$28,""))</f>
        <v>ATEL</v>
      </c>
      <c r="J1267" s="125" t="str">
        <f>_xlfn.XLOOKUP(CARTERA_2026[[#This Row],[REGION]],dimensiones!C:C,dimensiones!D:D,"")</f>
        <v>Región de Metropolitana de Santiago</v>
      </c>
    </row>
    <row r="1268" spans="1:10" ht="14.25" customHeight="1" x14ac:dyDescent="0.25">
      <c r="A1268">
        <v>775284692</v>
      </c>
      <c r="B1268" t="s">
        <v>3756</v>
      </c>
      <c r="C1268" t="s">
        <v>4170</v>
      </c>
      <c r="D1268">
        <v>14</v>
      </c>
      <c r="E1268" t="s">
        <v>4445</v>
      </c>
      <c r="F1268" t="s">
        <v>3755</v>
      </c>
      <c r="G1268" t="s">
        <v>5570</v>
      </c>
      <c r="H1268" t="s">
        <v>4915</v>
      </c>
      <c r="I1268" s="79" t="str">
        <f>IF(CARTERA_2026[[#This Row],[RUT]]=774097899,"DIST",_xlfn.XLOOKUP(CARTERA_2026[[#This Row],[VENDEDOR]],dimensiones!$C$21:$C$28,dimensiones!$D$21:$D$28,""))</f>
        <v>ATEL</v>
      </c>
      <c r="J1268" s="125" t="str">
        <f>_xlfn.XLOOKUP(CARTERA_2026[[#This Row],[REGION]],dimensiones!C:C,dimensiones!D:D,"")</f>
        <v>Región de Los Ríos</v>
      </c>
    </row>
    <row r="1269" spans="1:10" ht="14.25" customHeight="1" x14ac:dyDescent="0.25">
      <c r="A1269" t="s">
        <v>5465</v>
      </c>
      <c r="B1269" t="s">
        <v>5466</v>
      </c>
      <c r="C1269" t="s">
        <v>4391</v>
      </c>
      <c r="D1269">
        <v>13</v>
      </c>
      <c r="E1269" t="s">
        <v>4445</v>
      </c>
      <c r="F1269" t="s">
        <v>5467</v>
      </c>
      <c r="G1269" t="s">
        <v>5568</v>
      </c>
      <c r="H1269" t="s">
        <v>4915</v>
      </c>
      <c r="I1269" s="79" t="str">
        <f>IF(CARTERA_2026[[#This Row],[RUT]]=774097899,"DIST",_xlfn.XLOOKUP(CARTERA_2026[[#This Row],[VENDEDOR]],dimensiones!$C$21:$C$28,dimensiones!$D$21:$D$28,""))</f>
        <v>ATEL</v>
      </c>
      <c r="J1269" s="125" t="str">
        <f>_xlfn.XLOOKUP(CARTERA_2026[[#This Row],[REGION]],dimensiones!C:C,dimensiones!D:D,"")</f>
        <v>Región de Metropolitana de Santiago</v>
      </c>
    </row>
    <row r="1270" spans="1:10" ht="14.25" customHeight="1" x14ac:dyDescent="0.25">
      <c r="A1270">
        <v>775337451</v>
      </c>
      <c r="B1270" t="s">
        <v>5554</v>
      </c>
      <c r="C1270" t="s">
        <v>4168</v>
      </c>
      <c r="D1270">
        <v>13</v>
      </c>
      <c r="E1270" t="s">
        <v>4445</v>
      </c>
      <c r="F1270" t="s">
        <v>5555</v>
      </c>
      <c r="G1270" t="s">
        <v>5568</v>
      </c>
      <c r="H1270" t="s">
        <v>4915</v>
      </c>
      <c r="I1270" s="79" t="str">
        <f>IF(CARTERA_2026[[#This Row],[RUT]]=774097899,"DIST",_xlfn.XLOOKUP(CARTERA_2026[[#This Row],[VENDEDOR]],dimensiones!$C$21:$C$28,dimensiones!$D$21:$D$28,""))</f>
        <v>ATEL</v>
      </c>
      <c r="J1270" s="125" t="str">
        <f>_xlfn.XLOOKUP(CARTERA_2026[[#This Row],[REGION]],dimensiones!C:C,dimensiones!D:D,"")</f>
        <v>Región de Metropolitana de Santiago</v>
      </c>
    </row>
    <row r="1271" spans="1:10" ht="14.25" customHeight="1" x14ac:dyDescent="0.25">
      <c r="A1271">
        <v>775408936</v>
      </c>
      <c r="B1271" t="s">
        <v>5444</v>
      </c>
      <c r="C1271" t="s">
        <v>4182</v>
      </c>
      <c r="D1271">
        <v>2</v>
      </c>
      <c r="E1271" t="s">
        <v>4445</v>
      </c>
      <c r="F1271" t="s">
        <v>3039</v>
      </c>
      <c r="G1271" t="s">
        <v>5568</v>
      </c>
      <c r="H1271" t="s">
        <v>4915</v>
      </c>
      <c r="I1271" s="79" t="str">
        <f>IF(CARTERA_2026[[#This Row],[RUT]]=774097899,"DIST",_xlfn.XLOOKUP(CARTERA_2026[[#This Row],[VENDEDOR]],dimensiones!$C$21:$C$28,dimensiones!$D$21:$D$28,""))</f>
        <v>ATEL</v>
      </c>
      <c r="J1271" s="125" t="str">
        <f>_xlfn.XLOOKUP(CARTERA_2026[[#This Row],[REGION]],dimensiones!C:C,dimensiones!D:D,"")</f>
        <v>Región de Antofagasta</v>
      </c>
    </row>
    <row r="1272" spans="1:10" ht="14.25" customHeight="1" x14ac:dyDescent="0.25">
      <c r="A1272">
        <v>775462167</v>
      </c>
      <c r="B1272" t="s">
        <v>3043</v>
      </c>
      <c r="C1272" t="s">
        <v>4391</v>
      </c>
      <c r="D1272">
        <v>13</v>
      </c>
      <c r="E1272" t="s">
        <v>4445</v>
      </c>
      <c r="F1272" t="s">
        <v>3042</v>
      </c>
      <c r="G1272" t="s">
        <v>5570</v>
      </c>
      <c r="H1272" t="s">
        <v>4915</v>
      </c>
      <c r="I1272" s="79" t="str">
        <f>IF(CARTERA_2026[[#This Row],[RUT]]=774097899,"DIST",_xlfn.XLOOKUP(CARTERA_2026[[#This Row],[VENDEDOR]],dimensiones!$C$21:$C$28,dimensiones!$D$21:$D$28,""))</f>
        <v>ATEL</v>
      </c>
      <c r="J1272" s="125" t="str">
        <f>_xlfn.XLOOKUP(CARTERA_2026[[#This Row],[REGION]],dimensiones!C:C,dimensiones!D:D,"")</f>
        <v>Región de Metropolitana de Santiago</v>
      </c>
    </row>
    <row r="1273" spans="1:10" ht="14.25" customHeight="1" x14ac:dyDescent="0.25">
      <c r="A1273">
        <v>775462177</v>
      </c>
      <c r="B1273" t="s">
        <v>3046</v>
      </c>
      <c r="C1273" t="s">
        <v>4177</v>
      </c>
      <c r="D1273">
        <v>13</v>
      </c>
      <c r="E1273" t="s">
        <v>4445</v>
      </c>
      <c r="F1273" t="s">
        <v>3045</v>
      </c>
      <c r="G1273" t="s">
        <v>5570</v>
      </c>
      <c r="H1273" t="s">
        <v>4915</v>
      </c>
      <c r="I1273" s="79" t="str">
        <f>IF(CARTERA_2026[[#This Row],[RUT]]=774097899,"DIST",_xlfn.XLOOKUP(CARTERA_2026[[#This Row],[VENDEDOR]],dimensiones!$C$21:$C$28,dimensiones!$D$21:$D$28,""))</f>
        <v>ATEL</v>
      </c>
      <c r="J1273" s="125" t="str">
        <f>_xlfn.XLOOKUP(CARTERA_2026[[#This Row],[REGION]],dimensiones!C:C,dimensiones!D:D,"")</f>
        <v>Región de Metropolitana de Santiago</v>
      </c>
    </row>
    <row r="1274" spans="1:10" ht="14.25" customHeight="1" x14ac:dyDescent="0.25">
      <c r="A1274" t="s">
        <v>5781</v>
      </c>
      <c r="B1274" t="s">
        <v>5782</v>
      </c>
      <c r="C1274" t="s">
        <v>4452</v>
      </c>
      <c r="D1274">
        <v>13</v>
      </c>
      <c r="E1274" t="s">
        <v>4445</v>
      </c>
      <c r="F1274" t="s">
        <v>5783</v>
      </c>
      <c r="G1274" t="s">
        <v>5568</v>
      </c>
      <c r="H1274" t="s">
        <v>5660</v>
      </c>
      <c r="I1274" s="79" t="str">
        <f>IF(CARTERA_2026[[#This Row],[RUT]]=774097899,"DIST",_xlfn.XLOOKUP(CARTERA_2026[[#This Row],[VENDEDOR]],dimensiones!$C$21:$C$28,dimensiones!$D$21:$D$28,""))</f>
        <v>ATEL</v>
      </c>
      <c r="J1274" s="125" t="str">
        <f>_xlfn.XLOOKUP(CARTERA_2026[[#This Row],[REGION]],dimensiones!C:C,dimensiones!D:D,"")</f>
        <v>Región de Metropolitana de Santiago</v>
      </c>
    </row>
    <row r="1275" spans="1:10" ht="14.25" customHeight="1" x14ac:dyDescent="0.25">
      <c r="A1275">
        <v>775571128</v>
      </c>
      <c r="B1275" t="s">
        <v>4431</v>
      </c>
      <c r="C1275" t="s">
        <v>4411</v>
      </c>
      <c r="D1275">
        <v>13</v>
      </c>
      <c r="E1275" t="s">
        <v>4445</v>
      </c>
      <c r="F1275" t="s">
        <v>4589</v>
      </c>
      <c r="G1275" t="s">
        <v>5570</v>
      </c>
      <c r="H1275" t="s">
        <v>4915</v>
      </c>
      <c r="I1275" s="79" t="str">
        <f>IF(CARTERA_2026[[#This Row],[RUT]]=774097899,"DIST",_xlfn.XLOOKUP(CARTERA_2026[[#This Row],[VENDEDOR]],dimensiones!$C$21:$C$28,dimensiones!$D$21:$D$28,""))</f>
        <v>ATEL</v>
      </c>
      <c r="J1275" s="125" t="str">
        <f>_xlfn.XLOOKUP(CARTERA_2026[[#This Row],[REGION]],dimensiones!C:C,dimensiones!D:D,"")</f>
        <v>Región de Metropolitana de Santiago</v>
      </c>
    </row>
    <row r="1276" spans="1:10" ht="14.25" customHeight="1" x14ac:dyDescent="0.25">
      <c r="A1276">
        <v>775583533</v>
      </c>
      <c r="B1276" t="s">
        <v>860</v>
      </c>
      <c r="C1276" t="s">
        <v>4391</v>
      </c>
      <c r="D1276">
        <v>13</v>
      </c>
      <c r="E1276" t="s">
        <v>4445</v>
      </c>
      <c r="F1276" t="s">
        <v>3048</v>
      </c>
      <c r="G1276" t="s">
        <v>5568</v>
      </c>
      <c r="H1276" t="s">
        <v>4915</v>
      </c>
      <c r="I1276" s="79" t="str">
        <f>IF(CARTERA_2026[[#This Row],[RUT]]=774097899,"DIST",_xlfn.XLOOKUP(CARTERA_2026[[#This Row],[VENDEDOR]],dimensiones!$C$21:$C$28,dimensiones!$D$21:$D$28,""))</f>
        <v>ATEL</v>
      </c>
      <c r="J1276" s="125" t="str">
        <f>_xlfn.XLOOKUP(CARTERA_2026[[#This Row],[REGION]],dimensiones!C:C,dimensiones!D:D,"")</f>
        <v>Región de Metropolitana de Santiago</v>
      </c>
    </row>
    <row r="1277" spans="1:10" ht="14.25" customHeight="1" x14ac:dyDescent="0.25">
      <c r="A1277">
        <v>775614315</v>
      </c>
      <c r="B1277" t="s">
        <v>557</v>
      </c>
      <c r="C1277" t="s">
        <v>4463</v>
      </c>
      <c r="D1277">
        <v>2</v>
      </c>
      <c r="E1277" t="s">
        <v>4445</v>
      </c>
      <c r="F1277" t="s">
        <v>2380</v>
      </c>
      <c r="G1277" t="s">
        <v>5570</v>
      </c>
      <c r="H1277" t="s">
        <v>4915</v>
      </c>
      <c r="I1277" s="79" t="str">
        <f>IF(CARTERA_2026[[#This Row],[RUT]]=774097899,"DIST",_xlfn.XLOOKUP(CARTERA_2026[[#This Row],[VENDEDOR]],dimensiones!$C$21:$C$28,dimensiones!$D$21:$D$28,""))</f>
        <v>ATEL</v>
      </c>
      <c r="J1277" s="125" t="str">
        <f>_xlfn.XLOOKUP(CARTERA_2026[[#This Row],[REGION]],dimensiones!C:C,dimensiones!D:D,"")</f>
        <v>Región de Antofagasta</v>
      </c>
    </row>
    <row r="1278" spans="1:10" ht="14.25" customHeight="1" x14ac:dyDescent="0.25">
      <c r="A1278">
        <v>775761539</v>
      </c>
      <c r="B1278" t="s">
        <v>5702</v>
      </c>
      <c r="C1278" t="s">
        <v>4551</v>
      </c>
      <c r="D1278">
        <v>13</v>
      </c>
      <c r="E1278" t="s">
        <v>4445</v>
      </c>
      <c r="F1278" t="s">
        <v>5703</v>
      </c>
      <c r="G1278" t="s">
        <v>5568</v>
      </c>
      <c r="H1278" t="s">
        <v>4915</v>
      </c>
      <c r="I1278" s="79" t="str">
        <f>IF(CARTERA_2026[[#This Row],[RUT]]=774097899,"DIST",_xlfn.XLOOKUP(CARTERA_2026[[#This Row],[VENDEDOR]],dimensiones!$C$21:$C$28,dimensiones!$D$21:$D$28,""))</f>
        <v>ATEL</v>
      </c>
      <c r="J1278" s="125" t="str">
        <f>_xlfn.XLOOKUP(CARTERA_2026[[#This Row],[REGION]],dimensiones!C:C,dimensiones!D:D,"")</f>
        <v>Región de Metropolitana de Santiago</v>
      </c>
    </row>
    <row r="1279" spans="1:10" ht="14.25" customHeight="1" x14ac:dyDescent="0.25">
      <c r="A1279">
        <v>775822279</v>
      </c>
      <c r="B1279" t="s">
        <v>3054</v>
      </c>
      <c r="C1279" t="s">
        <v>4168</v>
      </c>
      <c r="D1279">
        <v>13</v>
      </c>
      <c r="E1279" t="s">
        <v>4445</v>
      </c>
      <c r="F1279" t="s">
        <v>3053</v>
      </c>
      <c r="G1279" t="s">
        <v>5569</v>
      </c>
      <c r="H1279" t="s">
        <v>4915</v>
      </c>
      <c r="I1279" s="79" t="str">
        <f>IF(CARTERA_2026[[#This Row],[RUT]]=774097899,"DIST",_xlfn.XLOOKUP(CARTERA_2026[[#This Row],[VENDEDOR]],dimensiones!$C$21:$C$28,dimensiones!$D$21:$D$28,""))</f>
        <v>ATEL</v>
      </c>
      <c r="J1279" s="125" t="str">
        <f>_xlfn.XLOOKUP(CARTERA_2026[[#This Row],[REGION]],dimensiones!C:C,dimensiones!D:D,"")</f>
        <v>Región de Metropolitana de Santiago</v>
      </c>
    </row>
    <row r="1280" spans="1:10" ht="14.25" customHeight="1" x14ac:dyDescent="0.25">
      <c r="A1280">
        <v>775874295</v>
      </c>
      <c r="B1280" t="s">
        <v>558</v>
      </c>
      <c r="C1280" t="s">
        <v>4175</v>
      </c>
      <c r="D1280">
        <v>5</v>
      </c>
      <c r="E1280" t="s">
        <v>4445</v>
      </c>
      <c r="F1280" t="s">
        <v>2003</v>
      </c>
      <c r="G1280" t="s">
        <v>5570</v>
      </c>
      <c r="H1280" t="s">
        <v>4915</v>
      </c>
      <c r="I1280" s="79" t="str">
        <f>IF(CARTERA_2026[[#This Row],[RUT]]=774097899,"DIST",_xlfn.XLOOKUP(CARTERA_2026[[#This Row],[VENDEDOR]],dimensiones!$C$21:$C$28,dimensiones!$D$21:$D$28,""))</f>
        <v>ATEL</v>
      </c>
      <c r="J1280" s="125" t="str">
        <f>_xlfn.XLOOKUP(CARTERA_2026[[#This Row],[REGION]],dimensiones!C:C,dimensiones!D:D,"")</f>
        <v>Región de Valparaíso</v>
      </c>
    </row>
    <row r="1281" spans="1:10" ht="14.25" customHeight="1" x14ac:dyDescent="0.25">
      <c r="A1281">
        <v>775875119</v>
      </c>
      <c r="B1281" t="s">
        <v>3060</v>
      </c>
      <c r="C1281" t="s">
        <v>4456</v>
      </c>
      <c r="D1281">
        <v>13</v>
      </c>
      <c r="E1281" t="s">
        <v>4445</v>
      </c>
      <c r="F1281" t="s">
        <v>3059</v>
      </c>
      <c r="G1281" t="s">
        <v>5569</v>
      </c>
      <c r="H1281" t="s">
        <v>4915</v>
      </c>
      <c r="I1281" s="79" t="str">
        <f>IF(CARTERA_2026[[#This Row],[RUT]]=774097899,"DIST",_xlfn.XLOOKUP(CARTERA_2026[[#This Row],[VENDEDOR]],dimensiones!$C$21:$C$28,dimensiones!$D$21:$D$28,""))</f>
        <v>ATEL</v>
      </c>
      <c r="J1281" s="125" t="str">
        <f>_xlfn.XLOOKUP(CARTERA_2026[[#This Row],[REGION]],dimensiones!C:C,dimensiones!D:D,"")</f>
        <v>Región de Metropolitana de Santiago</v>
      </c>
    </row>
    <row r="1282" spans="1:10" ht="14.25" customHeight="1" x14ac:dyDescent="0.25">
      <c r="A1282">
        <v>776062200</v>
      </c>
      <c r="B1282" t="s">
        <v>861</v>
      </c>
      <c r="C1282" t="s">
        <v>4456</v>
      </c>
      <c r="D1282">
        <v>13</v>
      </c>
      <c r="E1282" t="s">
        <v>4445</v>
      </c>
      <c r="F1282" t="s">
        <v>3062</v>
      </c>
      <c r="G1282" t="s">
        <v>5568</v>
      </c>
      <c r="H1282" t="s">
        <v>4915</v>
      </c>
      <c r="I1282" s="79" t="str">
        <f>IF(CARTERA_2026[[#This Row],[RUT]]=774097899,"DIST",_xlfn.XLOOKUP(CARTERA_2026[[#This Row],[VENDEDOR]],dimensiones!$C$21:$C$28,dimensiones!$D$21:$D$28,""))</f>
        <v>ATEL</v>
      </c>
      <c r="J1282" s="125" t="str">
        <f>_xlfn.XLOOKUP(CARTERA_2026[[#This Row],[REGION]],dimensiones!C:C,dimensiones!D:D,"")</f>
        <v>Región de Metropolitana de Santiago</v>
      </c>
    </row>
    <row r="1283" spans="1:10" ht="14.25" customHeight="1" x14ac:dyDescent="0.25">
      <c r="A1283">
        <v>776081809</v>
      </c>
      <c r="B1283" t="s">
        <v>559</v>
      </c>
      <c r="C1283" t="s">
        <v>4552</v>
      </c>
      <c r="D1283">
        <v>13</v>
      </c>
      <c r="E1283" t="s">
        <v>4445</v>
      </c>
      <c r="F1283" t="s">
        <v>3064</v>
      </c>
      <c r="G1283" t="s">
        <v>5570</v>
      </c>
      <c r="H1283" t="s">
        <v>4915</v>
      </c>
      <c r="I1283" s="79" t="str">
        <f>IF(CARTERA_2026[[#This Row],[RUT]]=774097899,"DIST",_xlfn.XLOOKUP(CARTERA_2026[[#This Row],[VENDEDOR]],dimensiones!$C$21:$C$28,dimensiones!$D$21:$D$28,""))</f>
        <v>ATEL</v>
      </c>
      <c r="J1283" s="125" t="str">
        <f>_xlfn.XLOOKUP(CARTERA_2026[[#This Row],[REGION]],dimensiones!C:C,dimensiones!D:D,"")</f>
        <v>Región de Metropolitana de Santiago</v>
      </c>
    </row>
    <row r="1284" spans="1:10" ht="14.25" customHeight="1" x14ac:dyDescent="0.25">
      <c r="A1284">
        <v>776108448</v>
      </c>
      <c r="B1284" t="s">
        <v>560</v>
      </c>
      <c r="C1284" t="s">
        <v>4178</v>
      </c>
      <c r="D1284">
        <v>6</v>
      </c>
      <c r="E1284" t="s">
        <v>4445</v>
      </c>
      <c r="F1284" t="s">
        <v>3066</v>
      </c>
      <c r="G1284" t="s">
        <v>5568</v>
      </c>
      <c r="H1284" t="s">
        <v>4915</v>
      </c>
      <c r="I1284" s="79" t="str">
        <f>IF(CARTERA_2026[[#This Row],[RUT]]=774097899,"DIST",_xlfn.XLOOKUP(CARTERA_2026[[#This Row],[VENDEDOR]],dimensiones!$C$21:$C$28,dimensiones!$D$21:$D$28,""))</f>
        <v>ATEL</v>
      </c>
      <c r="J1284" s="125" t="str">
        <f>_xlfn.XLOOKUP(CARTERA_2026[[#This Row],[REGION]],dimensiones!C:C,dimensiones!D:D,"")</f>
        <v>Región de Libertador General Bernardo O'Higgins</v>
      </c>
    </row>
    <row r="1285" spans="1:10" ht="14.25" customHeight="1" x14ac:dyDescent="0.25">
      <c r="A1285">
        <v>776180165</v>
      </c>
      <c r="B1285" t="s">
        <v>5556</v>
      </c>
      <c r="C1285" t="s">
        <v>4557</v>
      </c>
      <c r="D1285">
        <v>13</v>
      </c>
      <c r="E1285" t="s">
        <v>4445</v>
      </c>
      <c r="F1285" t="s">
        <v>5557</v>
      </c>
      <c r="G1285" t="s">
        <v>5568</v>
      </c>
      <c r="H1285" t="s">
        <v>4915</v>
      </c>
      <c r="I1285" s="79" t="str">
        <f>IF(CARTERA_2026[[#This Row],[RUT]]=774097899,"DIST",_xlfn.XLOOKUP(CARTERA_2026[[#This Row],[VENDEDOR]],dimensiones!$C$21:$C$28,dimensiones!$D$21:$D$28,""))</f>
        <v>ATEL</v>
      </c>
      <c r="J1285" s="125" t="str">
        <f>_xlfn.XLOOKUP(CARTERA_2026[[#This Row],[REGION]],dimensiones!C:C,dimensiones!D:D,"")</f>
        <v>Región de Metropolitana de Santiago</v>
      </c>
    </row>
    <row r="1286" spans="1:10" ht="14.25" customHeight="1" x14ac:dyDescent="0.25">
      <c r="A1286">
        <v>776190853</v>
      </c>
      <c r="B1286" t="s">
        <v>3362</v>
      </c>
      <c r="C1286" t="s">
        <v>4463</v>
      </c>
      <c r="D1286">
        <v>13</v>
      </c>
      <c r="E1286" t="s">
        <v>4445</v>
      </c>
      <c r="F1286" t="s">
        <v>3361</v>
      </c>
      <c r="G1286" t="s">
        <v>5568</v>
      </c>
      <c r="H1286" t="s">
        <v>4915</v>
      </c>
      <c r="I1286" s="79" t="str">
        <f>IF(CARTERA_2026[[#This Row],[RUT]]=774097899,"DIST",_xlfn.XLOOKUP(CARTERA_2026[[#This Row],[VENDEDOR]],dimensiones!$C$21:$C$28,dimensiones!$D$21:$D$28,""))</f>
        <v>ATEL</v>
      </c>
      <c r="J1286" s="125" t="str">
        <f>_xlfn.XLOOKUP(CARTERA_2026[[#This Row],[REGION]],dimensiones!C:C,dimensiones!D:D,"")</f>
        <v>Región de Metropolitana de Santiago</v>
      </c>
    </row>
    <row r="1287" spans="1:10" ht="14.25" customHeight="1" x14ac:dyDescent="0.25">
      <c r="A1287">
        <v>776195642</v>
      </c>
      <c r="B1287" t="s">
        <v>4591</v>
      </c>
      <c r="C1287" t="s">
        <v>4393</v>
      </c>
      <c r="D1287">
        <v>13</v>
      </c>
      <c r="E1287" t="s">
        <v>4445</v>
      </c>
      <c r="F1287" t="s">
        <v>4590</v>
      </c>
      <c r="G1287" t="s">
        <v>5568</v>
      </c>
      <c r="H1287" t="s">
        <v>4915</v>
      </c>
      <c r="I1287" s="79" t="str">
        <f>IF(CARTERA_2026[[#This Row],[RUT]]=774097899,"DIST",_xlfn.XLOOKUP(CARTERA_2026[[#This Row],[VENDEDOR]],dimensiones!$C$21:$C$28,dimensiones!$D$21:$D$28,""))</f>
        <v>ATEL</v>
      </c>
      <c r="J1287" s="125" t="str">
        <f>_xlfn.XLOOKUP(CARTERA_2026[[#This Row],[REGION]],dimensiones!C:C,dimensiones!D:D,"")</f>
        <v>Región de Metropolitana de Santiago</v>
      </c>
    </row>
    <row r="1288" spans="1:10" ht="14.25" customHeight="1" x14ac:dyDescent="0.25">
      <c r="A1288">
        <v>776267783</v>
      </c>
      <c r="B1288" t="s">
        <v>3694</v>
      </c>
      <c r="C1288" t="s">
        <v>4490</v>
      </c>
      <c r="D1288">
        <v>5</v>
      </c>
      <c r="E1288" t="s">
        <v>4445</v>
      </c>
      <c r="F1288" t="s">
        <v>3693</v>
      </c>
      <c r="G1288" t="s">
        <v>5570</v>
      </c>
      <c r="H1288" t="s">
        <v>4915</v>
      </c>
      <c r="I1288" s="79" t="str">
        <f>IF(CARTERA_2026[[#This Row],[RUT]]=774097899,"DIST",_xlfn.XLOOKUP(CARTERA_2026[[#This Row],[VENDEDOR]],dimensiones!$C$21:$C$28,dimensiones!$D$21:$D$28,""))</f>
        <v>ATEL</v>
      </c>
      <c r="J1288" s="125" t="str">
        <f>_xlfn.XLOOKUP(CARTERA_2026[[#This Row],[REGION]],dimensiones!C:C,dimensiones!D:D,"")</f>
        <v>Región de Valparaíso</v>
      </c>
    </row>
    <row r="1289" spans="1:10" ht="14.25" customHeight="1" x14ac:dyDescent="0.25">
      <c r="A1289">
        <v>776286303</v>
      </c>
      <c r="B1289" t="s">
        <v>862</v>
      </c>
      <c r="C1289" t="s">
        <v>4198</v>
      </c>
      <c r="D1289">
        <v>5</v>
      </c>
      <c r="E1289" t="s">
        <v>4445</v>
      </c>
      <c r="F1289" t="s">
        <v>3073</v>
      </c>
      <c r="G1289" t="s">
        <v>5570</v>
      </c>
      <c r="H1289" t="s">
        <v>4915</v>
      </c>
      <c r="I1289" s="79" t="str">
        <f>IF(CARTERA_2026[[#This Row],[RUT]]=774097899,"DIST",_xlfn.XLOOKUP(CARTERA_2026[[#This Row],[VENDEDOR]],dimensiones!$C$21:$C$28,dimensiones!$D$21:$D$28,""))</f>
        <v>ATEL</v>
      </c>
      <c r="J1289" s="125" t="str">
        <f>_xlfn.XLOOKUP(CARTERA_2026[[#This Row],[REGION]],dimensiones!C:C,dimensiones!D:D,"")</f>
        <v>Región de Valparaíso</v>
      </c>
    </row>
    <row r="1290" spans="1:10" ht="14.25" customHeight="1" x14ac:dyDescent="0.25">
      <c r="A1290">
        <v>776326887</v>
      </c>
      <c r="B1290" t="s">
        <v>1088</v>
      </c>
      <c r="C1290" t="s">
        <v>4495</v>
      </c>
      <c r="D1290">
        <v>16</v>
      </c>
      <c r="E1290" t="s">
        <v>4445</v>
      </c>
      <c r="F1290" t="s">
        <v>3075</v>
      </c>
      <c r="G1290" t="s">
        <v>5570</v>
      </c>
      <c r="H1290" t="s">
        <v>4915</v>
      </c>
      <c r="I1290" s="79" t="str">
        <f>IF(CARTERA_2026[[#This Row],[RUT]]=774097899,"DIST",_xlfn.XLOOKUP(CARTERA_2026[[#This Row],[VENDEDOR]],dimensiones!$C$21:$C$28,dimensiones!$D$21:$D$28,""))</f>
        <v>ATEL</v>
      </c>
      <c r="J1290" s="125" t="str">
        <f>_xlfn.XLOOKUP(CARTERA_2026[[#This Row],[REGION]],dimensiones!C:C,dimensiones!D:D,"")</f>
        <v>Región de Ñuble</v>
      </c>
    </row>
    <row r="1291" spans="1:10" ht="14.25" customHeight="1" x14ac:dyDescent="0.25">
      <c r="A1291">
        <v>776345512</v>
      </c>
      <c r="B1291" t="s">
        <v>5696</v>
      </c>
      <c r="C1291" t="s">
        <v>4465</v>
      </c>
      <c r="D1291">
        <v>13</v>
      </c>
      <c r="E1291" t="s">
        <v>4445</v>
      </c>
      <c r="F1291" t="s">
        <v>5697</v>
      </c>
      <c r="G1291" t="s">
        <v>5568</v>
      </c>
      <c r="H1291" t="s">
        <v>4915</v>
      </c>
      <c r="I1291" s="79" t="str">
        <f>IF(CARTERA_2026[[#This Row],[RUT]]=774097899,"DIST",_xlfn.XLOOKUP(CARTERA_2026[[#This Row],[VENDEDOR]],dimensiones!$C$21:$C$28,dimensiones!$D$21:$D$28,""))</f>
        <v>ATEL</v>
      </c>
      <c r="J1291" s="125" t="str">
        <f>_xlfn.XLOOKUP(CARTERA_2026[[#This Row],[REGION]],dimensiones!C:C,dimensiones!D:D,"")</f>
        <v>Región de Metropolitana de Santiago</v>
      </c>
    </row>
    <row r="1292" spans="1:10" ht="14.25" customHeight="1" x14ac:dyDescent="0.25">
      <c r="A1292">
        <v>776381233</v>
      </c>
      <c r="B1292" t="s">
        <v>561</v>
      </c>
      <c r="C1292" t="s">
        <v>4465</v>
      </c>
      <c r="D1292">
        <v>13</v>
      </c>
      <c r="E1292" t="s">
        <v>4445</v>
      </c>
      <c r="F1292" t="s">
        <v>1241</v>
      </c>
      <c r="G1292" t="s">
        <v>5570</v>
      </c>
      <c r="H1292" t="s">
        <v>4915</v>
      </c>
      <c r="I1292" s="79" t="str">
        <f>IF(CARTERA_2026[[#This Row],[RUT]]=774097899,"DIST",_xlfn.XLOOKUP(CARTERA_2026[[#This Row],[VENDEDOR]],dimensiones!$C$21:$C$28,dimensiones!$D$21:$D$28,""))</f>
        <v>ATEL</v>
      </c>
      <c r="J1292" s="125" t="str">
        <f>_xlfn.XLOOKUP(CARTERA_2026[[#This Row],[REGION]],dimensiones!C:C,dimensiones!D:D,"")</f>
        <v>Región de Metropolitana de Santiago</v>
      </c>
    </row>
    <row r="1293" spans="1:10" ht="14.25" customHeight="1" x14ac:dyDescent="0.25">
      <c r="A1293">
        <v>776387193</v>
      </c>
      <c r="B1293" t="s">
        <v>5602</v>
      </c>
      <c r="C1293" t="s">
        <v>4287</v>
      </c>
      <c r="D1293">
        <v>13</v>
      </c>
      <c r="E1293" t="s">
        <v>4445</v>
      </c>
      <c r="F1293" t="s">
        <v>5603</v>
      </c>
      <c r="G1293" t="s">
        <v>5568</v>
      </c>
      <c r="H1293" t="s">
        <v>4915</v>
      </c>
      <c r="I1293" s="79" t="str">
        <f>IF(CARTERA_2026[[#This Row],[RUT]]=774097899,"DIST",_xlfn.XLOOKUP(CARTERA_2026[[#This Row],[VENDEDOR]],dimensiones!$C$21:$C$28,dimensiones!$D$21:$D$28,""))</f>
        <v>ATEL</v>
      </c>
      <c r="J1293" s="125" t="str">
        <f>_xlfn.XLOOKUP(CARTERA_2026[[#This Row],[REGION]],dimensiones!C:C,dimensiones!D:D,"")</f>
        <v>Región de Metropolitana de Santiago</v>
      </c>
    </row>
    <row r="1294" spans="1:10" ht="14.25" customHeight="1" x14ac:dyDescent="0.25">
      <c r="A1294">
        <v>776441406</v>
      </c>
      <c r="B1294" t="s">
        <v>562</v>
      </c>
      <c r="C1294" t="s">
        <v>4552</v>
      </c>
      <c r="D1294">
        <v>13</v>
      </c>
      <c r="E1294" t="s">
        <v>4445</v>
      </c>
      <c r="F1294" t="s">
        <v>3078</v>
      </c>
      <c r="G1294" t="s">
        <v>5570</v>
      </c>
      <c r="H1294" t="s">
        <v>4915</v>
      </c>
      <c r="I1294" s="79" t="str">
        <f>IF(CARTERA_2026[[#This Row],[RUT]]=774097899,"DIST",_xlfn.XLOOKUP(CARTERA_2026[[#This Row],[VENDEDOR]],dimensiones!$C$21:$C$28,dimensiones!$D$21:$D$28,""))</f>
        <v>ATEL</v>
      </c>
      <c r="J1294" s="125" t="str">
        <f>_xlfn.XLOOKUP(CARTERA_2026[[#This Row],[REGION]],dimensiones!C:C,dimensiones!D:D,"")</f>
        <v>Región de Metropolitana de Santiago</v>
      </c>
    </row>
    <row r="1295" spans="1:10" ht="14.25" customHeight="1" x14ac:dyDescent="0.25">
      <c r="A1295">
        <v>776495999</v>
      </c>
      <c r="B1295" t="s">
        <v>3081</v>
      </c>
      <c r="C1295" t="s">
        <v>4410</v>
      </c>
      <c r="D1295">
        <v>13</v>
      </c>
      <c r="E1295" t="s">
        <v>4445</v>
      </c>
      <c r="F1295" t="s">
        <v>3080</v>
      </c>
      <c r="G1295" t="s">
        <v>5568</v>
      </c>
      <c r="H1295" t="s">
        <v>4915</v>
      </c>
      <c r="I1295" s="79" t="str">
        <f>IF(CARTERA_2026[[#This Row],[RUT]]=774097899,"DIST",_xlfn.XLOOKUP(CARTERA_2026[[#This Row],[VENDEDOR]],dimensiones!$C$21:$C$28,dimensiones!$D$21:$D$28,""))</f>
        <v>ATEL</v>
      </c>
      <c r="J1295" s="125" t="str">
        <f>_xlfn.XLOOKUP(CARTERA_2026[[#This Row],[REGION]],dimensiones!C:C,dimensiones!D:D,"")</f>
        <v>Región de Metropolitana de Santiago</v>
      </c>
    </row>
    <row r="1296" spans="1:10" ht="14.25" customHeight="1" x14ac:dyDescent="0.25">
      <c r="A1296">
        <v>776499129</v>
      </c>
      <c r="B1296" t="s">
        <v>5698</v>
      </c>
      <c r="C1296" t="s">
        <v>4561</v>
      </c>
      <c r="D1296">
        <v>13</v>
      </c>
      <c r="E1296" t="s">
        <v>4445</v>
      </c>
      <c r="F1296" t="s">
        <v>5699</v>
      </c>
      <c r="G1296" t="s">
        <v>5568</v>
      </c>
      <c r="H1296" t="s">
        <v>4915</v>
      </c>
      <c r="I1296" s="79" t="str">
        <f>IF(CARTERA_2026[[#This Row],[RUT]]=774097899,"DIST",_xlfn.XLOOKUP(CARTERA_2026[[#This Row],[VENDEDOR]],dimensiones!$C$21:$C$28,dimensiones!$D$21:$D$28,""))</f>
        <v>ATEL</v>
      </c>
      <c r="J1296" s="125" t="str">
        <f>_xlfn.XLOOKUP(CARTERA_2026[[#This Row],[REGION]],dimensiones!C:C,dimensiones!D:D,"")</f>
        <v>Región de Metropolitana de Santiago</v>
      </c>
    </row>
    <row r="1297" spans="1:10" ht="14.25" customHeight="1" x14ac:dyDescent="0.25">
      <c r="A1297">
        <v>776531693</v>
      </c>
      <c r="B1297" t="s">
        <v>563</v>
      </c>
      <c r="C1297" t="s">
        <v>4391</v>
      </c>
      <c r="D1297">
        <v>13</v>
      </c>
      <c r="E1297" t="s">
        <v>4445</v>
      </c>
      <c r="F1297" t="s">
        <v>3083</v>
      </c>
      <c r="G1297" t="s">
        <v>5570</v>
      </c>
      <c r="H1297" t="s">
        <v>4915</v>
      </c>
      <c r="I1297" s="79" t="str">
        <f>IF(CARTERA_2026[[#This Row],[RUT]]=774097899,"DIST",_xlfn.XLOOKUP(CARTERA_2026[[#This Row],[VENDEDOR]],dimensiones!$C$21:$C$28,dimensiones!$D$21:$D$28,""))</f>
        <v>ATEL</v>
      </c>
      <c r="J1297" s="125" t="str">
        <f>_xlfn.XLOOKUP(CARTERA_2026[[#This Row],[REGION]],dimensiones!C:C,dimensiones!D:D,"")</f>
        <v>Región de Metropolitana de Santiago</v>
      </c>
    </row>
    <row r="1298" spans="1:10" ht="14.25" customHeight="1" x14ac:dyDescent="0.25">
      <c r="A1298">
        <v>776670855</v>
      </c>
      <c r="B1298" t="s">
        <v>1099</v>
      </c>
      <c r="C1298" t="s">
        <v>4393</v>
      </c>
      <c r="D1298">
        <v>13</v>
      </c>
      <c r="E1298" t="s">
        <v>4445</v>
      </c>
      <c r="F1298" t="s">
        <v>2162</v>
      </c>
      <c r="G1298" t="s">
        <v>5569</v>
      </c>
      <c r="H1298" t="s">
        <v>4915</v>
      </c>
      <c r="I1298" s="79" t="str">
        <f>IF(CARTERA_2026[[#This Row],[RUT]]=774097899,"DIST",_xlfn.XLOOKUP(CARTERA_2026[[#This Row],[VENDEDOR]],dimensiones!$C$21:$C$28,dimensiones!$D$21:$D$28,""))</f>
        <v>ATEL</v>
      </c>
      <c r="J1298" s="125" t="str">
        <f>_xlfn.XLOOKUP(CARTERA_2026[[#This Row],[REGION]],dimensiones!C:C,dimensiones!D:D,"")</f>
        <v>Región de Metropolitana de Santiago</v>
      </c>
    </row>
    <row r="1299" spans="1:10" ht="14.25" customHeight="1" x14ac:dyDescent="0.25">
      <c r="A1299">
        <v>776717754</v>
      </c>
      <c r="B1299" t="s">
        <v>564</v>
      </c>
      <c r="C1299" t="s">
        <v>4459</v>
      </c>
      <c r="D1299">
        <v>5</v>
      </c>
      <c r="E1299" t="s">
        <v>4445</v>
      </c>
      <c r="F1299" t="s">
        <v>3245</v>
      </c>
      <c r="G1299" t="s">
        <v>5569</v>
      </c>
      <c r="H1299" t="s">
        <v>4915</v>
      </c>
      <c r="I1299" s="79" t="str">
        <f>IF(CARTERA_2026[[#This Row],[RUT]]=774097899,"DIST",_xlfn.XLOOKUP(CARTERA_2026[[#This Row],[VENDEDOR]],dimensiones!$C$21:$C$28,dimensiones!$D$21:$D$28,""))</f>
        <v>ATEL</v>
      </c>
      <c r="J1299" s="125" t="str">
        <f>_xlfn.XLOOKUP(CARTERA_2026[[#This Row],[REGION]],dimensiones!C:C,dimensiones!D:D,"")</f>
        <v>Región de Valparaíso</v>
      </c>
    </row>
    <row r="1300" spans="1:10" ht="14.25" customHeight="1" x14ac:dyDescent="0.25">
      <c r="A1300">
        <v>776722316</v>
      </c>
      <c r="B1300" t="s">
        <v>565</v>
      </c>
      <c r="C1300" t="s">
        <v>4563</v>
      </c>
      <c r="D1300">
        <v>5</v>
      </c>
      <c r="E1300" t="s">
        <v>4445</v>
      </c>
      <c r="F1300" t="s">
        <v>3087</v>
      </c>
      <c r="G1300" t="s">
        <v>5569</v>
      </c>
      <c r="H1300" t="s">
        <v>4915</v>
      </c>
      <c r="I1300" s="79" t="str">
        <f>IF(CARTERA_2026[[#This Row],[RUT]]=774097899,"DIST",_xlfn.XLOOKUP(CARTERA_2026[[#This Row],[VENDEDOR]],dimensiones!$C$21:$C$28,dimensiones!$D$21:$D$28,""))</f>
        <v>ATEL</v>
      </c>
      <c r="J1300" s="125" t="str">
        <f>_xlfn.XLOOKUP(CARTERA_2026[[#This Row],[REGION]],dimensiones!C:C,dimensiones!D:D,"")</f>
        <v>Región de Valparaíso</v>
      </c>
    </row>
    <row r="1301" spans="1:10" ht="14.25" customHeight="1" x14ac:dyDescent="0.25">
      <c r="A1301" t="s">
        <v>4775</v>
      </c>
      <c r="B1301" t="s">
        <v>1564</v>
      </c>
      <c r="C1301" t="s">
        <v>4460</v>
      </c>
      <c r="D1301">
        <v>8</v>
      </c>
      <c r="E1301" t="s">
        <v>4445</v>
      </c>
      <c r="F1301" t="s">
        <v>1563</v>
      </c>
      <c r="G1301" t="s">
        <v>5569</v>
      </c>
      <c r="H1301" t="s">
        <v>4915</v>
      </c>
      <c r="I1301" s="79" t="str">
        <f>IF(CARTERA_2026[[#This Row],[RUT]]=774097899,"DIST",_xlfn.XLOOKUP(CARTERA_2026[[#This Row],[VENDEDOR]],dimensiones!$C$21:$C$28,dimensiones!$D$21:$D$28,""))</f>
        <v>ATEL</v>
      </c>
      <c r="J1301" s="125" t="str">
        <f>_xlfn.XLOOKUP(CARTERA_2026[[#This Row],[REGION]],dimensiones!C:C,dimensiones!D:D,"")</f>
        <v>Región de Biobío</v>
      </c>
    </row>
    <row r="1302" spans="1:10" ht="14.25" customHeight="1" x14ac:dyDescent="0.25">
      <c r="A1302">
        <v>776891320</v>
      </c>
      <c r="B1302" t="s">
        <v>566</v>
      </c>
      <c r="C1302" t="s">
        <v>4465</v>
      </c>
      <c r="D1302">
        <v>13</v>
      </c>
      <c r="E1302" t="s">
        <v>4445</v>
      </c>
      <c r="F1302" t="s">
        <v>3517</v>
      </c>
      <c r="G1302" t="s">
        <v>5568</v>
      </c>
      <c r="H1302" t="s">
        <v>4915</v>
      </c>
      <c r="I1302" s="79" t="str">
        <f>IF(CARTERA_2026[[#This Row],[RUT]]=774097899,"DIST",_xlfn.XLOOKUP(CARTERA_2026[[#This Row],[VENDEDOR]],dimensiones!$C$21:$C$28,dimensiones!$D$21:$D$28,""))</f>
        <v>ATEL</v>
      </c>
      <c r="J1302" s="125" t="str">
        <f>_xlfn.XLOOKUP(CARTERA_2026[[#This Row],[REGION]],dimensiones!C:C,dimensiones!D:D,"")</f>
        <v>Región de Metropolitana de Santiago</v>
      </c>
    </row>
    <row r="1303" spans="1:10" ht="14.25" customHeight="1" x14ac:dyDescent="0.25">
      <c r="A1303">
        <v>776893218</v>
      </c>
      <c r="B1303" t="s">
        <v>4593</v>
      </c>
      <c r="C1303" t="s">
        <v>4257</v>
      </c>
      <c r="D1303">
        <v>7</v>
      </c>
      <c r="E1303" t="s">
        <v>4445</v>
      </c>
      <c r="F1303" t="s">
        <v>4592</v>
      </c>
      <c r="G1303" t="s">
        <v>5568</v>
      </c>
      <c r="H1303" t="s">
        <v>4915</v>
      </c>
      <c r="I1303" s="79" t="str">
        <f>IF(CARTERA_2026[[#This Row],[RUT]]=774097899,"DIST",_xlfn.XLOOKUP(CARTERA_2026[[#This Row],[VENDEDOR]],dimensiones!$C$21:$C$28,dimensiones!$D$21:$D$28,""))</f>
        <v>ATEL</v>
      </c>
      <c r="J1303" s="125" t="str">
        <f>_xlfn.XLOOKUP(CARTERA_2026[[#This Row],[REGION]],dimensiones!C:C,dimensiones!D:D,"")</f>
        <v>Región de Maule</v>
      </c>
    </row>
    <row r="1304" spans="1:10" ht="14.25" customHeight="1" x14ac:dyDescent="0.25">
      <c r="A1304" t="s">
        <v>4441</v>
      </c>
      <c r="B1304" t="s">
        <v>4442</v>
      </c>
      <c r="C1304" t="s">
        <v>4552</v>
      </c>
      <c r="D1304">
        <v>13</v>
      </c>
      <c r="E1304" t="s">
        <v>4445</v>
      </c>
      <c r="F1304" t="s">
        <v>4594</v>
      </c>
      <c r="G1304" t="s">
        <v>5569</v>
      </c>
      <c r="H1304" t="s">
        <v>4915</v>
      </c>
      <c r="I1304" s="79" t="str">
        <f>IF(CARTERA_2026[[#This Row],[RUT]]=774097899,"DIST",_xlfn.XLOOKUP(CARTERA_2026[[#This Row],[VENDEDOR]],dimensiones!$C$21:$C$28,dimensiones!$D$21:$D$28,""))</f>
        <v>ATEL</v>
      </c>
      <c r="J1304" s="125" t="str">
        <f>_xlfn.XLOOKUP(CARTERA_2026[[#This Row],[REGION]],dimensiones!C:C,dimensiones!D:D,"")</f>
        <v>Región de Metropolitana de Santiago</v>
      </c>
    </row>
    <row r="1305" spans="1:10" ht="14.25" customHeight="1" x14ac:dyDescent="0.25">
      <c r="A1305">
        <v>776910341</v>
      </c>
      <c r="B1305" t="s">
        <v>5437</v>
      </c>
      <c r="C1305" t="s">
        <v>4391</v>
      </c>
      <c r="D1305">
        <v>13</v>
      </c>
      <c r="E1305" t="s">
        <v>4445</v>
      </c>
      <c r="F1305" t="s">
        <v>5438</v>
      </c>
      <c r="G1305" t="s">
        <v>5570</v>
      </c>
      <c r="H1305" t="s">
        <v>4915</v>
      </c>
      <c r="I1305" s="79" t="str">
        <f>IF(CARTERA_2026[[#This Row],[RUT]]=774097899,"DIST",_xlfn.XLOOKUP(CARTERA_2026[[#This Row],[VENDEDOR]],dimensiones!$C$21:$C$28,dimensiones!$D$21:$D$28,""))</f>
        <v>ATEL</v>
      </c>
      <c r="J1305" s="125" t="str">
        <f>_xlfn.XLOOKUP(CARTERA_2026[[#This Row],[REGION]],dimensiones!C:C,dimensiones!D:D,"")</f>
        <v>Región de Metropolitana de Santiago</v>
      </c>
    </row>
    <row r="1306" spans="1:10" ht="14.25" customHeight="1" x14ac:dyDescent="0.25">
      <c r="A1306">
        <v>776953997</v>
      </c>
      <c r="B1306" t="s">
        <v>567</v>
      </c>
      <c r="C1306" t="s">
        <v>4292</v>
      </c>
      <c r="D1306">
        <v>10</v>
      </c>
      <c r="E1306" t="s">
        <v>4445</v>
      </c>
      <c r="F1306" t="s">
        <v>3089</v>
      </c>
      <c r="G1306" t="s">
        <v>5569</v>
      </c>
      <c r="H1306" t="s">
        <v>4915</v>
      </c>
      <c r="I1306" s="79" t="str">
        <f>IF(CARTERA_2026[[#This Row],[RUT]]=774097899,"DIST",_xlfn.XLOOKUP(CARTERA_2026[[#This Row],[VENDEDOR]],dimensiones!$C$21:$C$28,dimensiones!$D$21:$D$28,""))</f>
        <v>ATEL</v>
      </c>
      <c r="J1306" s="125" t="str">
        <f>_xlfn.XLOOKUP(CARTERA_2026[[#This Row],[REGION]],dimensiones!C:C,dimensiones!D:D,"")</f>
        <v>Región de Los Lagos</v>
      </c>
    </row>
    <row r="1307" spans="1:10" ht="14.25" customHeight="1" x14ac:dyDescent="0.25">
      <c r="A1307">
        <v>776982598</v>
      </c>
      <c r="B1307" t="s">
        <v>568</v>
      </c>
      <c r="C1307" t="s">
        <v>4391</v>
      </c>
      <c r="D1307">
        <v>6</v>
      </c>
      <c r="E1307" t="s">
        <v>4445</v>
      </c>
      <c r="F1307" t="s">
        <v>3254</v>
      </c>
      <c r="G1307" t="s">
        <v>5568</v>
      </c>
      <c r="H1307" t="s">
        <v>4915</v>
      </c>
      <c r="I1307" s="79" t="str">
        <f>IF(CARTERA_2026[[#This Row],[RUT]]=774097899,"DIST",_xlfn.XLOOKUP(CARTERA_2026[[#This Row],[VENDEDOR]],dimensiones!$C$21:$C$28,dimensiones!$D$21:$D$28,""))</f>
        <v>ATEL</v>
      </c>
      <c r="J1307" s="125" t="str">
        <f>_xlfn.XLOOKUP(CARTERA_2026[[#This Row],[REGION]],dimensiones!C:C,dimensiones!D:D,"")</f>
        <v>Región de Libertador General Bernardo O'Higgins</v>
      </c>
    </row>
    <row r="1308" spans="1:10" ht="14.25" customHeight="1" x14ac:dyDescent="0.25">
      <c r="A1308">
        <v>777004190</v>
      </c>
      <c r="B1308" t="s">
        <v>5779</v>
      </c>
      <c r="C1308" t="s">
        <v>4390</v>
      </c>
      <c r="D1308">
        <v>13</v>
      </c>
      <c r="E1308" t="s">
        <v>4445</v>
      </c>
      <c r="F1308" t="s">
        <v>5780</v>
      </c>
      <c r="H1308" t="s">
        <v>5660</v>
      </c>
      <c r="I1308" s="79" t="str">
        <f>IF(CARTERA_2026[[#This Row],[RUT]]=774097899,"DIST",_xlfn.XLOOKUP(CARTERA_2026[[#This Row],[VENDEDOR]],dimensiones!$C$21:$C$28,dimensiones!$D$21:$D$28,""))</f>
        <v>ATEL</v>
      </c>
      <c r="J1308" s="125" t="str">
        <f>_xlfn.XLOOKUP(CARTERA_2026[[#This Row],[REGION]],dimensiones!C:C,dimensiones!D:D,"")</f>
        <v>Región de Metropolitana de Santiago</v>
      </c>
    </row>
    <row r="1309" spans="1:10" ht="14.25" customHeight="1" x14ac:dyDescent="0.25">
      <c r="A1309">
        <v>777129597</v>
      </c>
      <c r="B1309" t="s">
        <v>974</v>
      </c>
      <c r="C1309" t="s">
        <v>4391</v>
      </c>
      <c r="D1309">
        <v>13</v>
      </c>
      <c r="E1309" t="s">
        <v>4445</v>
      </c>
      <c r="F1309" t="s">
        <v>3092</v>
      </c>
      <c r="G1309" t="s">
        <v>5570</v>
      </c>
      <c r="H1309" t="s">
        <v>4915</v>
      </c>
      <c r="I1309" s="79" t="str">
        <f>IF(CARTERA_2026[[#This Row],[RUT]]=774097899,"DIST",_xlfn.XLOOKUP(CARTERA_2026[[#This Row],[VENDEDOR]],dimensiones!$C$21:$C$28,dimensiones!$D$21:$D$28,""))</f>
        <v>ATEL</v>
      </c>
      <c r="J1309" s="125" t="str">
        <f>_xlfn.XLOOKUP(CARTERA_2026[[#This Row],[REGION]],dimensiones!C:C,dimensiones!D:D,"")</f>
        <v>Región de Metropolitana de Santiago</v>
      </c>
    </row>
    <row r="1310" spans="1:10" ht="14.25" customHeight="1" x14ac:dyDescent="0.25">
      <c r="A1310">
        <v>777141570</v>
      </c>
      <c r="B1310" t="s">
        <v>5655</v>
      </c>
      <c r="C1310" t="s">
        <v>4460</v>
      </c>
      <c r="D1310">
        <v>8</v>
      </c>
      <c r="E1310" t="s">
        <v>4445</v>
      </c>
      <c r="F1310" t="s">
        <v>4931</v>
      </c>
      <c r="G1310" t="s">
        <v>5568</v>
      </c>
      <c r="H1310" t="s">
        <v>4915</v>
      </c>
      <c r="I1310" s="79" t="str">
        <f>IF(CARTERA_2026[[#This Row],[RUT]]=774097899,"DIST",_xlfn.XLOOKUP(CARTERA_2026[[#This Row],[VENDEDOR]],dimensiones!$C$21:$C$28,dimensiones!$D$21:$D$28,""))</f>
        <v>ATEL</v>
      </c>
      <c r="J1310" s="125" t="str">
        <f>_xlfn.XLOOKUP(CARTERA_2026[[#This Row],[REGION]],dimensiones!C:C,dimensiones!D:D,"")</f>
        <v>Región de Biobío</v>
      </c>
    </row>
    <row r="1311" spans="1:10" ht="14.25" customHeight="1" x14ac:dyDescent="0.25">
      <c r="A1311">
        <v>777228234</v>
      </c>
      <c r="B1311" t="s">
        <v>863</v>
      </c>
      <c r="C1311" t="s">
        <v>4393</v>
      </c>
      <c r="D1311">
        <v>13</v>
      </c>
      <c r="E1311" t="s">
        <v>4445</v>
      </c>
      <c r="F1311" t="s">
        <v>1598</v>
      </c>
      <c r="G1311" t="s">
        <v>5568</v>
      </c>
      <c r="H1311" t="s">
        <v>4915</v>
      </c>
      <c r="I1311" s="79" t="str">
        <f>IF(CARTERA_2026[[#This Row],[RUT]]=774097899,"DIST",_xlfn.XLOOKUP(CARTERA_2026[[#This Row],[VENDEDOR]],dimensiones!$C$21:$C$28,dimensiones!$D$21:$D$28,""))</f>
        <v>ATEL</v>
      </c>
      <c r="J1311" s="125" t="str">
        <f>_xlfn.XLOOKUP(CARTERA_2026[[#This Row],[REGION]],dimensiones!C:C,dimensiones!D:D,"")</f>
        <v>Región de Metropolitana de Santiago</v>
      </c>
    </row>
    <row r="1312" spans="1:10" ht="14.25" customHeight="1" x14ac:dyDescent="0.25">
      <c r="A1312">
        <v>777352210</v>
      </c>
      <c r="B1312" t="s">
        <v>5519</v>
      </c>
      <c r="C1312" t="s">
        <v>4321</v>
      </c>
      <c r="D1312">
        <v>5</v>
      </c>
      <c r="E1312" t="s">
        <v>4445</v>
      </c>
      <c r="F1312" t="s">
        <v>5520</v>
      </c>
      <c r="G1312" t="s">
        <v>5568</v>
      </c>
      <c r="H1312" t="s">
        <v>4915</v>
      </c>
      <c r="I1312" s="79" t="str">
        <f>IF(CARTERA_2026[[#This Row],[RUT]]=774097899,"DIST",_xlfn.XLOOKUP(CARTERA_2026[[#This Row],[VENDEDOR]],dimensiones!$C$21:$C$28,dimensiones!$D$21:$D$28,""))</f>
        <v>ATEL</v>
      </c>
      <c r="J1312" s="125" t="str">
        <f>_xlfn.XLOOKUP(CARTERA_2026[[#This Row],[REGION]],dimensiones!C:C,dimensiones!D:D,"")</f>
        <v>Región de Valparaíso</v>
      </c>
    </row>
    <row r="1313" spans="1:10" ht="14.25" customHeight="1" x14ac:dyDescent="0.25">
      <c r="A1313">
        <v>777412035</v>
      </c>
      <c r="B1313" t="s">
        <v>3097</v>
      </c>
      <c r="C1313" t="s">
        <v>4495</v>
      </c>
      <c r="D1313">
        <v>13</v>
      </c>
      <c r="E1313" t="s">
        <v>4445</v>
      </c>
      <c r="F1313" t="s">
        <v>3096</v>
      </c>
      <c r="G1313" t="s">
        <v>5570</v>
      </c>
      <c r="H1313" t="s">
        <v>4915</v>
      </c>
      <c r="I1313" s="79" t="str">
        <f>IF(CARTERA_2026[[#This Row],[RUT]]=774097899,"DIST",_xlfn.XLOOKUP(CARTERA_2026[[#This Row],[VENDEDOR]],dimensiones!$C$21:$C$28,dimensiones!$D$21:$D$28,""))</f>
        <v>ATEL</v>
      </c>
      <c r="J1313" s="125" t="str">
        <f>_xlfn.XLOOKUP(CARTERA_2026[[#This Row],[REGION]],dimensiones!C:C,dimensiones!D:D,"")</f>
        <v>Región de Metropolitana de Santiago</v>
      </c>
    </row>
    <row r="1314" spans="1:10" ht="14.25" customHeight="1" x14ac:dyDescent="0.25">
      <c r="A1314">
        <v>777443828</v>
      </c>
      <c r="B1314" t="s">
        <v>3100</v>
      </c>
      <c r="C1314" t="s">
        <v>4391</v>
      </c>
      <c r="D1314">
        <v>13</v>
      </c>
      <c r="E1314" t="s">
        <v>4445</v>
      </c>
      <c r="F1314" t="s">
        <v>3099</v>
      </c>
      <c r="G1314" t="s">
        <v>5568</v>
      </c>
      <c r="H1314" t="s">
        <v>4915</v>
      </c>
      <c r="I1314" s="79" t="str">
        <f>IF(CARTERA_2026[[#This Row],[RUT]]=774097899,"DIST",_xlfn.XLOOKUP(CARTERA_2026[[#This Row],[VENDEDOR]],dimensiones!$C$21:$C$28,dimensiones!$D$21:$D$28,""))</f>
        <v>ATEL</v>
      </c>
      <c r="J1314" s="125" t="str">
        <f>_xlfn.XLOOKUP(CARTERA_2026[[#This Row],[REGION]],dimensiones!C:C,dimensiones!D:D,"")</f>
        <v>Región de Metropolitana de Santiago</v>
      </c>
    </row>
    <row r="1315" spans="1:10" ht="14.25" customHeight="1" x14ac:dyDescent="0.25">
      <c r="A1315">
        <v>777474596</v>
      </c>
      <c r="B1315" t="s">
        <v>3103</v>
      </c>
      <c r="C1315" t="s">
        <v>4465</v>
      </c>
      <c r="D1315">
        <v>13</v>
      </c>
      <c r="E1315" t="s">
        <v>4445</v>
      </c>
      <c r="F1315" t="s">
        <v>3102</v>
      </c>
      <c r="G1315" t="s">
        <v>5568</v>
      </c>
      <c r="H1315" t="s">
        <v>4915</v>
      </c>
      <c r="I1315" s="79" t="str">
        <f>IF(CARTERA_2026[[#This Row],[RUT]]=774097899,"DIST",_xlfn.XLOOKUP(CARTERA_2026[[#This Row],[VENDEDOR]],dimensiones!$C$21:$C$28,dimensiones!$D$21:$D$28,""))</f>
        <v>ATEL</v>
      </c>
      <c r="J1315" s="125" t="str">
        <f>_xlfn.XLOOKUP(CARTERA_2026[[#This Row],[REGION]],dimensiones!C:C,dimensiones!D:D,"")</f>
        <v>Región de Metropolitana de Santiago</v>
      </c>
    </row>
    <row r="1316" spans="1:10" ht="14.25" customHeight="1" x14ac:dyDescent="0.25">
      <c r="A1316">
        <v>777492101</v>
      </c>
      <c r="B1316" t="s">
        <v>570</v>
      </c>
      <c r="C1316" t="s">
        <v>4168</v>
      </c>
      <c r="D1316">
        <v>13</v>
      </c>
      <c r="E1316" t="s">
        <v>4445</v>
      </c>
      <c r="F1316" t="s">
        <v>2374</v>
      </c>
      <c r="G1316" t="s">
        <v>5568</v>
      </c>
      <c r="H1316" t="s">
        <v>4915</v>
      </c>
      <c r="I1316" s="79" t="str">
        <f>IF(CARTERA_2026[[#This Row],[RUT]]=774097899,"DIST",_xlfn.XLOOKUP(CARTERA_2026[[#This Row],[VENDEDOR]],dimensiones!$C$21:$C$28,dimensiones!$D$21:$D$28,""))</f>
        <v>ATEL</v>
      </c>
      <c r="J1316" s="125" t="str">
        <f>_xlfn.XLOOKUP(CARTERA_2026[[#This Row],[REGION]],dimensiones!C:C,dimensiones!D:D,"")</f>
        <v>Región de Metropolitana de Santiago</v>
      </c>
    </row>
    <row r="1317" spans="1:10" ht="14.25" customHeight="1" x14ac:dyDescent="0.25">
      <c r="A1317">
        <v>777514059</v>
      </c>
      <c r="B1317" t="s">
        <v>4596</v>
      </c>
      <c r="C1317" t="s">
        <v>4183</v>
      </c>
      <c r="D1317">
        <v>8</v>
      </c>
      <c r="E1317" t="s">
        <v>4445</v>
      </c>
      <c r="F1317" t="s">
        <v>4595</v>
      </c>
      <c r="G1317" t="s">
        <v>5568</v>
      </c>
      <c r="H1317" t="s">
        <v>4915</v>
      </c>
      <c r="I1317" s="79" t="str">
        <f>IF(CARTERA_2026[[#This Row],[RUT]]=774097899,"DIST",_xlfn.XLOOKUP(CARTERA_2026[[#This Row],[VENDEDOR]],dimensiones!$C$21:$C$28,dimensiones!$D$21:$D$28,""))</f>
        <v>ATEL</v>
      </c>
      <c r="J1317" s="125" t="str">
        <f>_xlfn.XLOOKUP(CARTERA_2026[[#This Row],[REGION]],dimensiones!C:C,dimensiones!D:D,"")</f>
        <v>Región de Biobío</v>
      </c>
    </row>
    <row r="1318" spans="1:10" ht="14.25" customHeight="1" x14ac:dyDescent="0.25">
      <c r="A1318">
        <v>777653768</v>
      </c>
      <c r="B1318" t="s">
        <v>1098</v>
      </c>
      <c r="C1318" t="s">
        <v>4495</v>
      </c>
      <c r="D1318">
        <v>16</v>
      </c>
      <c r="E1318" t="s">
        <v>4445</v>
      </c>
      <c r="F1318" t="s">
        <v>2176</v>
      </c>
      <c r="G1318" t="s">
        <v>5568</v>
      </c>
      <c r="H1318" t="s">
        <v>4915</v>
      </c>
      <c r="I1318" s="79" t="str">
        <f>IF(CARTERA_2026[[#This Row],[RUT]]=774097899,"DIST",_xlfn.XLOOKUP(CARTERA_2026[[#This Row],[VENDEDOR]],dimensiones!$C$21:$C$28,dimensiones!$D$21:$D$28,""))</f>
        <v>ATEL</v>
      </c>
      <c r="J1318" s="125" t="str">
        <f>_xlfn.XLOOKUP(CARTERA_2026[[#This Row],[REGION]],dimensiones!C:C,dimensiones!D:D,"")</f>
        <v>Región de Ñuble</v>
      </c>
    </row>
    <row r="1319" spans="1:10" ht="14.25" customHeight="1" x14ac:dyDescent="0.25">
      <c r="A1319">
        <v>777691309</v>
      </c>
      <c r="B1319" t="s">
        <v>1090</v>
      </c>
      <c r="C1319" t="s">
        <v>4490</v>
      </c>
      <c r="D1319">
        <v>5</v>
      </c>
      <c r="E1319" t="s">
        <v>4445</v>
      </c>
      <c r="F1319" t="s">
        <v>3109</v>
      </c>
      <c r="G1319" t="s">
        <v>5570</v>
      </c>
      <c r="H1319" t="s">
        <v>4915</v>
      </c>
      <c r="I1319" s="79" t="str">
        <f>IF(CARTERA_2026[[#This Row],[RUT]]=774097899,"DIST",_xlfn.XLOOKUP(CARTERA_2026[[#This Row],[VENDEDOR]],dimensiones!$C$21:$C$28,dimensiones!$D$21:$D$28,""))</f>
        <v>ATEL</v>
      </c>
      <c r="J1319" s="125" t="str">
        <f>_xlfn.XLOOKUP(CARTERA_2026[[#This Row],[REGION]],dimensiones!C:C,dimensiones!D:D,"")</f>
        <v>Región de Valparaíso</v>
      </c>
    </row>
    <row r="1320" spans="1:10" ht="14.25" customHeight="1" x14ac:dyDescent="0.25">
      <c r="A1320">
        <v>777693468</v>
      </c>
      <c r="B1320" t="s">
        <v>5810</v>
      </c>
      <c r="C1320" t="s">
        <v>4448</v>
      </c>
      <c r="D1320">
        <v>13</v>
      </c>
      <c r="E1320" t="s">
        <v>4445</v>
      </c>
      <c r="F1320" t="s">
        <v>5811</v>
      </c>
      <c r="H1320" t="s">
        <v>4915</v>
      </c>
      <c r="I1320" s="79" t="str">
        <f>IF(CARTERA_2026[[#This Row],[RUT]]=774097899,"DIST",_xlfn.XLOOKUP(CARTERA_2026[[#This Row],[VENDEDOR]],dimensiones!$C$21:$C$28,dimensiones!$D$21:$D$28,""))</f>
        <v>ATEL</v>
      </c>
      <c r="J1320" s="125" t="str">
        <f>_xlfn.XLOOKUP(CARTERA_2026[[#This Row],[REGION]],dimensiones!C:C,dimensiones!D:D,"")</f>
        <v>Región de Metropolitana de Santiago</v>
      </c>
    </row>
    <row r="1321" spans="1:10" ht="14.25" customHeight="1" x14ac:dyDescent="0.25">
      <c r="A1321">
        <v>777723081</v>
      </c>
      <c r="B1321" t="s">
        <v>3112</v>
      </c>
      <c r="C1321" t="s">
        <v>4465</v>
      </c>
      <c r="D1321">
        <v>13</v>
      </c>
      <c r="E1321" t="s">
        <v>4445</v>
      </c>
      <c r="F1321" t="s">
        <v>3111</v>
      </c>
      <c r="G1321" t="s">
        <v>5570</v>
      </c>
      <c r="H1321" t="s">
        <v>4915</v>
      </c>
      <c r="I1321" s="79" t="str">
        <f>IF(CARTERA_2026[[#This Row],[RUT]]=774097899,"DIST",_xlfn.XLOOKUP(CARTERA_2026[[#This Row],[VENDEDOR]],dimensiones!$C$21:$C$28,dimensiones!$D$21:$D$28,""))</f>
        <v>ATEL</v>
      </c>
      <c r="J1321" s="125" t="str">
        <f>_xlfn.XLOOKUP(CARTERA_2026[[#This Row],[REGION]],dimensiones!C:C,dimensiones!D:D,"")</f>
        <v>Región de Metropolitana de Santiago</v>
      </c>
    </row>
    <row r="1322" spans="1:10" ht="14.25" customHeight="1" x14ac:dyDescent="0.25">
      <c r="A1322">
        <v>777746138</v>
      </c>
      <c r="B1322" t="s">
        <v>3115</v>
      </c>
      <c r="C1322" t="s">
        <v>4268</v>
      </c>
      <c r="D1322">
        <v>16</v>
      </c>
      <c r="E1322" t="s">
        <v>4445</v>
      </c>
      <c r="F1322" t="s">
        <v>3114</v>
      </c>
      <c r="G1322" t="s">
        <v>5569</v>
      </c>
      <c r="H1322" t="s">
        <v>4915</v>
      </c>
      <c r="I1322" s="79" t="str">
        <f>IF(CARTERA_2026[[#This Row],[RUT]]=774097899,"DIST",_xlfn.XLOOKUP(CARTERA_2026[[#This Row],[VENDEDOR]],dimensiones!$C$21:$C$28,dimensiones!$D$21:$D$28,""))</f>
        <v>ATEL</v>
      </c>
      <c r="J1322" s="125" t="str">
        <f>_xlfn.XLOOKUP(CARTERA_2026[[#This Row],[REGION]],dimensiones!C:C,dimensiones!D:D,"")</f>
        <v>Región de Ñuble</v>
      </c>
    </row>
    <row r="1323" spans="1:10" ht="14.25" customHeight="1" x14ac:dyDescent="0.25">
      <c r="A1323">
        <v>777767453</v>
      </c>
      <c r="B1323" t="s">
        <v>571</v>
      </c>
      <c r="C1323" t="s">
        <v>4463</v>
      </c>
      <c r="D1323">
        <v>13</v>
      </c>
      <c r="E1323" t="s">
        <v>4445</v>
      </c>
      <c r="F1323" t="s">
        <v>3117</v>
      </c>
      <c r="G1323" t="s">
        <v>5569</v>
      </c>
      <c r="H1323" t="s">
        <v>4915</v>
      </c>
      <c r="I1323" s="79" t="str">
        <f>IF(CARTERA_2026[[#This Row],[RUT]]=774097899,"DIST",_xlfn.XLOOKUP(CARTERA_2026[[#This Row],[VENDEDOR]],dimensiones!$C$21:$C$28,dimensiones!$D$21:$D$28,""))</f>
        <v>ATEL</v>
      </c>
      <c r="J1323" s="125" t="str">
        <f>_xlfn.XLOOKUP(CARTERA_2026[[#This Row],[REGION]],dimensiones!C:C,dimensiones!D:D,"")</f>
        <v>Región de Metropolitana de Santiago</v>
      </c>
    </row>
    <row r="1324" spans="1:10" ht="14.25" customHeight="1" x14ac:dyDescent="0.25">
      <c r="A1324">
        <v>777792954</v>
      </c>
      <c r="B1324" t="s">
        <v>948</v>
      </c>
      <c r="C1324" t="s">
        <v>4471</v>
      </c>
      <c r="D1324">
        <v>13</v>
      </c>
      <c r="E1324" t="s">
        <v>4445</v>
      </c>
      <c r="F1324" t="s">
        <v>3924</v>
      </c>
      <c r="G1324" t="s">
        <v>5570</v>
      </c>
      <c r="H1324" t="s">
        <v>4915</v>
      </c>
      <c r="I1324" s="79" t="str">
        <f>IF(CARTERA_2026[[#This Row],[RUT]]=774097899,"DIST",_xlfn.XLOOKUP(CARTERA_2026[[#This Row],[VENDEDOR]],dimensiones!$C$21:$C$28,dimensiones!$D$21:$D$28,""))</f>
        <v>ATEL</v>
      </c>
      <c r="J1324" s="125" t="str">
        <f>_xlfn.XLOOKUP(CARTERA_2026[[#This Row],[REGION]],dimensiones!C:C,dimensiones!D:D,"")</f>
        <v>Región de Metropolitana de Santiago</v>
      </c>
    </row>
    <row r="1325" spans="1:10" ht="14.25" customHeight="1" x14ac:dyDescent="0.25">
      <c r="A1325">
        <v>777941046</v>
      </c>
      <c r="B1325" t="s">
        <v>572</v>
      </c>
      <c r="C1325" t="s">
        <v>4182</v>
      </c>
      <c r="D1325">
        <v>2</v>
      </c>
      <c r="E1325" t="s">
        <v>4445</v>
      </c>
      <c r="F1325" t="s">
        <v>3121</v>
      </c>
      <c r="G1325" t="s">
        <v>5570</v>
      </c>
      <c r="H1325" t="s">
        <v>4915</v>
      </c>
      <c r="I1325" s="79" t="str">
        <f>IF(CARTERA_2026[[#This Row],[RUT]]=774097899,"DIST",_xlfn.XLOOKUP(CARTERA_2026[[#This Row],[VENDEDOR]],dimensiones!$C$21:$C$28,dimensiones!$D$21:$D$28,""))</f>
        <v>ATEL</v>
      </c>
      <c r="J1325" s="125" t="str">
        <f>_xlfn.XLOOKUP(CARTERA_2026[[#This Row],[REGION]],dimensiones!C:C,dimensiones!D:D,"")</f>
        <v>Región de Antofagasta</v>
      </c>
    </row>
    <row r="1326" spans="1:10" ht="14.25" customHeight="1" x14ac:dyDescent="0.25">
      <c r="A1326">
        <v>778058294</v>
      </c>
      <c r="B1326" t="s">
        <v>1084</v>
      </c>
      <c r="C1326" t="s">
        <v>4182</v>
      </c>
      <c r="D1326">
        <v>2</v>
      </c>
      <c r="E1326" t="s">
        <v>4445</v>
      </c>
      <c r="F1326" t="s">
        <v>3123</v>
      </c>
      <c r="G1326" t="s">
        <v>5568</v>
      </c>
      <c r="H1326" t="s">
        <v>4915</v>
      </c>
      <c r="I1326" s="79" t="str">
        <f>IF(CARTERA_2026[[#This Row],[RUT]]=774097899,"DIST",_xlfn.XLOOKUP(CARTERA_2026[[#This Row],[VENDEDOR]],dimensiones!$C$21:$C$28,dimensiones!$D$21:$D$28,""))</f>
        <v>ATEL</v>
      </c>
      <c r="J1326" s="125" t="str">
        <f>_xlfn.XLOOKUP(CARTERA_2026[[#This Row],[REGION]],dimensiones!C:C,dimensiones!D:D,"")</f>
        <v>Región de Antofagasta</v>
      </c>
    </row>
    <row r="1327" spans="1:10" ht="14.25" customHeight="1" x14ac:dyDescent="0.25">
      <c r="A1327">
        <v>778068524</v>
      </c>
      <c r="B1327" t="s">
        <v>938</v>
      </c>
      <c r="C1327" t="s">
        <v>4449</v>
      </c>
      <c r="D1327">
        <v>13</v>
      </c>
      <c r="E1327" t="s">
        <v>4445</v>
      </c>
      <c r="F1327" t="s">
        <v>3125</v>
      </c>
      <c r="G1327" t="s">
        <v>5570</v>
      </c>
      <c r="H1327" t="s">
        <v>4915</v>
      </c>
      <c r="I1327" s="79" t="str">
        <f>IF(CARTERA_2026[[#This Row],[RUT]]=774097899,"DIST",_xlfn.XLOOKUP(CARTERA_2026[[#This Row],[VENDEDOR]],dimensiones!$C$21:$C$28,dimensiones!$D$21:$D$28,""))</f>
        <v>ATEL</v>
      </c>
      <c r="J1327" s="125" t="str">
        <f>_xlfn.XLOOKUP(CARTERA_2026[[#This Row],[REGION]],dimensiones!C:C,dimensiones!D:D,"")</f>
        <v>Región de Metropolitana de Santiago</v>
      </c>
    </row>
    <row r="1328" spans="1:10" ht="14.25" customHeight="1" x14ac:dyDescent="0.25">
      <c r="A1328">
        <v>778078406</v>
      </c>
      <c r="B1328" t="s">
        <v>864</v>
      </c>
      <c r="C1328" t="s">
        <v>4561</v>
      </c>
      <c r="D1328">
        <v>13</v>
      </c>
      <c r="E1328" t="s">
        <v>4445</v>
      </c>
      <c r="F1328" t="s">
        <v>3814</v>
      </c>
      <c r="G1328" t="s">
        <v>5568</v>
      </c>
      <c r="H1328" t="s">
        <v>4915</v>
      </c>
      <c r="I1328" s="79" t="str">
        <f>IF(CARTERA_2026[[#This Row],[RUT]]=774097899,"DIST",_xlfn.XLOOKUP(CARTERA_2026[[#This Row],[VENDEDOR]],dimensiones!$C$21:$C$28,dimensiones!$D$21:$D$28,""))</f>
        <v>ATEL</v>
      </c>
      <c r="J1328" s="125" t="str">
        <f>_xlfn.XLOOKUP(CARTERA_2026[[#This Row],[REGION]],dimensiones!C:C,dimensiones!D:D,"")</f>
        <v>Región de Metropolitana de Santiago</v>
      </c>
    </row>
    <row r="1329" spans="1:10" ht="14.25" customHeight="1" x14ac:dyDescent="0.25">
      <c r="A1329">
        <v>778086247</v>
      </c>
      <c r="B1329" t="s">
        <v>5656</v>
      </c>
      <c r="C1329" t="s">
        <v>4544</v>
      </c>
      <c r="D1329">
        <v>13</v>
      </c>
      <c r="E1329" t="s">
        <v>4445</v>
      </c>
      <c r="F1329" t="s">
        <v>5657</v>
      </c>
      <c r="G1329" t="s">
        <v>5568</v>
      </c>
      <c r="H1329" t="s">
        <v>4915</v>
      </c>
      <c r="I1329" s="79" t="str">
        <f>IF(CARTERA_2026[[#This Row],[RUT]]=774097899,"DIST",_xlfn.XLOOKUP(CARTERA_2026[[#This Row],[VENDEDOR]],dimensiones!$C$21:$C$28,dimensiones!$D$21:$D$28,""))</f>
        <v>ATEL</v>
      </c>
      <c r="J1329" s="125" t="str">
        <f>_xlfn.XLOOKUP(CARTERA_2026[[#This Row],[REGION]],dimensiones!C:C,dimensiones!D:D,"")</f>
        <v>Región de Metropolitana de Santiago</v>
      </c>
    </row>
    <row r="1330" spans="1:10" ht="14.25" customHeight="1" x14ac:dyDescent="0.25">
      <c r="A1330">
        <v>778127342</v>
      </c>
      <c r="B1330" t="s">
        <v>3131</v>
      </c>
      <c r="C1330" t="s">
        <v>4394</v>
      </c>
      <c r="D1330">
        <v>13</v>
      </c>
      <c r="E1330" t="s">
        <v>4445</v>
      </c>
      <c r="F1330" t="s">
        <v>3130</v>
      </c>
      <c r="G1330" t="s">
        <v>5568</v>
      </c>
      <c r="H1330" t="s">
        <v>4915</v>
      </c>
      <c r="I1330" s="79" t="str">
        <f>IF(CARTERA_2026[[#This Row],[RUT]]=774097899,"DIST",_xlfn.XLOOKUP(CARTERA_2026[[#This Row],[VENDEDOR]],dimensiones!$C$21:$C$28,dimensiones!$D$21:$D$28,""))</f>
        <v>ATEL</v>
      </c>
      <c r="J1330" s="125" t="str">
        <f>_xlfn.XLOOKUP(CARTERA_2026[[#This Row],[REGION]],dimensiones!C:C,dimensiones!D:D,"")</f>
        <v>Región de Metropolitana de Santiago</v>
      </c>
    </row>
    <row r="1331" spans="1:10" ht="14.25" customHeight="1" x14ac:dyDescent="0.25">
      <c r="A1331" t="s">
        <v>5676</v>
      </c>
      <c r="B1331" t="s">
        <v>5677</v>
      </c>
      <c r="C1331" t="s">
        <v>4391</v>
      </c>
      <c r="D1331">
        <v>13</v>
      </c>
      <c r="E1331" t="s">
        <v>4445</v>
      </c>
      <c r="F1331" t="s">
        <v>5678</v>
      </c>
      <c r="G1331" t="s">
        <v>5570</v>
      </c>
      <c r="H1331" t="s">
        <v>4915</v>
      </c>
      <c r="I1331" s="79" t="str">
        <f>IF(CARTERA_2026[[#This Row],[RUT]]=774097899,"DIST",_xlfn.XLOOKUP(CARTERA_2026[[#This Row],[VENDEDOR]],dimensiones!$C$21:$C$28,dimensiones!$D$21:$D$28,""))</f>
        <v>ATEL</v>
      </c>
      <c r="J1331" s="125" t="str">
        <f>_xlfn.XLOOKUP(CARTERA_2026[[#This Row],[REGION]],dimensiones!C:C,dimensiones!D:D,"")</f>
        <v>Región de Metropolitana de Santiago</v>
      </c>
    </row>
    <row r="1332" spans="1:10" ht="14.25" customHeight="1" x14ac:dyDescent="0.25">
      <c r="A1332" t="s">
        <v>978</v>
      </c>
      <c r="B1332" t="s">
        <v>980</v>
      </c>
      <c r="C1332" t="s">
        <v>4465</v>
      </c>
      <c r="D1332">
        <v>13</v>
      </c>
      <c r="E1332" t="s">
        <v>4445</v>
      </c>
      <c r="F1332" t="s">
        <v>3133</v>
      </c>
      <c r="G1332" t="s">
        <v>5570</v>
      </c>
      <c r="H1332" t="s">
        <v>4915</v>
      </c>
      <c r="I1332" s="79" t="str">
        <f>IF(CARTERA_2026[[#This Row],[RUT]]=774097899,"DIST",_xlfn.XLOOKUP(CARTERA_2026[[#This Row],[VENDEDOR]],dimensiones!$C$21:$C$28,dimensiones!$D$21:$D$28,""))</f>
        <v>ATEL</v>
      </c>
      <c r="J1332" s="125" t="str">
        <f>_xlfn.XLOOKUP(CARTERA_2026[[#This Row],[REGION]],dimensiones!C:C,dimensiones!D:D,"")</f>
        <v>Región de Metropolitana de Santiago</v>
      </c>
    </row>
    <row r="1333" spans="1:10" ht="14.25" customHeight="1" x14ac:dyDescent="0.25">
      <c r="A1333">
        <v>778187922</v>
      </c>
      <c r="B1333" t="s">
        <v>573</v>
      </c>
      <c r="C1333" t="s">
        <v>4181</v>
      </c>
      <c r="D1333">
        <v>15</v>
      </c>
      <c r="E1333" t="s">
        <v>4445</v>
      </c>
      <c r="F1333" t="s">
        <v>3135</v>
      </c>
      <c r="G1333" t="s">
        <v>5569</v>
      </c>
      <c r="H1333" t="s">
        <v>4915</v>
      </c>
      <c r="I1333" s="79" t="str">
        <f>IF(CARTERA_2026[[#This Row],[RUT]]=774097899,"DIST",_xlfn.XLOOKUP(CARTERA_2026[[#This Row],[VENDEDOR]],dimensiones!$C$21:$C$28,dimensiones!$D$21:$D$28,""))</f>
        <v>ATEL</v>
      </c>
      <c r="J1333" s="125" t="str">
        <f>_xlfn.XLOOKUP(CARTERA_2026[[#This Row],[REGION]],dimensiones!C:C,dimensiones!D:D,"")</f>
        <v>Región de Arica y Parinacota</v>
      </c>
    </row>
    <row r="1334" spans="1:10" ht="14.25" customHeight="1" x14ac:dyDescent="0.25">
      <c r="A1334">
        <v>778338394</v>
      </c>
      <c r="B1334" t="s">
        <v>5709</v>
      </c>
      <c r="C1334" t="s">
        <v>4171</v>
      </c>
      <c r="D1334">
        <v>4</v>
      </c>
      <c r="E1334" t="s">
        <v>4445</v>
      </c>
      <c r="F1334" t="s">
        <v>5710</v>
      </c>
      <c r="G1334" t="s">
        <v>5568</v>
      </c>
      <c r="H1334" t="s">
        <v>4915</v>
      </c>
      <c r="I1334" s="79" t="str">
        <f>IF(CARTERA_2026[[#This Row],[RUT]]=774097899,"DIST",_xlfn.XLOOKUP(CARTERA_2026[[#This Row],[VENDEDOR]],dimensiones!$C$21:$C$28,dimensiones!$D$21:$D$28,""))</f>
        <v>ATEL</v>
      </c>
      <c r="J1334" s="125" t="str">
        <f>_xlfn.XLOOKUP(CARTERA_2026[[#This Row],[REGION]],dimensiones!C:C,dimensiones!D:D,"")</f>
        <v>Región de Coquimbo</v>
      </c>
    </row>
    <row r="1335" spans="1:10" ht="14.25" customHeight="1" x14ac:dyDescent="0.25">
      <c r="A1335">
        <v>778411377</v>
      </c>
      <c r="B1335" t="s">
        <v>5592</v>
      </c>
      <c r="C1335" t="s">
        <v>4391</v>
      </c>
      <c r="D1335">
        <v>13</v>
      </c>
      <c r="E1335" t="s">
        <v>4445</v>
      </c>
      <c r="F1335" t="s">
        <v>5593</v>
      </c>
      <c r="G1335" t="s">
        <v>5568</v>
      </c>
      <c r="H1335" t="s">
        <v>4915</v>
      </c>
      <c r="I1335" s="79" t="str">
        <f>IF(CARTERA_2026[[#This Row],[RUT]]=774097899,"DIST",_xlfn.XLOOKUP(CARTERA_2026[[#This Row],[VENDEDOR]],dimensiones!$C$21:$C$28,dimensiones!$D$21:$D$28,""))</f>
        <v>ATEL</v>
      </c>
      <c r="J1335" s="125" t="str">
        <f>_xlfn.XLOOKUP(CARTERA_2026[[#This Row],[REGION]],dimensiones!C:C,dimensiones!D:D,"")</f>
        <v>Región de Metropolitana de Santiago</v>
      </c>
    </row>
    <row r="1336" spans="1:10" ht="14.25" customHeight="1" x14ac:dyDescent="0.25">
      <c r="A1336">
        <v>778422891</v>
      </c>
      <c r="B1336" t="s">
        <v>4598</v>
      </c>
      <c r="C1336" t="s">
        <v>4460</v>
      </c>
      <c r="D1336">
        <v>8</v>
      </c>
      <c r="E1336" t="s">
        <v>4445</v>
      </c>
      <c r="F1336" t="s">
        <v>4597</v>
      </c>
      <c r="G1336" t="s">
        <v>5568</v>
      </c>
      <c r="H1336" t="s">
        <v>4915</v>
      </c>
      <c r="I1336" s="79" t="str">
        <f>IF(CARTERA_2026[[#This Row],[RUT]]=774097899,"DIST",_xlfn.XLOOKUP(CARTERA_2026[[#This Row],[VENDEDOR]],dimensiones!$C$21:$C$28,dimensiones!$D$21:$D$28,""))</f>
        <v>ATEL</v>
      </c>
      <c r="J1336" s="125" t="str">
        <f>_xlfn.XLOOKUP(CARTERA_2026[[#This Row],[REGION]],dimensiones!C:C,dimensiones!D:D,"")</f>
        <v>Región de Biobío</v>
      </c>
    </row>
    <row r="1337" spans="1:10" ht="14.25" customHeight="1" x14ac:dyDescent="0.25">
      <c r="A1337">
        <v>778475790</v>
      </c>
      <c r="B1337" t="s">
        <v>5767</v>
      </c>
      <c r="C1337" t="s">
        <v>4218</v>
      </c>
      <c r="D1337"/>
      <c r="E1337" t="s">
        <v>4445</v>
      </c>
      <c r="F1337" t="s">
        <v>5768</v>
      </c>
      <c r="G1337" t="s">
        <v>5568</v>
      </c>
      <c r="H1337" t="s">
        <v>4915</v>
      </c>
      <c r="I1337" s="79" t="str">
        <f>IF(CARTERA_2026[[#This Row],[RUT]]=774097899,"DIST",_xlfn.XLOOKUP(CARTERA_2026[[#This Row],[VENDEDOR]],dimensiones!$C$21:$C$28,dimensiones!$D$21:$D$28,""))</f>
        <v>ATEL</v>
      </c>
      <c r="J1337" s="125">
        <f>_xlfn.XLOOKUP(CARTERA_2026[[#This Row],[REGION]],dimensiones!C:C,dimensiones!D:D,"")</f>
        <v>0</v>
      </c>
    </row>
    <row r="1338" spans="1:10" ht="14.25" customHeight="1" x14ac:dyDescent="0.25">
      <c r="A1338">
        <v>778551837</v>
      </c>
      <c r="B1338" t="s">
        <v>5451</v>
      </c>
      <c r="C1338" t="s">
        <v>4391</v>
      </c>
      <c r="D1338">
        <v>13</v>
      </c>
      <c r="E1338" t="s">
        <v>4445</v>
      </c>
      <c r="F1338" t="s">
        <v>5452</v>
      </c>
      <c r="G1338" t="s">
        <v>5568</v>
      </c>
      <c r="H1338" t="s">
        <v>4915</v>
      </c>
      <c r="I1338" s="79" t="str">
        <f>IF(CARTERA_2026[[#This Row],[RUT]]=774097899,"DIST",_xlfn.XLOOKUP(CARTERA_2026[[#This Row],[VENDEDOR]],dimensiones!$C$21:$C$28,dimensiones!$D$21:$D$28,""))</f>
        <v>ATEL</v>
      </c>
      <c r="J1338" s="125" t="str">
        <f>_xlfn.XLOOKUP(CARTERA_2026[[#This Row],[REGION]],dimensiones!C:C,dimensiones!D:D,"")</f>
        <v>Región de Metropolitana de Santiago</v>
      </c>
    </row>
    <row r="1339" spans="1:10" ht="14.25" customHeight="1" x14ac:dyDescent="0.25">
      <c r="A1339">
        <v>778653494</v>
      </c>
      <c r="B1339" t="s">
        <v>3138</v>
      </c>
      <c r="C1339" t="s">
        <v>4175</v>
      </c>
      <c r="D1339">
        <v>5</v>
      </c>
      <c r="E1339" t="s">
        <v>4445</v>
      </c>
      <c r="F1339" t="s">
        <v>3137</v>
      </c>
      <c r="G1339" t="s">
        <v>5568</v>
      </c>
      <c r="H1339" t="s">
        <v>4915</v>
      </c>
      <c r="I1339" s="79" t="str">
        <f>IF(CARTERA_2026[[#This Row],[RUT]]=774097899,"DIST",_xlfn.XLOOKUP(CARTERA_2026[[#This Row],[VENDEDOR]],dimensiones!$C$21:$C$28,dimensiones!$D$21:$D$28,""))</f>
        <v>ATEL</v>
      </c>
      <c r="J1339" s="125" t="str">
        <f>_xlfn.XLOOKUP(CARTERA_2026[[#This Row],[REGION]],dimensiones!C:C,dimensiones!D:D,"")</f>
        <v>Región de Valparaíso</v>
      </c>
    </row>
    <row r="1340" spans="1:10" ht="14.25" customHeight="1" x14ac:dyDescent="0.25">
      <c r="A1340">
        <v>778744848</v>
      </c>
      <c r="B1340" t="s">
        <v>3574</v>
      </c>
      <c r="C1340" t="s">
        <v>4380</v>
      </c>
      <c r="D1340">
        <v>8</v>
      </c>
      <c r="E1340" t="s">
        <v>4445</v>
      </c>
      <c r="F1340" t="s">
        <v>3573</v>
      </c>
      <c r="G1340" t="s">
        <v>5568</v>
      </c>
      <c r="H1340" t="s">
        <v>4915</v>
      </c>
      <c r="I1340" s="79" t="str">
        <f>IF(CARTERA_2026[[#This Row],[RUT]]=774097899,"DIST",_xlfn.XLOOKUP(CARTERA_2026[[#This Row],[VENDEDOR]],dimensiones!$C$21:$C$28,dimensiones!$D$21:$D$28,""))</f>
        <v>ATEL</v>
      </c>
      <c r="J1340" s="125" t="str">
        <f>_xlfn.XLOOKUP(CARTERA_2026[[#This Row],[REGION]],dimensiones!C:C,dimensiones!D:D,"")</f>
        <v>Región de Biobío</v>
      </c>
    </row>
    <row r="1341" spans="1:10" ht="14.25" customHeight="1" x14ac:dyDescent="0.25">
      <c r="A1341">
        <v>778781700</v>
      </c>
      <c r="B1341" t="s">
        <v>574</v>
      </c>
      <c r="C1341" t="s">
        <v>4197</v>
      </c>
      <c r="D1341">
        <v>13</v>
      </c>
      <c r="E1341" t="s">
        <v>4445</v>
      </c>
      <c r="F1341" t="s">
        <v>2109</v>
      </c>
      <c r="G1341" t="s">
        <v>5570</v>
      </c>
      <c r="H1341" t="s">
        <v>4915</v>
      </c>
      <c r="I1341" s="79" t="str">
        <f>IF(CARTERA_2026[[#This Row],[RUT]]=774097899,"DIST",_xlfn.XLOOKUP(CARTERA_2026[[#This Row],[VENDEDOR]],dimensiones!$C$21:$C$28,dimensiones!$D$21:$D$28,""))</f>
        <v>ATEL</v>
      </c>
      <c r="J1341" s="125" t="str">
        <f>_xlfn.XLOOKUP(CARTERA_2026[[#This Row],[REGION]],dimensiones!C:C,dimensiones!D:D,"")</f>
        <v>Región de Metropolitana de Santiago</v>
      </c>
    </row>
    <row r="1342" spans="1:10" ht="14.25" customHeight="1" x14ac:dyDescent="0.25">
      <c r="A1342">
        <v>778830833</v>
      </c>
      <c r="B1342" t="s">
        <v>1101</v>
      </c>
      <c r="C1342" t="s">
        <v>4401</v>
      </c>
      <c r="D1342">
        <v>13</v>
      </c>
      <c r="E1342" t="s">
        <v>4445</v>
      </c>
      <c r="F1342" t="s">
        <v>1923</v>
      </c>
      <c r="G1342" t="s">
        <v>5568</v>
      </c>
      <c r="H1342" t="s">
        <v>4915</v>
      </c>
      <c r="I1342" s="79" t="str">
        <f>IF(CARTERA_2026[[#This Row],[RUT]]=774097899,"DIST",_xlfn.XLOOKUP(CARTERA_2026[[#This Row],[VENDEDOR]],dimensiones!$C$21:$C$28,dimensiones!$D$21:$D$28,""))</f>
        <v>ATEL</v>
      </c>
      <c r="J1342" s="125" t="str">
        <f>_xlfn.XLOOKUP(CARTERA_2026[[#This Row],[REGION]],dimensiones!C:C,dimensiones!D:D,"")</f>
        <v>Región de Metropolitana de Santiago</v>
      </c>
    </row>
    <row r="1343" spans="1:10" ht="14.25" customHeight="1" x14ac:dyDescent="0.25">
      <c r="A1343">
        <v>778962551</v>
      </c>
      <c r="B1343" t="s">
        <v>5488</v>
      </c>
      <c r="C1343" t="s">
        <v>4560</v>
      </c>
      <c r="D1343">
        <v>10</v>
      </c>
      <c r="E1343" t="s">
        <v>4445</v>
      </c>
      <c r="F1343" t="s">
        <v>5489</v>
      </c>
      <c r="G1343" t="s">
        <v>5569</v>
      </c>
      <c r="H1343" t="s">
        <v>4915</v>
      </c>
      <c r="I1343" s="79" t="str">
        <f>IF(CARTERA_2026[[#This Row],[RUT]]=774097899,"DIST",_xlfn.XLOOKUP(CARTERA_2026[[#This Row],[VENDEDOR]],dimensiones!$C$21:$C$28,dimensiones!$D$21:$D$28,""))</f>
        <v>ATEL</v>
      </c>
      <c r="J1343" s="125" t="str">
        <f>_xlfn.XLOOKUP(CARTERA_2026[[#This Row],[REGION]],dimensiones!C:C,dimensiones!D:D,"")</f>
        <v>Región de Los Lagos</v>
      </c>
    </row>
    <row r="1344" spans="1:10" ht="14.25" customHeight="1" x14ac:dyDescent="0.25">
      <c r="A1344" t="s">
        <v>5535</v>
      </c>
      <c r="B1344" t="s">
        <v>5536</v>
      </c>
      <c r="C1344" t="s">
        <v>4458</v>
      </c>
      <c r="D1344">
        <v>13</v>
      </c>
      <c r="E1344" t="s">
        <v>4445</v>
      </c>
      <c r="F1344" t="s">
        <v>5537</v>
      </c>
      <c r="G1344" t="s">
        <v>5568</v>
      </c>
      <c r="H1344" t="s">
        <v>4915</v>
      </c>
      <c r="I1344" s="79" t="str">
        <f>IF(CARTERA_2026[[#This Row],[RUT]]=774097899,"DIST",_xlfn.XLOOKUP(CARTERA_2026[[#This Row],[VENDEDOR]],dimensiones!$C$21:$C$28,dimensiones!$D$21:$D$28,""))</f>
        <v>ATEL</v>
      </c>
      <c r="J1344" s="125" t="str">
        <f>_xlfn.XLOOKUP(CARTERA_2026[[#This Row],[REGION]],dimensiones!C:C,dimensiones!D:D,"")</f>
        <v>Región de Metropolitana de Santiago</v>
      </c>
    </row>
    <row r="1345" spans="1:20" x14ac:dyDescent="0.25">
      <c r="A1345">
        <v>778997223</v>
      </c>
      <c r="B1345" t="s">
        <v>1016</v>
      </c>
      <c r="C1345" t="s">
        <v>4552</v>
      </c>
      <c r="D1345">
        <v>13</v>
      </c>
      <c r="E1345" t="s">
        <v>4445</v>
      </c>
      <c r="F1345" t="s">
        <v>3145</v>
      </c>
      <c r="G1345" t="s">
        <v>5568</v>
      </c>
      <c r="H1345" t="s">
        <v>4915</v>
      </c>
      <c r="I1345" s="79" t="str">
        <f>IF(CARTERA_2026[[#This Row],[RUT]]=774097899,"DIST",_xlfn.XLOOKUP(CARTERA_2026[[#This Row],[VENDEDOR]],dimensiones!$C$21:$C$28,dimensiones!$D$21:$D$28,""))</f>
        <v>ATEL</v>
      </c>
      <c r="J1345" s="125" t="str">
        <f>_xlfn.XLOOKUP(CARTERA_2026[[#This Row],[REGION]],dimensiones!C:C,dimensiones!D:D,"")</f>
        <v>Región de Metropolitana de Santiago</v>
      </c>
    </row>
    <row r="1346" spans="1:20" x14ac:dyDescent="0.25">
      <c r="A1346">
        <v>779008525</v>
      </c>
      <c r="B1346" t="s">
        <v>4600</v>
      </c>
      <c r="C1346" t="s">
        <v>4401</v>
      </c>
      <c r="D1346">
        <v>13</v>
      </c>
      <c r="E1346" t="s">
        <v>4445</v>
      </c>
      <c r="F1346" t="s">
        <v>4599</v>
      </c>
      <c r="G1346" t="s">
        <v>5568</v>
      </c>
      <c r="H1346" t="s">
        <v>4915</v>
      </c>
      <c r="I1346" s="79" t="str">
        <f>IF(CARTERA_2026[[#This Row],[RUT]]=774097899,"DIST",_xlfn.XLOOKUP(CARTERA_2026[[#This Row],[VENDEDOR]],dimensiones!$C$21:$C$28,dimensiones!$D$21:$D$28,""))</f>
        <v>ATEL</v>
      </c>
      <c r="J1346" s="125" t="str">
        <f>_xlfn.XLOOKUP(CARTERA_2026[[#This Row],[REGION]],dimensiones!C:C,dimensiones!D:D,"")</f>
        <v>Región de Metropolitana de Santiago</v>
      </c>
    </row>
    <row r="1347" spans="1:20" x14ac:dyDescent="0.25">
      <c r="A1347">
        <v>779033414</v>
      </c>
      <c r="B1347" t="s">
        <v>952</v>
      </c>
      <c r="C1347" t="s">
        <v>4465</v>
      </c>
      <c r="D1347">
        <v>13</v>
      </c>
      <c r="E1347" t="s">
        <v>4445</v>
      </c>
      <c r="F1347" t="s">
        <v>3147</v>
      </c>
      <c r="G1347" t="s">
        <v>5568</v>
      </c>
      <c r="H1347" t="s">
        <v>4915</v>
      </c>
      <c r="I1347" s="79" t="str">
        <f>IF(CARTERA_2026[[#This Row],[RUT]]=774097899,"DIST",_xlfn.XLOOKUP(CARTERA_2026[[#This Row],[VENDEDOR]],dimensiones!$C$21:$C$28,dimensiones!$D$21:$D$28,""))</f>
        <v>ATEL</v>
      </c>
      <c r="J1347" s="125" t="str">
        <f>_xlfn.XLOOKUP(CARTERA_2026[[#This Row],[REGION]],dimensiones!C:C,dimensiones!D:D,"")</f>
        <v>Región de Metropolitana de Santiago</v>
      </c>
      <c r="N1347" s="98"/>
      <c r="O1347" s="99"/>
      <c r="P1347" s="95"/>
      <c r="Q1347" s="98"/>
      <c r="R1347" s="98"/>
      <c r="S1347" s="98"/>
      <c r="T1347" s="96"/>
    </row>
    <row r="1348" spans="1:20" x14ac:dyDescent="0.25">
      <c r="A1348">
        <v>779037460</v>
      </c>
      <c r="B1348" t="s">
        <v>5814</v>
      </c>
      <c r="C1348" t="s">
        <v>4190</v>
      </c>
      <c r="D1348">
        <v>10</v>
      </c>
      <c r="E1348" t="s">
        <v>4445</v>
      </c>
      <c r="F1348" t="s">
        <v>5815</v>
      </c>
      <c r="H1348" t="s">
        <v>4915</v>
      </c>
      <c r="I1348" s="79" t="str">
        <f>IF(CARTERA_2026[[#This Row],[RUT]]=774097899,"DIST",_xlfn.XLOOKUP(CARTERA_2026[[#This Row],[VENDEDOR]],dimensiones!$C$21:$C$28,dimensiones!$D$21:$D$28,""))</f>
        <v>ATEL</v>
      </c>
      <c r="J1348" s="125" t="str">
        <f>_xlfn.XLOOKUP(CARTERA_2026[[#This Row],[REGION]],dimensiones!C:C,dimensiones!D:D,"")</f>
        <v>Región de Los Lagos</v>
      </c>
      <c r="N1348" s="101"/>
      <c r="O1348" s="102"/>
      <c r="P1348" s="93"/>
      <c r="Q1348" s="101"/>
      <c r="R1348" s="101"/>
      <c r="S1348" s="101"/>
      <c r="T1348" s="94"/>
    </row>
    <row r="1349" spans="1:20" x14ac:dyDescent="0.25">
      <c r="A1349">
        <v>779039218</v>
      </c>
      <c r="B1349" t="s">
        <v>5558</v>
      </c>
      <c r="C1349" t="s">
        <v>4175</v>
      </c>
      <c r="D1349">
        <v>5</v>
      </c>
      <c r="E1349" t="s">
        <v>4445</v>
      </c>
      <c r="F1349" t="s">
        <v>5559</v>
      </c>
      <c r="G1349" t="s">
        <v>5570</v>
      </c>
      <c r="H1349" t="s">
        <v>4915</v>
      </c>
      <c r="I1349" s="79" t="str">
        <f>IF(CARTERA_2026[[#This Row],[RUT]]=774097899,"DIST",_xlfn.XLOOKUP(CARTERA_2026[[#This Row],[VENDEDOR]],dimensiones!$C$21:$C$28,dimensiones!$D$21:$D$28,""))</f>
        <v>ATEL</v>
      </c>
      <c r="J1349" s="125" t="str">
        <f>_xlfn.XLOOKUP(CARTERA_2026[[#This Row],[REGION]],dimensiones!C:C,dimensiones!D:D,"")</f>
        <v>Región de Valparaíso</v>
      </c>
      <c r="N1349" s="98"/>
      <c r="O1349" s="99"/>
      <c r="P1349" s="95"/>
      <c r="Q1349" s="98"/>
      <c r="R1349" s="98"/>
      <c r="S1349" s="98"/>
      <c r="T1349" s="96"/>
    </row>
    <row r="1350" spans="1:20" x14ac:dyDescent="0.25">
      <c r="A1350">
        <v>779041808</v>
      </c>
      <c r="B1350" t="s">
        <v>1205</v>
      </c>
      <c r="C1350" t="s">
        <v>4203</v>
      </c>
      <c r="D1350">
        <v>6</v>
      </c>
      <c r="E1350" t="s">
        <v>4445</v>
      </c>
      <c r="F1350" t="s">
        <v>1204</v>
      </c>
      <c r="G1350" t="s">
        <v>5568</v>
      </c>
      <c r="H1350" t="s">
        <v>4915</v>
      </c>
      <c r="I1350" s="79" t="str">
        <f>IF(CARTERA_2026[[#This Row],[RUT]]=774097899,"DIST",_xlfn.XLOOKUP(CARTERA_2026[[#This Row],[VENDEDOR]],dimensiones!$C$21:$C$28,dimensiones!$D$21:$D$28,""))</f>
        <v>ATEL</v>
      </c>
      <c r="J1350" s="125" t="str">
        <f>_xlfn.XLOOKUP(CARTERA_2026[[#This Row],[REGION]],dimensiones!C:C,dimensiones!D:D,"")</f>
        <v>Región de Libertador General Bernardo O'Higgins</v>
      </c>
      <c r="N1350" s="93"/>
      <c r="O1350" s="102"/>
      <c r="P1350" s="93"/>
      <c r="Q1350" s="101"/>
      <c r="R1350" s="101"/>
      <c r="S1350" s="101"/>
      <c r="T1350" s="94"/>
    </row>
    <row r="1351" spans="1:20" x14ac:dyDescent="0.25">
      <c r="A1351">
        <v>779049493</v>
      </c>
      <c r="B1351" t="s">
        <v>1102</v>
      </c>
      <c r="C1351" t="s">
        <v>4510</v>
      </c>
      <c r="D1351">
        <v>13</v>
      </c>
      <c r="E1351" t="s">
        <v>4445</v>
      </c>
      <c r="F1351" t="s">
        <v>2226</v>
      </c>
      <c r="G1351" t="s">
        <v>5569</v>
      </c>
      <c r="H1351" t="s">
        <v>4915</v>
      </c>
      <c r="I1351" s="79" t="str">
        <f>IF(CARTERA_2026[[#This Row],[RUT]]=774097899,"DIST",_xlfn.XLOOKUP(CARTERA_2026[[#This Row],[VENDEDOR]],dimensiones!$C$21:$C$28,dimensiones!$D$21:$D$28,""))</f>
        <v>ATEL</v>
      </c>
      <c r="J1351" s="125" t="str">
        <f>_xlfn.XLOOKUP(CARTERA_2026[[#This Row],[REGION]],dimensiones!C:C,dimensiones!D:D,"")</f>
        <v>Región de Metropolitana de Santiago</v>
      </c>
      <c r="N1351" s="98"/>
      <c r="O1351" s="103"/>
      <c r="P1351" s="95"/>
      <c r="Q1351" s="98"/>
      <c r="R1351" s="98"/>
      <c r="S1351" s="98"/>
      <c r="T1351" s="104"/>
    </row>
    <row r="1352" spans="1:20" x14ac:dyDescent="0.25">
      <c r="A1352">
        <v>779085430</v>
      </c>
      <c r="B1352" t="s">
        <v>5761</v>
      </c>
      <c r="C1352" t="s">
        <v>4470</v>
      </c>
      <c r="D1352"/>
      <c r="E1352" t="s">
        <v>4445</v>
      </c>
      <c r="F1352" t="s">
        <v>5762</v>
      </c>
      <c r="G1352" t="s">
        <v>5568</v>
      </c>
      <c r="H1352" t="s">
        <v>4915</v>
      </c>
      <c r="I1352" s="79" t="str">
        <f>IF(CARTERA_2026[[#This Row],[RUT]]=774097899,"DIST",_xlfn.XLOOKUP(CARTERA_2026[[#This Row],[VENDEDOR]],dimensiones!$C$21:$C$28,dimensiones!$D$21:$D$28,""))</f>
        <v>ATEL</v>
      </c>
      <c r="J1352" s="125">
        <f>_xlfn.XLOOKUP(CARTERA_2026[[#This Row],[REGION]],dimensiones!C:C,dimensiones!D:D,"")</f>
        <v>0</v>
      </c>
      <c r="N1352" s="101"/>
      <c r="O1352" s="105"/>
      <c r="P1352" s="93"/>
      <c r="Q1352" s="101"/>
      <c r="R1352" s="101"/>
      <c r="S1352" s="101"/>
      <c r="T1352" s="106"/>
    </row>
    <row r="1353" spans="1:20" x14ac:dyDescent="0.25">
      <c r="A1353">
        <v>779140350</v>
      </c>
      <c r="B1353" t="s">
        <v>5515</v>
      </c>
      <c r="C1353" t="s">
        <v>4529</v>
      </c>
      <c r="D1353">
        <v>13</v>
      </c>
      <c r="E1353" t="s">
        <v>4445</v>
      </c>
      <c r="F1353" t="s">
        <v>5516</v>
      </c>
      <c r="G1353" t="s">
        <v>5569</v>
      </c>
      <c r="H1353" t="s">
        <v>4915</v>
      </c>
      <c r="I1353" s="79" t="str">
        <f>IF(CARTERA_2026[[#This Row],[RUT]]=774097899,"DIST",_xlfn.XLOOKUP(CARTERA_2026[[#This Row],[VENDEDOR]],dimensiones!$C$21:$C$28,dimensiones!$D$21:$D$28,""))</f>
        <v>ATEL</v>
      </c>
      <c r="J1353" s="125" t="str">
        <f>_xlfn.XLOOKUP(CARTERA_2026[[#This Row],[REGION]],dimensiones!C:C,dimensiones!D:D,"")</f>
        <v>Región de Metropolitana de Santiago</v>
      </c>
      <c r="N1353" s="98"/>
      <c r="O1353" s="103"/>
      <c r="P1353" s="95"/>
      <c r="Q1353" s="98"/>
      <c r="R1353" s="98"/>
      <c r="S1353" s="98"/>
      <c r="T1353" s="104"/>
    </row>
    <row r="1354" spans="1:20" x14ac:dyDescent="0.25">
      <c r="A1354">
        <v>779278468</v>
      </c>
      <c r="B1354" t="s">
        <v>5611</v>
      </c>
      <c r="C1354" t="s">
        <v>4251</v>
      </c>
      <c r="D1354">
        <v>5</v>
      </c>
      <c r="E1354" t="s">
        <v>4445</v>
      </c>
      <c r="F1354" t="s">
        <v>5612</v>
      </c>
      <c r="G1354" t="s">
        <v>5570</v>
      </c>
      <c r="H1354" t="s">
        <v>4915</v>
      </c>
      <c r="I1354" s="79" t="str">
        <f>IF(CARTERA_2026[[#This Row],[RUT]]=774097899,"DIST",_xlfn.XLOOKUP(CARTERA_2026[[#This Row],[VENDEDOR]],dimensiones!$C$21:$C$28,dimensiones!$D$21:$D$28,""))</f>
        <v>ATEL</v>
      </c>
      <c r="J1354" s="125" t="str">
        <f>_xlfn.XLOOKUP(CARTERA_2026[[#This Row],[REGION]],dimensiones!C:C,dimensiones!D:D,"")</f>
        <v>Región de Valparaíso</v>
      </c>
      <c r="N1354" s="101"/>
      <c r="O1354" s="105"/>
      <c r="P1354" s="93"/>
      <c r="Q1354" s="101"/>
      <c r="R1354" s="101"/>
      <c r="S1354" s="101"/>
      <c r="T1354" s="106"/>
    </row>
    <row r="1355" spans="1:20" x14ac:dyDescent="0.25">
      <c r="A1355">
        <v>779311201</v>
      </c>
      <c r="B1355" t="s">
        <v>3152</v>
      </c>
      <c r="C1355" t="s">
        <v>4410</v>
      </c>
      <c r="D1355">
        <v>13</v>
      </c>
      <c r="E1355" t="s">
        <v>4445</v>
      </c>
      <c r="F1355" t="s">
        <v>3151</v>
      </c>
      <c r="G1355" t="s">
        <v>5568</v>
      </c>
      <c r="H1355" t="s">
        <v>4915</v>
      </c>
      <c r="I1355" s="79" t="str">
        <f>IF(CARTERA_2026[[#This Row],[RUT]]=774097899,"DIST",_xlfn.XLOOKUP(CARTERA_2026[[#This Row],[VENDEDOR]],dimensiones!$C$21:$C$28,dimensiones!$D$21:$D$28,""))</f>
        <v>ATEL</v>
      </c>
      <c r="J1355" s="125" t="str">
        <f>_xlfn.XLOOKUP(CARTERA_2026[[#This Row],[REGION]],dimensiones!C:C,dimensiones!D:D,"")</f>
        <v>Región de Metropolitana de Santiago</v>
      </c>
      <c r="N1355" s="93"/>
      <c r="O1355" s="102"/>
      <c r="P1355" s="93"/>
      <c r="Q1355" s="101"/>
      <c r="R1355" s="101"/>
      <c r="S1355" s="101"/>
      <c r="T1355" s="94"/>
    </row>
    <row r="1356" spans="1:20" x14ac:dyDescent="0.25">
      <c r="A1356">
        <v>779315088</v>
      </c>
      <c r="B1356" t="s">
        <v>4438</v>
      </c>
      <c r="C1356" t="s">
        <v>4510</v>
      </c>
      <c r="D1356">
        <v>13</v>
      </c>
      <c r="E1356" t="s">
        <v>4445</v>
      </c>
      <c r="F1356" t="s">
        <v>4601</v>
      </c>
      <c r="G1356" t="s">
        <v>5569</v>
      </c>
      <c r="H1356" t="s">
        <v>4915</v>
      </c>
      <c r="I1356" s="79" t="str">
        <f>IF(CARTERA_2026[[#This Row],[RUT]]=774097899,"DIST",_xlfn.XLOOKUP(CARTERA_2026[[#This Row],[VENDEDOR]],dimensiones!$C$21:$C$28,dimensiones!$D$21:$D$28,""))</f>
        <v>ATEL</v>
      </c>
      <c r="J1356" s="125" t="str">
        <f>_xlfn.XLOOKUP(CARTERA_2026[[#This Row],[REGION]],dimensiones!C:C,dimensiones!D:D,"")</f>
        <v>Región de Metropolitana de Santiago</v>
      </c>
      <c r="N1356" s="98"/>
      <c r="O1356" s="103"/>
      <c r="P1356" s="95"/>
      <c r="Q1356" s="98"/>
      <c r="R1356" s="98"/>
      <c r="S1356" s="98"/>
      <c r="T1356" s="104"/>
    </row>
    <row r="1357" spans="1:20" x14ac:dyDescent="0.25">
      <c r="A1357">
        <v>779386449</v>
      </c>
      <c r="B1357" t="s">
        <v>5790</v>
      </c>
      <c r="C1357" t="s">
        <v>4393</v>
      </c>
      <c r="D1357">
        <v>13</v>
      </c>
      <c r="E1357" t="s">
        <v>4445</v>
      </c>
      <c r="F1357" t="s">
        <v>5788</v>
      </c>
      <c r="G1357" t="s">
        <v>5568</v>
      </c>
      <c r="H1357" t="s">
        <v>4915</v>
      </c>
      <c r="I1357" s="79" t="str">
        <f>IF(CARTERA_2026[[#This Row],[RUT]]=774097899,"DIST",_xlfn.XLOOKUP(CARTERA_2026[[#This Row],[VENDEDOR]],dimensiones!$C$21:$C$28,dimensiones!$D$21:$D$28,""))</f>
        <v>ATEL</v>
      </c>
      <c r="J1357" s="125" t="str">
        <f>_xlfn.XLOOKUP(CARTERA_2026[[#This Row],[REGION]],dimensiones!C:C,dimensiones!D:D,"")</f>
        <v>Región de Metropolitana de Santiago</v>
      </c>
    </row>
    <row r="1358" spans="1:20" x14ac:dyDescent="0.25">
      <c r="A1358">
        <v>779421945</v>
      </c>
      <c r="B1358" t="s">
        <v>5613</v>
      </c>
      <c r="C1358" t="s">
        <v>4552</v>
      </c>
      <c r="D1358">
        <v>13</v>
      </c>
      <c r="E1358" t="s">
        <v>4445</v>
      </c>
      <c r="F1358" t="s">
        <v>5614</v>
      </c>
      <c r="G1358" t="s">
        <v>5568</v>
      </c>
      <c r="H1358" t="s">
        <v>4915</v>
      </c>
      <c r="I1358" s="79" t="str">
        <f>IF(CARTERA_2026[[#This Row],[RUT]]=774097899,"DIST",_xlfn.XLOOKUP(CARTERA_2026[[#This Row],[VENDEDOR]],dimensiones!$C$21:$C$28,dimensiones!$D$21:$D$28,""))</f>
        <v>ATEL</v>
      </c>
      <c r="J1358" s="125" t="str">
        <f>_xlfn.XLOOKUP(CARTERA_2026[[#This Row],[REGION]],dimensiones!C:C,dimensiones!D:D,"")</f>
        <v>Región de Metropolitana de Santiago</v>
      </c>
    </row>
    <row r="1359" spans="1:20" x14ac:dyDescent="0.25">
      <c r="A1359">
        <v>779453456</v>
      </c>
      <c r="B1359" t="s">
        <v>3154</v>
      </c>
      <c r="C1359" t="s">
        <v>4409</v>
      </c>
      <c r="D1359">
        <v>13</v>
      </c>
      <c r="E1359" t="s">
        <v>4445</v>
      </c>
      <c r="F1359" t="s">
        <v>3153</v>
      </c>
      <c r="G1359" t="s">
        <v>5568</v>
      </c>
      <c r="H1359" t="s">
        <v>4915</v>
      </c>
      <c r="I1359" s="79" t="str">
        <f>IF(CARTERA_2026[[#This Row],[RUT]]=774097899,"DIST",_xlfn.XLOOKUP(CARTERA_2026[[#This Row],[VENDEDOR]],dimensiones!$C$21:$C$28,dimensiones!$D$21:$D$28,""))</f>
        <v>ATEL</v>
      </c>
      <c r="J1359" s="125" t="str">
        <f>_xlfn.XLOOKUP(CARTERA_2026[[#This Row],[REGION]],dimensiones!C:C,dimensiones!D:D,"")</f>
        <v>Región de Metropolitana de Santiago</v>
      </c>
    </row>
    <row r="1360" spans="1:20" x14ac:dyDescent="0.25">
      <c r="A1360">
        <v>779499839</v>
      </c>
      <c r="B1360" t="s">
        <v>4603</v>
      </c>
      <c r="C1360" t="s">
        <v>4465</v>
      </c>
      <c r="D1360">
        <v>13</v>
      </c>
      <c r="E1360" t="s">
        <v>4445</v>
      </c>
      <c r="F1360" t="s">
        <v>4602</v>
      </c>
      <c r="G1360" t="s">
        <v>5568</v>
      </c>
      <c r="H1360" t="s">
        <v>4915</v>
      </c>
      <c r="I1360" s="79" t="str">
        <f>IF(CARTERA_2026[[#This Row],[RUT]]=774097899,"DIST",_xlfn.XLOOKUP(CARTERA_2026[[#This Row],[VENDEDOR]],dimensiones!$C$21:$C$28,dimensiones!$D$21:$D$28,""))</f>
        <v>ATEL</v>
      </c>
      <c r="J1360" s="125" t="str">
        <f>_xlfn.XLOOKUP(CARTERA_2026[[#This Row],[REGION]],dimensiones!C:C,dimensiones!D:D,"")</f>
        <v>Región de Metropolitana de Santiago</v>
      </c>
    </row>
    <row r="1361" spans="1:10" x14ac:dyDescent="0.25">
      <c r="A1361">
        <v>779544508</v>
      </c>
      <c r="B1361" t="s">
        <v>576</v>
      </c>
      <c r="C1361" t="s">
        <v>4465</v>
      </c>
      <c r="D1361">
        <v>13</v>
      </c>
      <c r="E1361" t="s">
        <v>4445</v>
      </c>
      <c r="F1361" t="s">
        <v>3156</v>
      </c>
      <c r="G1361" t="s">
        <v>5570</v>
      </c>
      <c r="H1361" t="s">
        <v>4915</v>
      </c>
      <c r="I1361" s="79" t="str">
        <f>IF(CARTERA_2026[[#This Row],[RUT]]=774097899,"DIST",_xlfn.XLOOKUP(CARTERA_2026[[#This Row],[VENDEDOR]],dimensiones!$C$21:$C$28,dimensiones!$D$21:$D$28,""))</f>
        <v>ATEL</v>
      </c>
      <c r="J1361" s="125" t="str">
        <f>_xlfn.XLOOKUP(CARTERA_2026[[#This Row],[REGION]],dimensiones!C:C,dimensiones!D:D,"")</f>
        <v>Región de Metropolitana de Santiago</v>
      </c>
    </row>
    <row r="1362" spans="1:10" x14ac:dyDescent="0.25">
      <c r="A1362">
        <v>779583074</v>
      </c>
      <c r="B1362" t="s">
        <v>4984</v>
      </c>
      <c r="C1362" t="s">
        <v>4395</v>
      </c>
      <c r="D1362">
        <v>13</v>
      </c>
      <c r="E1362" t="s">
        <v>4445</v>
      </c>
      <c r="F1362" t="s">
        <v>4985</v>
      </c>
      <c r="G1362" t="s">
        <v>5568</v>
      </c>
      <c r="H1362" t="s">
        <v>4915</v>
      </c>
      <c r="I1362" s="79" t="str">
        <f>IF(CARTERA_2026[[#This Row],[RUT]]=774097899,"DIST",_xlfn.XLOOKUP(CARTERA_2026[[#This Row],[VENDEDOR]],dimensiones!$C$21:$C$28,dimensiones!$D$21:$D$28,""))</f>
        <v>ATEL</v>
      </c>
      <c r="J1362" s="125" t="str">
        <f>_xlfn.XLOOKUP(CARTERA_2026[[#This Row],[REGION]],dimensiones!C:C,dimensiones!D:D,"")</f>
        <v>Región de Metropolitana de Santiago</v>
      </c>
    </row>
    <row r="1363" spans="1:10" x14ac:dyDescent="0.25">
      <c r="A1363">
        <v>779619664</v>
      </c>
      <c r="B1363" t="s">
        <v>5594</v>
      </c>
      <c r="C1363" t="s">
        <v>4557</v>
      </c>
      <c r="D1363">
        <v>13</v>
      </c>
      <c r="E1363" t="s">
        <v>4445</v>
      </c>
      <c r="F1363" t="s">
        <v>5595</v>
      </c>
      <c r="G1363" t="s">
        <v>5568</v>
      </c>
      <c r="H1363" t="s">
        <v>4915</v>
      </c>
      <c r="I1363" s="79" t="str">
        <f>IF(CARTERA_2026[[#This Row],[RUT]]=774097899,"DIST",_xlfn.XLOOKUP(CARTERA_2026[[#This Row],[VENDEDOR]],dimensiones!$C$21:$C$28,dimensiones!$D$21:$D$28,""))</f>
        <v>ATEL</v>
      </c>
      <c r="J1363" s="125" t="str">
        <f>_xlfn.XLOOKUP(CARTERA_2026[[#This Row],[REGION]],dimensiones!C:C,dimensiones!D:D,"")</f>
        <v>Región de Metropolitana de Santiago</v>
      </c>
    </row>
    <row r="1364" spans="1:10" x14ac:dyDescent="0.25">
      <c r="A1364">
        <v>779672174</v>
      </c>
      <c r="B1364" t="s">
        <v>5769</v>
      </c>
      <c r="C1364" t="s">
        <v>4391</v>
      </c>
      <c r="D1364">
        <v>13</v>
      </c>
      <c r="E1364" t="s">
        <v>4445</v>
      </c>
      <c r="F1364" t="s">
        <v>5770</v>
      </c>
      <c r="G1364" t="s">
        <v>5569</v>
      </c>
      <c r="H1364" t="s">
        <v>4915</v>
      </c>
      <c r="I1364" s="79" t="str">
        <f>IF(CARTERA_2026[[#This Row],[RUT]]=774097899,"DIST",_xlfn.XLOOKUP(CARTERA_2026[[#This Row],[VENDEDOR]],dimensiones!$C$21:$C$28,dimensiones!$D$21:$D$28,""))</f>
        <v>ATEL</v>
      </c>
      <c r="J1364" s="125" t="str">
        <f>_xlfn.XLOOKUP(CARTERA_2026[[#This Row],[REGION]],dimensiones!C:C,dimensiones!D:D,"")</f>
        <v>Región de Metropolitana de Santiago</v>
      </c>
    </row>
    <row r="1365" spans="1:10" x14ac:dyDescent="0.25">
      <c r="A1365">
        <v>779682609</v>
      </c>
      <c r="B1365" t="s">
        <v>1010</v>
      </c>
      <c r="C1365" t="s">
        <v>4391</v>
      </c>
      <c r="D1365">
        <v>13</v>
      </c>
      <c r="E1365" t="s">
        <v>4445</v>
      </c>
      <c r="F1365" t="s">
        <v>3158</v>
      </c>
      <c r="G1365" t="s">
        <v>5568</v>
      </c>
      <c r="H1365" t="s">
        <v>4915</v>
      </c>
      <c r="I1365" s="79" t="str">
        <f>IF(CARTERA_2026[[#This Row],[RUT]]=774097899,"DIST",_xlfn.XLOOKUP(CARTERA_2026[[#This Row],[VENDEDOR]],dimensiones!$C$21:$C$28,dimensiones!$D$21:$D$28,""))</f>
        <v>ATEL</v>
      </c>
      <c r="J1365" s="125" t="str">
        <f>_xlfn.XLOOKUP(CARTERA_2026[[#This Row],[REGION]],dimensiones!C:C,dimensiones!D:D,"")</f>
        <v>Región de Metropolitana de Santiago</v>
      </c>
    </row>
    <row r="1366" spans="1:10" x14ac:dyDescent="0.25">
      <c r="A1366">
        <v>779685918</v>
      </c>
      <c r="B1366" t="s">
        <v>5725</v>
      </c>
      <c r="C1366" t="s">
        <v>4391</v>
      </c>
      <c r="D1366">
        <v>13</v>
      </c>
      <c r="E1366" t="s">
        <v>4445</v>
      </c>
      <c r="F1366" t="s">
        <v>5726</v>
      </c>
      <c r="G1366" t="s">
        <v>5568</v>
      </c>
      <c r="H1366" t="s">
        <v>4915</v>
      </c>
      <c r="I1366" s="79" t="str">
        <f>IF(CARTERA_2026[[#This Row],[RUT]]=774097899,"DIST",_xlfn.XLOOKUP(CARTERA_2026[[#This Row],[VENDEDOR]],dimensiones!$C$21:$C$28,dimensiones!$D$21:$D$28,""))</f>
        <v>ATEL</v>
      </c>
      <c r="J1366" s="125" t="str">
        <f>_xlfn.XLOOKUP(CARTERA_2026[[#This Row],[REGION]],dimensiones!C:C,dimensiones!D:D,"")</f>
        <v>Región de Metropolitana de Santiago</v>
      </c>
    </row>
    <row r="1367" spans="1:10" x14ac:dyDescent="0.25">
      <c r="A1367">
        <v>779771067</v>
      </c>
      <c r="B1367" t="s">
        <v>4605</v>
      </c>
      <c r="C1367" t="s">
        <v>4416</v>
      </c>
      <c r="D1367">
        <v>13</v>
      </c>
      <c r="E1367" t="s">
        <v>4445</v>
      </c>
      <c r="F1367" t="s">
        <v>4604</v>
      </c>
      <c r="G1367" t="s">
        <v>5568</v>
      </c>
      <c r="H1367" t="s">
        <v>4915</v>
      </c>
      <c r="I1367" s="79" t="str">
        <f>IF(CARTERA_2026[[#This Row],[RUT]]=774097899,"DIST",_xlfn.XLOOKUP(CARTERA_2026[[#This Row],[VENDEDOR]],dimensiones!$C$21:$C$28,dimensiones!$D$21:$D$28,""))</f>
        <v>ATEL</v>
      </c>
      <c r="J1367" s="125" t="str">
        <f>_xlfn.XLOOKUP(CARTERA_2026[[#This Row],[REGION]],dimensiones!C:C,dimensiones!D:D,"")</f>
        <v>Región de Metropolitana de Santiago</v>
      </c>
    </row>
    <row r="1368" spans="1:10" x14ac:dyDescent="0.25">
      <c r="A1368">
        <v>779945324</v>
      </c>
      <c r="B1368" t="s">
        <v>5635</v>
      </c>
      <c r="C1368" t="s">
        <v>4391</v>
      </c>
      <c r="D1368">
        <v>13</v>
      </c>
      <c r="E1368" t="s">
        <v>4445</v>
      </c>
      <c r="F1368" t="s">
        <v>5636</v>
      </c>
      <c r="G1368" t="s">
        <v>5568</v>
      </c>
      <c r="H1368" t="s">
        <v>4915</v>
      </c>
      <c r="I1368" s="79" t="str">
        <f>IF(CARTERA_2026[[#This Row],[RUT]]=774097899,"DIST",_xlfn.XLOOKUP(CARTERA_2026[[#This Row],[VENDEDOR]],dimensiones!$C$21:$C$28,dimensiones!$D$21:$D$28,""))</f>
        <v>ATEL</v>
      </c>
      <c r="J1368" s="125" t="str">
        <f>_xlfn.XLOOKUP(CARTERA_2026[[#This Row],[REGION]],dimensiones!C:C,dimensiones!D:D,"")</f>
        <v>Región de Metropolitana de Santiago</v>
      </c>
    </row>
    <row r="1369" spans="1:10" x14ac:dyDescent="0.25">
      <c r="A1369" t="s">
        <v>5704</v>
      </c>
      <c r="B1369" t="s">
        <v>5705</v>
      </c>
      <c r="C1369" t="s">
        <v>4528</v>
      </c>
      <c r="D1369">
        <v>13</v>
      </c>
      <c r="E1369" t="s">
        <v>4445</v>
      </c>
      <c r="F1369" t="s">
        <v>5706</v>
      </c>
      <c r="G1369" t="s">
        <v>5568</v>
      </c>
      <c r="H1369" t="s">
        <v>4915</v>
      </c>
      <c r="I1369" s="79" t="str">
        <f>IF(CARTERA_2026[[#This Row],[RUT]]=774097899,"DIST",_xlfn.XLOOKUP(CARTERA_2026[[#This Row],[VENDEDOR]],dimensiones!$C$21:$C$28,dimensiones!$D$21:$D$28,""))</f>
        <v>ATEL</v>
      </c>
      <c r="J1369" s="125" t="str">
        <f>_xlfn.XLOOKUP(CARTERA_2026[[#This Row],[REGION]],dimensiones!C:C,dimensiones!D:D,"")</f>
        <v>Región de Metropolitana de Santiago</v>
      </c>
    </row>
    <row r="1370" spans="1:10" x14ac:dyDescent="0.25">
      <c r="A1370">
        <v>779994686</v>
      </c>
      <c r="B1370" t="s">
        <v>5479</v>
      </c>
      <c r="C1370" t="s">
        <v>4209</v>
      </c>
      <c r="D1370">
        <v>6</v>
      </c>
      <c r="E1370" t="s">
        <v>4445</v>
      </c>
      <c r="F1370" t="s">
        <v>5480</v>
      </c>
      <c r="G1370" t="s">
        <v>5570</v>
      </c>
      <c r="H1370" t="s">
        <v>4915</v>
      </c>
      <c r="I1370" s="79" t="str">
        <f>IF(CARTERA_2026[[#This Row],[RUT]]=774097899,"DIST",_xlfn.XLOOKUP(CARTERA_2026[[#This Row],[VENDEDOR]],dimensiones!$C$21:$C$28,dimensiones!$D$21:$D$28,""))</f>
        <v>ATEL</v>
      </c>
      <c r="J1370" s="125" t="str">
        <f>_xlfn.XLOOKUP(CARTERA_2026[[#This Row],[REGION]],dimensiones!C:C,dimensiones!D:D,"")</f>
        <v>Región de Libertador General Bernardo O'Higgins</v>
      </c>
    </row>
    <row r="1371" spans="1:10" x14ac:dyDescent="0.25">
      <c r="A1371">
        <v>780009640</v>
      </c>
      <c r="B1371" t="s">
        <v>5439</v>
      </c>
      <c r="C1371" t="s">
        <v>4395</v>
      </c>
      <c r="D1371">
        <v>13</v>
      </c>
      <c r="E1371" t="s">
        <v>4445</v>
      </c>
      <c r="F1371" t="s">
        <v>5440</v>
      </c>
      <c r="G1371" t="s">
        <v>5568</v>
      </c>
      <c r="H1371" t="s">
        <v>4915</v>
      </c>
      <c r="I1371" s="79" t="str">
        <f>IF(CARTERA_2026[[#This Row],[RUT]]=774097899,"DIST",_xlfn.XLOOKUP(CARTERA_2026[[#This Row],[VENDEDOR]],dimensiones!$C$21:$C$28,dimensiones!$D$21:$D$28,""))</f>
        <v>ATEL</v>
      </c>
      <c r="J1371" s="125" t="str">
        <f>_xlfn.XLOOKUP(CARTERA_2026[[#This Row],[REGION]],dimensiones!C:C,dimensiones!D:D,"")</f>
        <v>Región de Metropolitana de Santiago</v>
      </c>
    </row>
    <row r="1372" spans="1:10" x14ac:dyDescent="0.25">
      <c r="A1372">
        <v>780025484</v>
      </c>
      <c r="B1372" t="s">
        <v>4932</v>
      </c>
      <c r="C1372" t="s">
        <v>4391</v>
      </c>
      <c r="D1372">
        <v>13</v>
      </c>
      <c r="E1372" t="s">
        <v>4445</v>
      </c>
      <c r="F1372" t="s">
        <v>4933</v>
      </c>
      <c r="G1372" t="s">
        <v>5568</v>
      </c>
      <c r="H1372" t="s">
        <v>4915</v>
      </c>
      <c r="I1372" s="79" t="str">
        <f>IF(CARTERA_2026[[#This Row],[RUT]]=774097899,"DIST",_xlfn.XLOOKUP(CARTERA_2026[[#This Row],[VENDEDOR]],dimensiones!$C$21:$C$28,dimensiones!$D$21:$D$28,""))</f>
        <v>ATEL</v>
      </c>
      <c r="J1372" s="125" t="str">
        <f>_xlfn.XLOOKUP(CARTERA_2026[[#This Row],[REGION]],dimensiones!C:C,dimensiones!D:D,"")</f>
        <v>Región de Metropolitana de Santiago</v>
      </c>
    </row>
    <row r="1373" spans="1:10" x14ac:dyDescent="0.25">
      <c r="A1373">
        <v>780072229</v>
      </c>
      <c r="B1373" t="s">
        <v>5803</v>
      </c>
      <c r="C1373" t="s">
        <v>4174</v>
      </c>
      <c r="D1373">
        <v>13</v>
      </c>
      <c r="E1373" t="s">
        <v>4445</v>
      </c>
      <c r="F1373" t="s">
        <v>5804</v>
      </c>
      <c r="H1373" t="s">
        <v>4915</v>
      </c>
      <c r="I1373" s="79" t="str">
        <f>IF(CARTERA_2026[[#This Row],[RUT]]=774097899,"DIST",_xlfn.XLOOKUP(CARTERA_2026[[#This Row],[VENDEDOR]],dimensiones!$C$21:$C$28,dimensiones!$D$21:$D$28,""))</f>
        <v>ATEL</v>
      </c>
      <c r="J1373" s="125" t="str">
        <f>_xlfn.XLOOKUP(CARTERA_2026[[#This Row],[REGION]],dimensiones!C:C,dimensiones!D:D,"")</f>
        <v>Región de Metropolitana de Santiago</v>
      </c>
    </row>
    <row r="1374" spans="1:10" x14ac:dyDescent="0.25">
      <c r="A1374">
        <v>780101679</v>
      </c>
      <c r="B1374" t="s">
        <v>2554</v>
      </c>
      <c r="C1374" t="s">
        <v>4557</v>
      </c>
      <c r="D1374">
        <v>13</v>
      </c>
      <c r="E1374" t="s">
        <v>4445</v>
      </c>
      <c r="F1374" t="s">
        <v>2553</v>
      </c>
      <c r="G1374" t="s">
        <v>5568</v>
      </c>
      <c r="H1374" t="s">
        <v>4915</v>
      </c>
      <c r="I1374" s="79" t="str">
        <f>IF(CARTERA_2026[[#This Row],[RUT]]=774097899,"DIST",_xlfn.XLOOKUP(CARTERA_2026[[#This Row],[VENDEDOR]],dimensiones!$C$21:$C$28,dimensiones!$D$21:$D$28,""))</f>
        <v>ATEL</v>
      </c>
      <c r="J1374" s="125" t="str">
        <f>_xlfn.XLOOKUP(CARTERA_2026[[#This Row],[REGION]],dimensiones!C:C,dimensiones!D:D,"")</f>
        <v>Región de Metropolitana de Santiago</v>
      </c>
    </row>
    <row r="1375" spans="1:10" x14ac:dyDescent="0.25">
      <c r="A1375">
        <v>780101806</v>
      </c>
      <c r="B1375" t="s">
        <v>1089</v>
      </c>
      <c r="C1375" t="s">
        <v>4168</v>
      </c>
      <c r="D1375">
        <v>13</v>
      </c>
      <c r="E1375" t="s">
        <v>4445</v>
      </c>
      <c r="F1375" t="s">
        <v>3160</v>
      </c>
      <c r="G1375" t="s">
        <v>5568</v>
      </c>
      <c r="H1375" t="s">
        <v>4915</v>
      </c>
      <c r="I1375" s="79" t="str">
        <f>IF(CARTERA_2026[[#This Row],[RUT]]=774097899,"DIST",_xlfn.XLOOKUP(CARTERA_2026[[#This Row],[VENDEDOR]],dimensiones!$C$21:$C$28,dimensiones!$D$21:$D$28,""))</f>
        <v>ATEL</v>
      </c>
      <c r="J1375" s="125" t="str">
        <f>_xlfn.XLOOKUP(CARTERA_2026[[#This Row],[REGION]],dimensiones!C:C,dimensiones!D:D,"")</f>
        <v>Región de Metropolitana de Santiago</v>
      </c>
    </row>
    <row r="1376" spans="1:10" x14ac:dyDescent="0.25">
      <c r="A1376">
        <v>780111984</v>
      </c>
      <c r="B1376" t="s">
        <v>5637</v>
      </c>
      <c r="C1376" t="s">
        <v>4563</v>
      </c>
      <c r="D1376">
        <v>5</v>
      </c>
      <c r="E1376" t="s">
        <v>4445</v>
      </c>
      <c r="F1376" t="s">
        <v>5638</v>
      </c>
      <c r="G1376" t="s">
        <v>5568</v>
      </c>
      <c r="H1376" t="s">
        <v>4915</v>
      </c>
      <c r="I1376" s="79" t="str">
        <f>IF(CARTERA_2026[[#This Row],[RUT]]=774097899,"DIST",_xlfn.XLOOKUP(CARTERA_2026[[#This Row],[VENDEDOR]],dimensiones!$C$21:$C$28,dimensiones!$D$21:$D$28,""))</f>
        <v>ATEL</v>
      </c>
      <c r="J1376" s="125" t="str">
        <f>_xlfn.XLOOKUP(CARTERA_2026[[#This Row],[REGION]],dimensiones!C:C,dimensiones!D:D,"")</f>
        <v>Región de Valparaíso</v>
      </c>
    </row>
    <row r="1377" spans="1:10" x14ac:dyDescent="0.25">
      <c r="A1377">
        <v>780188448</v>
      </c>
      <c r="B1377" t="s">
        <v>5441</v>
      </c>
      <c r="C1377" t="s">
        <v>4287</v>
      </c>
      <c r="D1377">
        <v>13</v>
      </c>
      <c r="E1377" t="s">
        <v>4445</v>
      </c>
      <c r="F1377" t="s">
        <v>5442</v>
      </c>
      <c r="G1377" t="s">
        <v>5570</v>
      </c>
      <c r="H1377" t="s">
        <v>4915</v>
      </c>
      <c r="I1377" s="79" t="str">
        <f>IF(CARTERA_2026[[#This Row],[RUT]]=774097899,"DIST",_xlfn.XLOOKUP(CARTERA_2026[[#This Row],[VENDEDOR]],dimensiones!$C$21:$C$28,dimensiones!$D$21:$D$28,""))</f>
        <v>ATEL</v>
      </c>
      <c r="J1377" s="125" t="str">
        <f>_xlfn.XLOOKUP(CARTERA_2026[[#This Row],[REGION]],dimensiones!C:C,dimensiones!D:D,"")</f>
        <v>Región de Metropolitana de Santiago</v>
      </c>
    </row>
    <row r="1378" spans="1:10" x14ac:dyDescent="0.25">
      <c r="A1378">
        <v>780244798</v>
      </c>
      <c r="B1378" t="s">
        <v>5693</v>
      </c>
      <c r="C1378" t="s">
        <v>5694</v>
      </c>
      <c r="D1378">
        <v>13</v>
      </c>
      <c r="E1378" t="s">
        <v>4445</v>
      </c>
      <c r="F1378" t="s">
        <v>5695</v>
      </c>
      <c r="G1378" t="s">
        <v>5568</v>
      </c>
      <c r="H1378" t="s">
        <v>4915</v>
      </c>
      <c r="I1378" s="79" t="str">
        <f>IF(CARTERA_2026[[#This Row],[RUT]]=774097899,"DIST",_xlfn.XLOOKUP(CARTERA_2026[[#This Row],[VENDEDOR]],dimensiones!$C$21:$C$28,dimensiones!$D$21:$D$28,""))</f>
        <v>ATEL</v>
      </c>
      <c r="J1378" s="125" t="str">
        <f>_xlfn.XLOOKUP(CARTERA_2026[[#This Row],[REGION]],dimensiones!C:C,dimensiones!D:D,"")</f>
        <v>Región de Metropolitana de Santiago</v>
      </c>
    </row>
    <row r="1379" spans="1:10" x14ac:dyDescent="0.25">
      <c r="A1379">
        <v>780271205</v>
      </c>
      <c r="B1379" t="s">
        <v>577</v>
      </c>
      <c r="C1379" t="s">
        <v>4460</v>
      </c>
      <c r="D1379">
        <v>8</v>
      </c>
      <c r="E1379" t="s">
        <v>4445</v>
      </c>
      <c r="F1379" t="s">
        <v>3162</v>
      </c>
      <c r="G1379" t="s">
        <v>5568</v>
      </c>
      <c r="H1379" t="s">
        <v>4915</v>
      </c>
      <c r="I1379" s="79" t="str">
        <f>IF(CARTERA_2026[[#This Row],[RUT]]=774097899,"DIST",_xlfn.XLOOKUP(CARTERA_2026[[#This Row],[VENDEDOR]],dimensiones!$C$21:$C$28,dimensiones!$D$21:$D$28,""))</f>
        <v>ATEL</v>
      </c>
      <c r="J1379" s="125" t="str">
        <f>_xlfn.XLOOKUP(CARTERA_2026[[#This Row],[REGION]],dimensiones!C:C,dimensiones!D:D,"")</f>
        <v>Región de Biobío</v>
      </c>
    </row>
    <row r="1380" spans="1:10" x14ac:dyDescent="0.25">
      <c r="A1380">
        <v>780289279</v>
      </c>
      <c r="B1380" t="s">
        <v>5596</v>
      </c>
      <c r="C1380" t="s">
        <v>4465</v>
      </c>
      <c r="D1380">
        <v>13</v>
      </c>
      <c r="E1380" t="s">
        <v>4445</v>
      </c>
      <c r="F1380" t="s">
        <v>5597</v>
      </c>
      <c r="G1380" t="s">
        <v>5568</v>
      </c>
      <c r="H1380" t="s">
        <v>4915</v>
      </c>
      <c r="I1380" s="79" t="str">
        <f>IF(CARTERA_2026[[#This Row],[RUT]]=774097899,"DIST",_xlfn.XLOOKUP(CARTERA_2026[[#This Row],[VENDEDOR]],dimensiones!$C$21:$C$28,dimensiones!$D$21:$D$28,""))</f>
        <v>ATEL</v>
      </c>
      <c r="J1380" s="125" t="str">
        <f>_xlfn.XLOOKUP(CARTERA_2026[[#This Row],[REGION]],dimensiones!C:C,dimensiones!D:D,"")</f>
        <v>Región de Metropolitana de Santiago</v>
      </c>
    </row>
    <row r="1381" spans="1:10" x14ac:dyDescent="0.25">
      <c r="A1381">
        <v>780325666</v>
      </c>
      <c r="B1381" t="s">
        <v>4607</v>
      </c>
      <c r="C1381" t="s">
        <v>4528</v>
      </c>
      <c r="D1381">
        <v>13</v>
      </c>
      <c r="E1381" t="s">
        <v>4445</v>
      </c>
      <c r="F1381" t="s">
        <v>4606</v>
      </c>
      <c r="G1381" t="s">
        <v>5568</v>
      </c>
      <c r="H1381" t="s">
        <v>4915</v>
      </c>
      <c r="I1381" s="79" t="str">
        <f>IF(CARTERA_2026[[#This Row],[RUT]]=774097899,"DIST",_xlfn.XLOOKUP(CARTERA_2026[[#This Row],[VENDEDOR]],dimensiones!$C$21:$C$28,dimensiones!$D$21:$D$28,""))</f>
        <v>ATEL</v>
      </c>
      <c r="J1381" s="125" t="str">
        <f>_xlfn.XLOOKUP(CARTERA_2026[[#This Row],[REGION]],dimensiones!C:C,dimensiones!D:D,"")</f>
        <v>Región de Metropolitana de Santiago</v>
      </c>
    </row>
    <row r="1382" spans="1:10" x14ac:dyDescent="0.25">
      <c r="A1382">
        <v>780353902</v>
      </c>
      <c r="B1382" t="s">
        <v>117</v>
      </c>
      <c r="C1382" t="s">
        <v>4198</v>
      </c>
      <c r="D1382">
        <v>5</v>
      </c>
      <c r="E1382" t="s">
        <v>2372</v>
      </c>
      <c r="F1382" t="s">
        <v>2224</v>
      </c>
      <c r="G1382" t="s">
        <v>5570</v>
      </c>
      <c r="H1382" t="s">
        <v>4915</v>
      </c>
      <c r="I1382" s="79" t="str">
        <f>IF(CARTERA_2026[[#This Row],[RUT]]=774097899,"DIST",_xlfn.XLOOKUP(CARTERA_2026[[#This Row],[VENDEDOR]],dimensiones!$C$21:$C$28,dimensiones!$D$21:$D$28,""))</f>
        <v>NOR1</v>
      </c>
      <c r="J1382" s="125" t="str">
        <f>_xlfn.XLOOKUP(CARTERA_2026[[#This Row],[REGION]],dimensiones!C:C,dimensiones!D:D,"")</f>
        <v>Región de Valparaíso</v>
      </c>
    </row>
    <row r="1383" spans="1:10" x14ac:dyDescent="0.25">
      <c r="A1383">
        <v>780356405</v>
      </c>
      <c r="B1383" t="s">
        <v>578</v>
      </c>
      <c r="C1383" t="s">
        <v>4391</v>
      </c>
      <c r="D1383">
        <v>13</v>
      </c>
      <c r="E1383" t="s">
        <v>4445</v>
      </c>
      <c r="F1383" t="s">
        <v>3166</v>
      </c>
      <c r="G1383" t="s">
        <v>5568</v>
      </c>
      <c r="H1383" t="s">
        <v>4915</v>
      </c>
      <c r="I1383" s="79" t="str">
        <f>IF(CARTERA_2026[[#This Row],[RUT]]=774097899,"DIST",_xlfn.XLOOKUP(CARTERA_2026[[#This Row],[VENDEDOR]],dimensiones!$C$21:$C$28,dimensiones!$D$21:$D$28,""))</f>
        <v>ATEL</v>
      </c>
      <c r="J1383" s="125" t="str">
        <f>_xlfn.XLOOKUP(CARTERA_2026[[#This Row],[REGION]],dimensiones!C:C,dimensiones!D:D,"")</f>
        <v>Región de Metropolitana de Santiago</v>
      </c>
    </row>
    <row r="1384" spans="1:10" x14ac:dyDescent="0.25">
      <c r="A1384" t="s">
        <v>4423</v>
      </c>
      <c r="B1384" t="s">
        <v>4424</v>
      </c>
      <c r="C1384" t="s">
        <v>4495</v>
      </c>
      <c r="D1384">
        <v>16</v>
      </c>
      <c r="E1384" t="s">
        <v>4445</v>
      </c>
      <c r="F1384" t="s">
        <v>4608</v>
      </c>
      <c r="G1384" t="s">
        <v>5568</v>
      </c>
      <c r="H1384" t="s">
        <v>4915</v>
      </c>
      <c r="I1384" s="79" t="str">
        <f>IF(CARTERA_2026[[#This Row],[RUT]]=774097899,"DIST",_xlfn.XLOOKUP(CARTERA_2026[[#This Row],[VENDEDOR]],dimensiones!$C$21:$C$28,dimensiones!$D$21:$D$28,""))</f>
        <v>ATEL</v>
      </c>
      <c r="J1384" s="125" t="str">
        <f>_xlfn.XLOOKUP(CARTERA_2026[[#This Row],[REGION]],dimensiones!C:C,dimensiones!D:D,"")</f>
        <v>Región de Ñuble</v>
      </c>
    </row>
    <row r="1385" spans="1:10" x14ac:dyDescent="0.25">
      <c r="A1385">
        <v>780405201</v>
      </c>
      <c r="B1385" t="s">
        <v>579</v>
      </c>
      <c r="C1385" t="s">
        <v>4391</v>
      </c>
      <c r="D1385">
        <v>13</v>
      </c>
      <c r="E1385" t="s">
        <v>5729</v>
      </c>
      <c r="F1385" t="s">
        <v>3691</v>
      </c>
      <c r="G1385" t="s">
        <v>5570</v>
      </c>
      <c r="H1385" t="s">
        <v>4915</v>
      </c>
      <c r="I1385" s="79" t="str">
        <f>IF(CARTERA_2026[[#This Row],[RUT]]=774097899,"DIST",_xlfn.XLOOKUP(CARTERA_2026[[#This Row],[VENDEDOR]],dimensiones!$C$21:$C$28,dimensiones!$D$21:$D$28,""))</f>
        <v>SANT3</v>
      </c>
      <c r="J1385" s="125" t="str">
        <f>_xlfn.XLOOKUP(CARTERA_2026[[#This Row],[REGION]],dimensiones!C:C,dimensiones!D:D,"")</f>
        <v>Región de Metropolitana de Santiago</v>
      </c>
    </row>
    <row r="1386" spans="1:10" x14ac:dyDescent="0.25">
      <c r="A1386">
        <v>780410175</v>
      </c>
      <c r="B1386" t="s">
        <v>5560</v>
      </c>
      <c r="C1386" t="s">
        <v>4381</v>
      </c>
      <c r="D1386">
        <v>13</v>
      </c>
      <c r="E1386" t="s">
        <v>4445</v>
      </c>
      <c r="F1386" t="s">
        <v>5561</v>
      </c>
      <c r="G1386" t="s">
        <v>5568</v>
      </c>
      <c r="H1386" t="s">
        <v>4915</v>
      </c>
      <c r="I1386" s="79" t="str">
        <f>IF(CARTERA_2026[[#This Row],[RUT]]=774097899,"DIST",_xlfn.XLOOKUP(CARTERA_2026[[#This Row],[VENDEDOR]],dimensiones!$C$21:$C$28,dimensiones!$D$21:$D$28,""))</f>
        <v>ATEL</v>
      </c>
      <c r="J1386" s="125" t="str">
        <f>_xlfn.XLOOKUP(CARTERA_2026[[#This Row],[REGION]],dimensiones!C:C,dimensiones!D:D,"")</f>
        <v>Región de Metropolitana de Santiago</v>
      </c>
    </row>
    <row r="1387" spans="1:10" x14ac:dyDescent="0.25">
      <c r="A1387">
        <v>780428155</v>
      </c>
      <c r="B1387" t="s">
        <v>4986</v>
      </c>
      <c r="C1387" t="s">
        <v>4178</v>
      </c>
      <c r="D1387">
        <v>6</v>
      </c>
      <c r="E1387" t="s">
        <v>4445</v>
      </c>
      <c r="F1387" t="s">
        <v>4987</v>
      </c>
      <c r="G1387" t="s">
        <v>5568</v>
      </c>
      <c r="H1387" t="s">
        <v>4915</v>
      </c>
      <c r="I1387" s="79" t="str">
        <f>IF(CARTERA_2026[[#This Row],[RUT]]=774097899,"DIST",_xlfn.XLOOKUP(CARTERA_2026[[#This Row],[VENDEDOR]],dimensiones!$C$21:$C$28,dimensiones!$D$21:$D$28,""))</f>
        <v>ATEL</v>
      </c>
      <c r="J1387" s="125" t="str">
        <f>_xlfn.XLOOKUP(CARTERA_2026[[#This Row],[REGION]],dimensiones!C:C,dimensiones!D:D,"")</f>
        <v>Región de Libertador General Bernardo O'Higgins</v>
      </c>
    </row>
    <row r="1388" spans="1:10" x14ac:dyDescent="0.25">
      <c r="A1388">
        <v>780458097</v>
      </c>
      <c r="B1388" t="s">
        <v>5784</v>
      </c>
      <c r="C1388" t="s">
        <v>4391</v>
      </c>
      <c r="D1388">
        <v>13</v>
      </c>
      <c r="E1388" t="s">
        <v>4445</v>
      </c>
      <c r="F1388" t="s">
        <v>5785</v>
      </c>
      <c r="G1388" t="s">
        <v>5570</v>
      </c>
      <c r="H1388" t="s">
        <v>4915</v>
      </c>
      <c r="I1388" s="79" t="str">
        <f>IF(CARTERA_2026[[#This Row],[RUT]]=774097899,"DIST",_xlfn.XLOOKUP(CARTERA_2026[[#This Row],[VENDEDOR]],dimensiones!$C$21:$C$28,dimensiones!$D$21:$D$28,""))</f>
        <v>ATEL</v>
      </c>
      <c r="J1388" s="125" t="str">
        <f>_xlfn.XLOOKUP(CARTERA_2026[[#This Row],[REGION]],dimensiones!C:C,dimensiones!D:D,"")</f>
        <v>Región de Metropolitana de Santiago</v>
      </c>
    </row>
    <row r="1389" spans="1:10" x14ac:dyDescent="0.25">
      <c r="A1389">
        <v>780535601</v>
      </c>
      <c r="B1389" t="s">
        <v>754</v>
      </c>
      <c r="C1389" t="s">
        <v>4552</v>
      </c>
      <c r="D1389">
        <v>13</v>
      </c>
      <c r="E1389" t="s">
        <v>4457</v>
      </c>
      <c r="F1389" t="s">
        <v>3834</v>
      </c>
      <c r="G1389" t="s">
        <v>5570</v>
      </c>
      <c r="H1389" t="s">
        <v>4915</v>
      </c>
      <c r="I1389" s="79" t="str">
        <f>IF(CARTERA_2026[[#This Row],[RUT]]=774097899,"DIST",_xlfn.XLOOKUP(CARTERA_2026[[#This Row],[VENDEDOR]],dimensiones!$C$21:$C$28,dimensiones!$D$21:$D$28,""))</f>
        <v>SANT1</v>
      </c>
      <c r="J1389" s="125" t="str">
        <f>_xlfn.XLOOKUP(CARTERA_2026[[#This Row],[REGION]],dimensiones!C:C,dimensiones!D:D,"")</f>
        <v>Región de Metropolitana de Santiago</v>
      </c>
    </row>
    <row r="1390" spans="1:10" x14ac:dyDescent="0.25">
      <c r="A1390">
        <v>780542020</v>
      </c>
      <c r="B1390" t="s">
        <v>4960</v>
      </c>
      <c r="C1390" t="s">
        <v>4226</v>
      </c>
      <c r="D1390">
        <v>10</v>
      </c>
      <c r="E1390" t="s">
        <v>4445</v>
      </c>
      <c r="F1390" t="s">
        <v>4961</v>
      </c>
      <c r="G1390" t="s">
        <v>5568</v>
      </c>
      <c r="H1390" t="s">
        <v>4915</v>
      </c>
      <c r="I1390" s="79" t="str">
        <f>IF(CARTERA_2026[[#This Row],[RUT]]=774097899,"DIST",_xlfn.XLOOKUP(CARTERA_2026[[#This Row],[VENDEDOR]],dimensiones!$C$21:$C$28,dimensiones!$D$21:$D$28,""))</f>
        <v>ATEL</v>
      </c>
      <c r="J1390" s="125" t="str">
        <f>_xlfn.XLOOKUP(CARTERA_2026[[#This Row],[REGION]],dimensiones!C:C,dimensiones!D:D,"")</f>
        <v>Región de Los Lagos</v>
      </c>
    </row>
    <row r="1391" spans="1:10" x14ac:dyDescent="0.25">
      <c r="A1391">
        <v>780542918</v>
      </c>
      <c r="B1391" t="s">
        <v>5538</v>
      </c>
      <c r="C1391" t="s">
        <v>4391</v>
      </c>
      <c r="D1391">
        <v>13</v>
      </c>
      <c r="E1391" t="s">
        <v>4445</v>
      </c>
      <c r="F1391" t="s">
        <v>5539</v>
      </c>
      <c r="G1391" t="s">
        <v>5568</v>
      </c>
      <c r="H1391" t="s">
        <v>4915</v>
      </c>
      <c r="I1391" s="79" t="str">
        <f>IF(CARTERA_2026[[#This Row],[RUT]]=774097899,"DIST",_xlfn.XLOOKUP(CARTERA_2026[[#This Row],[VENDEDOR]],dimensiones!$C$21:$C$28,dimensiones!$D$21:$D$28,""))</f>
        <v>ATEL</v>
      </c>
      <c r="J1391" s="125" t="str">
        <f>_xlfn.XLOOKUP(CARTERA_2026[[#This Row],[REGION]],dimensiones!C:C,dimensiones!D:D,"")</f>
        <v>Región de Metropolitana de Santiago</v>
      </c>
    </row>
    <row r="1392" spans="1:10" x14ac:dyDescent="0.25">
      <c r="A1392" t="s">
        <v>735</v>
      </c>
      <c r="B1392" t="s">
        <v>736</v>
      </c>
      <c r="C1392" t="s">
        <v>4391</v>
      </c>
      <c r="D1392">
        <v>13</v>
      </c>
      <c r="E1392" t="s">
        <v>4445</v>
      </c>
      <c r="F1392" t="s">
        <v>3171</v>
      </c>
      <c r="G1392" t="s">
        <v>5568</v>
      </c>
      <c r="H1392" t="s">
        <v>4915</v>
      </c>
      <c r="I1392" s="79" t="str">
        <f>IF(CARTERA_2026[[#This Row],[RUT]]=774097899,"DIST",_xlfn.XLOOKUP(CARTERA_2026[[#This Row],[VENDEDOR]],dimensiones!$C$21:$C$28,dimensiones!$D$21:$D$28,""))</f>
        <v>ATEL</v>
      </c>
      <c r="J1392" s="125" t="str">
        <f>_xlfn.XLOOKUP(CARTERA_2026[[#This Row],[REGION]],dimensiones!C:C,dimensiones!D:D,"")</f>
        <v>Región de Metropolitana de Santiago</v>
      </c>
    </row>
    <row r="1393" spans="1:10" x14ac:dyDescent="0.25">
      <c r="A1393">
        <v>780722045</v>
      </c>
      <c r="B1393" t="s">
        <v>4753</v>
      </c>
      <c r="C1393" t="s">
        <v>4218</v>
      </c>
      <c r="D1393">
        <v>9</v>
      </c>
      <c r="E1393" t="s">
        <v>4445</v>
      </c>
      <c r="F1393" t="s">
        <v>4910</v>
      </c>
      <c r="G1393" t="s">
        <v>5568</v>
      </c>
      <c r="H1393" t="s">
        <v>4915</v>
      </c>
      <c r="I1393" s="79" t="str">
        <f>IF(CARTERA_2026[[#This Row],[RUT]]=774097899,"DIST",_xlfn.XLOOKUP(CARTERA_2026[[#This Row],[VENDEDOR]],dimensiones!$C$21:$C$28,dimensiones!$D$21:$D$28,""))</f>
        <v>ATEL</v>
      </c>
      <c r="J1393" s="125" t="str">
        <f>_xlfn.XLOOKUP(CARTERA_2026[[#This Row],[REGION]],dimensiones!C:C,dimensiones!D:D,"")</f>
        <v>Región de La Araucanía</v>
      </c>
    </row>
    <row r="1394" spans="1:10" x14ac:dyDescent="0.25">
      <c r="A1394">
        <v>780727039</v>
      </c>
      <c r="B1394" t="s">
        <v>5639</v>
      </c>
      <c r="C1394" t="s">
        <v>4257</v>
      </c>
      <c r="D1394">
        <v>7</v>
      </c>
      <c r="E1394" t="s">
        <v>4445</v>
      </c>
      <c r="F1394" t="s">
        <v>5640</v>
      </c>
      <c r="G1394" t="s">
        <v>5569</v>
      </c>
      <c r="H1394" t="s">
        <v>4915</v>
      </c>
      <c r="I1394" s="79" t="str">
        <f>IF(CARTERA_2026[[#This Row],[RUT]]=774097899,"DIST",_xlfn.XLOOKUP(CARTERA_2026[[#This Row],[VENDEDOR]],dimensiones!$C$21:$C$28,dimensiones!$D$21:$D$28,""))</f>
        <v>ATEL</v>
      </c>
      <c r="J1394" s="125" t="str">
        <f>_xlfn.XLOOKUP(CARTERA_2026[[#This Row],[REGION]],dimensiones!C:C,dimensiones!D:D,"")</f>
        <v>Región de Maule</v>
      </c>
    </row>
    <row r="1395" spans="1:10" x14ac:dyDescent="0.25">
      <c r="A1395">
        <v>780804750</v>
      </c>
      <c r="B1395" t="s">
        <v>5540</v>
      </c>
      <c r="C1395" t="s">
        <v>4563</v>
      </c>
      <c r="D1395">
        <v>5</v>
      </c>
      <c r="E1395" t="s">
        <v>4445</v>
      </c>
      <c r="F1395" t="s">
        <v>5541</v>
      </c>
      <c r="G1395" t="s">
        <v>5568</v>
      </c>
      <c r="H1395" t="s">
        <v>4915</v>
      </c>
      <c r="I1395" s="79" t="str">
        <f>IF(CARTERA_2026[[#This Row],[RUT]]=774097899,"DIST",_xlfn.XLOOKUP(CARTERA_2026[[#This Row],[VENDEDOR]],dimensiones!$C$21:$C$28,dimensiones!$D$21:$D$28,""))</f>
        <v>ATEL</v>
      </c>
      <c r="J1395" s="125" t="str">
        <f>_xlfn.XLOOKUP(CARTERA_2026[[#This Row],[REGION]],dimensiones!C:C,dimensiones!D:D,"")</f>
        <v>Región de Valparaíso</v>
      </c>
    </row>
    <row r="1396" spans="1:10" x14ac:dyDescent="0.25">
      <c r="A1396">
        <v>780839406</v>
      </c>
      <c r="B1396" t="s">
        <v>580</v>
      </c>
      <c r="C1396" t="s">
        <v>4395</v>
      </c>
      <c r="D1396">
        <v>13</v>
      </c>
      <c r="E1396" t="s">
        <v>4445</v>
      </c>
      <c r="F1396" t="s">
        <v>3173</v>
      </c>
      <c r="G1396" t="s">
        <v>5568</v>
      </c>
      <c r="H1396" t="s">
        <v>4915</v>
      </c>
      <c r="I1396" s="79" t="str">
        <f>IF(CARTERA_2026[[#This Row],[RUT]]=774097899,"DIST",_xlfn.XLOOKUP(CARTERA_2026[[#This Row],[VENDEDOR]],dimensiones!$C$21:$C$28,dimensiones!$D$21:$D$28,""))</f>
        <v>ATEL</v>
      </c>
      <c r="J1396" s="125" t="str">
        <f>_xlfn.XLOOKUP(CARTERA_2026[[#This Row],[REGION]],dimensiones!C:C,dimensiones!D:D,"")</f>
        <v>Región de Metropolitana de Santiago</v>
      </c>
    </row>
    <row r="1397" spans="1:10" x14ac:dyDescent="0.25">
      <c r="A1397">
        <v>781117811</v>
      </c>
      <c r="B1397" t="s">
        <v>5679</v>
      </c>
      <c r="C1397" t="s">
        <v>4460</v>
      </c>
      <c r="D1397">
        <v>8</v>
      </c>
      <c r="E1397" t="s">
        <v>4445</v>
      </c>
      <c r="F1397" t="s">
        <v>5680</v>
      </c>
      <c r="G1397" t="s">
        <v>5568</v>
      </c>
      <c r="H1397" t="s">
        <v>4915</v>
      </c>
      <c r="I1397" s="79" t="str">
        <f>IF(CARTERA_2026[[#This Row],[RUT]]=774097899,"DIST",_xlfn.XLOOKUP(CARTERA_2026[[#This Row],[VENDEDOR]],dimensiones!$C$21:$C$28,dimensiones!$D$21:$D$28,""))</f>
        <v>ATEL</v>
      </c>
      <c r="J1397" s="125" t="str">
        <f>_xlfn.XLOOKUP(CARTERA_2026[[#This Row],[REGION]],dimensiones!C:C,dimensiones!D:D,"")</f>
        <v>Región de Biobío</v>
      </c>
    </row>
    <row r="1398" spans="1:10" x14ac:dyDescent="0.25">
      <c r="A1398">
        <v>781247707</v>
      </c>
      <c r="B1398" t="s">
        <v>581</v>
      </c>
      <c r="C1398" t="s">
        <v>4460</v>
      </c>
      <c r="D1398">
        <v>8</v>
      </c>
      <c r="E1398" t="s">
        <v>4445</v>
      </c>
      <c r="F1398" t="s">
        <v>1371</v>
      </c>
      <c r="G1398" t="s">
        <v>5570</v>
      </c>
      <c r="H1398" t="s">
        <v>4915</v>
      </c>
      <c r="I1398" s="79" t="str">
        <f>IF(CARTERA_2026[[#This Row],[RUT]]=774097899,"DIST",_xlfn.XLOOKUP(CARTERA_2026[[#This Row],[VENDEDOR]],dimensiones!$C$21:$C$28,dimensiones!$D$21:$D$28,""))</f>
        <v>ATEL</v>
      </c>
      <c r="J1398" s="125" t="str">
        <f>_xlfn.XLOOKUP(CARTERA_2026[[#This Row],[REGION]],dimensiones!C:C,dimensiones!D:D,"")</f>
        <v>Región de Biobío</v>
      </c>
    </row>
    <row r="1399" spans="1:10" x14ac:dyDescent="0.25">
      <c r="A1399">
        <v>781444634</v>
      </c>
      <c r="B1399" t="s">
        <v>5583</v>
      </c>
      <c r="C1399" t="s">
        <v>4237</v>
      </c>
      <c r="D1399">
        <v>2</v>
      </c>
      <c r="E1399" t="s">
        <v>4445</v>
      </c>
      <c r="F1399" t="s">
        <v>5584</v>
      </c>
      <c r="G1399" t="s">
        <v>5569</v>
      </c>
      <c r="H1399" t="s">
        <v>4915</v>
      </c>
      <c r="I1399" s="79" t="str">
        <f>IF(CARTERA_2026[[#This Row],[RUT]]=774097899,"DIST",_xlfn.XLOOKUP(CARTERA_2026[[#This Row],[VENDEDOR]],dimensiones!$C$21:$C$28,dimensiones!$D$21:$D$28,""))</f>
        <v>ATEL</v>
      </c>
      <c r="J1399" s="125" t="str">
        <f>_xlfn.XLOOKUP(CARTERA_2026[[#This Row],[REGION]],dimensiones!C:C,dimensiones!D:D,"")</f>
        <v>Región de Antofagasta</v>
      </c>
    </row>
    <row r="1400" spans="1:10" x14ac:dyDescent="0.25">
      <c r="A1400">
        <v>781484431</v>
      </c>
      <c r="B1400" t="s">
        <v>5527</v>
      </c>
      <c r="C1400" t="s">
        <v>4391</v>
      </c>
      <c r="D1400">
        <v>13</v>
      </c>
      <c r="E1400" t="s">
        <v>4445</v>
      </c>
      <c r="F1400" t="s">
        <v>5528</v>
      </c>
      <c r="G1400" t="s">
        <v>5570</v>
      </c>
      <c r="H1400" t="s">
        <v>4915</v>
      </c>
      <c r="I1400" s="79" t="str">
        <f>IF(CARTERA_2026[[#This Row],[RUT]]=774097899,"DIST",_xlfn.XLOOKUP(CARTERA_2026[[#This Row],[VENDEDOR]],dimensiones!$C$21:$C$28,dimensiones!$D$21:$D$28,""))</f>
        <v>ATEL</v>
      </c>
      <c r="J1400" s="125" t="str">
        <f>_xlfn.XLOOKUP(CARTERA_2026[[#This Row],[REGION]],dimensiones!C:C,dimensiones!D:D,"")</f>
        <v>Región de Metropolitana de Santiago</v>
      </c>
    </row>
    <row r="1401" spans="1:10" x14ac:dyDescent="0.25">
      <c r="A1401">
        <v>781746657</v>
      </c>
      <c r="B1401" t="s">
        <v>5755</v>
      </c>
      <c r="C1401" t="s">
        <v>4389</v>
      </c>
      <c r="D1401">
        <v>9</v>
      </c>
      <c r="E1401" t="s">
        <v>4445</v>
      </c>
      <c r="F1401" t="s">
        <v>5756</v>
      </c>
      <c r="G1401" t="s">
        <v>5576</v>
      </c>
      <c r="H1401" t="s">
        <v>4915</v>
      </c>
      <c r="I1401" s="79" t="str">
        <f>IF(CARTERA_2026[[#This Row],[RUT]]=774097899,"DIST",_xlfn.XLOOKUP(CARTERA_2026[[#This Row],[VENDEDOR]],dimensiones!$C$21:$C$28,dimensiones!$D$21:$D$28,""))</f>
        <v>ATEL</v>
      </c>
      <c r="J1401" s="125" t="str">
        <f>_xlfn.XLOOKUP(CARTERA_2026[[#This Row],[REGION]],dimensiones!C:C,dimensiones!D:D,"")</f>
        <v>Región de La Araucanía</v>
      </c>
    </row>
    <row r="1402" spans="1:10" x14ac:dyDescent="0.25">
      <c r="A1402">
        <v>781771864</v>
      </c>
      <c r="B1402" t="s">
        <v>5727</v>
      </c>
      <c r="C1402" t="s">
        <v>4319</v>
      </c>
      <c r="D1402">
        <v>5</v>
      </c>
      <c r="E1402" t="s">
        <v>4445</v>
      </c>
      <c r="F1402" t="s">
        <v>5728</v>
      </c>
      <c r="G1402" t="s">
        <v>5568</v>
      </c>
      <c r="H1402" t="s">
        <v>4915</v>
      </c>
      <c r="I1402" s="79" t="str">
        <f>IF(CARTERA_2026[[#This Row],[RUT]]=774097899,"DIST",_xlfn.XLOOKUP(CARTERA_2026[[#This Row],[VENDEDOR]],dimensiones!$C$21:$C$28,dimensiones!$D$21:$D$28,""))</f>
        <v>ATEL</v>
      </c>
      <c r="J1402" s="125" t="str">
        <f>_xlfn.XLOOKUP(CARTERA_2026[[#This Row],[REGION]],dimensiones!C:C,dimensiones!D:D,"")</f>
        <v>Región de Valparaíso</v>
      </c>
    </row>
    <row r="1403" spans="1:10" x14ac:dyDescent="0.25">
      <c r="A1403">
        <v>781788449</v>
      </c>
      <c r="B1403" t="s">
        <v>5719</v>
      </c>
      <c r="C1403" t="s">
        <v>4287</v>
      </c>
      <c r="D1403">
        <v>13</v>
      </c>
      <c r="E1403" t="s">
        <v>4445</v>
      </c>
      <c r="F1403" t="s">
        <v>5720</v>
      </c>
      <c r="G1403" t="s">
        <v>5568</v>
      </c>
      <c r="H1403" t="s">
        <v>4915</v>
      </c>
      <c r="I1403" s="79" t="str">
        <f>IF(CARTERA_2026[[#This Row],[RUT]]=774097899,"DIST",_xlfn.XLOOKUP(CARTERA_2026[[#This Row],[VENDEDOR]],dimensiones!$C$21:$C$28,dimensiones!$D$21:$D$28,""))</f>
        <v>ATEL</v>
      </c>
      <c r="J1403" s="125" t="str">
        <f>_xlfn.XLOOKUP(CARTERA_2026[[#This Row],[REGION]],dimensiones!C:C,dimensiones!D:D,"")</f>
        <v>Región de Metropolitana de Santiago</v>
      </c>
    </row>
    <row r="1404" spans="1:10" x14ac:dyDescent="0.25">
      <c r="A1404">
        <v>781832359</v>
      </c>
      <c r="B1404" t="s">
        <v>5649</v>
      </c>
      <c r="C1404" t="s">
        <v>4495</v>
      </c>
      <c r="D1404">
        <v>16</v>
      </c>
      <c r="E1404" t="s">
        <v>4445</v>
      </c>
      <c r="F1404" t="s">
        <v>5650</v>
      </c>
      <c r="G1404" t="s">
        <v>5568</v>
      </c>
      <c r="H1404" t="s">
        <v>4915</v>
      </c>
      <c r="I1404" s="79" t="str">
        <f>IF(CARTERA_2026[[#This Row],[RUT]]=774097899,"DIST",_xlfn.XLOOKUP(CARTERA_2026[[#This Row],[VENDEDOR]],dimensiones!$C$21:$C$28,dimensiones!$D$21:$D$28,""))</f>
        <v>ATEL</v>
      </c>
      <c r="J1404" s="125" t="str">
        <f>_xlfn.XLOOKUP(CARTERA_2026[[#This Row],[REGION]],dimensiones!C:C,dimensiones!D:D,"")</f>
        <v>Región de Ñuble</v>
      </c>
    </row>
    <row r="1405" spans="1:10" x14ac:dyDescent="0.25">
      <c r="A1405">
        <v>781851302</v>
      </c>
      <c r="B1405" t="s">
        <v>582</v>
      </c>
      <c r="C1405" t="s">
        <v>4292</v>
      </c>
      <c r="D1405">
        <v>10</v>
      </c>
      <c r="E1405" t="s">
        <v>4445</v>
      </c>
      <c r="F1405" t="s">
        <v>3176</v>
      </c>
      <c r="G1405" t="s">
        <v>5570</v>
      </c>
      <c r="H1405" t="s">
        <v>4915</v>
      </c>
      <c r="I1405" s="79" t="str">
        <f>IF(CARTERA_2026[[#This Row],[RUT]]=774097899,"DIST",_xlfn.XLOOKUP(CARTERA_2026[[#This Row],[VENDEDOR]],dimensiones!$C$21:$C$28,dimensiones!$D$21:$D$28,""))</f>
        <v>ATEL</v>
      </c>
      <c r="J1405" s="125" t="str">
        <f>_xlfn.XLOOKUP(CARTERA_2026[[#This Row],[REGION]],dimensiones!C:C,dimensiones!D:D,"")</f>
        <v>Región de Los Lagos</v>
      </c>
    </row>
    <row r="1406" spans="1:10" x14ac:dyDescent="0.25">
      <c r="A1406">
        <v>782050974</v>
      </c>
      <c r="B1406" t="s">
        <v>5687</v>
      </c>
      <c r="C1406" t="s">
        <v>4178</v>
      </c>
      <c r="D1406">
        <v>6</v>
      </c>
      <c r="E1406" t="s">
        <v>4445</v>
      </c>
      <c r="F1406" t="s">
        <v>5688</v>
      </c>
      <c r="G1406" t="s">
        <v>5576</v>
      </c>
      <c r="H1406" t="s">
        <v>4915</v>
      </c>
      <c r="I1406" s="79" t="str">
        <f>IF(CARTERA_2026[[#This Row],[RUT]]=774097899,"DIST",_xlfn.XLOOKUP(CARTERA_2026[[#This Row],[VENDEDOR]],dimensiones!$C$21:$C$28,dimensiones!$D$21:$D$28,""))</f>
        <v>ATEL</v>
      </c>
      <c r="J1406" s="125" t="str">
        <f>_xlfn.XLOOKUP(CARTERA_2026[[#This Row],[REGION]],dimensiones!C:C,dimensiones!D:D,"")</f>
        <v>Región de Libertador General Bernardo O'Higgins</v>
      </c>
    </row>
    <row r="1407" spans="1:10" x14ac:dyDescent="0.25">
      <c r="A1407">
        <v>782064622</v>
      </c>
      <c r="B1407" t="s">
        <v>5604</v>
      </c>
      <c r="C1407" t="s">
        <v>4391</v>
      </c>
      <c r="D1407">
        <v>13</v>
      </c>
      <c r="E1407" t="s">
        <v>4445</v>
      </c>
      <c r="F1407" t="s">
        <v>5605</v>
      </c>
      <c r="G1407" t="s">
        <v>5568</v>
      </c>
      <c r="H1407" t="s">
        <v>4915</v>
      </c>
      <c r="I1407" s="79" t="str">
        <f>IF(CARTERA_2026[[#This Row],[RUT]]=774097899,"DIST",_xlfn.XLOOKUP(CARTERA_2026[[#This Row],[VENDEDOR]],dimensiones!$C$21:$C$28,dimensiones!$D$21:$D$28,""))</f>
        <v>ATEL</v>
      </c>
      <c r="J1407" s="125" t="str">
        <f>_xlfn.XLOOKUP(CARTERA_2026[[#This Row],[REGION]],dimensiones!C:C,dimensiones!D:D,"")</f>
        <v>Región de Metropolitana de Santiago</v>
      </c>
    </row>
    <row r="1408" spans="1:10" x14ac:dyDescent="0.25">
      <c r="A1408">
        <v>782145266</v>
      </c>
      <c r="B1408" t="s">
        <v>5658</v>
      </c>
      <c r="C1408" t="s">
        <v>4465</v>
      </c>
      <c r="D1408">
        <v>13</v>
      </c>
      <c r="E1408" t="s">
        <v>4445</v>
      </c>
      <c r="F1408" t="s">
        <v>5659</v>
      </c>
      <c r="G1408" t="s">
        <v>5568</v>
      </c>
      <c r="H1408" t="s">
        <v>4915</v>
      </c>
      <c r="I1408" s="79" t="str">
        <f>IF(CARTERA_2026[[#This Row],[RUT]]=774097899,"DIST",_xlfn.XLOOKUP(CARTERA_2026[[#This Row],[VENDEDOR]],dimensiones!$C$21:$C$28,dimensiones!$D$21:$D$28,""))</f>
        <v>ATEL</v>
      </c>
      <c r="J1408" s="125" t="str">
        <f>_xlfn.XLOOKUP(CARTERA_2026[[#This Row],[REGION]],dimensiones!C:C,dimensiones!D:D,"")</f>
        <v>Región de Metropolitana de Santiago</v>
      </c>
    </row>
    <row r="1409" spans="1:10" x14ac:dyDescent="0.25">
      <c r="A1409">
        <v>782302302</v>
      </c>
      <c r="B1409" t="s">
        <v>865</v>
      </c>
      <c r="C1409" t="s">
        <v>4178</v>
      </c>
      <c r="D1409">
        <v>6</v>
      </c>
      <c r="E1409" t="s">
        <v>5729</v>
      </c>
      <c r="F1409" t="s">
        <v>2116</v>
      </c>
      <c r="G1409" t="s">
        <v>5570</v>
      </c>
      <c r="H1409" t="s">
        <v>4915</v>
      </c>
      <c r="I1409" s="79" t="str">
        <f>IF(CARTERA_2026[[#This Row],[RUT]]=774097899,"DIST",_xlfn.XLOOKUP(CARTERA_2026[[#This Row],[VENDEDOR]],dimensiones!$C$21:$C$28,dimensiones!$D$21:$D$28,""))</f>
        <v>SANT3</v>
      </c>
      <c r="J1409" s="125" t="str">
        <f>_xlfn.XLOOKUP(CARTERA_2026[[#This Row],[REGION]],dimensiones!C:C,dimensiones!D:D,"")</f>
        <v>Región de Libertador General Bernardo O'Higgins</v>
      </c>
    </row>
    <row r="1410" spans="1:10" x14ac:dyDescent="0.25">
      <c r="A1410">
        <v>782334204</v>
      </c>
      <c r="B1410" t="s">
        <v>4610</v>
      </c>
      <c r="C1410" t="s">
        <v>4391</v>
      </c>
      <c r="D1410">
        <v>13</v>
      </c>
      <c r="E1410" t="s">
        <v>4445</v>
      </c>
      <c r="F1410" t="s">
        <v>4609</v>
      </c>
      <c r="G1410" t="s">
        <v>5568</v>
      </c>
      <c r="H1410" t="s">
        <v>4915</v>
      </c>
      <c r="I1410" s="79" t="str">
        <f>IF(CARTERA_2026[[#This Row],[RUT]]=774097899,"DIST",_xlfn.XLOOKUP(CARTERA_2026[[#This Row],[VENDEDOR]],dimensiones!$C$21:$C$28,dimensiones!$D$21:$D$28,""))</f>
        <v>ATEL</v>
      </c>
      <c r="J1410" s="125" t="str">
        <f>_xlfn.XLOOKUP(CARTERA_2026[[#This Row],[REGION]],dimensiones!C:C,dimensiones!D:D,"")</f>
        <v>Región de Metropolitana de Santiago</v>
      </c>
    </row>
    <row r="1411" spans="1:10" x14ac:dyDescent="0.25">
      <c r="A1411">
        <v>782384902</v>
      </c>
      <c r="B1411" t="s">
        <v>5598</v>
      </c>
      <c r="C1411" t="s">
        <v>4410</v>
      </c>
      <c r="D1411">
        <v>13</v>
      </c>
      <c r="E1411" t="s">
        <v>4445</v>
      </c>
      <c r="F1411" t="s">
        <v>5599</v>
      </c>
      <c r="G1411" t="s">
        <v>5568</v>
      </c>
      <c r="H1411" t="s">
        <v>4915</v>
      </c>
      <c r="I1411" s="79" t="str">
        <f>IF(CARTERA_2026[[#This Row],[RUT]]=774097899,"DIST",_xlfn.XLOOKUP(CARTERA_2026[[#This Row],[VENDEDOR]],dimensiones!$C$21:$C$28,dimensiones!$D$21:$D$28,""))</f>
        <v>ATEL</v>
      </c>
      <c r="J1411" s="125" t="str">
        <f>_xlfn.XLOOKUP(CARTERA_2026[[#This Row],[REGION]],dimensiones!C:C,dimensiones!D:D,"")</f>
        <v>Región de Metropolitana de Santiago</v>
      </c>
    </row>
    <row r="1412" spans="1:10" x14ac:dyDescent="0.25">
      <c r="A1412">
        <v>782549847</v>
      </c>
      <c r="B1412" t="s">
        <v>5757</v>
      </c>
      <c r="C1412" t="s">
        <v>4510</v>
      </c>
      <c r="D1412"/>
      <c r="E1412" t="s">
        <v>4445</v>
      </c>
      <c r="F1412" t="s">
        <v>5758</v>
      </c>
      <c r="G1412" t="s">
        <v>5568</v>
      </c>
      <c r="H1412" t="s">
        <v>4915</v>
      </c>
      <c r="I1412" s="79" t="str">
        <f>IF(CARTERA_2026[[#This Row],[RUT]]=774097899,"DIST",_xlfn.XLOOKUP(CARTERA_2026[[#This Row],[VENDEDOR]],dimensiones!$C$21:$C$28,dimensiones!$D$21:$D$28,""))</f>
        <v>ATEL</v>
      </c>
      <c r="J1412" s="125">
        <f>_xlfn.XLOOKUP(CARTERA_2026[[#This Row],[REGION]],dimensiones!C:C,dimensiones!D:D,"")</f>
        <v>0</v>
      </c>
    </row>
    <row r="1413" spans="1:10" x14ac:dyDescent="0.25">
      <c r="A1413">
        <v>782987283</v>
      </c>
      <c r="B1413" t="s">
        <v>5816</v>
      </c>
      <c r="C1413" t="s">
        <v>4218</v>
      </c>
      <c r="D1413">
        <v>9</v>
      </c>
      <c r="E1413" t="s">
        <v>4445</v>
      </c>
      <c r="F1413" t="s">
        <v>5817</v>
      </c>
      <c r="H1413" t="s">
        <v>4915</v>
      </c>
      <c r="I1413" s="79" t="str">
        <f>IF(CARTERA_2026[[#This Row],[RUT]]=774097899,"DIST",_xlfn.XLOOKUP(CARTERA_2026[[#This Row],[VENDEDOR]],dimensiones!$C$21:$C$28,dimensiones!$D$21:$D$28,""))</f>
        <v>ATEL</v>
      </c>
      <c r="J1413" s="125" t="str">
        <f>_xlfn.XLOOKUP(CARTERA_2026[[#This Row],[REGION]],dimensiones!C:C,dimensiones!D:D,"")</f>
        <v>Región de La Araucanía</v>
      </c>
    </row>
    <row r="1414" spans="1:10" x14ac:dyDescent="0.25">
      <c r="A1414">
        <v>783504405</v>
      </c>
      <c r="B1414" t="s">
        <v>4435</v>
      </c>
      <c r="C1414" t="s">
        <v>4391</v>
      </c>
      <c r="D1414">
        <v>13</v>
      </c>
      <c r="E1414" t="s">
        <v>4445</v>
      </c>
      <c r="F1414" t="s">
        <v>4611</v>
      </c>
      <c r="G1414" t="s">
        <v>5568</v>
      </c>
      <c r="H1414" t="s">
        <v>4915</v>
      </c>
      <c r="I1414" s="79" t="str">
        <f>IF(CARTERA_2026[[#This Row],[RUT]]=774097899,"DIST",_xlfn.XLOOKUP(CARTERA_2026[[#This Row],[VENDEDOR]],dimensiones!$C$21:$C$28,dimensiones!$D$21:$D$28,""))</f>
        <v>ATEL</v>
      </c>
      <c r="J1414" s="125" t="str">
        <f>_xlfn.XLOOKUP(CARTERA_2026[[#This Row],[REGION]],dimensiones!C:C,dimensiones!D:D,"")</f>
        <v>Región de Metropolitana de Santiago</v>
      </c>
    </row>
    <row r="1415" spans="1:10" x14ac:dyDescent="0.25">
      <c r="A1415">
        <v>783553295</v>
      </c>
      <c r="B1415" t="s">
        <v>5786</v>
      </c>
      <c r="C1415" t="s">
        <v>4391</v>
      </c>
      <c r="D1415">
        <v>13</v>
      </c>
      <c r="E1415" t="s">
        <v>4445</v>
      </c>
      <c r="F1415" t="s">
        <v>5787</v>
      </c>
      <c r="G1415" t="s">
        <v>5568</v>
      </c>
      <c r="H1415" t="s">
        <v>4915</v>
      </c>
      <c r="I1415" s="79" t="str">
        <f>IF(CARTERA_2026[[#This Row],[RUT]]=774097899,"DIST",_xlfn.XLOOKUP(CARTERA_2026[[#This Row],[VENDEDOR]],dimensiones!$C$21:$C$28,dimensiones!$D$21:$D$28,""))</f>
        <v>ATEL</v>
      </c>
      <c r="J1415" s="125" t="str">
        <f>_xlfn.XLOOKUP(CARTERA_2026[[#This Row],[REGION]],dimensiones!C:C,dimensiones!D:D,"")</f>
        <v>Región de Metropolitana de Santiago</v>
      </c>
    </row>
    <row r="1416" spans="1:10" x14ac:dyDescent="0.25">
      <c r="A1416">
        <v>783684926</v>
      </c>
      <c r="B1416" t="s">
        <v>5795</v>
      </c>
      <c r="C1416" t="s">
        <v>4460</v>
      </c>
      <c r="D1416">
        <v>8</v>
      </c>
      <c r="E1416" t="s">
        <v>4445</v>
      </c>
      <c r="F1416" t="s">
        <v>5796</v>
      </c>
      <c r="G1416" t="s">
        <v>5568</v>
      </c>
      <c r="H1416" t="s">
        <v>4915</v>
      </c>
      <c r="I1416" s="79" t="str">
        <f>IF(CARTERA_2026[[#This Row],[RUT]]=774097899,"DIST",_xlfn.XLOOKUP(CARTERA_2026[[#This Row],[VENDEDOR]],dimensiones!$C$21:$C$28,dimensiones!$D$21:$D$28,""))</f>
        <v>ATEL</v>
      </c>
      <c r="J1416" s="125" t="str">
        <f>_xlfn.XLOOKUP(CARTERA_2026[[#This Row],[REGION]],dimensiones!C:C,dimensiones!D:D,"")</f>
        <v>Región de Biobío</v>
      </c>
    </row>
    <row r="1417" spans="1:10" x14ac:dyDescent="0.25">
      <c r="A1417">
        <v>785378709</v>
      </c>
      <c r="B1417" t="s">
        <v>4988</v>
      </c>
      <c r="C1417" t="s">
        <v>4473</v>
      </c>
      <c r="D1417">
        <v>13</v>
      </c>
      <c r="E1417" t="s">
        <v>4445</v>
      </c>
      <c r="F1417" t="s">
        <v>4993</v>
      </c>
      <c r="G1417" t="s">
        <v>5568</v>
      </c>
      <c r="H1417" t="s">
        <v>4915</v>
      </c>
      <c r="I1417" s="79" t="str">
        <f>IF(CARTERA_2026[[#This Row],[RUT]]=774097899,"DIST",_xlfn.XLOOKUP(CARTERA_2026[[#This Row],[VENDEDOR]],dimensiones!$C$21:$C$28,dimensiones!$D$21:$D$28,""))</f>
        <v>ATEL</v>
      </c>
      <c r="J1417" s="125" t="str">
        <f>_xlfn.XLOOKUP(CARTERA_2026[[#This Row],[REGION]],dimensiones!C:C,dimensiones!D:D,"")</f>
        <v>Región de Metropolitana de Santiago</v>
      </c>
    </row>
    <row r="1418" spans="1:10" x14ac:dyDescent="0.25">
      <c r="A1418">
        <v>785563700</v>
      </c>
      <c r="B1418" t="s">
        <v>583</v>
      </c>
      <c r="C1418" t="s">
        <v>4391</v>
      </c>
      <c r="D1418">
        <v>13</v>
      </c>
      <c r="E1418" t="s">
        <v>4445</v>
      </c>
      <c r="F1418" t="s">
        <v>3758</v>
      </c>
      <c r="G1418" t="s">
        <v>5570</v>
      </c>
      <c r="H1418" t="s">
        <v>4915</v>
      </c>
      <c r="I1418" s="79" t="str">
        <f>IF(CARTERA_2026[[#This Row],[RUT]]=774097899,"DIST",_xlfn.XLOOKUP(CARTERA_2026[[#This Row],[VENDEDOR]],dimensiones!$C$21:$C$28,dimensiones!$D$21:$D$28,""))</f>
        <v>ATEL</v>
      </c>
      <c r="J1418" s="125" t="str">
        <f>_xlfn.XLOOKUP(CARTERA_2026[[#This Row],[REGION]],dimensiones!C:C,dimensiones!D:D,"")</f>
        <v>Región de Metropolitana de Santiago</v>
      </c>
    </row>
    <row r="1419" spans="1:10" x14ac:dyDescent="0.25">
      <c r="A1419">
        <v>785662504</v>
      </c>
      <c r="B1419" t="s">
        <v>5585</v>
      </c>
      <c r="C1419" t="s">
        <v>4465</v>
      </c>
      <c r="D1419">
        <v>13</v>
      </c>
      <c r="E1419" t="s">
        <v>4445</v>
      </c>
      <c r="F1419" t="s">
        <v>5586</v>
      </c>
      <c r="G1419" t="s">
        <v>5568</v>
      </c>
      <c r="H1419" t="s">
        <v>4915</v>
      </c>
      <c r="I1419" s="79" t="str">
        <f>IF(CARTERA_2026[[#This Row],[RUT]]=774097899,"DIST",_xlfn.XLOOKUP(CARTERA_2026[[#This Row],[VENDEDOR]],dimensiones!$C$21:$C$28,dimensiones!$D$21:$D$28,""))</f>
        <v>ATEL</v>
      </c>
      <c r="J1419" s="125" t="str">
        <f>_xlfn.XLOOKUP(CARTERA_2026[[#This Row],[REGION]],dimensiones!C:C,dimensiones!D:D,"")</f>
        <v>Región de Metropolitana de Santiago</v>
      </c>
    </row>
    <row r="1420" spans="1:10" x14ac:dyDescent="0.25">
      <c r="A1420">
        <v>785837509</v>
      </c>
      <c r="B1420" t="s">
        <v>584</v>
      </c>
      <c r="C1420" t="s">
        <v>4465</v>
      </c>
      <c r="D1420">
        <v>13</v>
      </c>
      <c r="E1420" t="s">
        <v>4445</v>
      </c>
      <c r="F1420" t="s">
        <v>3182</v>
      </c>
      <c r="G1420" t="s">
        <v>5568</v>
      </c>
      <c r="H1420" t="s">
        <v>4915</v>
      </c>
      <c r="I1420" s="79" t="str">
        <f>IF(CARTERA_2026[[#This Row],[RUT]]=774097899,"DIST",_xlfn.XLOOKUP(CARTERA_2026[[#This Row],[VENDEDOR]],dimensiones!$C$21:$C$28,dimensiones!$D$21:$D$28,""))</f>
        <v>ATEL</v>
      </c>
      <c r="J1420" s="125" t="str">
        <f>_xlfn.XLOOKUP(CARTERA_2026[[#This Row],[REGION]],dimensiones!C:C,dimensiones!D:D,"")</f>
        <v>Región de Metropolitana de Santiago</v>
      </c>
    </row>
    <row r="1421" spans="1:10" x14ac:dyDescent="0.25">
      <c r="A1421">
        <v>785977408</v>
      </c>
      <c r="B1421" t="s">
        <v>3185</v>
      </c>
      <c r="C1421" t="s">
        <v>4391</v>
      </c>
      <c r="D1421">
        <v>13</v>
      </c>
      <c r="E1421" t="s">
        <v>4445</v>
      </c>
      <c r="F1421" t="s">
        <v>3184</v>
      </c>
      <c r="G1421" t="s">
        <v>5570</v>
      </c>
      <c r="H1421" t="s">
        <v>4915</v>
      </c>
      <c r="I1421" s="79" t="str">
        <f>IF(CARTERA_2026[[#This Row],[RUT]]=774097899,"DIST",_xlfn.XLOOKUP(CARTERA_2026[[#This Row],[VENDEDOR]],dimensiones!$C$21:$C$28,dimensiones!$D$21:$D$28,""))</f>
        <v>ATEL</v>
      </c>
      <c r="J1421" s="125" t="str">
        <f>_xlfn.XLOOKUP(CARTERA_2026[[#This Row],[REGION]],dimensiones!C:C,dimensiones!D:D,"")</f>
        <v>Región de Metropolitana de Santiago</v>
      </c>
    </row>
    <row r="1422" spans="1:10" x14ac:dyDescent="0.25">
      <c r="A1422">
        <v>786602009</v>
      </c>
      <c r="B1422" t="s">
        <v>118</v>
      </c>
      <c r="C1422" t="s">
        <v>4175</v>
      </c>
      <c r="D1422">
        <v>5</v>
      </c>
      <c r="E1422" t="s">
        <v>2372</v>
      </c>
      <c r="F1422" t="s">
        <v>3187</v>
      </c>
      <c r="G1422" t="s">
        <v>5570</v>
      </c>
      <c r="H1422" t="s">
        <v>4915</v>
      </c>
      <c r="I1422" s="79" t="str">
        <f>IF(CARTERA_2026[[#This Row],[RUT]]=774097899,"DIST",_xlfn.XLOOKUP(CARTERA_2026[[#This Row],[VENDEDOR]],dimensiones!$C$21:$C$28,dimensiones!$D$21:$D$28,""))</f>
        <v>NOR1</v>
      </c>
      <c r="J1422" s="125" t="str">
        <f>_xlfn.XLOOKUP(CARTERA_2026[[#This Row],[REGION]],dimensiones!C:C,dimensiones!D:D,"")</f>
        <v>Región de Valparaíso</v>
      </c>
    </row>
    <row r="1423" spans="1:10" x14ac:dyDescent="0.25">
      <c r="A1423">
        <v>786632609</v>
      </c>
      <c r="B1423" t="s">
        <v>3190</v>
      </c>
      <c r="C1423" t="s">
        <v>4175</v>
      </c>
      <c r="D1423">
        <v>5</v>
      </c>
      <c r="E1423" t="s">
        <v>4445</v>
      </c>
      <c r="F1423" t="s">
        <v>3189</v>
      </c>
      <c r="G1423" t="s">
        <v>5570</v>
      </c>
      <c r="H1423" t="s">
        <v>4915</v>
      </c>
      <c r="I1423" s="79" t="str">
        <f>IF(CARTERA_2026[[#This Row],[RUT]]=774097899,"DIST",_xlfn.XLOOKUP(CARTERA_2026[[#This Row],[VENDEDOR]],dimensiones!$C$21:$C$28,dimensiones!$D$21:$D$28,""))</f>
        <v>ATEL</v>
      </c>
      <c r="J1423" s="125" t="str">
        <f>_xlfn.XLOOKUP(CARTERA_2026[[#This Row],[REGION]],dimensiones!C:C,dimensiones!D:D,"")</f>
        <v>Región de Valparaíso</v>
      </c>
    </row>
    <row r="1424" spans="1:10" x14ac:dyDescent="0.25">
      <c r="A1424">
        <v>787395805</v>
      </c>
      <c r="B1424" t="s">
        <v>868</v>
      </c>
      <c r="C1424" t="s">
        <v>4465</v>
      </c>
      <c r="D1424">
        <v>13</v>
      </c>
      <c r="E1424" t="s">
        <v>4445</v>
      </c>
      <c r="F1424" t="s">
        <v>4130</v>
      </c>
      <c r="G1424" t="s">
        <v>5570</v>
      </c>
      <c r="H1424" t="s">
        <v>4915</v>
      </c>
      <c r="I1424" s="79" t="str">
        <f>IF(CARTERA_2026[[#This Row],[RUT]]=774097899,"DIST",_xlfn.XLOOKUP(CARTERA_2026[[#This Row],[VENDEDOR]],dimensiones!$C$21:$C$28,dimensiones!$D$21:$D$28,""))</f>
        <v>ATEL</v>
      </c>
      <c r="J1424" s="125" t="str">
        <f>_xlfn.XLOOKUP(CARTERA_2026[[#This Row],[REGION]],dimensiones!C:C,dimensiones!D:D,"")</f>
        <v>Región de Metropolitana de Santiago</v>
      </c>
    </row>
    <row r="1425" spans="1:10" x14ac:dyDescent="0.25">
      <c r="A1425">
        <v>789182906</v>
      </c>
      <c r="B1425" t="s">
        <v>2028</v>
      </c>
      <c r="C1425" t="s">
        <v>4178</v>
      </c>
      <c r="D1425">
        <v>6</v>
      </c>
      <c r="E1425" t="s">
        <v>5729</v>
      </c>
      <c r="F1425" t="s">
        <v>2027</v>
      </c>
      <c r="G1425" t="s">
        <v>5570</v>
      </c>
      <c r="H1425" t="s">
        <v>4915</v>
      </c>
      <c r="I1425" s="79" t="str">
        <f>IF(CARTERA_2026[[#This Row],[RUT]]=774097899,"DIST",_xlfn.XLOOKUP(CARTERA_2026[[#This Row],[VENDEDOR]],dimensiones!$C$21:$C$28,dimensiones!$D$21:$D$28,""))</f>
        <v>SANT3</v>
      </c>
      <c r="J1425" s="125" t="str">
        <f>_xlfn.XLOOKUP(CARTERA_2026[[#This Row],[REGION]],dimensiones!C:C,dimensiones!D:D,"")</f>
        <v>Región de Libertador General Bernardo O'Higgins</v>
      </c>
    </row>
    <row r="1426" spans="1:10" x14ac:dyDescent="0.25">
      <c r="A1426">
        <v>789374503</v>
      </c>
      <c r="B1426" t="s">
        <v>3197</v>
      </c>
      <c r="C1426" t="s">
        <v>4168</v>
      </c>
      <c r="D1426">
        <v>13</v>
      </c>
      <c r="E1426" t="s">
        <v>4445</v>
      </c>
      <c r="F1426" t="s">
        <v>3196</v>
      </c>
      <c r="G1426" t="s">
        <v>5568</v>
      </c>
      <c r="H1426" t="s">
        <v>4915</v>
      </c>
      <c r="I1426" s="79" t="str">
        <f>IF(CARTERA_2026[[#This Row],[RUT]]=774097899,"DIST",_xlfn.XLOOKUP(CARTERA_2026[[#This Row],[VENDEDOR]],dimensiones!$C$21:$C$28,dimensiones!$D$21:$D$28,""))</f>
        <v>ATEL</v>
      </c>
      <c r="J1426" s="125" t="str">
        <f>_xlfn.XLOOKUP(CARTERA_2026[[#This Row],[REGION]],dimensiones!C:C,dimensiones!D:D,"")</f>
        <v>Región de Metropolitana de Santiago</v>
      </c>
    </row>
    <row r="1427" spans="1:10" x14ac:dyDescent="0.25">
      <c r="A1427">
        <v>789476101</v>
      </c>
      <c r="B1427" t="s">
        <v>5670</v>
      </c>
      <c r="C1427" t="s">
        <v>4218</v>
      </c>
      <c r="D1427">
        <v>9</v>
      </c>
      <c r="E1427" t="s">
        <v>4445</v>
      </c>
      <c r="F1427" t="s">
        <v>5671</v>
      </c>
      <c r="G1427" t="s">
        <v>5568</v>
      </c>
      <c r="H1427" t="s">
        <v>4915</v>
      </c>
      <c r="I1427" s="79" t="str">
        <f>IF(CARTERA_2026[[#This Row],[RUT]]=774097899,"DIST",_xlfn.XLOOKUP(CARTERA_2026[[#This Row],[VENDEDOR]],dimensiones!$C$21:$C$28,dimensiones!$D$21:$D$28,""))</f>
        <v>ATEL</v>
      </c>
      <c r="J1427" s="125" t="str">
        <f>_xlfn.XLOOKUP(CARTERA_2026[[#This Row],[REGION]],dimensiones!C:C,dimensiones!D:D,"")</f>
        <v>Región de La Araucanía</v>
      </c>
    </row>
    <row r="1428" spans="1:10" x14ac:dyDescent="0.25">
      <c r="A1428">
        <v>795768106</v>
      </c>
      <c r="B1428" t="s">
        <v>119</v>
      </c>
      <c r="C1428" t="s">
        <v>4175</v>
      </c>
      <c r="D1428">
        <v>5</v>
      </c>
      <c r="E1428" t="s">
        <v>2372</v>
      </c>
      <c r="F1428" t="s">
        <v>3530</v>
      </c>
      <c r="G1428" t="s">
        <v>5570</v>
      </c>
      <c r="H1428" t="s">
        <v>4915</v>
      </c>
      <c r="I1428" s="79" t="str">
        <f>IF(CARTERA_2026[[#This Row],[RUT]]=774097899,"DIST",_xlfn.XLOOKUP(CARTERA_2026[[#This Row],[VENDEDOR]],dimensiones!$C$21:$C$28,dimensiones!$D$21:$D$28,""))</f>
        <v>NOR1</v>
      </c>
      <c r="J1428" s="125" t="str">
        <f>_xlfn.XLOOKUP(CARTERA_2026[[#This Row],[REGION]],dimensiones!C:C,dimensiones!D:D,"")</f>
        <v>Región de Valparaíso</v>
      </c>
    </row>
    <row r="1429" spans="1:10" x14ac:dyDescent="0.25">
      <c r="A1429">
        <v>796079002</v>
      </c>
      <c r="B1429" t="s">
        <v>120</v>
      </c>
      <c r="C1429" t="s">
        <v>4495</v>
      </c>
      <c r="D1429">
        <v>16</v>
      </c>
      <c r="E1429" t="s">
        <v>4464</v>
      </c>
      <c r="F1429" t="s">
        <v>4153</v>
      </c>
      <c r="G1429" t="s">
        <v>5570</v>
      </c>
      <c r="H1429" t="s">
        <v>4915</v>
      </c>
      <c r="I1429" s="79" t="str">
        <f>IF(CARTERA_2026[[#This Row],[RUT]]=774097899,"DIST",_xlfn.XLOOKUP(CARTERA_2026[[#This Row],[VENDEDOR]],dimensiones!$C$21:$C$28,dimensiones!$D$21:$D$28,""))</f>
        <v>SUR1</v>
      </c>
      <c r="J1429" s="125" t="str">
        <f>_xlfn.XLOOKUP(CARTERA_2026[[#This Row],[REGION]],dimensiones!C:C,dimensiones!D:D,"")</f>
        <v>Región de Ñuble</v>
      </c>
    </row>
    <row r="1430" spans="1:10" x14ac:dyDescent="0.25">
      <c r="A1430">
        <v>797228605</v>
      </c>
      <c r="B1430" t="s">
        <v>3205</v>
      </c>
      <c r="C1430" t="s">
        <v>4557</v>
      </c>
      <c r="D1430">
        <v>13</v>
      </c>
      <c r="E1430" t="s">
        <v>4445</v>
      </c>
      <c r="F1430" t="s">
        <v>3204</v>
      </c>
      <c r="G1430" t="s">
        <v>5568</v>
      </c>
      <c r="H1430" t="s">
        <v>4915</v>
      </c>
      <c r="I1430" s="79" t="str">
        <f>IF(CARTERA_2026[[#This Row],[RUT]]=774097899,"DIST",_xlfn.XLOOKUP(CARTERA_2026[[#This Row],[VENDEDOR]],dimensiones!$C$21:$C$28,dimensiones!$D$21:$D$28,""))</f>
        <v>ATEL</v>
      </c>
      <c r="J1430" s="125" t="str">
        <f>_xlfn.XLOOKUP(CARTERA_2026[[#This Row],[REGION]],dimensiones!C:C,dimensiones!D:D,"")</f>
        <v>Región de Metropolitana de Santiago</v>
      </c>
    </row>
    <row r="1431" spans="1:10" x14ac:dyDescent="0.25">
      <c r="A1431">
        <v>798440802</v>
      </c>
      <c r="B1431" t="s">
        <v>587</v>
      </c>
      <c r="C1431" t="s">
        <v>4394</v>
      </c>
      <c r="D1431">
        <v>13</v>
      </c>
      <c r="E1431" t="s">
        <v>4445</v>
      </c>
      <c r="F1431" t="s">
        <v>3206</v>
      </c>
      <c r="G1431" t="s">
        <v>5568</v>
      </c>
      <c r="H1431" t="s">
        <v>4915</v>
      </c>
      <c r="I1431" s="79" t="str">
        <f>IF(CARTERA_2026[[#This Row],[RUT]]=774097899,"DIST",_xlfn.XLOOKUP(CARTERA_2026[[#This Row],[VENDEDOR]],dimensiones!$C$21:$C$28,dimensiones!$D$21:$D$28,""))</f>
        <v>ATEL</v>
      </c>
      <c r="J1431" s="125" t="str">
        <f>_xlfn.XLOOKUP(CARTERA_2026[[#This Row],[REGION]],dimensiones!C:C,dimensiones!D:D,"")</f>
        <v>Región de Metropolitana de Santiago</v>
      </c>
    </row>
    <row r="1432" spans="1:10" x14ac:dyDescent="0.25">
      <c r="A1432">
        <v>798598902</v>
      </c>
      <c r="B1432" t="s">
        <v>588</v>
      </c>
      <c r="C1432" t="s">
        <v>4465</v>
      </c>
      <c r="D1432">
        <v>13</v>
      </c>
      <c r="E1432" t="s">
        <v>4445</v>
      </c>
      <c r="F1432" t="s">
        <v>2802</v>
      </c>
      <c r="G1432" t="s">
        <v>5570</v>
      </c>
      <c r="H1432" t="s">
        <v>4915</v>
      </c>
      <c r="I1432" s="79" t="str">
        <f>IF(CARTERA_2026[[#This Row],[RUT]]=774097899,"DIST",_xlfn.XLOOKUP(CARTERA_2026[[#This Row],[VENDEDOR]],dimensiones!$C$21:$C$28,dimensiones!$D$21:$D$28,""))</f>
        <v>ATEL</v>
      </c>
      <c r="J1432" s="125" t="str">
        <f>_xlfn.XLOOKUP(CARTERA_2026[[#This Row],[REGION]],dimensiones!C:C,dimensiones!D:D,"")</f>
        <v>Región de Metropolitana de Santiago</v>
      </c>
    </row>
    <row r="1433" spans="1:10" x14ac:dyDescent="0.25">
      <c r="A1433">
        <v>798956701</v>
      </c>
      <c r="B1433" t="s">
        <v>589</v>
      </c>
      <c r="C1433" t="s">
        <v>4393</v>
      </c>
      <c r="D1433">
        <v>13</v>
      </c>
      <c r="E1433" t="s">
        <v>4445</v>
      </c>
      <c r="F1433" t="s">
        <v>3210</v>
      </c>
      <c r="G1433" t="s">
        <v>5568</v>
      </c>
      <c r="H1433" t="s">
        <v>4915</v>
      </c>
      <c r="I1433" s="79" t="str">
        <f>IF(CARTERA_2026[[#This Row],[RUT]]=774097899,"DIST",_xlfn.XLOOKUP(CARTERA_2026[[#This Row],[VENDEDOR]],dimensiones!$C$21:$C$28,dimensiones!$D$21:$D$28,""))</f>
        <v>ATEL</v>
      </c>
      <c r="J1433" s="125" t="str">
        <f>_xlfn.XLOOKUP(CARTERA_2026[[#This Row],[REGION]],dimensiones!C:C,dimensiones!D:D,"")</f>
        <v>Región de Metropolitana de Santiago</v>
      </c>
    </row>
    <row r="1434" spans="1:10" x14ac:dyDescent="0.25">
      <c r="A1434">
        <v>79898783</v>
      </c>
      <c r="B1434" t="s">
        <v>939</v>
      </c>
      <c r="C1434" t="s">
        <v>4410</v>
      </c>
      <c r="D1434">
        <v>13</v>
      </c>
      <c r="E1434" t="s">
        <v>4445</v>
      </c>
      <c r="F1434" t="s">
        <v>3212</v>
      </c>
      <c r="G1434" t="s">
        <v>5568</v>
      </c>
      <c r="H1434" t="s">
        <v>4915</v>
      </c>
      <c r="I1434" s="79" t="str">
        <f>IF(CARTERA_2026[[#This Row],[RUT]]=774097899,"DIST",_xlfn.XLOOKUP(CARTERA_2026[[#This Row],[VENDEDOR]],dimensiones!$C$21:$C$28,dimensiones!$D$21:$D$28,""))</f>
        <v>ATEL</v>
      </c>
      <c r="J1434" s="125" t="str">
        <f>_xlfn.XLOOKUP(CARTERA_2026[[#This Row],[REGION]],dimensiones!C:C,dimensiones!D:D,"")</f>
        <v>Región de Metropolitana de Santiago</v>
      </c>
    </row>
    <row r="1435" spans="1:10" x14ac:dyDescent="0.25">
      <c r="A1435">
        <v>799065401</v>
      </c>
      <c r="B1435" t="s">
        <v>5562</v>
      </c>
      <c r="C1435" t="s">
        <v>4557</v>
      </c>
      <c r="D1435">
        <v>13</v>
      </c>
      <c r="E1435" t="s">
        <v>5563</v>
      </c>
      <c r="F1435" t="s">
        <v>5564</v>
      </c>
      <c r="H1435" t="s">
        <v>4915</v>
      </c>
      <c r="I1435" s="79" t="str">
        <f>IF(CARTERA_2026[[#This Row],[RUT]]=774097899,"DIST",_xlfn.XLOOKUP(CARTERA_2026[[#This Row],[VENDEDOR]],dimensiones!$C$21:$C$28,dimensiones!$D$21:$D$28,""))</f>
        <v/>
      </c>
      <c r="J1435" s="125" t="str">
        <f>_xlfn.XLOOKUP(CARTERA_2026[[#This Row],[REGION]],dimensiones!C:C,dimensiones!D:D,"")</f>
        <v>Región de Metropolitana de Santiago</v>
      </c>
    </row>
    <row r="1436" spans="1:10" x14ac:dyDescent="0.25">
      <c r="A1436">
        <v>801239005</v>
      </c>
      <c r="B1436" t="s">
        <v>975</v>
      </c>
      <c r="C1436" t="s">
        <v>4391</v>
      </c>
      <c r="D1436">
        <v>13</v>
      </c>
      <c r="E1436" t="s">
        <v>4445</v>
      </c>
      <c r="F1436" t="s">
        <v>3214</v>
      </c>
      <c r="G1436" t="s">
        <v>5568</v>
      </c>
      <c r="H1436" t="s">
        <v>4915</v>
      </c>
      <c r="I1436" s="79" t="str">
        <f>IF(CARTERA_2026[[#This Row],[RUT]]=774097899,"DIST",_xlfn.XLOOKUP(CARTERA_2026[[#This Row],[VENDEDOR]],dimensiones!$C$21:$C$28,dimensiones!$D$21:$D$28,""))</f>
        <v>ATEL</v>
      </c>
      <c r="J1436" s="125" t="str">
        <f>_xlfn.XLOOKUP(CARTERA_2026[[#This Row],[REGION]],dimensiones!C:C,dimensiones!D:D,"")</f>
        <v>Región de Metropolitana de Santiago</v>
      </c>
    </row>
    <row r="1437" spans="1:10" x14ac:dyDescent="0.25">
      <c r="A1437">
        <v>809329003</v>
      </c>
      <c r="B1437" t="s">
        <v>1065</v>
      </c>
      <c r="C1437" t="s">
        <v>4460</v>
      </c>
      <c r="D1437">
        <v>8</v>
      </c>
      <c r="E1437" t="s">
        <v>4445</v>
      </c>
      <c r="F1437" t="s">
        <v>3216</v>
      </c>
      <c r="G1437" t="s">
        <v>5570</v>
      </c>
      <c r="H1437" t="s">
        <v>4915</v>
      </c>
      <c r="I1437" s="79" t="str">
        <f>IF(CARTERA_2026[[#This Row],[RUT]]=774097899,"DIST",_xlfn.XLOOKUP(CARTERA_2026[[#This Row],[VENDEDOR]],dimensiones!$C$21:$C$28,dimensiones!$D$21:$D$28,""))</f>
        <v>ATEL</v>
      </c>
      <c r="J1437" s="125" t="str">
        <f>_xlfn.XLOOKUP(CARTERA_2026[[#This Row],[REGION]],dimensiones!C:C,dimensiones!D:D,"")</f>
        <v>Región de Biobío</v>
      </c>
    </row>
    <row r="1438" spans="1:10" x14ac:dyDescent="0.25">
      <c r="A1438">
        <v>812104004</v>
      </c>
      <c r="B1438" t="s">
        <v>5587</v>
      </c>
      <c r="C1438" t="s">
        <v>4393</v>
      </c>
      <c r="D1438">
        <v>13</v>
      </c>
      <c r="E1438" t="s">
        <v>4445</v>
      </c>
      <c r="F1438" t="s">
        <v>5319</v>
      </c>
      <c r="G1438" t="s">
        <v>5568</v>
      </c>
      <c r="H1438" t="s">
        <v>4915</v>
      </c>
      <c r="I1438" s="79" t="str">
        <f>IF(CARTERA_2026[[#This Row],[RUT]]=774097899,"DIST",_xlfn.XLOOKUP(CARTERA_2026[[#This Row],[VENDEDOR]],dimensiones!$C$21:$C$28,dimensiones!$D$21:$D$28,""))</f>
        <v>ATEL</v>
      </c>
      <c r="J1438" s="125" t="str">
        <f>_xlfn.XLOOKUP(CARTERA_2026[[#This Row],[REGION]],dimensiones!C:C,dimensiones!D:D,"")</f>
        <v>Región de Metropolitana de Santiago</v>
      </c>
    </row>
    <row r="1439" spans="1:10" x14ac:dyDescent="0.25">
      <c r="A1439">
        <v>813380005</v>
      </c>
      <c r="B1439" t="s">
        <v>590</v>
      </c>
      <c r="C1439" t="s">
        <v>4456</v>
      </c>
      <c r="D1439">
        <v>13</v>
      </c>
      <c r="E1439" t="s">
        <v>4445</v>
      </c>
      <c r="F1439" t="s">
        <v>3218</v>
      </c>
      <c r="G1439" t="s">
        <v>5568</v>
      </c>
      <c r="H1439" t="s">
        <v>4915</v>
      </c>
      <c r="I1439" s="79" t="str">
        <f>IF(CARTERA_2026[[#This Row],[RUT]]=774097899,"DIST",_xlfn.XLOOKUP(CARTERA_2026[[#This Row],[VENDEDOR]],dimensiones!$C$21:$C$28,dimensiones!$D$21:$D$28,""))</f>
        <v>ATEL</v>
      </c>
      <c r="J1439" s="125" t="str">
        <f>_xlfn.XLOOKUP(CARTERA_2026[[#This Row],[REGION]],dimensiones!C:C,dimensiones!D:D,"")</f>
        <v>Región de Metropolitana de Santiago</v>
      </c>
    </row>
    <row r="1440" spans="1:10" x14ac:dyDescent="0.25">
      <c r="A1440" t="s">
        <v>737</v>
      </c>
      <c r="B1440" t="s">
        <v>3221</v>
      </c>
      <c r="C1440" t="s">
        <v>4495</v>
      </c>
      <c r="D1440">
        <v>8</v>
      </c>
      <c r="E1440" t="s">
        <v>4445</v>
      </c>
      <c r="F1440" t="s">
        <v>3220</v>
      </c>
      <c r="G1440" t="s">
        <v>5573</v>
      </c>
      <c r="H1440" t="s">
        <v>4957</v>
      </c>
      <c r="I1440" s="79" t="str">
        <f>IF(CARTERA_2026[[#This Row],[RUT]]=774097899,"DIST",_xlfn.XLOOKUP(CARTERA_2026[[#This Row],[VENDEDOR]],dimensiones!$C$21:$C$28,dimensiones!$D$21:$D$28,""))</f>
        <v>ATEL</v>
      </c>
      <c r="J1440" s="125" t="str">
        <f>_xlfn.XLOOKUP(CARTERA_2026[[#This Row],[REGION]],dimensiones!C:C,dimensiones!D:D,"")</f>
        <v>Región de Biobío</v>
      </c>
    </row>
    <row r="1441" spans="1:10" x14ac:dyDescent="0.25">
      <c r="A1441">
        <v>816989000</v>
      </c>
      <c r="B1441" t="s">
        <v>591</v>
      </c>
      <c r="C1441" t="s">
        <v>4168</v>
      </c>
      <c r="D1441">
        <v>13</v>
      </c>
      <c r="E1441" t="s">
        <v>4445</v>
      </c>
      <c r="F1441" t="s">
        <v>1629</v>
      </c>
      <c r="G1441" t="s">
        <v>5570</v>
      </c>
      <c r="H1441" t="s">
        <v>4915</v>
      </c>
      <c r="I1441" s="79" t="str">
        <f>IF(CARTERA_2026[[#This Row],[RUT]]=774097899,"DIST",_xlfn.XLOOKUP(CARTERA_2026[[#This Row],[VENDEDOR]],dimensiones!$C$21:$C$28,dimensiones!$D$21:$D$28,""))</f>
        <v>ATEL</v>
      </c>
      <c r="J1441" s="125" t="str">
        <f>_xlfn.XLOOKUP(CARTERA_2026[[#This Row],[REGION]],dimensiones!C:C,dimensiones!D:D,"")</f>
        <v>Región de Metropolitana de Santiago</v>
      </c>
    </row>
    <row r="1442" spans="1:10" x14ac:dyDescent="0.25">
      <c r="A1442">
        <v>818975007</v>
      </c>
      <c r="B1442" t="s">
        <v>592</v>
      </c>
      <c r="C1442" t="s">
        <v>4168</v>
      </c>
      <c r="D1442">
        <v>13</v>
      </c>
      <c r="E1442" t="s">
        <v>4445</v>
      </c>
      <c r="F1442" t="s">
        <v>2308</v>
      </c>
      <c r="G1442" t="s">
        <v>5570</v>
      </c>
      <c r="H1442" t="s">
        <v>4915</v>
      </c>
      <c r="I1442" s="79" t="str">
        <f>IF(CARTERA_2026[[#This Row],[RUT]]=774097899,"DIST",_xlfn.XLOOKUP(CARTERA_2026[[#This Row],[VENDEDOR]],dimensiones!$C$21:$C$28,dimensiones!$D$21:$D$28,""))</f>
        <v>ATEL</v>
      </c>
      <c r="J1442" s="125" t="str">
        <f>_xlfn.XLOOKUP(CARTERA_2026[[#This Row],[REGION]],dimensiones!C:C,dimensiones!D:D,"")</f>
        <v>Región de Metropolitana de Santiago</v>
      </c>
    </row>
    <row r="1443" spans="1:10" x14ac:dyDescent="0.25">
      <c r="A1443">
        <v>819491003</v>
      </c>
      <c r="B1443" t="s">
        <v>2317</v>
      </c>
      <c r="C1443" t="s">
        <v>4224</v>
      </c>
      <c r="D1443">
        <v>10</v>
      </c>
      <c r="E1443" t="s">
        <v>4454</v>
      </c>
      <c r="F1443" t="s">
        <v>2316</v>
      </c>
      <c r="G1443" t="s">
        <v>5570</v>
      </c>
      <c r="H1443" t="s">
        <v>4915</v>
      </c>
      <c r="I1443" s="79" t="str">
        <f>IF(CARTERA_2026[[#This Row],[RUT]]=774097899,"DIST",_xlfn.XLOOKUP(CARTERA_2026[[#This Row],[VENDEDOR]],dimensiones!$C$21:$C$28,dimensiones!$D$21:$D$28,""))</f>
        <v>SUR2</v>
      </c>
      <c r="J1443" s="125" t="str">
        <f>_xlfn.XLOOKUP(CARTERA_2026[[#This Row],[REGION]],dimensiones!C:C,dimensiones!D:D,"")</f>
        <v>Región de Los Lagos</v>
      </c>
    </row>
    <row r="1444" spans="1:10" x14ac:dyDescent="0.25">
      <c r="A1444">
        <v>820318005</v>
      </c>
      <c r="B1444" t="s">
        <v>122</v>
      </c>
      <c r="C1444" t="s">
        <v>4287</v>
      </c>
      <c r="D1444">
        <v>13</v>
      </c>
      <c r="E1444" t="s">
        <v>4457</v>
      </c>
      <c r="F1444" t="s">
        <v>1202</v>
      </c>
      <c r="G1444" t="s">
        <v>5570</v>
      </c>
      <c r="H1444" t="s">
        <v>4915</v>
      </c>
      <c r="I1444" s="79" t="str">
        <f>IF(CARTERA_2026[[#This Row],[RUT]]=774097899,"DIST",_xlfn.XLOOKUP(CARTERA_2026[[#This Row],[VENDEDOR]],dimensiones!$C$21:$C$28,dimensiones!$D$21:$D$28,""))</f>
        <v>SANT1</v>
      </c>
      <c r="J1444" s="125" t="str">
        <f>_xlfn.XLOOKUP(CARTERA_2026[[#This Row],[REGION]],dimensiones!C:C,dimensiones!D:D,"")</f>
        <v>Región de Metropolitana de Santiago</v>
      </c>
    </row>
    <row r="1445" spans="1:10" x14ac:dyDescent="0.25">
      <c r="A1445">
        <v>821567009</v>
      </c>
      <c r="B1445" t="s">
        <v>593</v>
      </c>
      <c r="C1445" t="s">
        <v>4187</v>
      </c>
      <c r="D1445">
        <v>13</v>
      </c>
      <c r="E1445" t="s">
        <v>4445</v>
      </c>
      <c r="F1445" t="s">
        <v>3233</v>
      </c>
      <c r="G1445" t="s">
        <v>5570</v>
      </c>
      <c r="H1445" t="s">
        <v>4915</v>
      </c>
      <c r="I1445" s="79" t="str">
        <f>IF(CARTERA_2026[[#This Row],[RUT]]=774097899,"DIST",_xlfn.XLOOKUP(CARTERA_2026[[#This Row],[VENDEDOR]],dimensiones!$C$21:$C$28,dimensiones!$D$21:$D$28,""))</f>
        <v>ATEL</v>
      </c>
      <c r="J1445" s="125" t="str">
        <f>_xlfn.XLOOKUP(CARTERA_2026[[#This Row],[REGION]],dimensiones!C:C,dimensiones!D:D,"")</f>
        <v>Región de Metropolitana de Santiago</v>
      </c>
    </row>
    <row r="1446" spans="1:10" x14ac:dyDescent="0.25">
      <c r="A1446">
        <v>823695004</v>
      </c>
      <c r="B1446" t="s">
        <v>594</v>
      </c>
      <c r="C1446" t="s">
        <v>4175</v>
      </c>
      <c r="D1446">
        <v>5</v>
      </c>
      <c r="E1446" t="s">
        <v>4445</v>
      </c>
      <c r="F1446" t="s">
        <v>3235</v>
      </c>
      <c r="G1446" t="s">
        <v>5570</v>
      </c>
      <c r="H1446" t="s">
        <v>4915</v>
      </c>
      <c r="I1446" s="79" t="str">
        <f>IF(CARTERA_2026[[#This Row],[RUT]]=774097899,"DIST",_xlfn.XLOOKUP(CARTERA_2026[[#This Row],[VENDEDOR]],dimensiones!$C$21:$C$28,dimensiones!$D$21:$D$28,""))</f>
        <v>ATEL</v>
      </c>
      <c r="J1446" s="125" t="str">
        <f>_xlfn.XLOOKUP(CARTERA_2026[[#This Row],[REGION]],dimensiones!C:C,dimensiones!D:D,"")</f>
        <v>Región de Valparaíso</v>
      </c>
    </row>
    <row r="1447" spans="1:10" x14ac:dyDescent="0.25">
      <c r="A1447">
        <v>827453005</v>
      </c>
      <c r="B1447" t="s">
        <v>2119</v>
      </c>
      <c r="C1447" t="s">
        <v>4497</v>
      </c>
      <c r="D1447">
        <v>8</v>
      </c>
      <c r="E1447" t="s">
        <v>4464</v>
      </c>
      <c r="F1447" t="s">
        <v>2118</v>
      </c>
      <c r="G1447" t="s">
        <v>5574</v>
      </c>
      <c r="H1447" t="s">
        <v>4915</v>
      </c>
      <c r="I1447" s="79" t="str">
        <f>IF(CARTERA_2026[[#This Row],[RUT]]=774097899,"DIST",_xlfn.XLOOKUP(CARTERA_2026[[#This Row],[VENDEDOR]],dimensiones!$C$21:$C$28,dimensiones!$D$21:$D$28,""))</f>
        <v>SUR1</v>
      </c>
      <c r="J1447" s="125" t="str">
        <f>_xlfn.XLOOKUP(CARTERA_2026[[#This Row],[REGION]],dimensiones!C:C,dimensiones!D:D,"")</f>
        <v>Región de Biobío</v>
      </c>
    </row>
    <row r="1448" spans="1:10" x14ac:dyDescent="0.25">
      <c r="A1448">
        <v>829831007</v>
      </c>
      <c r="B1448" t="s">
        <v>5322</v>
      </c>
      <c r="C1448" t="s">
        <v>4465</v>
      </c>
      <c r="D1448">
        <v>13</v>
      </c>
      <c r="E1448" t="s">
        <v>4445</v>
      </c>
      <c r="F1448" t="s">
        <v>5323</v>
      </c>
      <c r="G1448" t="s">
        <v>5576</v>
      </c>
      <c r="H1448" t="s">
        <v>4915</v>
      </c>
      <c r="I1448" s="79" t="str">
        <f>IF(CARTERA_2026[[#This Row],[RUT]]=774097899,"DIST",_xlfn.XLOOKUP(CARTERA_2026[[#This Row],[VENDEDOR]],dimensiones!$C$21:$C$28,dimensiones!$D$21:$D$28,""))</f>
        <v>ATEL</v>
      </c>
      <c r="J1448" s="125" t="str">
        <f>_xlfn.XLOOKUP(CARTERA_2026[[#This Row],[REGION]],dimensiones!C:C,dimensiones!D:D,"")</f>
        <v>Región de Metropolitana de Santiago</v>
      </c>
    </row>
    <row r="1449" spans="1:10" x14ac:dyDescent="0.25">
      <c r="A1449" t="s">
        <v>1100</v>
      </c>
      <c r="B1449" t="s">
        <v>1103</v>
      </c>
      <c r="C1449" t="s">
        <v>4174</v>
      </c>
      <c r="D1449">
        <v>5</v>
      </c>
      <c r="E1449" t="s">
        <v>4445</v>
      </c>
      <c r="F1449" t="s">
        <v>3521</v>
      </c>
      <c r="G1449" t="s">
        <v>5569</v>
      </c>
      <c r="H1449" t="s">
        <v>4915</v>
      </c>
      <c r="I1449" s="79" t="str">
        <f>IF(CARTERA_2026[[#This Row],[RUT]]=774097899,"DIST",_xlfn.XLOOKUP(CARTERA_2026[[#This Row],[VENDEDOR]],dimensiones!$C$21:$C$28,dimensiones!$D$21:$D$28,""))</f>
        <v>ATEL</v>
      </c>
      <c r="J1449" s="125" t="str">
        <f>_xlfn.XLOOKUP(CARTERA_2026[[#This Row],[REGION]],dimensiones!C:C,dimensiones!D:D,"")</f>
        <v>Región de Valparaíso</v>
      </c>
    </row>
    <row r="1450" spans="1:10" x14ac:dyDescent="0.25">
      <c r="A1450">
        <v>856109003</v>
      </c>
      <c r="B1450" t="s">
        <v>3239</v>
      </c>
      <c r="C1450" t="s">
        <v>4175</v>
      </c>
      <c r="D1450">
        <v>5</v>
      </c>
      <c r="E1450" t="s">
        <v>4445</v>
      </c>
      <c r="F1450" t="s">
        <v>3238</v>
      </c>
      <c r="G1450" t="s">
        <v>5570</v>
      </c>
      <c r="H1450" t="s">
        <v>4915</v>
      </c>
      <c r="I1450" s="79" t="str">
        <f>IF(CARTERA_2026[[#This Row],[RUT]]=774097899,"DIST",_xlfn.XLOOKUP(CARTERA_2026[[#This Row],[VENDEDOR]],dimensiones!$C$21:$C$28,dimensiones!$D$21:$D$28,""))</f>
        <v>ATEL</v>
      </c>
      <c r="J1450" s="125" t="str">
        <f>_xlfn.XLOOKUP(CARTERA_2026[[#This Row],[REGION]],dimensiones!C:C,dimensiones!D:D,"")</f>
        <v>Región de Valparaíso</v>
      </c>
    </row>
    <row r="1451" spans="1:10" x14ac:dyDescent="0.25">
      <c r="A1451">
        <v>859621007</v>
      </c>
      <c r="B1451" t="s">
        <v>595</v>
      </c>
      <c r="C1451" t="s">
        <v>4197</v>
      </c>
      <c r="D1451">
        <v>13</v>
      </c>
      <c r="E1451" t="s">
        <v>4445</v>
      </c>
      <c r="F1451" t="s">
        <v>1302</v>
      </c>
      <c r="G1451" t="s">
        <v>5570</v>
      </c>
      <c r="H1451" t="s">
        <v>4915</v>
      </c>
      <c r="I1451" s="79" t="str">
        <f>IF(CARTERA_2026[[#This Row],[RUT]]=774097899,"DIST",_xlfn.XLOOKUP(CARTERA_2026[[#This Row],[VENDEDOR]],dimensiones!$C$21:$C$28,dimensiones!$D$21:$D$28,""))</f>
        <v>ATEL</v>
      </c>
      <c r="J1451" s="125" t="str">
        <f>_xlfn.XLOOKUP(CARTERA_2026[[#This Row],[REGION]],dimensiones!C:C,dimensiones!D:D,"")</f>
        <v>Región de Metropolitana de Santiago</v>
      </c>
    </row>
    <row r="1452" spans="1:10" x14ac:dyDescent="0.25">
      <c r="A1452">
        <v>863833000</v>
      </c>
      <c r="B1452" t="s">
        <v>870</v>
      </c>
      <c r="C1452" t="s">
        <v>4391</v>
      </c>
      <c r="D1452">
        <v>13</v>
      </c>
      <c r="E1452" t="s">
        <v>4445</v>
      </c>
      <c r="F1452" t="s">
        <v>3243</v>
      </c>
      <c r="G1452" t="s">
        <v>5568</v>
      </c>
      <c r="H1452" t="s">
        <v>4915</v>
      </c>
      <c r="I1452" s="79" t="str">
        <f>IF(CARTERA_2026[[#This Row],[RUT]]=774097899,"DIST",_xlfn.XLOOKUP(CARTERA_2026[[#This Row],[VENDEDOR]],dimensiones!$C$21:$C$28,dimensiones!$D$21:$D$28,""))</f>
        <v>ATEL</v>
      </c>
      <c r="J1452" s="125" t="str">
        <f>_xlfn.XLOOKUP(CARTERA_2026[[#This Row],[REGION]],dimensiones!C:C,dimensiones!D:D,"")</f>
        <v>Región de Metropolitana de Santiago</v>
      </c>
    </row>
    <row r="1453" spans="1:10" x14ac:dyDescent="0.25">
      <c r="A1453">
        <v>863970008</v>
      </c>
      <c r="B1453" t="s">
        <v>5565</v>
      </c>
      <c r="C1453" t="s">
        <v>4393</v>
      </c>
      <c r="D1453">
        <v>13</v>
      </c>
      <c r="E1453" t="s">
        <v>4445</v>
      </c>
      <c r="F1453" t="s">
        <v>5566</v>
      </c>
      <c r="G1453" t="s">
        <v>5568</v>
      </c>
      <c r="H1453" t="s">
        <v>4915</v>
      </c>
      <c r="I1453" s="79" t="str">
        <f>IF(CARTERA_2026[[#This Row],[RUT]]=774097899,"DIST",_xlfn.XLOOKUP(CARTERA_2026[[#This Row],[VENDEDOR]],dimensiones!$C$21:$C$28,dimensiones!$D$21:$D$28,""))</f>
        <v>ATEL</v>
      </c>
      <c r="J1453" s="125" t="str">
        <f>_xlfn.XLOOKUP(CARTERA_2026[[#This Row],[REGION]],dimensiones!C:C,dimensiones!D:D,"")</f>
        <v>Región de Metropolitana de Santiago</v>
      </c>
    </row>
    <row r="1454" spans="1:10" x14ac:dyDescent="0.25">
      <c r="A1454">
        <v>867975004</v>
      </c>
      <c r="B1454" t="s">
        <v>3674</v>
      </c>
      <c r="C1454" t="s">
        <v>4171</v>
      </c>
      <c r="D1454">
        <v>4</v>
      </c>
      <c r="E1454" t="s">
        <v>4445</v>
      </c>
      <c r="F1454" t="s">
        <v>3673</v>
      </c>
      <c r="G1454" t="s">
        <v>5576</v>
      </c>
      <c r="H1454" t="s">
        <v>4915</v>
      </c>
      <c r="I1454" s="79" t="str">
        <f>IF(CARTERA_2026[[#This Row],[RUT]]=774097899,"DIST",_xlfn.XLOOKUP(CARTERA_2026[[#This Row],[VENDEDOR]],dimensiones!$C$21:$C$28,dimensiones!$D$21:$D$28,""))</f>
        <v>ATEL</v>
      </c>
      <c r="J1454" s="125" t="str">
        <f>_xlfn.XLOOKUP(CARTERA_2026[[#This Row],[REGION]],dimensiones!C:C,dimensiones!D:D,"")</f>
        <v>Región de Coquimbo</v>
      </c>
    </row>
    <row r="1455" spans="1:10" x14ac:dyDescent="0.25">
      <c r="A1455">
        <v>868210001</v>
      </c>
      <c r="B1455" t="s">
        <v>596</v>
      </c>
      <c r="C1455" t="s">
        <v>4393</v>
      </c>
      <c r="D1455">
        <v>13</v>
      </c>
      <c r="E1455" t="s">
        <v>4445</v>
      </c>
      <c r="F1455" t="s">
        <v>3247</v>
      </c>
      <c r="G1455" t="s">
        <v>5568</v>
      </c>
      <c r="H1455" t="s">
        <v>4915</v>
      </c>
      <c r="I1455" s="79" t="str">
        <f>IF(CARTERA_2026[[#This Row],[RUT]]=774097899,"DIST",_xlfn.XLOOKUP(CARTERA_2026[[#This Row],[VENDEDOR]],dimensiones!$C$21:$C$28,dimensiones!$D$21:$D$28,""))</f>
        <v>ATEL</v>
      </c>
      <c r="J1455" s="125" t="str">
        <f>_xlfn.XLOOKUP(CARTERA_2026[[#This Row],[REGION]],dimensiones!C:C,dimensiones!D:D,"")</f>
        <v>Región de Metropolitana de Santiago</v>
      </c>
    </row>
    <row r="1456" spans="1:10" x14ac:dyDescent="0.25">
      <c r="A1456">
        <v>879129001</v>
      </c>
      <c r="B1456" t="s">
        <v>4934</v>
      </c>
      <c r="C1456" t="s">
        <v>4218</v>
      </c>
      <c r="D1456">
        <v>9</v>
      </c>
      <c r="E1456" t="s">
        <v>4445</v>
      </c>
      <c r="F1456" t="s">
        <v>4875</v>
      </c>
      <c r="H1456" t="s">
        <v>4915</v>
      </c>
      <c r="I1456" s="79" t="str">
        <f>IF(CARTERA_2026[[#This Row],[RUT]]=774097899,"DIST",_xlfn.XLOOKUP(CARTERA_2026[[#This Row],[VENDEDOR]],dimensiones!$C$21:$C$28,dimensiones!$D$21:$D$28,""))</f>
        <v>ATEL</v>
      </c>
      <c r="J1456" s="125" t="str">
        <f>_xlfn.XLOOKUP(CARTERA_2026[[#This Row],[REGION]],dimensiones!C:C,dimensiones!D:D,"")</f>
        <v>Región de La Araucanía</v>
      </c>
    </row>
    <row r="1457" spans="1:10" x14ac:dyDescent="0.25">
      <c r="A1457">
        <v>880562002</v>
      </c>
      <c r="B1457" t="s">
        <v>3250</v>
      </c>
      <c r="C1457" t="s">
        <v>4257</v>
      </c>
      <c r="D1457">
        <v>7</v>
      </c>
      <c r="E1457" t="s">
        <v>4445</v>
      </c>
      <c r="F1457" t="s">
        <v>3249</v>
      </c>
      <c r="G1457" t="s">
        <v>5576</v>
      </c>
      <c r="H1457" t="s">
        <v>4915</v>
      </c>
      <c r="I1457" s="79" t="str">
        <f>IF(CARTERA_2026[[#This Row],[RUT]]=774097899,"DIST",_xlfn.XLOOKUP(CARTERA_2026[[#This Row],[VENDEDOR]],dimensiones!$C$21:$C$28,dimensiones!$D$21:$D$28,""))</f>
        <v>ATEL</v>
      </c>
      <c r="J1457" s="125" t="str">
        <f>_xlfn.XLOOKUP(CARTERA_2026[[#This Row],[REGION]],dimensiones!C:C,dimensiones!D:D,"")</f>
        <v>Región de Maule</v>
      </c>
    </row>
    <row r="1458" spans="1:10" x14ac:dyDescent="0.25">
      <c r="A1458">
        <v>880566008</v>
      </c>
      <c r="B1458" t="s">
        <v>1050</v>
      </c>
      <c r="C1458" t="s">
        <v>4218</v>
      </c>
      <c r="D1458">
        <v>9</v>
      </c>
      <c r="E1458" t="s">
        <v>4445</v>
      </c>
      <c r="F1458" t="s">
        <v>4062</v>
      </c>
      <c r="G1458" t="s">
        <v>5570</v>
      </c>
      <c r="H1458" t="s">
        <v>4915</v>
      </c>
      <c r="I1458" s="79" t="str">
        <f>IF(CARTERA_2026[[#This Row],[RUT]]=774097899,"DIST",_xlfn.XLOOKUP(CARTERA_2026[[#This Row],[VENDEDOR]],dimensiones!$C$21:$C$28,dimensiones!$D$21:$D$28,""))</f>
        <v>ATEL</v>
      </c>
      <c r="J1458" s="125" t="str">
        <f>_xlfn.XLOOKUP(CARTERA_2026[[#This Row],[REGION]],dimensiones!C:C,dimensiones!D:D,"")</f>
        <v>Región de La Araucanía</v>
      </c>
    </row>
    <row r="1459" spans="1:10" x14ac:dyDescent="0.25">
      <c r="A1459">
        <v>880933000</v>
      </c>
      <c r="B1459" t="s">
        <v>5771</v>
      </c>
      <c r="C1459" t="s">
        <v>4203</v>
      </c>
      <c r="D1459">
        <v>6</v>
      </c>
      <c r="E1459" t="s">
        <v>4445</v>
      </c>
      <c r="F1459" t="s">
        <v>5772</v>
      </c>
      <c r="G1459" t="s">
        <v>5570</v>
      </c>
      <c r="H1459" t="s">
        <v>4915</v>
      </c>
      <c r="I1459" s="79" t="str">
        <f>IF(CARTERA_2026[[#This Row],[RUT]]=774097899,"DIST",_xlfn.XLOOKUP(CARTERA_2026[[#This Row],[VENDEDOR]],dimensiones!$C$21:$C$28,dimensiones!$D$21:$D$28,""))</f>
        <v>ATEL</v>
      </c>
      <c r="J1459" s="125" t="str">
        <f>_xlfn.XLOOKUP(CARTERA_2026[[#This Row],[REGION]],dimensiones!C:C,dimensiones!D:D,"")</f>
        <v>Región de Libertador General Bernardo O'Higgins</v>
      </c>
    </row>
    <row r="1460" spans="1:10" x14ac:dyDescent="0.25">
      <c r="A1460">
        <v>884971004</v>
      </c>
      <c r="B1460" t="s">
        <v>5681</v>
      </c>
      <c r="C1460" t="s">
        <v>4243</v>
      </c>
      <c r="D1460">
        <v>3</v>
      </c>
      <c r="E1460" t="s">
        <v>4445</v>
      </c>
      <c r="F1460" t="s">
        <v>5682</v>
      </c>
      <c r="G1460" t="s">
        <v>5570</v>
      </c>
      <c r="H1460" t="s">
        <v>4915</v>
      </c>
      <c r="I1460" s="79" t="str">
        <f>IF(CARTERA_2026[[#This Row],[RUT]]=774097899,"DIST",_xlfn.XLOOKUP(CARTERA_2026[[#This Row],[VENDEDOR]],dimensiones!$C$21:$C$28,dimensiones!$D$21:$D$28,""))</f>
        <v>ATEL</v>
      </c>
      <c r="J1460" s="125" t="str">
        <f>_xlfn.XLOOKUP(CARTERA_2026[[#This Row],[REGION]],dimensiones!C:C,dimensiones!D:D,"")</f>
        <v>Región de Atacama</v>
      </c>
    </row>
    <row r="1461" spans="1:10" x14ac:dyDescent="0.25">
      <c r="A1461">
        <v>886116004</v>
      </c>
      <c r="B1461" t="s">
        <v>124</v>
      </c>
      <c r="C1461" t="s">
        <v>4460</v>
      </c>
      <c r="D1461">
        <v>8</v>
      </c>
      <c r="E1461" t="s">
        <v>4464</v>
      </c>
      <c r="F1461" t="s">
        <v>3385</v>
      </c>
      <c r="G1461" t="s">
        <v>5570</v>
      </c>
      <c r="H1461" t="s">
        <v>4915</v>
      </c>
      <c r="I1461" s="79" t="str">
        <f>IF(CARTERA_2026[[#This Row],[RUT]]=774097899,"DIST",_xlfn.XLOOKUP(CARTERA_2026[[#This Row],[VENDEDOR]],dimensiones!$C$21:$C$28,dimensiones!$D$21:$D$28,""))</f>
        <v>SUR1</v>
      </c>
      <c r="J1461" s="125" t="str">
        <f>_xlfn.XLOOKUP(CARTERA_2026[[#This Row],[REGION]],dimensiones!C:C,dimensiones!D:D,"")</f>
        <v>Región de Biobío</v>
      </c>
    </row>
    <row r="1462" spans="1:10" x14ac:dyDescent="0.25">
      <c r="A1462">
        <v>89055407</v>
      </c>
      <c r="B1462" t="s">
        <v>981</v>
      </c>
      <c r="C1462" t="s">
        <v>4475</v>
      </c>
      <c r="D1462">
        <v>8</v>
      </c>
      <c r="E1462" t="s">
        <v>4445</v>
      </c>
      <c r="F1462" t="s">
        <v>3256</v>
      </c>
      <c r="G1462" t="s">
        <v>5568</v>
      </c>
      <c r="H1462" t="s">
        <v>4915</v>
      </c>
      <c r="I1462" s="79" t="str">
        <f>IF(CARTERA_2026[[#This Row],[RUT]]=774097899,"DIST",_xlfn.XLOOKUP(CARTERA_2026[[#This Row],[VENDEDOR]],dimensiones!$C$21:$C$28,dimensiones!$D$21:$D$28,""))</f>
        <v>ATEL</v>
      </c>
      <c r="J1462" s="125" t="str">
        <f>_xlfn.XLOOKUP(CARTERA_2026[[#This Row],[REGION]],dimensiones!C:C,dimensiones!D:D,"")</f>
        <v>Región de Biobío</v>
      </c>
    </row>
    <row r="1463" spans="1:10" x14ac:dyDescent="0.25">
      <c r="A1463">
        <v>895932000</v>
      </c>
      <c r="B1463" t="s">
        <v>125</v>
      </c>
      <c r="C1463" t="s">
        <v>4168</v>
      </c>
      <c r="D1463">
        <v>13</v>
      </c>
      <c r="E1463" t="s">
        <v>4445</v>
      </c>
      <c r="F1463" t="s">
        <v>3258</v>
      </c>
      <c r="G1463" t="s">
        <v>5568</v>
      </c>
      <c r="H1463" t="s">
        <v>4915</v>
      </c>
      <c r="I1463" s="79" t="str">
        <f>IF(CARTERA_2026[[#This Row],[RUT]]=774097899,"DIST",_xlfn.XLOOKUP(CARTERA_2026[[#This Row],[VENDEDOR]],dimensiones!$C$21:$C$28,dimensiones!$D$21:$D$28,""))</f>
        <v>ATEL</v>
      </c>
      <c r="J1463" s="125" t="str">
        <f>_xlfn.XLOOKUP(CARTERA_2026[[#This Row],[REGION]],dimensiones!C:C,dimensiones!D:D,"")</f>
        <v>Región de Metropolitana de Santiago</v>
      </c>
    </row>
    <row r="1464" spans="1:10" x14ac:dyDescent="0.25">
      <c r="A1464">
        <v>896304003</v>
      </c>
      <c r="B1464" t="s">
        <v>3463</v>
      </c>
      <c r="C1464" t="s">
        <v>4391</v>
      </c>
      <c r="D1464">
        <v>13</v>
      </c>
      <c r="E1464" t="s">
        <v>4445</v>
      </c>
      <c r="F1464" t="s">
        <v>3462</v>
      </c>
      <c r="G1464" t="s">
        <v>5568</v>
      </c>
      <c r="H1464" t="s">
        <v>4915</v>
      </c>
      <c r="I1464" s="79" t="str">
        <f>IF(CARTERA_2026[[#This Row],[RUT]]=774097899,"DIST",_xlfn.XLOOKUP(CARTERA_2026[[#This Row],[VENDEDOR]],dimensiones!$C$21:$C$28,dimensiones!$D$21:$D$28,""))</f>
        <v>ATEL</v>
      </c>
      <c r="J1464" s="125" t="str">
        <f>_xlfn.XLOOKUP(CARTERA_2026[[#This Row],[REGION]],dimensiones!C:C,dimensiones!D:D,"")</f>
        <v>Región de Metropolitana de Santiago</v>
      </c>
    </row>
    <row r="1465" spans="1:10" x14ac:dyDescent="0.25">
      <c r="A1465">
        <v>902120009</v>
      </c>
      <c r="B1465" t="s">
        <v>597</v>
      </c>
      <c r="C1465" t="s">
        <v>4168</v>
      </c>
      <c r="D1465">
        <v>13</v>
      </c>
      <c r="E1465" t="s">
        <v>4445</v>
      </c>
      <c r="F1465" t="s">
        <v>2186</v>
      </c>
      <c r="G1465" t="s">
        <v>5568</v>
      </c>
      <c r="H1465" t="s">
        <v>4915</v>
      </c>
      <c r="I1465" s="79" t="str">
        <f>IF(CARTERA_2026[[#This Row],[RUT]]=774097899,"DIST",_xlfn.XLOOKUP(CARTERA_2026[[#This Row],[VENDEDOR]],dimensiones!$C$21:$C$28,dimensiones!$D$21:$D$28,""))</f>
        <v>ATEL</v>
      </c>
      <c r="J1465" s="125" t="str">
        <f>_xlfn.XLOOKUP(CARTERA_2026[[#This Row],[REGION]],dimensiones!C:C,dimensiones!D:D,"")</f>
        <v>Región de Metropolitana de Santiago</v>
      </c>
    </row>
    <row r="1466" spans="1:10" x14ac:dyDescent="0.25">
      <c r="A1466">
        <v>902560009</v>
      </c>
      <c r="B1466" t="s">
        <v>598</v>
      </c>
      <c r="C1466" t="s">
        <v>4458</v>
      </c>
      <c r="D1466">
        <v>13</v>
      </c>
      <c r="E1466" t="s">
        <v>4445</v>
      </c>
      <c r="F1466" t="s">
        <v>3263</v>
      </c>
      <c r="G1466" t="s">
        <v>5568</v>
      </c>
      <c r="H1466" t="s">
        <v>4915</v>
      </c>
      <c r="I1466" s="79" t="str">
        <f>IF(CARTERA_2026[[#This Row],[RUT]]=774097899,"DIST",_xlfn.XLOOKUP(CARTERA_2026[[#This Row],[VENDEDOR]],dimensiones!$C$21:$C$28,dimensiones!$D$21:$D$28,""))</f>
        <v>ATEL</v>
      </c>
      <c r="J1466" s="125" t="str">
        <f>_xlfn.XLOOKUP(CARTERA_2026[[#This Row],[REGION]],dimensiones!C:C,dimensiones!D:D,"")</f>
        <v>Región de Metropolitana de Santiago</v>
      </c>
    </row>
    <row r="1467" spans="1:10" x14ac:dyDescent="0.25">
      <c r="A1467">
        <v>907530000</v>
      </c>
      <c r="B1467" t="s">
        <v>599</v>
      </c>
      <c r="C1467" t="s">
        <v>4391</v>
      </c>
      <c r="D1467">
        <v>13</v>
      </c>
      <c r="E1467" t="s">
        <v>5729</v>
      </c>
      <c r="F1467" t="s">
        <v>1666</v>
      </c>
      <c r="G1467" t="s">
        <v>5570</v>
      </c>
      <c r="H1467" t="s">
        <v>4915</v>
      </c>
      <c r="I1467" s="79" t="str">
        <f>IF(CARTERA_2026[[#This Row],[RUT]]=774097899,"DIST",_xlfn.XLOOKUP(CARTERA_2026[[#This Row],[VENDEDOR]],dimensiones!$C$21:$C$28,dimensiones!$D$21:$D$28,""))</f>
        <v>SANT3</v>
      </c>
      <c r="J1467" s="125" t="str">
        <f>_xlfn.XLOOKUP(CARTERA_2026[[#This Row],[REGION]],dimensiones!C:C,dimensiones!D:D,"")</f>
        <v>Región de Metropolitana de Santiago</v>
      </c>
    </row>
    <row r="1468" spans="1:10" x14ac:dyDescent="0.25">
      <c r="A1468">
        <v>915750001</v>
      </c>
      <c r="B1468" t="s">
        <v>600</v>
      </c>
      <c r="C1468" t="s">
        <v>4393</v>
      </c>
      <c r="D1468">
        <v>13</v>
      </c>
      <c r="E1468" t="s">
        <v>4445</v>
      </c>
      <c r="F1468" t="s">
        <v>3267</v>
      </c>
      <c r="G1468" t="s">
        <v>5568</v>
      </c>
      <c r="H1468" t="s">
        <v>4915</v>
      </c>
      <c r="I1468" s="79" t="str">
        <f>IF(CARTERA_2026[[#This Row],[RUT]]=774097899,"DIST",_xlfn.XLOOKUP(CARTERA_2026[[#This Row],[VENDEDOR]],dimensiones!$C$21:$C$28,dimensiones!$D$21:$D$28,""))</f>
        <v>ATEL</v>
      </c>
      <c r="J1468" s="125" t="str">
        <f>_xlfn.XLOOKUP(CARTERA_2026[[#This Row],[REGION]],dimensiones!C:C,dimensiones!D:D,"")</f>
        <v>Región de Metropolitana de Santiago</v>
      </c>
    </row>
    <row r="1469" spans="1:10" x14ac:dyDescent="0.25">
      <c r="A1469">
        <v>920510000</v>
      </c>
      <c r="B1469" t="s">
        <v>126</v>
      </c>
      <c r="C1469" t="s">
        <v>4391</v>
      </c>
      <c r="D1469">
        <v>13</v>
      </c>
      <c r="E1469" t="s">
        <v>4453</v>
      </c>
      <c r="F1469" t="s">
        <v>3931</v>
      </c>
      <c r="G1469" t="s">
        <v>5570</v>
      </c>
      <c r="H1469" t="s">
        <v>4915</v>
      </c>
      <c r="I1469" s="79" t="str">
        <f>IF(CARTERA_2026[[#This Row],[RUT]]=774097899,"DIST",_xlfn.XLOOKUP(CARTERA_2026[[#This Row],[VENDEDOR]],dimensiones!$C$21:$C$28,dimensiones!$D$21:$D$28,""))</f>
        <v>SANT2</v>
      </c>
      <c r="J1469" s="125" t="str">
        <f>_xlfn.XLOOKUP(CARTERA_2026[[#This Row],[REGION]],dimensiones!C:C,dimensiones!D:D,"")</f>
        <v>Región de Metropolitana de Santiago</v>
      </c>
    </row>
    <row r="1470" spans="1:10" x14ac:dyDescent="0.25">
      <c r="A1470">
        <v>92752313</v>
      </c>
      <c r="B1470" t="s">
        <v>3273</v>
      </c>
      <c r="C1470" t="s">
        <v>4391</v>
      </c>
      <c r="D1470">
        <v>13</v>
      </c>
      <c r="E1470" t="s">
        <v>4445</v>
      </c>
      <c r="F1470" t="s">
        <v>3272</v>
      </c>
      <c r="G1470" t="s">
        <v>5568</v>
      </c>
      <c r="H1470" t="s">
        <v>4915</v>
      </c>
      <c r="I1470" s="79" t="str">
        <f>IF(CARTERA_2026[[#This Row],[RUT]]=774097899,"DIST",_xlfn.XLOOKUP(CARTERA_2026[[#This Row],[VENDEDOR]],dimensiones!$C$21:$C$28,dimensiones!$D$21:$D$28,""))</f>
        <v>ATEL</v>
      </c>
      <c r="J1470" s="125" t="str">
        <f>_xlfn.XLOOKUP(CARTERA_2026[[#This Row],[REGION]],dimensiones!C:C,dimensiones!D:D,"")</f>
        <v>Región de Metropolitana de Santiago</v>
      </c>
    </row>
    <row r="1471" spans="1:10" x14ac:dyDescent="0.25">
      <c r="A1471">
        <v>929990005</v>
      </c>
      <c r="B1471" t="s">
        <v>1091</v>
      </c>
      <c r="C1471" t="s">
        <v>4444</v>
      </c>
      <c r="D1471">
        <v>13</v>
      </c>
      <c r="E1471" t="s">
        <v>4445</v>
      </c>
      <c r="F1471" t="s">
        <v>2358</v>
      </c>
      <c r="G1471" t="s">
        <v>5568</v>
      </c>
      <c r="H1471" t="s">
        <v>4915</v>
      </c>
      <c r="I1471" s="79" t="str">
        <f>IF(CARTERA_2026[[#This Row],[RUT]]=774097899,"DIST",_xlfn.XLOOKUP(CARTERA_2026[[#This Row],[VENDEDOR]],dimensiones!$C$21:$C$28,dimensiones!$D$21:$D$28,""))</f>
        <v>ATEL</v>
      </c>
      <c r="J1471" s="125" t="str">
        <f>_xlfn.XLOOKUP(CARTERA_2026[[#This Row],[REGION]],dimensiones!C:C,dimensiones!D:D,"")</f>
        <v>Región de Metropolitana de Santiago</v>
      </c>
    </row>
    <row r="1472" spans="1:10" x14ac:dyDescent="0.25">
      <c r="A1472">
        <v>939300007</v>
      </c>
      <c r="B1472" t="s">
        <v>2731</v>
      </c>
      <c r="C1472" t="s">
        <v>4465</v>
      </c>
      <c r="D1472">
        <v>13</v>
      </c>
      <c r="E1472" t="s">
        <v>4457</v>
      </c>
      <c r="F1472" t="s">
        <v>2730</v>
      </c>
      <c r="G1472" t="s">
        <v>5570</v>
      </c>
      <c r="H1472" t="s">
        <v>4915</v>
      </c>
      <c r="I1472" s="79" t="str">
        <f>IF(CARTERA_2026[[#This Row],[RUT]]=774097899,"DIST",_xlfn.XLOOKUP(CARTERA_2026[[#This Row],[VENDEDOR]],dimensiones!$C$21:$C$28,dimensiones!$D$21:$D$28,""))</f>
        <v>SANT1</v>
      </c>
      <c r="J1472" s="125" t="str">
        <f>_xlfn.XLOOKUP(CARTERA_2026[[#This Row],[REGION]],dimensiones!C:C,dimensiones!D:D,"")</f>
        <v>Región de Metropolitana de Santiago</v>
      </c>
    </row>
    <row r="1473" spans="1:10" x14ac:dyDescent="0.25">
      <c r="A1473">
        <v>954310000</v>
      </c>
      <c r="B1473" t="s">
        <v>3282</v>
      </c>
      <c r="C1473" t="s">
        <v>4182</v>
      </c>
      <c r="D1473">
        <v>2</v>
      </c>
      <c r="E1473" t="s">
        <v>4445</v>
      </c>
      <c r="F1473" t="s">
        <v>3281</v>
      </c>
      <c r="G1473" t="s">
        <v>5568</v>
      </c>
      <c r="H1473" t="s">
        <v>4915</v>
      </c>
      <c r="I1473" s="79" t="str">
        <f>IF(CARTERA_2026[[#This Row],[RUT]]=774097899,"DIST",_xlfn.XLOOKUP(CARTERA_2026[[#This Row],[VENDEDOR]],dimensiones!$C$21:$C$28,dimensiones!$D$21:$D$28,""))</f>
        <v>ATEL</v>
      </c>
      <c r="J1473" s="125" t="str">
        <f>_xlfn.XLOOKUP(CARTERA_2026[[#This Row],[REGION]],dimensiones!C:C,dimensiones!D:D,"")</f>
        <v>Región de Antofagasta</v>
      </c>
    </row>
    <row r="1474" spans="1:10" x14ac:dyDescent="0.25">
      <c r="A1474">
        <v>965304703</v>
      </c>
      <c r="B1474" t="s">
        <v>2041</v>
      </c>
      <c r="C1474" t="s">
        <v>4410</v>
      </c>
      <c r="D1474">
        <v>13</v>
      </c>
      <c r="E1474" t="s">
        <v>4457</v>
      </c>
      <c r="F1474" t="s">
        <v>2040</v>
      </c>
      <c r="G1474" t="s">
        <v>5570</v>
      </c>
      <c r="H1474" t="s">
        <v>4915</v>
      </c>
      <c r="I1474" s="79" t="str">
        <f>IF(CARTERA_2026[[#This Row],[RUT]]=774097899,"DIST",_xlfn.XLOOKUP(CARTERA_2026[[#This Row],[VENDEDOR]],dimensiones!$C$21:$C$28,dimensiones!$D$21:$D$28,""))</f>
        <v>SANT1</v>
      </c>
      <c r="J1474" s="125" t="str">
        <f>_xlfn.XLOOKUP(CARTERA_2026[[#This Row],[REGION]],dimensiones!C:C,dimensiones!D:D,"")</f>
        <v>Región de Metropolitana de Santiago</v>
      </c>
    </row>
    <row r="1475" spans="1:10" x14ac:dyDescent="0.25">
      <c r="A1475">
        <v>965333304</v>
      </c>
      <c r="B1475" t="s">
        <v>601</v>
      </c>
      <c r="C1475" t="s">
        <v>4391</v>
      </c>
      <c r="D1475">
        <v>13</v>
      </c>
      <c r="E1475" t="s">
        <v>4445</v>
      </c>
      <c r="F1475" t="s">
        <v>3286</v>
      </c>
      <c r="G1475" t="s">
        <v>5570</v>
      </c>
      <c r="H1475" t="s">
        <v>4915</v>
      </c>
      <c r="I1475" s="79" t="str">
        <f>IF(CARTERA_2026[[#This Row],[RUT]]=774097899,"DIST",_xlfn.XLOOKUP(CARTERA_2026[[#This Row],[VENDEDOR]],dimensiones!$C$21:$C$28,dimensiones!$D$21:$D$28,""))</f>
        <v>ATEL</v>
      </c>
      <c r="J1475" s="125" t="str">
        <f>_xlfn.XLOOKUP(CARTERA_2026[[#This Row],[REGION]],dimensiones!C:C,dimensiones!D:D,"")</f>
        <v>Región de Metropolitana de Santiago</v>
      </c>
    </row>
    <row r="1476" spans="1:10" x14ac:dyDescent="0.25">
      <c r="A1476">
        <v>965569405</v>
      </c>
      <c r="B1476" t="s">
        <v>2122</v>
      </c>
      <c r="C1476" t="s">
        <v>4187</v>
      </c>
      <c r="D1476">
        <v>13</v>
      </c>
      <c r="E1476" t="s">
        <v>4445</v>
      </c>
      <c r="F1476" t="s">
        <v>5443</v>
      </c>
      <c r="G1476" t="s">
        <v>5568</v>
      </c>
      <c r="H1476" t="s">
        <v>4915</v>
      </c>
      <c r="I1476" s="79" t="str">
        <f>IF(CARTERA_2026[[#This Row],[RUT]]=774097899,"DIST",_xlfn.XLOOKUP(CARTERA_2026[[#This Row],[VENDEDOR]],dimensiones!$C$21:$C$28,dimensiones!$D$21:$D$28,""))</f>
        <v>ATEL</v>
      </c>
      <c r="J1476" s="125" t="str">
        <f>_xlfn.XLOOKUP(CARTERA_2026[[#This Row],[REGION]],dimensiones!C:C,dimensiones!D:D,"")</f>
        <v>Región de Metropolitana de Santiago</v>
      </c>
    </row>
    <row r="1477" spans="1:10" x14ac:dyDescent="0.25">
      <c r="A1477">
        <v>965596305</v>
      </c>
      <c r="B1477" t="s">
        <v>4046</v>
      </c>
      <c r="C1477" t="s">
        <v>4175</v>
      </c>
      <c r="D1477">
        <v>5</v>
      </c>
      <c r="E1477" t="s">
        <v>4445</v>
      </c>
      <c r="F1477" t="s">
        <v>4045</v>
      </c>
      <c r="G1477" t="s">
        <v>5570</v>
      </c>
      <c r="H1477" t="s">
        <v>4915</v>
      </c>
      <c r="I1477" s="79" t="str">
        <f>IF(CARTERA_2026[[#This Row],[RUT]]=774097899,"DIST",_xlfn.XLOOKUP(CARTERA_2026[[#This Row],[VENDEDOR]],dimensiones!$C$21:$C$28,dimensiones!$D$21:$D$28,""))</f>
        <v>ATEL</v>
      </c>
      <c r="J1477" s="125" t="str">
        <f>_xlfn.XLOOKUP(CARTERA_2026[[#This Row],[REGION]],dimensiones!C:C,dimensiones!D:D,"")</f>
        <v>Región de Valparaíso</v>
      </c>
    </row>
    <row r="1478" spans="1:10" x14ac:dyDescent="0.25">
      <c r="A1478">
        <v>965671706</v>
      </c>
      <c r="B1478" t="s">
        <v>602</v>
      </c>
      <c r="C1478" t="s">
        <v>4175</v>
      </c>
      <c r="D1478">
        <v>5</v>
      </c>
      <c r="E1478" t="s">
        <v>4445</v>
      </c>
      <c r="F1478" t="s">
        <v>1566</v>
      </c>
      <c r="G1478" t="s">
        <v>5570</v>
      </c>
      <c r="H1478" t="s">
        <v>4915</v>
      </c>
      <c r="I1478" s="79" t="str">
        <f>IF(CARTERA_2026[[#This Row],[RUT]]=774097899,"DIST",_xlfn.XLOOKUP(CARTERA_2026[[#This Row],[VENDEDOR]],dimensiones!$C$21:$C$28,dimensiones!$D$21:$D$28,""))</f>
        <v>ATEL</v>
      </c>
      <c r="J1478" s="125" t="str">
        <f>_xlfn.XLOOKUP(CARTERA_2026[[#This Row],[REGION]],dimensiones!C:C,dimensiones!D:D,"")</f>
        <v>Región de Valparaíso</v>
      </c>
    </row>
    <row r="1479" spans="1:10" x14ac:dyDescent="0.25">
      <c r="A1479">
        <v>965679200</v>
      </c>
      <c r="B1479" t="s">
        <v>603</v>
      </c>
      <c r="C1479" t="s">
        <v>4185</v>
      </c>
      <c r="D1479">
        <v>12</v>
      </c>
      <c r="E1479" t="s">
        <v>4445</v>
      </c>
      <c r="F1479" t="s">
        <v>3612</v>
      </c>
      <c r="G1479" t="s">
        <v>5570</v>
      </c>
      <c r="H1479" t="s">
        <v>4915</v>
      </c>
      <c r="I1479" s="79" t="str">
        <f>IF(CARTERA_2026[[#This Row],[RUT]]=774097899,"DIST",_xlfn.XLOOKUP(CARTERA_2026[[#This Row],[VENDEDOR]],dimensiones!$C$21:$C$28,dimensiones!$D$21:$D$28,""))</f>
        <v>ATEL</v>
      </c>
      <c r="J1479" s="125" t="str">
        <f>_xlfn.XLOOKUP(CARTERA_2026[[#This Row],[REGION]],dimensiones!C:C,dimensiones!D:D,"")</f>
        <v>Región de Magallanes y de la Antártica Chilena</v>
      </c>
    </row>
    <row r="1480" spans="1:10" x14ac:dyDescent="0.25">
      <c r="A1480">
        <v>965884009</v>
      </c>
      <c r="B1480" t="s">
        <v>1029</v>
      </c>
      <c r="C1480" t="s">
        <v>4393</v>
      </c>
      <c r="D1480">
        <v>13</v>
      </c>
      <c r="E1480" t="s">
        <v>5563</v>
      </c>
      <c r="F1480" t="s">
        <v>2402</v>
      </c>
      <c r="G1480" t="s">
        <v>5568</v>
      </c>
      <c r="H1480" t="s">
        <v>4915</v>
      </c>
      <c r="I1480" s="79" t="str">
        <f>IF(CARTERA_2026[[#This Row],[RUT]]=774097899,"DIST",_xlfn.XLOOKUP(CARTERA_2026[[#This Row],[VENDEDOR]],dimensiones!$C$21:$C$28,dimensiones!$D$21:$D$28,""))</f>
        <v/>
      </c>
      <c r="J1480" s="125" t="str">
        <f>_xlfn.XLOOKUP(CARTERA_2026[[#This Row],[REGION]],dimensiones!C:C,dimensiones!D:D,"")</f>
        <v>Región de Metropolitana de Santiago</v>
      </c>
    </row>
    <row r="1481" spans="1:10" x14ac:dyDescent="0.25">
      <c r="A1481">
        <v>965988505</v>
      </c>
      <c r="B1481" t="s">
        <v>604</v>
      </c>
      <c r="C1481" t="s">
        <v>4186</v>
      </c>
      <c r="D1481">
        <v>1</v>
      </c>
      <c r="E1481" t="s">
        <v>4453</v>
      </c>
      <c r="F1481" t="s">
        <v>1942</v>
      </c>
      <c r="G1481" t="s">
        <v>5570</v>
      </c>
      <c r="H1481" t="s">
        <v>4915</v>
      </c>
      <c r="I1481" s="79" t="str">
        <f>IF(CARTERA_2026[[#This Row],[RUT]]=774097899,"DIST",_xlfn.XLOOKUP(CARTERA_2026[[#This Row],[VENDEDOR]],dimensiones!$C$21:$C$28,dimensiones!$D$21:$D$28,""))</f>
        <v>SANT2</v>
      </c>
      <c r="J1481" s="125" t="str">
        <f>_xlfn.XLOOKUP(CARTERA_2026[[#This Row],[REGION]],dimensiones!C:C,dimensiones!D:D,"")</f>
        <v>Región de Tarapacá</v>
      </c>
    </row>
    <row r="1482" spans="1:10" x14ac:dyDescent="0.25">
      <c r="A1482">
        <v>966008504</v>
      </c>
      <c r="B1482" t="s">
        <v>128</v>
      </c>
      <c r="C1482" t="s">
        <v>4490</v>
      </c>
      <c r="D1482">
        <v>5</v>
      </c>
      <c r="E1482" t="s">
        <v>2372</v>
      </c>
      <c r="F1482" t="s">
        <v>3822</v>
      </c>
      <c r="G1482" t="s">
        <v>5570</v>
      </c>
      <c r="H1482" t="s">
        <v>4915</v>
      </c>
      <c r="I1482" s="79" t="str">
        <f>IF(CARTERA_2026[[#This Row],[RUT]]=774097899,"DIST",_xlfn.XLOOKUP(CARTERA_2026[[#This Row],[VENDEDOR]],dimensiones!$C$21:$C$28,dimensiones!$D$21:$D$28,""))</f>
        <v>NOR1</v>
      </c>
      <c r="J1482" s="125" t="str">
        <f>_xlfn.XLOOKUP(CARTERA_2026[[#This Row],[REGION]],dimensiones!C:C,dimensiones!D:D,"")</f>
        <v>Región de Valparaíso</v>
      </c>
    </row>
    <row r="1483" spans="1:10" x14ac:dyDescent="0.25">
      <c r="A1483">
        <v>966067500</v>
      </c>
      <c r="B1483" t="s">
        <v>129</v>
      </c>
      <c r="C1483" t="s">
        <v>4218</v>
      </c>
      <c r="D1483">
        <v>9</v>
      </c>
      <c r="E1483" t="s">
        <v>4454</v>
      </c>
      <c r="F1483" t="s">
        <v>2080</v>
      </c>
      <c r="G1483" t="s">
        <v>5570</v>
      </c>
      <c r="H1483" t="s">
        <v>4915</v>
      </c>
      <c r="I1483" s="79" t="str">
        <f>IF(CARTERA_2026[[#This Row],[RUT]]=774097899,"DIST",_xlfn.XLOOKUP(CARTERA_2026[[#This Row],[VENDEDOR]],dimensiones!$C$21:$C$28,dimensiones!$D$21:$D$28,""))</f>
        <v>SUR2</v>
      </c>
      <c r="J1483" s="125" t="str">
        <f>_xlfn.XLOOKUP(CARTERA_2026[[#This Row],[REGION]],dimensiones!C:C,dimensiones!D:D,"")</f>
        <v>Región de La Araucanía</v>
      </c>
    </row>
    <row r="1484" spans="1:10" x14ac:dyDescent="0.25">
      <c r="A1484">
        <v>966126205</v>
      </c>
      <c r="B1484" t="s">
        <v>605</v>
      </c>
      <c r="C1484" t="s">
        <v>4395</v>
      </c>
      <c r="D1484">
        <v>13</v>
      </c>
      <c r="E1484" t="s">
        <v>4445</v>
      </c>
      <c r="F1484" t="s">
        <v>3303</v>
      </c>
      <c r="G1484" t="s">
        <v>5568</v>
      </c>
      <c r="H1484" t="s">
        <v>4915</v>
      </c>
      <c r="I1484" s="79" t="str">
        <f>IF(CARTERA_2026[[#This Row],[RUT]]=774097899,"DIST",_xlfn.XLOOKUP(CARTERA_2026[[#This Row],[VENDEDOR]],dimensiones!$C$21:$C$28,dimensiones!$D$21:$D$28,""))</f>
        <v>ATEL</v>
      </c>
      <c r="J1484" s="125" t="str">
        <f>_xlfn.XLOOKUP(CARTERA_2026[[#This Row],[REGION]],dimensiones!C:C,dimensiones!D:D,"")</f>
        <v>Región de Metropolitana de Santiago</v>
      </c>
    </row>
    <row r="1485" spans="1:10" x14ac:dyDescent="0.25">
      <c r="A1485">
        <v>966132205</v>
      </c>
      <c r="B1485" t="s">
        <v>606</v>
      </c>
      <c r="C1485" t="s">
        <v>4181</v>
      </c>
      <c r="D1485">
        <v>15</v>
      </c>
      <c r="E1485" t="s">
        <v>4445</v>
      </c>
      <c r="F1485" t="s">
        <v>3349</v>
      </c>
      <c r="G1485" t="s">
        <v>5574</v>
      </c>
      <c r="H1485" t="s">
        <v>4915</v>
      </c>
      <c r="I1485" s="79" t="str">
        <f>IF(CARTERA_2026[[#This Row],[RUT]]=774097899,"DIST",_xlfn.XLOOKUP(CARTERA_2026[[#This Row],[VENDEDOR]],dimensiones!$C$21:$C$28,dimensiones!$D$21:$D$28,""))</f>
        <v>ATEL</v>
      </c>
      <c r="J1485" s="125" t="str">
        <f>_xlfn.XLOOKUP(CARTERA_2026[[#This Row],[REGION]],dimensiones!C:C,dimensiones!D:D,"")</f>
        <v>Región de Arica y Parinacota</v>
      </c>
    </row>
    <row r="1486" spans="1:10" x14ac:dyDescent="0.25">
      <c r="A1486">
        <v>966248807</v>
      </c>
      <c r="B1486" t="s">
        <v>872</v>
      </c>
      <c r="C1486" t="s">
        <v>4391</v>
      </c>
      <c r="D1486">
        <v>13</v>
      </c>
      <c r="E1486" t="s">
        <v>4445</v>
      </c>
      <c r="F1486" t="s">
        <v>3308</v>
      </c>
      <c r="G1486" t="s">
        <v>5570</v>
      </c>
      <c r="H1486" t="s">
        <v>4915</v>
      </c>
      <c r="I1486" s="79" t="str">
        <f>IF(CARTERA_2026[[#This Row],[RUT]]=774097899,"DIST",_xlfn.XLOOKUP(CARTERA_2026[[#This Row],[VENDEDOR]],dimensiones!$C$21:$C$28,dimensiones!$D$21:$D$28,""))</f>
        <v>ATEL</v>
      </c>
      <c r="J1486" s="125" t="str">
        <f>_xlfn.XLOOKUP(CARTERA_2026[[#This Row],[REGION]],dimensiones!C:C,dimensiones!D:D,"")</f>
        <v>Región de Metropolitana de Santiago</v>
      </c>
    </row>
    <row r="1487" spans="1:10" x14ac:dyDescent="0.25">
      <c r="A1487">
        <v>966259507</v>
      </c>
      <c r="B1487" t="s">
        <v>873</v>
      </c>
      <c r="C1487" t="s">
        <v>4456</v>
      </c>
      <c r="D1487">
        <v>13</v>
      </c>
      <c r="E1487" t="s">
        <v>4445</v>
      </c>
      <c r="F1487" t="s">
        <v>3310</v>
      </c>
      <c r="G1487" t="s">
        <v>5568</v>
      </c>
      <c r="H1487" t="s">
        <v>4915</v>
      </c>
      <c r="I1487" s="79" t="str">
        <f>IF(CARTERA_2026[[#This Row],[RUT]]=774097899,"DIST",_xlfn.XLOOKUP(CARTERA_2026[[#This Row],[VENDEDOR]],dimensiones!$C$21:$C$28,dimensiones!$D$21:$D$28,""))</f>
        <v>ATEL</v>
      </c>
      <c r="J1487" s="125" t="str">
        <f>_xlfn.XLOOKUP(CARTERA_2026[[#This Row],[REGION]],dimensiones!C:C,dimensiones!D:D,"")</f>
        <v>Región de Metropolitana de Santiago</v>
      </c>
    </row>
    <row r="1488" spans="1:10" x14ac:dyDescent="0.25">
      <c r="A1488" t="s">
        <v>4426</v>
      </c>
      <c r="B1488" t="s">
        <v>4427</v>
      </c>
      <c r="C1488" t="s">
        <v>4395</v>
      </c>
      <c r="D1488">
        <v>13</v>
      </c>
      <c r="E1488" t="s">
        <v>4445</v>
      </c>
      <c r="F1488" t="s">
        <v>4612</v>
      </c>
      <c r="G1488" t="s">
        <v>5568</v>
      </c>
      <c r="H1488" t="s">
        <v>4915</v>
      </c>
      <c r="I1488" s="79" t="str">
        <f>IF(CARTERA_2026[[#This Row],[RUT]]=774097899,"DIST",_xlfn.XLOOKUP(CARTERA_2026[[#This Row],[VENDEDOR]],dimensiones!$C$21:$C$28,dimensiones!$D$21:$D$28,""))</f>
        <v>ATEL</v>
      </c>
      <c r="J1488" s="125" t="str">
        <f>_xlfn.XLOOKUP(CARTERA_2026[[#This Row],[REGION]],dimensiones!C:C,dimensiones!D:D,"")</f>
        <v>Región de Metropolitana de Santiago</v>
      </c>
    </row>
    <row r="1489" spans="1:10" x14ac:dyDescent="0.25">
      <c r="A1489">
        <v>966476001</v>
      </c>
      <c r="B1489" t="s">
        <v>5468</v>
      </c>
      <c r="C1489" t="s">
        <v>4528</v>
      </c>
      <c r="D1489">
        <v>13</v>
      </c>
      <c r="E1489" t="s">
        <v>4445</v>
      </c>
      <c r="F1489" t="s">
        <v>5469</v>
      </c>
      <c r="H1489" t="s">
        <v>4915</v>
      </c>
      <c r="I1489" s="79" t="str">
        <f>IF(CARTERA_2026[[#This Row],[RUT]]=774097899,"DIST",_xlfn.XLOOKUP(CARTERA_2026[[#This Row],[VENDEDOR]],dimensiones!$C$21:$C$28,dimensiones!$D$21:$D$28,""))</f>
        <v>ATEL</v>
      </c>
      <c r="J1489" s="125" t="str">
        <f>_xlfn.XLOOKUP(CARTERA_2026[[#This Row],[REGION]],dimensiones!C:C,dimensiones!D:D,"")</f>
        <v>Región de Metropolitana de Santiago</v>
      </c>
    </row>
    <row r="1490" spans="1:10" x14ac:dyDescent="0.25">
      <c r="A1490">
        <v>966613505</v>
      </c>
      <c r="B1490" t="s">
        <v>3313</v>
      </c>
      <c r="C1490" t="s">
        <v>4460</v>
      </c>
      <c r="D1490">
        <v>8</v>
      </c>
      <c r="E1490" t="s">
        <v>4445</v>
      </c>
      <c r="F1490" t="s">
        <v>3312</v>
      </c>
      <c r="G1490" t="s">
        <v>5576</v>
      </c>
      <c r="H1490" t="s">
        <v>4915</v>
      </c>
      <c r="I1490" s="79" t="str">
        <f>IF(CARTERA_2026[[#This Row],[RUT]]=774097899,"DIST",_xlfn.XLOOKUP(CARTERA_2026[[#This Row],[VENDEDOR]],dimensiones!$C$21:$C$28,dimensiones!$D$21:$D$28,""))</f>
        <v>ATEL</v>
      </c>
      <c r="J1490" s="125" t="str">
        <f>_xlfn.XLOOKUP(CARTERA_2026[[#This Row],[REGION]],dimensiones!C:C,dimensiones!D:D,"")</f>
        <v>Región de Biobío</v>
      </c>
    </row>
    <row r="1491" spans="1:10" x14ac:dyDescent="0.25">
      <c r="A1491" t="s">
        <v>157</v>
      </c>
      <c r="B1491" t="s">
        <v>158</v>
      </c>
      <c r="C1491" t="s">
        <v>4497</v>
      </c>
      <c r="D1491">
        <v>8</v>
      </c>
      <c r="E1491" t="s">
        <v>4464</v>
      </c>
      <c r="F1491" t="s">
        <v>1996</v>
      </c>
      <c r="G1491" t="s">
        <v>5570</v>
      </c>
      <c r="H1491" t="s">
        <v>4915</v>
      </c>
      <c r="I1491" s="79" t="str">
        <f>IF(CARTERA_2026[[#This Row],[RUT]]=774097899,"DIST",_xlfn.XLOOKUP(CARTERA_2026[[#This Row],[VENDEDOR]],dimensiones!$C$21:$C$28,dimensiones!$D$21:$D$28,""))</f>
        <v>SUR1</v>
      </c>
      <c r="J1491" s="125" t="str">
        <f>_xlfn.XLOOKUP(CARTERA_2026[[#This Row],[REGION]],dimensiones!C:C,dimensiones!D:D,"")</f>
        <v>Región de Biobío</v>
      </c>
    </row>
    <row r="1492" spans="1:10" x14ac:dyDescent="0.25">
      <c r="A1492">
        <v>966624507</v>
      </c>
      <c r="B1492" t="s">
        <v>607</v>
      </c>
      <c r="C1492" t="s">
        <v>4178</v>
      </c>
      <c r="D1492">
        <v>6</v>
      </c>
      <c r="E1492" t="s">
        <v>5729</v>
      </c>
      <c r="F1492" t="s">
        <v>3655</v>
      </c>
      <c r="G1492" t="s">
        <v>5570</v>
      </c>
      <c r="H1492" t="s">
        <v>4915</v>
      </c>
      <c r="I1492" s="79" t="str">
        <f>IF(CARTERA_2026[[#This Row],[RUT]]=774097899,"DIST",_xlfn.XLOOKUP(CARTERA_2026[[#This Row],[VENDEDOR]],dimensiones!$C$21:$C$28,dimensiones!$D$21:$D$28,""))</f>
        <v>SANT3</v>
      </c>
      <c r="J1492" s="125" t="str">
        <f>_xlfn.XLOOKUP(CARTERA_2026[[#This Row],[REGION]],dimensiones!C:C,dimensiones!D:D,"")</f>
        <v>Región de Libertador General Bernardo O'Higgins</v>
      </c>
    </row>
    <row r="1493" spans="1:10" x14ac:dyDescent="0.25">
      <c r="A1493">
        <v>966741708</v>
      </c>
      <c r="B1493" t="s">
        <v>130</v>
      </c>
      <c r="C1493" t="s">
        <v>4252</v>
      </c>
      <c r="D1493">
        <v>5</v>
      </c>
      <c r="E1493" t="s">
        <v>2372</v>
      </c>
      <c r="F1493" t="s">
        <v>2800</v>
      </c>
      <c r="G1493" t="s">
        <v>5570</v>
      </c>
      <c r="H1493" t="s">
        <v>4915</v>
      </c>
      <c r="I1493" s="79" t="str">
        <f>IF(CARTERA_2026[[#This Row],[RUT]]=774097899,"DIST",_xlfn.XLOOKUP(CARTERA_2026[[#This Row],[VENDEDOR]],dimensiones!$C$21:$C$28,dimensiones!$D$21:$D$28,""))</f>
        <v>NOR1</v>
      </c>
      <c r="J1493" s="125" t="str">
        <f>_xlfn.XLOOKUP(CARTERA_2026[[#This Row],[REGION]],dimensiones!C:C,dimensiones!D:D,"")</f>
        <v>Región de Valparaíso</v>
      </c>
    </row>
    <row r="1494" spans="1:10" x14ac:dyDescent="0.25">
      <c r="A1494">
        <v>967051500</v>
      </c>
      <c r="B1494" t="s">
        <v>608</v>
      </c>
      <c r="C1494" t="s">
        <v>4395</v>
      </c>
      <c r="D1494">
        <v>13</v>
      </c>
      <c r="E1494" t="s">
        <v>4445</v>
      </c>
      <c r="F1494" t="s">
        <v>3322</v>
      </c>
      <c r="G1494" t="s">
        <v>5568</v>
      </c>
      <c r="H1494" t="s">
        <v>4915</v>
      </c>
      <c r="I1494" s="79" t="str">
        <f>IF(CARTERA_2026[[#This Row],[RUT]]=774097899,"DIST",_xlfn.XLOOKUP(CARTERA_2026[[#This Row],[VENDEDOR]],dimensiones!$C$21:$C$28,dimensiones!$D$21:$D$28,""))</f>
        <v>ATEL</v>
      </c>
      <c r="J1494" s="125" t="str">
        <f>_xlfn.XLOOKUP(CARTERA_2026[[#This Row],[REGION]],dimensiones!C:C,dimensiones!D:D,"")</f>
        <v>Región de Metropolitana de Santiago</v>
      </c>
    </row>
    <row r="1495" spans="1:10" x14ac:dyDescent="0.25">
      <c r="A1495" t="s">
        <v>739</v>
      </c>
      <c r="B1495" t="s">
        <v>884</v>
      </c>
      <c r="C1495" t="s">
        <v>4470</v>
      </c>
      <c r="D1495">
        <v>13</v>
      </c>
      <c r="E1495" t="s">
        <v>4445</v>
      </c>
      <c r="F1495" t="s">
        <v>3324</v>
      </c>
      <c r="G1495" t="s">
        <v>5568</v>
      </c>
      <c r="H1495" t="s">
        <v>4915</v>
      </c>
      <c r="I1495" s="79" t="str">
        <f>IF(CARTERA_2026[[#This Row],[RUT]]=774097899,"DIST",_xlfn.XLOOKUP(CARTERA_2026[[#This Row],[VENDEDOR]],dimensiones!$C$21:$C$28,dimensiones!$D$21:$D$28,""))</f>
        <v>ATEL</v>
      </c>
      <c r="J1495" s="125" t="str">
        <f>_xlfn.XLOOKUP(CARTERA_2026[[#This Row],[REGION]],dimensiones!C:C,dimensiones!D:D,"")</f>
        <v>Región de Metropolitana de Santiago</v>
      </c>
    </row>
    <row r="1496" spans="1:10" x14ac:dyDescent="0.25">
      <c r="A1496">
        <v>967599107</v>
      </c>
      <c r="B1496" t="s">
        <v>1022</v>
      </c>
      <c r="C1496" t="s">
        <v>4465</v>
      </c>
      <c r="D1496">
        <v>13</v>
      </c>
      <c r="E1496" t="s">
        <v>4445</v>
      </c>
      <c r="F1496" t="s">
        <v>3326</v>
      </c>
      <c r="G1496" t="s">
        <v>5570</v>
      </c>
      <c r="H1496" t="s">
        <v>4915</v>
      </c>
      <c r="I1496" s="79" t="str">
        <f>IF(CARTERA_2026[[#This Row],[RUT]]=774097899,"DIST",_xlfn.XLOOKUP(CARTERA_2026[[#This Row],[VENDEDOR]],dimensiones!$C$21:$C$28,dimensiones!$D$21:$D$28,""))</f>
        <v>ATEL</v>
      </c>
      <c r="J1496" s="125" t="str">
        <f>_xlfn.XLOOKUP(CARTERA_2026[[#This Row],[REGION]],dimensiones!C:C,dimensiones!D:D,"")</f>
        <v>Región de Metropolitana de Santiago</v>
      </c>
    </row>
    <row r="1497" spans="1:10" x14ac:dyDescent="0.25">
      <c r="A1497">
        <v>967666408</v>
      </c>
      <c r="B1497" t="s">
        <v>3474</v>
      </c>
      <c r="C1497" t="s">
        <v>4292</v>
      </c>
      <c r="D1497">
        <v>10</v>
      </c>
      <c r="E1497" t="s">
        <v>4454</v>
      </c>
      <c r="F1497" t="s">
        <v>3473</v>
      </c>
      <c r="G1497" t="s">
        <v>5570</v>
      </c>
      <c r="H1497" t="s">
        <v>4915</v>
      </c>
      <c r="I1497" s="79" t="str">
        <f>IF(CARTERA_2026[[#This Row],[RUT]]=774097899,"DIST",_xlfn.XLOOKUP(CARTERA_2026[[#This Row],[VENDEDOR]],dimensiones!$C$21:$C$28,dimensiones!$D$21:$D$28,""))</f>
        <v>SUR2</v>
      </c>
      <c r="J1497" s="125" t="str">
        <f>_xlfn.XLOOKUP(CARTERA_2026[[#This Row],[REGION]],dimensiones!C:C,dimensiones!D:D,"")</f>
        <v>Región de Los Lagos</v>
      </c>
    </row>
    <row r="1498" spans="1:10" x14ac:dyDescent="0.25">
      <c r="A1498">
        <v>967667803</v>
      </c>
      <c r="B1498" t="s">
        <v>609</v>
      </c>
      <c r="C1498" t="s">
        <v>4460</v>
      </c>
      <c r="D1498">
        <v>8</v>
      </c>
      <c r="E1498" t="s">
        <v>4445</v>
      </c>
      <c r="F1498" t="s">
        <v>3331</v>
      </c>
      <c r="G1498" t="s">
        <v>5576</v>
      </c>
      <c r="H1498" t="s">
        <v>4915</v>
      </c>
      <c r="I1498" s="79" t="str">
        <f>IF(CARTERA_2026[[#This Row],[RUT]]=774097899,"DIST",_xlfn.XLOOKUP(CARTERA_2026[[#This Row],[VENDEDOR]],dimensiones!$C$21:$C$28,dimensiones!$D$21:$D$28,""))</f>
        <v>ATEL</v>
      </c>
      <c r="J1498" s="125" t="str">
        <f>_xlfn.XLOOKUP(CARTERA_2026[[#This Row],[REGION]],dimensiones!C:C,dimensiones!D:D,"")</f>
        <v>Región de Biobío</v>
      </c>
    </row>
    <row r="1499" spans="1:10" x14ac:dyDescent="0.25">
      <c r="A1499">
        <v>967701009</v>
      </c>
      <c r="B1499" t="s">
        <v>131</v>
      </c>
      <c r="C1499" t="s">
        <v>4552</v>
      </c>
      <c r="D1499">
        <v>13</v>
      </c>
      <c r="E1499" t="s">
        <v>4457</v>
      </c>
      <c r="F1499" t="s">
        <v>1284</v>
      </c>
      <c r="G1499" t="s">
        <v>5570</v>
      </c>
      <c r="H1499" t="s">
        <v>4915</v>
      </c>
      <c r="I1499" s="79" t="str">
        <f>IF(CARTERA_2026[[#This Row],[RUT]]=774097899,"DIST",_xlfn.XLOOKUP(CARTERA_2026[[#This Row],[VENDEDOR]],dimensiones!$C$21:$C$28,dimensiones!$D$21:$D$28,""))</f>
        <v>SANT1</v>
      </c>
      <c r="J1499" s="125" t="str">
        <f>_xlfn.XLOOKUP(CARTERA_2026[[#This Row],[REGION]],dimensiones!C:C,dimensiones!D:D,"")</f>
        <v>Región de Metropolitana de Santiago</v>
      </c>
    </row>
    <row r="1500" spans="1:10" x14ac:dyDescent="0.25">
      <c r="A1500">
        <v>967745804</v>
      </c>
      <c r="B1500" t="s">
        <v>132</v>
      </c>
      <c r="C1500" t="s">
        <v>4218</v>
      </c>
      <c r="D1500">
        <v>9</v>
      </c>
      <c r="E1500" t="s">
        <v>4454</v>
      </c>
      <c r="F1500" t="s">
        <v>2140</v>
      </c>
      <c r="G1500" t="s">
        <v>5568</v>
      </c>
      <c r="H1500" t="s">
        <v>4915</v>
      </c>
      <c r="I1500" s="79" t="str">
        <f>IF(CARTERA_2026[[#This Row],[RUT]]=774097899,"DIST",_xlfn.XLOOKUP(CARTERA_2026[[#This Row],[VENDEDOR]],dimensiones!$C$21:$C$28,dimensiones!$D$21:$D$28,""))</f>
        <v>SUR2</v>
      </c>
      <c r="J1500" s="125" t="str">
        <f>_xlfn.XLOOKUP(CARTERA_2026[[#This Row],[REGION]],dimensiones!C:C,dimensiones!D:D,"")</f>
        <v>Región de La Araucanía</v>
      </c>
    </row>
    <row r="1501" spans="1:10" x14ac:dyDescent="0.25">
      <c r="A1501">
        <v>967843806</v>
      </c>
      <c r="B1501" t="s">
        <v>4070</v>
      </c>
      <c r="C1501" t="s">
        <v>4186</v>
      </c>
      <c r="D1501">
        <v>1</v>
      </c>
      <c r="E1501" t="s">
        <v>4445</v>
      </c>
      <c r="F1501" t="s">
        <v>4069</v>
      </c>
      <c r="G1501" t="s">
        <v>5570</v>
      </c>
      <c r="H1501" t="s">
        <v>4915</v>
      </c>
      <c r="I1501" s="79" t="str">
        <f>IF(CARTERA_2026[[#This Row],[RUT]]=774097899,"DIST",_xlfn.XLOOKUP(CARTERA_2026[[#This Row],[VENDEDOR]],dimensiones!$C$21:$C$28,dimensiones!$D$21:$D$28,""))</f>
        <v>ATEL</v>
      </c>
      <c r="J1501" s="125" t="str">
        <f>_xlfn.XLOOKUP(CARTERA_2026[[#This Row],[REGION]],dimensiones!C:C,dimensiones!D:D,"")</f>
        <v>Región de Tarapacá</v>
      </c>
    </row>
    <row r="1502" spans="1:10" x14ac:dyDescent="0.25">
      <c r="A1502">
        <v>967900400</v>
      </c>
      <c r="B1502" t="s">
        <v>610</v>
      </c>
      <c r="C1502" t="s">
        <v>4393</v>
      </c>
      <c r="D1502">
        <v>13</v>
      </c>
      <c r="E1502" t="s">
        <v>4445</v>
      </c>
      <c r="F1502" t="s">
        <v>3342</v>
      </c>
      <c r="G1502" t="s">
        <v>5570</v>
      </c>
      <c r="H1502" t="s">
        <v>4915</v>
      </c>
      <c r="I1502" s="79" t="str">
        <f>IF(CARTERA_2026[[#This Row],[RUT]]=774097899,"DIST",_xlfn.XLOOKUP(CARTERA_2026[[#This Row],[VENDEDOR]],dimensiones!$C$21:$C$28,dimensiones!$D$21:$D$28,""))</f>
        <v>ATEL</v>
      </c>
      <c r="J1502" s="125" t="str">
        <f>_xlfn.XLOOKUP(CARTERA_2026[[#This Row],[REGION]],dimensiones!C:C,dimensiones!D:D,"")</f>
        <v>Región de Metropolitana de Santiago</v>
      </c>
    </row>
    <row r="1503" spans="1:10" x14ac:dyDescent="0.25">
      <c r="A1503">
        <v>968028006</v>
      </c>
      <c r="B1503" t="s">
        <v>611</v>
      </c>
      <c r="C1503" t="s">
        <v>4237</v>
      </c>
      <c r="D1503">
        <v>2</v>
      </c>
      <c r="E1503" t="s">
        <v>4445</v>
      </c>
      <c r="F1503" t="s">
        <v>3344</v>
      </c>
      <c r="G1503" t="s">
        <v>5570</v>
      </c>
      <c r="H1503" t="s">
        <v>4915</v>
      </c>
      <c r="I1503" s="79" t="str">
        <f>IF(CARTERA_2026[[#This Row],[RUT]]=774097899,"DIST",_xlfn.XLOOKUP(CARTERA_2026[[#This Row],[VENDEDOR]],dimensiones!$C$21:$C$28,dimensiones!$D$21:$D$28,""))</f>
        <v>ATEL</v>
      </c>
      <c r="J1503" s="125" t="str">
        <f>_xlfn.XLOOKUP(CARTERA_2026[[#This Row],[REGION]],dimensiones!C:C,dimensiones!D:D,"")</f>
        <v>Región de Antofagasta</v>
      </c>
    </row>
    <row r="1504" spans="1:10" x14ac:dyDescent="0.25">
      <c r="A1504">
        <v>968406108</v>
      </c>
      <c r="B1504" t="s">
        <v>612</v>
      </c>
      <c r="C1504" t="s">
        <v>4186</v>
      </c>
      <c r="D1504">
        <v>1</v>
      </c>
      <c r="E1504" t="s">
        <v>4453</v>
      </c>
      <c r="F1504" t="s">
        <v>1457</v>
      </c>
      <c r="G1504" t="s">
        <v>5570</v>
      </c>
      <c r="H1504" t="s">
        <v>4915</v>
      </c>
      <c r="I1504" s="79" t="str">
        <f>IF(CARTERA_2026[[#This Row],[RUT]]=774097899,"DIST",_xlfn.XLOOKUP(CARTERA_2026[[#This Row],[VENDEDOR]],dimensiones!$C$21:$C$28,dimensiones!$D$21:$D$28,""))</f>
        <v>SANT2</v>
      </c>
      <c r="J1504" s="125" t="str">
        <f>_xlfn.XLOOKUP(CARTERA_2026[[#This Row],[REGION]],dimensiones!C:C,dimensiones!D:D,"")</f>
        <v>Región de Tarapacá</v>
      </c>
    </row>
    <row r="1505" spans="1:10" x14ac:dyDescent="0.25">
      <c r="A1505" t="s">
        <v>740</v>
      </c>
      <c r="B1505" t="s">
        <v>741</v>
      </c>
      <c r="C1505" t="s">
        <v>4189</v>
      </c>
      <c r="D1505">
        <v>13</v>
      </c>
      <c r="E1505" t="s">
        <v>4445</v>
      </c>
      <c r="F1505" t="s">
        <v>3315</v>
      </c>
      <c r="G1505" t="s">
        <v>5568</v>
      </c>
      <c r="H1505" t="s">
        <v>4915</v>
      </c>
      <c r="I1505" s="79" t="str">
        <f>IF(CARTERA_2026[[#This Row],[RUT]]=774097899,"DIST",_xlfn.XLOOKUP(CARTERA_2026[[#This Row],[VENDEDOR]],dimensiones!$C$21:$C$28,dimensiones!$D$21:$D$28,""))</f>
        <v>ATEL</v>
      </c>
      <c r="J1505" s="125" t="str">
        <f>_xlfn.XLOOKUP(CARTERA_2026[[#This Row],[REGION]],dimensiones!C:C,dimensiones!D:D,"")</f>
        <v>Región de Metropolitana de Santiago</v>
      </c>
    </row>
    <row r="1506" spans="1:10" x14ac:dyDescent="0.25">
      <c r="A1506">
        <v>968859307</v>
      </c>
      <c r="B1506" t="s">
        <v>2076</v>
      </c>
      <c r="C1506" t="s">
        <v>4452</v>
      </c>
      <c r="D1506">
        <v>13</v>
      </c>
      <c r="E1506" t="s">
        <v>4453</v>
      </c>
      <c r="F1506" t="s">
        <v>2075</v>
      </c>
      <c r="G1506" t="s">
        <v>5570</v>
      </c>
      <c r="H1506" t="s">
        <v>4915</v>
      </c>
      <c r="I1506" s="79" t="str">
        <f>IF(CARTERA_2026[[#This Row],[RUT]]=774097899,"DIST",_xlfn.XLOOKUP(CARTERA_2026[[#This Row],[VENDEDOR]],dimensiones!$C$21:$C$28,dimensiones!$D$21:$D$28,""))</f>
        <v>SANT2</v>
      </c>
      <c r="J1506" s="125" t="str">
        <f>_xlfn.XLOOKUP(CARTERA_2026[[#This Row],[REGION]],dimensiones!C:C,dimensiones!D:D,"")</f>
        <v>Región de Metropolitana de Santiago</v>
      </c>
    </row>
    <row r="1507" spans="1:10" x14ac:dyDescent="0.25">
      <c r="A1507">
        <v>968859404</v>
      </c>
      <c r="B1507" t="s">
        <v>134</v>
      </c>
      <c r="C1507" t="s">
        <v>4183</v>
      </c>
      <c r="D1507">
        <v>8</v>
      </c>
      <c r="E1507" t="s">
        <v>4464</v>
      </c>
      <c r="F1507" t="s">
        <v>4613</v>
      </c>
      <c r="G1507" t="s">
        <v>5570</v>
      </c>
      <c r="H1507" t="s">
        <v>4915</v>
      </c>
      <c r="I1507" s="79" t="str">
        <f>IF(CARTERA_2026[[#This Row],[RUT]]=774097899,"DIST",_xlfn.XLOOKUP(CARTERA_2026[[#This Row],[VENDEDOR]],dimensiones!$C$21:$C$28,dimensiones!$D$21:$D$28,""))</f>
        <v>SUR1</v>
      </c>
      <c r="J1507" s="125" t="str">
        <f>_xlfn.XLOOKUP(CARTERA_2026[[#This Row],[REGION]],dimensiones!C:C,dimensiones!D:D,"")</f>
        <v>Región de Biobío</v>
      </c>
    </row>
    <row r="1508" spans="1:10" x14ac:dyDescent="0.25">
      <c r="A1508">
        <v>968859501</v>
      </c>
      <c r="B1508" t="s">
        <v>135</v>
      </c>
      <c r="C1508" t="s">
        <v>4175</v>
      </c>
      <c r="D1508">
        <v>5</v>
      </c>
      <c r="E1508" t="s">
        <v>2372</v>
      </c>
      <c r="F1508" t="s">
        <v>1693</v>
      </c>
      <c r="G1508" t="s">
        <v>5570</v>
      </c>
      <c r="H1508" t="s">
        <v>4915</v>
      </c>
      <c r="I1508" s="79" t="str">
        <f>IF(CARTERA_2026[[#This Row],[RUT]]=774097899,"DIST",_xlfn.XLOOKUP(CARTERA_2026[[#This Row],[VENDEDOR]],dimensiones!$C$21:$C$28,dimensiones!$D$21:$D$28,""))</f>
        <v>NOR1</v>
      </c>
      <c r="J1508" s="125" t="str">
        <f>_xlfn.XLOOKUP(CARTERA_2026[[#This Row],[REGION]],dimensiones!C:C,dimensiones!D:D,"")</f>
        <v>Región de Valparaíso</v>
      </c>
    </row>
    <row r="1509" spans="1:10" x14ac:dyDescent="0.25">
      <c r="A1509">
        <v>968989804</v>
      </c>
      <c r="B1509" t="s">
        <v>757</v>
      </c>
      <c r="C1509" t="s">
        <v>4394</v>
      </c>
      <c r="D1509">
        <v>13</v>
      </c>
      <c r="E1509" t="s">
        <v>4453</v>
      </c>
      <c r="F1509" t="s">
        <v>3629</v>
      </c>
      <c r="G1509" t="s">
        <v>5570</v>
      </c>
      <c r="H1509" t="s">
        <v>4915</v>
      </c>
      <c r="I1509" s="79" t="str">
        <f>IF(CARTERA_2026[[#This Row],[RUT]]=774097899,"DIST",_xlfn.XLOOKUP(CARTERA_2026[[#This Row],[VENDEDOR]],dimensiones!$C$21:$C$28,dimensiones!$D$21:$D$28,""))</f>
        <v>SANT2</v>
      </c>
      <c r="J1509" s="125" t="str">
        <f>_xlfn.XLOOKUP(CARTERA_2026[[#This Row],[REGION]],dimensiones!C:C,dimensiones!D:D,"")</f>
        <v>Región de Metropolitana de Santiago</v>
      </c>
    </row>
    <row r="1510" spans="1:10" x14ac:dyDescent="0.25">
      <c r="A1510">
        <v>969102803</v>
      </c>
      <c r="B1510" t="s">
        <v>1048</v>
      </c>
      <c r="C1510" t="s">
        <v>4459</v>
      </c>
      <c r="D1510">
        <v>5</v>
      </c>
      <c r="E1510" t="s">
        <v>4445</v>
      </c>
      <c r="F1510" t="s">
        <v>3915</v>
      </c>
      <c r="G1510" t="s">
        <v>5568</v>
      </c>
      <c r="H1510" t="s">
        <v>4915</v>
      </c>
      <c r="I1510" s="79" t="str">
        <f>IF(CARTERA_2026[[#This Row],[RUT]]=774097899,"DIST",_xlfn.XLOOKUP(CARTERA_2026[[#This Row],[VENDEDOR]],dimensiones!$C$21:$C$28,dimensiones!$D$21:$D$28,""))</f>
        <v>ATEL</v>
      </c>
      <c r="J1510" s="125" t="str">
        <f>_xlfn.XLOOKUP(CARTERA_2026[[#This Row],[REGION]],dimensiones!C:C,dimensiones!D:D,"")</f>
        <v>Región de Valparaíso</v>
      </c>
    </row>
    <row r="1511" spans="1:10" x14ac:dyDescent="0.25">
      <c r="A1511">
        <v>969216604</v>
      </c>
      <c r="B1511" t="s">
        <v>613</v>
      </c>
      <c r="C1511" t="s">
        <v>4452</v>
      </c>
      <c r="D1511">
        <v>13</v>
      </c>
      <c r="E1511" t="s">
        <v>4445</v>
      </c>
      <c r="F1511" t="s">
        <v>3094</v>
      </c>
      <c r="G1511" t="s">
        <v>5570</v>
      </c>
      <c r="H1511" t="s">
        <v>4915</v>
      </c>
      <c r="I1511" s="79" t="str">
        <f>IF(CARTERA_2026[[#This Row],[RUT]]=774097899,"DIST",_xlfn.XLOOKUP(CARTERA_2026[[#This Row],[VENDEDOR]],dimensiones!$C$21:$C$28,dimensiones!$D$21:$D$28,""))</f>
        <v>ATEL</v>
      </c>
      <c r="J1511" s="125" t="str">
        <f>_xlfn.XLOOKUP(CARTERA_2026[[#This Row],[REGION]],dimensiones!C:C,dimensiones!D:D,"")</f>
        <v>Región de Metropolitana de Santiago</v>
      </c>
    </row>
    <row r="1512" spans="1:10" x14ac:dyDescent="0.25">
      <c r="A1512">
        <v>969424002</v>
      </c>
      <c r="B1512" t="s">
        <v>614</v>
      </c>
      <c r="C1512" t="s">
        <v>4391</v>
      </c>
      <c r="D1512">
        <v>13</v>
      </c>
      <c r="E1512" t="s">
        <v>4445</v>
      </c>
      <c r="F1512" t="s">
        <v>1865</v>
      </c>
      <c r="G1512" t="s">
        <v>5568</v>
      </c>
      <c r="H1512" t="s">
        <v>4915</v>
      </c>
      <c r="I1512" s="79" t="str">
        <f>IF(CARTERA_2026[[#This Row],[RUT]]=774097899,"DIST",_xlfn.XLOOKUP(CARTERA_2026[[#This Row],[VENDEDOR]],dimensiones!$C$21:$C$28,dimensiones!$D$21:$D$28,""))</f>
        <v>ATEL</v>
      </c>
      <c r="J1512" s="125" t="str">
        <f>_xlfn.XLOOKUP(CARTERA_2026[[#This Row],[REGION]],dimensiones!C:C,dimensiones!D:D,"")</f>
        <v>Región de Metropolitana de Santiago</v>
      </c>
    </row>
    <row r="1513" spans="1:10" x14ac:dyDescent="0.25">
      <c r="A1513">
        <v>969636603</v>
      </c>
      <c r="B1513" t="s">
        <v>136</v>
      </c>
      <c r="C1513" t="s">
        <v>4175</v>
      </c>
      <c r="D1513">
        <v>5</v>
      </c>
      <c r="E1513" t="s">
        <v>2372</v>
      </c>
      <c r="F1513" t="s">
        <v>3260</v>
      </c>
      <c r="G1513" t="s">
        <v>5570</v>
      </c>
      <c r="H1513" t="s">
        <v>4915</v>
      </c>
      <c r="I1513" s="79" t="str">
        <f>IF(CARTERA_2026[[#This Row],[RUT]]=774097899,"DIST",_xlfn.XLOOKUP(CARTERA_2026[[#This Row],[VENDEDOR]],dimensiones!$C$21:$C$28,dimensiones!$D$21:$D$28,""))</f>
        <v>NOR1</v>
      </c>
      <c r="J1513" s="125" t="str">
        <f>_xlfn.XLOOKUP(CARTERA_2026[[#This Row],[REGION]],dimensiones!C:C,dimensiones!D:D,"")</f>
        <v>Región de Valparaíso</v>
      </c>
    </row>
    <row r="1514" spans="1:10" x14ac:dyDescent="0.25">
      <c r="A1514">
        <v>969825201</v>
      </c>
      <c r="B1514" t="s">
        <v>3368</v>
      </c>
      <c r="C1514" t="s">
        <v>4391</v>
      </c>
      <c r="D1514">
        <v>13</v>
      </c>
      <c r="E1514" t="s">
        <v>4445</v>
      </c>
      <c r="F1514" t="s">
        <v>3367</v>
      </c>
      <c r="G1514" t="s">
        <v>5570</v>
      </c>
      <c r="H1514" t="s">
        <v>4915</v>
      </c>
      <c r="I1514" s="79" t="str">
        <f>IF(CARTERA_2026[[#This Row],[RUT]]=774097899,"DIST",_xlfn.XLOOKUP(CARTERA_2026[[#This Row],[VENDEDOR]],dimensiones!$C$21:$C$28,dimensiones!$D$21:$D$28,""))</f>
        <v>ATEL</v>
      </c>
      <c r="J1514" s="125" t="str">
        <f>_xlfn.XLOOKUP(CARTERA_2026[[#This Row],[REGION]],dimensiones!C:C,dimensiones!D:D,"")</f>
        <v>Región de Metropolitana de Santiago</v>
      </c>
    </row>
    <row r="1515" spans="1:10" x14ac:dyDescent="0.25">
      <c r="A1515">
        <v>969860503</v>
      </c>
      <c r="B1515" t="s">
        <v>1028</v>
      </c>
      <c r="C1515" t="s">
        <v>4394</v>
      </c>
      <c r="D1515">
        <v>13</v>
      </c>
      <c r="E1515" t="s">
        <v>4453</v>
      </c>
      <c r="F1515" t="s">
        <v>1964</v>
      </c>
      <c r="G1515" t="s">
        <v>5576</v>
      </c>
      <c r="H1515" t="s">
        <v>4915</v>
      </c>
      <c r="I1515" s="79" t="str">
        <f>IF(CARTERA_2026[[#This Row],[RUT]]=774097899,"DIST",_xlfn.XLOOKUP(CARTERA_2026[[#This Row],[VENDEDOR]],dimensiones!$C$21:$C$28,dimensiones!$D$21:$D$28,""))</f>
        <v>SANT2</v>
      </c>
      <c r="J1515" s="125" t="str">
        <f>_xlfn.XLOOKUP(CARTERA_2026[[#This Row],[REGION]],dimensiones!C:C,dimensiones!D:D,"")</f>
        <v>Región de Metropolitana de Santiago</v>
      </c>
    </row>
    <row r="1516" spans="1:10" x14ac:dyDescent="0.25">
      <c r="A1516">
        <v>969860708</v>
      </c>
      <c r="B1516" t="s">
        <v>5445</v>
      </c>
      <c r="C1516" t="s">
        <v>4458</v>
      </c>
      <c r="D1516">
        <v>13</v>
      </c>
      <c r="E1516" t="s">
        <v>4445</v>
      </c>
      <c r="F1516" t="s">
        <v>5446</v>
      </c>
      <c r="G1516" t="s">
        <v>5568</v>
      </c>
      <c r="H1516" t="s">
        <v>4915</v>
      </c>
      <c r="I1516" s="79" t="str">
        <f>IF(CARTERA_2026[[#This Row],[RUT]]=774097899,"DIST",_xlfn.XLOOKUP(CARTERA_2026[[#This Row],[VENDEDOR]],dimensiones!$C$21:$C$28,dimensiones!$D$21:$D$28,""))</f>
        <v>ATEL</v>
      </c>
      <c r="J1516" s="125" t="str">
        <f>_xlfn.XLOOKUP(CARTERA_2026[[#This Row],[REGION]],dimensiones!C:C,dimensiones!D:D,"")</f>
        <v>Región de Metropolitana de Santiago</v>
      </c>
    </row>
    <row r="1517" spans="1:10" x14ac:dyDescent="0.25">
      <c r="A1517">
        <v>969865505</v>
      </c>
      <c r="B1517" t="s">
        <v>874</v>
      </c>
      <c r="C1517" t="s">
        <v>4168</v>
      </c>
      <c r="D1517">
        <v>13</v>
      </c>
      <c r="E1517" t="s">
        <v>4445</v>
      </c>
      <c r="F1517" t="s">
        <v>3969</v>
      </c>
      <c r="G1517" t="s">
        <v>5569</v>
      </c>
      <c r="H1517" t="s">
        <v>4915</v>
      </c>
      <c r="I1517" s="79" t="str">
        <f>IF(CARTERA_2026[[#This Row],[RUT]]=774097899,"DIST",_xlfn.XLOOKUP(CARTERA_2026[[#This Row],[VENDEDOR]],dimensiones!$C$21:$C$28,dimensiones!$D$21:$D$28,""))</f>
        <v>ATEL</v>
      </c>
      <c r="J1517" s="125" t="str">
        <f>_xlfn.XLOOKUP(CARTERA_2026[[#This Row],[REGION]],dimensiones!C:C,dimensiones!D:D,"")</f>
        <v>Región de Metropolitana de Santiago</v>
      </c>
    </row>
    <row r="1518" spans="1:10" x14ac:dyDescent="0.25">
      <c r="A1518">
        <v>995071304</v>
      </c>
      <c r="B1518" t="s">
        <v>615</v>
      </c>
      <c r="C1518" t="s">
        <v>4391</v>
      </c>
      <c r="D1518">
        <v>8</v>
      </c>
      <c r="E1518" t="s">
        <v>4445</v>
      </c>
      <c r="F1518" t="s">
        <v>4072</v>
      </c>
      <c r="G1518" t="s">
        <v>5568</v>
      </c>
      <c r="H1518" t="s">
        <v>4915</v>
      </c>
      <c r="I1518" s="79" t="str">
        <f>IF(CARTERA_2026[[#This Row],[RUT]]=774097899,"DIST",_xlfn.XLOOKUP(CARTERA_2026[[#This Row],[VENDEDOR]],dimensiones!$C$21:$C$28,dimensiones!$D$21:$D$28,""))</f>
        <v>ATEL</v>
      </c>
      <c r="J1518" s="125" t="str">
        <f>_xlfn.XLOOKUP(CARTERA_2026[[#This Row],[REGION]],dimensiones!C:C,dimensiones!D:D,"")</f>
        <v>Región de Biobío</v>
      </c>
    </row>
    <row r="1519" spans="1:10" x14ac:dyDescent="0.25">
      <c r="A1519">
        <v>995129507</v>
      </c>
      <c r="B1519" t="s">
        <v>4935</v>
      </c>
      <c r="C1519" t="s">
        <v>4528</v>
      </c>
      <c r="D1519">
        <v>13</v>
      </c>
      <c r="E1519" t="s">
        <v>4445</v>
      </c>
      <c r="F1519" t="s">
        <v>4936</v>
      </c>
      <c r="G1519" t="s">
        <v>5568</v>
      </c>
      <c r="H1519" t="s">
        <v>4915</v>
      </c>
      <c r="I1519" s="79" t="str">
        <f>IF(CARTERA_2026[[#This Row],[RUT]]=774097899,"DIST",_xlfn.XLOOKUP(CARTERA_2026[[#This Row],[VENDEDOR]],dimensiones!$C$21:$C$28,dimensiones!$D$21:$D$28,""))</f>
        <v>ATEL</v>
      </c>
      <c r="J1519" s="125" t="str">
        <f>_xlfn.XLOOKUP(CARTERA_2026[[#This Row],[REGION]],dimensiones!C:C,dimensiones!D:D,"")</f>
        <v>Región de Metropolitana de Santiago</v>
      </c>
    </row>
    <row r="1520" spans="1:10" x14ac:dyDescent="0.25">
      <c r="A1520">
        <v>995337908</v>
      </c>
      <c r="B1520" t="s">
        <v>137</v>
      </c>
      <c r="C1520" t="s">
        <v>4171</v>
      </c>
      <c r="D1520">
        <v>4</v>
      </c>
      <c r="E1520" t="s">
        <v>2372</v>
      </c>
      <c r="F1520" t="s">
        <v>3563</v>
      </c>
      <c r="G1520" t="s">
        <v>5570</v>
      </c>
      <c r="H1520" t="s">
        <v>4915</v>
      </c>
      <c r="I1520" s="79" t="str">
        <f>IF(CARTERA_2026[[#This Row],[RUT]]=774097899,"DIST",_xlfn.XLOOKUP(CARTERA_2026[[#This Row],[VENDEDOR]],dimensiones!$C$21:$C$28,dimensiones!$D$21:$D$28,""))</f>
        <v>NOR1</v>
      </c>
      <c r="J1520" s="125" t="str">
        <f>_xlfn.XLOOKUP(CARTERA_2026[[#This Row],[REGION]],dimensiones!C:C,dimensiones!D:D,"")</f>
        <v>Región de Coquimbo</v>
      </c>
    </row>
    <row r="1521" spans="1:10" x14ac:dyDescent="0.25">
      <c r="A1521">
        <v>995356201</v>
      </c>
      <c r="B1521" t="s">
        <v>616</v>
      </c>
      <c r="C1521" t="s">
        <v>4460</v>
      </c>
      <c r="D1521">
        <v>8</v>
      </c>
      <c r="E1521" t="s">
        <v>4445</v>
      </c>
      <c r="F1521" t="s">
        <v>3974</v>
      </c>
      <c r="G1521" t="s">
        <v>5570</v>
      </c>
      <c r="H1521" t="s">
        <v>4915</v>
      </c>
      <c r="I1521" s="79" t="str">
        <f>IF(CARTERA_2026[[#This Row],[RUT]]=774097899,"DIST",_xlfn.XLOOKUP(CARTERA_2026[[#This Row],[VENDEDOR]],dimensiones!$C$21:$C$28,dimensiones!$D$21:$D$28,""))</f>
        <v>ATEL</v>
      </c>
      <c r="J1521" s="125" t="str">
        <f>_xlfn.XLOOKUP(CARTERA_2026[[#This Row],[REGION]],dimensiones!C:C,dimensiones!D:D,"")</f>
        <v>Región de Biobío</v>
      </c>
    </row>
    <row r="1522" spans="1:10" x14ac:dyDescent="0.25">
      <c r="A1522">
        <v>995378000</v>
      </c>
      <c r="B1522" t="s">
        <v>617</v>
      </c>
      <c r="C1522" t="s">
        <v>4182</v>
      </c>
      <c r="D1522">
        <v>2</v>
      </c>
      <c r="E1522" t="s">
        <v>4445</v>
      </c>
      <c r="F1522" t="s">
        <v>2068</v>
      </c>
      <c r="G1522" t="s">
        <v>5570</v>
      </c>
      <c r="H1522" t="s">
        <v>4915</v>
      </c>
      <c r="I1522" s="79" t="str">
        <f>IF(CARTERA_2026[[#This Row],[RUT]]=774097899,"DIST",_xlfn.XLOOKUP(CARTERA_2026[[#This Row],[VENDEDOR]],dimensiones!$C$21:$C$28,dimensiones!$D$21:$D$28,""))</f>
        <v>ATEL</v>
      </c>
      <c r="J1522" s="125" t="str">
        <f>_xlfn.XLOOKUP(CARTERA_2026[[#This Row],[REGION]],dimensiones!C:C,dimensiones!D:D,"")</f>
        <v>Región de Antofagasta</v>
      </c>
    </row>
    <row r="1523" spans="1:10" x14ac:dyDescent="0.25">
      <c r="A1523">
        <v>995417502</v>
      </c>
      <c r="B1523" t="s">
        <v>138</v>
      </c>
      <c r="C1523" t="s">
        <v>4198</v>
      </c>
      <c r="D1523">
        <v>5</v>
      </c>
      <c r="E1523" t="s">
        <v>2372</v>
      </c>
      <c r="F1523" t="s">
        <v>4108</v>
      </c>
      <c r="G1523" t="s">
        <v>5570</v>
      </c>
      <c r="H1523" t="s">
        <v>4915</v>
      </c>
      <c r="I1523" s="79" t="str">
        <f>IF(CARTERA_2026[[#This Row],[RUT]]=774097899,"DIST",_xlfn.XLOOKUP(CARTERA_2026[[#This Row],[VENDEDOR]],dimensiones!$C$21:$C$28,dimensiones!$D$21:$D$28,""))</f>
        <v>NOR1</v>
      </c>
      <c r="J1523" s="125" t="str">
        <f>_xlfn.XLOOKUP(CARTERA_2026[[#This Row],[REGION]],dimensiones!C:C,dimensiones!D:D,"")</f>
        <v>Región de Valparaíso</v>
      </c>
    </row>
    <row r="1524" spans="1:10" x14ac:dyDescent="0.25">
      <c r="A1524">
        <v>995458705</v>
      </c>
      <c r="B1524" t="s">
        <v>3972</v>
      </c>
      <c r="C1524" t="s">
        <v>4186</v>
      </c>
      <c r="D1524">
        <v>1</v>
      </c>
      <c r="E1524" t="s">
        <v>4445</v>
      </c>
      <c r="F1524" t="s">
        <v>3971</v>
      </c>
      <c r="G1524" t="s">
        <v>5570</v>
      </c>
      <c r="H1524" t="s">
        <v>4915</v>
      </c>
      <c r="I1524" s="79" t="str">
        <f>IF(CARTERA_2026[[#This Row],[RUT]]=774097899,"DIST",_xlfn.XLOOKUP(CARTERA_2026[[#This Row],[VENDEDOR]],dimensiones!$C$21:$C$28,dimensiones!$D$21:$D$28,""))</f>
        <v>ATEL</v>
      </c>
      <c r="J1524" s="125" t="str">
        <f>_xlfn.XLOOKUP(CARTERA_2026[[#This Row],[REGION]],dimensiones!C:C,dimensiones!D:D,"")</f>
        <v>Región de Tarapacá</v>
      </c>
    </row>
    <row r="1525" spans="1:10" x14ac:dyDescent="0.25">
      <c r="A1525">
        <v>995491303</v>
      </c>
      <c r="B1525" t="s">
        <v>618</v>
      </c>
      <c r="C1525" t="s">
        <v>4182</v>
      </c>
      <c r="D1525">
        <v>2</v>
      </c>
      <c r="E1525" t="s">
        <v>4445</v>
      </c>
      <c r="F1525" t="s">
        <v>2128</v>
      </c>
      <c r="G1525" t="s">
        <v>5570</v>
      </c>
      <c r="H1525" t="s">
        <v>4915</v>
      </c>
      <c r="I1525" s="79" t="str">
        <f>IF(CARTERA_2026[[#This Row],[RUT]]=774097899,"DIST",_xlfn.XLOOKUP(CARTERA_2026[[#This Row],[VENDEDOR]],dimensiones!$C$21:$C$28,dimensiones!$D$21:$D$28,""))</f>
        <v>ATEL</v>
      </c>
      <c r="J1525" s="125" t="str">
        <f>_xlfn.XLOOKUP(CARTERA_2026[[#This Row],[REGION]],dimensiones!C:C,dimensiones!D:D,"")</f>
        <v>Región de Antofagasta</v>
      </c>
    </row>
    <row r="1526" spans="1:10" x14ac:dyDescent="0.25">
      <c r="A1526" t="s">
        <v>1019</v>
      </c>
      <c r="B1526" t="s">
        <v>1020</v>
      </c>
      <c r="C1526" t="s">
        <v>4391</v>
      </c>
      <c r="D1526">
        <v>13</v>
      </c>
      <c r="E1526" t="s">
        <v>4445</v>
      </c>
      <c r="F1526" t="s">
        <v>3982</v>
      </c>
      <c r="G1526" t="s">
        <v>5570</v>
      </c>
      <c r="H1526" t="s">
        <v>4915</v>
      </c>
      <c r="I1526" s="79" t="str">
        <f>IF(CARTERA_2026[[#This Row],[RUT]]=774097899,"DIST",_xlfn.XLOOKUP(CARTERA_2026[[#This Row],[VENDEDOR]],dimensiones!$C$21:$C$28,dimensiones!$D$21:$D$28,""))</f>
        <v>ATEL</v>
      </c>
      <c r="J1526" s="125" t="str">
        <f>_xlfn.XLOOKUP(CARTERA_2026[[#This Row],[REGION]],dimensiones!C:C,dimensiones!D:D,"")</f>
        <v>Región de Metropolitana de Santiago</v>
      </c>
    </row>
    <row r="1527" spans="1:10" x14ac:dyDescent="0.25">
      <c r="A1527">
        <v>995687208</v>
      </c>
      <c r="B1527" t="s">
        <v>139</v>
      </c>
      <c r="C1527" t="s">
        <v>4459</v>
      </c>
      <c r="D1527">
        <v>5</v>
      </c>
      <c r="E1527" t="s">
        <v>2372</v>
      </c>
      <c r="F1527" t="s">
        <v>2045</v>
      </c>
      <c r="G1527" t="s">
        <v>5570</v>
      </c>
      <c r="H1527" t="s">
        <v>4915</v>
      </c>
      <c r="I1527" s="79" t="str">
        <f>IF(CARTERA_2026[[#This Row],[RUT]]=774097899,"DIST",_xlfn.XLOOKUP(CARTERA_2026[[#This Row],[VENDEDOR]],dimensiones!$C$21:$C$28,dimensiones!$D$21:$D$28,""))</f>
        <v>NOR1</v>
      </c>
      <c r="J1527" s="125" t="str">
        <f>_xlfn.XLOOKUP(CARTERA_2026[[#This Row],[REGION]],dimensiones!C:C,dimensiones!D:D,"")</f>
        <v>Región de Valparaíso</v>
      </c>
    </row>
    <row r="1528" spans="1:10" x14ac:dyDescent="0.25">
      <c r="A1528">
        <v>995696703</v>
      </c>
      <c r="B1528" t="s">
        <v>3635</v>
      </c>
      <c r="C1528" t="s">
        <v>4383</v>
      </c>
      <c r="D1528">
        <v>13</v>
      </c>
      <c r="E1528" t="s">
        <v>4445</v>
      </c>
      <c r="F1528" t="s">
        <v>3634</v>
      </c>
      <c r="G1528" t="s">
        <v>5568</v>
      </c>
      <c r="H1528" t="s">
        <v>4915</v>
      </c>
      <c r="I1528" s="79" t="str">
        <f>IF(CARTERA_2026[[#This Row],[RUT]]=774097899,"DIST",_xlfn.XLOOKUP(CARTERA_2026[[#This Row],[VENDEDOR]],dimensiones!$C$21:$C$28,dimensiones!$D$21:$D$28,""))</f>
        <v>ATEL</v>
      </c>
      <c r="J1528" s="125" t="str">
        <f>_xlfn.XLOOKUP(CARTERA_2026[[#This Row],[REGION]],dimensiones!C:C,dimensiones!D:D,"")</f>
        <v>Región de Metropolitana de Santiago</v>
      </c>
    </row>
    <row r="1529" spans="1:10" x14ac:dyDescent="0.25">
      <c r="A1529">
        <v>995734907</v>
      </c>
      <c r="B1529" t="s">
        <v>3985</v>
      </c>
      <c r="C1529" t="s">
        <v>4465</v>
      </c>
      <c r="D1529">
        <v>13</v>
      </c>
      <c r="E1529" t="s">
        <v>4457</v>
      </c>
      <c r="F1529" t="s">
        <v>3984</v>
      </c>
      <c r="G1529" t="s">
        <v>5570</v>
      </c>
      <c r="H1529" t="s">
        <v>4915</v>
      </c>
      <c r="I1529" s="79" t="str">
        <f>IF(CARTERA_2026[[#This Row],[RUT]]=774097899,"DIST",_xlfn.XLOOKUP(CARTERA_2026[[#This Row],[VENDEDOR]],dimensiones!$C$21:$C$28,dimensiones!$D$21:$D$28,""))</f>
        <v>SANT1</v>
      </c>
      <c r="J1529" s="125" t="str">
        <f>_xlfn.XLOOKUP(CARTERA_2026[[#This Row],[REGION]],dimensiones!C:C,dimensiones!D:D,"")</f>
        <v>Región de Metropolitana de Santiago</v>
      </c>
    </row>
    <row r="1530" spans="1:10" x14ac:dyDescent="0.25">
      <c r="A1530">
        <v>995736004</v>
      </c>
      <c r="B1530" t="s">
        <v>5750</v>
      </c>
      <c r="C1530" t="s">
        <v>4192</v>
      </c>
      <c r="D1530">
        <v>5</v>
      </c>
      <c r="E1530" t="s">
        <v>2372</v>
      </c>
      <c r="F1530" t="s">
        <v>3616</v>
      </c>
      <c r="G1530" t="s">
        <v>5570</v>
      </c>
      <c r="H1530" t="s">
        <v>4915</v>
      </c>
      <c r="I1530" s="79" t="str">
        <f>IF(CARTERA_2026[[#This Row],[RUT]]=774097899,"DIST",_xlfn.XLOOKUP(CARTERA_2026[[#This Row],[VENDEDOR]],dimensiones!$C$21:$C$28,dimensiones!$D$21:$D$28,""))</f>
        <v>NOR1</v>
      </c>
      <c r="J1530" s="125" t="str">
        <f>_xlfn.XLOOKUP(CARTERA_2026[[#This Row],[REGION]],dimensiones!C:C,dimensiones!D:D,"")</f>
        <v>Región de Valparaíso</v>
      </c>
    </row>
    <row r="1531" spans="1:10" x14ac:dyDescent="0.25">
      <c r="A1531">
        <v>995792605</v>
      </c>
      <c r="B1531" t="s">
        <v>759</v>
      </c>
      <c r="C1531" t="s">
        <v>4561</v>
      </c>
      <c r="D1531">
        <v>13</v>
      </c>
      <c r="E1531" t="s">
        <v>4445</v>
      </c>
      <c r="F1531" t="s">
        <v>2153</v>
      </c>
      <c r="G1531" t="s">
        <v>5570</v>
      </c>
      <c r="H1531" t="s">
        <v>4915</v>
      </c>
      <c r="I1531" s="79" t="str">
        <f>IF(CARTERA_2026[[#This Row],[RUT]]=774097899,"DIST",_xlfn.XLOOKUP(CARTERA_2026[[#This Row],[VENDEDOR]],dimensiones!$C$21:$C$28,dimensiones!$D$21:$D$28,""))</f>
        <v>ATEL</v>
      </c>
      <c r="J1531" s="125" t="str">
        <f>_xlfn.XLOOKUP(CARTERA_2026[[#This Row],[REGION]],dimensiones!C:C,dimensiones!D:D,"")</f>
        <v>Región de Metropolitana de Santiago</v>
      </c>
    </row>
    <row r="1532" spans="1:10" x14ac:dyDescent="0.25">
      <c r="A1532">
        <v>995808307</v>
      </c>
      <c r="B1532" t="s">
        <v>4437</v>
      </c>
      <c r="C1532" t="s">
        <v>4391</v>
      </c>
      <c r="D1532">
        <v>13</v>
      </c>
      <c r="E1532" t="s">
        <v>4445</v>
      </c>
      <c r="F1532" t="s">
        <v>4614</v>
      </c>
      <c r="G1532" t="s">
        <v>5568</v>
      </c>
      <c r="H1532" t="s">
        <v>4915</v>
      </c>
      <c r="I1532" s="79" t="str">
        <f>IF(CARTERA_2026[[#This Row],[RUT]]=774097899,"DIST",_xlfn.XLOOKUP(CARTERA_2026[[#This Row],[VENDEDOR]],dimensiones!$C$21:$C$28,dimensiones!$D$21:$D$28,""))</f>
        <v>ATEL</v>
      </c>
      <c r="J1532" s="125" t="str">
        <f>_xlfn.XLOOKUP(CARTERA_2026[[#This Row],[REGION]],dimensiones!C:C,dimensiones!D:D,"")</f>
        <v>Región de Metropolitana de Santiago</v>
      </c>
    </row>
    <row r="1533" spans="1:10" x14ac:dyDescent="0.25">
      <c r="A1533">
        <v>995931702</v>
      </c>
      <c r="B1533" t="s">
        <v>619</v>
      </c>
      <c r="C1533" t="s">
        <v>4410</v>
      </c>
      <c r="D1533">
        <v>13</v>
      </c>
      <c r="E1533" t="s">
        <v>4445</v>
      </c>
      <c r="F1533" t="s">
        <v>3989</v>
      </c>
      <c r="G1533" t="s">
        <v>5568</v>
      </c>
      <c r="H1533" t="s">
        <v>4915</v>
      </c>
      <c r="I1533" s="79" t="str">
        <f>IF(CARTERA_2026[[#This Row],[RUT]]=774097899,"DIST",_xlfn.XLOOKUP(CARTERA_2026[[#This Row],[VENDEDOR]],dimensiones!$C$21:$C$28,dimensiones!$D$21:$D$28,""))</f>
        <v>ATEL</v>
      </c>
      <c r="J1533" s="125" t="str">
        <f>_xlfn.XLOOKUP(CARTERA_2026[[#This Row],[REGION]],dimensiones!C:C,dimensiones!D:D,"")</f>
        <v>Región de Metropolitana de Santiago</v>
      </c>
    </row>
    <row r="1534" spans="1:10" x14ac:dyDescent="0.25">
      <c r="A1534">
        <v>615130001</v>
      </c>
      <c r="B1534" t="s">
        <v>4997</v>
      </c>
      <c r="C1534" t="s">
        <v>4168</v>
      </c>
      <c r="D1534">
        <v>13</v>
      </c>
      <c r="E1534" t="s">
        <v>4445</v>
      </c>
      <c r="F1534" t="s">
        <v>4998</v>
      </c>
      <c r="G1534" t="s">
        <v>5571</v>
      </c>
      <c r="H1534" t="s">
        <v>4957</v>
      </c>
      <c r="I1534" s="79" t="str">
        <f>IF(CARTERA_2026[[#This Row],[RUT]]=774097899,"DIST",_xlfn.XLOOKUP(CARTERA_2026[[#This Row],[VENDEDOR]],dimensiones!$C$21:$C$28,dimensiones!$D$21:$D$28,""))</f>
        <v>ATEL</v>
      </c>
      <c r="J1534" s="125" t="str">
        <f>_xlfn.XLOOKUP(CARTERA_2026[[#This Row],[REGION]],dimensiones!C:C,dimensiones!D:D,"")</f>
        <v>Región de Metropolitana de Santiago</v>
      </c>
    </row>
    <row r="1535" spans="1:10" x14ac:dyDescent="0.25">
      <c r="A1535">
        <v>619799607</v>
      </c>
      <c r="B1535" t="s">
        <v>5525</v>
      </c>
      <c r="C1535" t="s">
        <v>4187</v>
      </c>
      <c r="D1535">
        <v>13</v>
      </c>
      <c r="E1535" t="s">
        <v>4445</v>
      </c>
      <c r="F1535" t="s">
        <v>5526</v>
      </c>
      <c r="G1535" t="s">
        <v>5571</v>
      </c>
      <c r="H1535" t="s">
        <v>4957</v>
      </c>
      <c r="I1535" s="79" t="str">
        <f>IF(CARTERA_2026[[#This Row],[RUT]]=774097899,"DIST",_xlfn.XLOOKUP(CARTERA_2026[[#This Row],[VENDEDOR]],dimensiones!$C$21:$C$28,dimensiones!$D$21:$D$28,""))</f>
        <v>ATEL</v>
      </c>
      <c r="J1535" s="125" t="str">
        <f>_xlfn.XLOOKUP(CARTERA_2026[[#This Row],[REGION]],dimensiones!C:C,dimensiones!D:D,"")</f>
        <v>Región de Metropolitana de Santiago</v>
      </c>
    </row>
    <row r="1536" spans="1:10" x14ac:dyDescent="0.25">
      <c r="A1536">
        <v>769264604</v>
      </c>
      <c r="B1536" t="s">
        <v>4999</v>
      </c>
      <c r="C1536" t="s">
        <v>4257</v>
      </c>
      <c r="D1536">
        <v>7</v>
      </c>
      <c r="E1536" t="s">
        <v>4445</v>
      </c>
      <c r="F1536" t="s">
        <v>5000</v>
      </c>
      <c r="G1536" t="s">
        <v>5568</v>
      </c>
      <c r="H1536" t="s">
        <v>4915</v>
      </c>
      <c r="I1536" s="79" t="str">
        <f>IF(CARTERA_2026[[#This Row],[RUT]]=774097899,"DIST",_xlfn.XLOOKUP(CARTERA_2026[[#This Row],[VENDEDOR]],dimensiones!$C$21:$C$28,dimensiones!$D$21:$D$28,""))</f>
        <v>ATEL</v>
      </c>
      <c r="J1536" s="125" t="str">
        <f>_xlfn.XLOOKUP(CARTERA_2026[[#This Row],[REGION]],dimensiones!C:C,dimensiones!D:D,"")</f>
        <v>Región de Maule</v>
      </c>
    </row>
    <row r="1537" spans="1:10" x14ac:dyDescent="0.25">
      <c r="A1537">
        <v>774097899</v>
      </c>
      <c r="B1537" t="s">
        <v>4977</v>
      </c>
      <c r="C1537" t="s">
        <v>4168</v>
      </c>
      <c r="D1537">
        <v>13</v>
      </c>
      <c r="E1537" t="s">
        <v>4445</v>
      </c>
      <c r="F1537" t="s">
        <v>4994</v>
      </c>
      <c r="G1537" t="s">
        <v>5568</v>
      </c>
      <c r="H1537" t="s">
        <v>4915</v>
      </c>
      <c r="I1537" s="79" t="str">
        <f>IF(CARTERA_2026[[#This Row],[RUT]]=774097899,"DIST",_xlfn.XLOOKUP(CARTERA_2026[[#This Row],[VENDEDOR]],dimensiones!$C$21:$C$28,dimensiones!$D$21:$D$28,""))</f>
        <v>DIST</v>
      </c>
      <c r="J1537" s="125" t="str">
        <f>_xlfn.XLOOKUP(CARTERA_2026[[#This Row],[REGION]],dimensiones!C:C,dimensiones!D:D,"")</f>
        <v>Región de Metropolitana de Santiago</v>
      </c>
    </row>
    <row r="1538" spans="1:10" x14ac:dyDescent="0.25">
      <c r="A1538">
        <v>774493247</v>
      </c>
      <c r="B1538" t="s">
        <v>5751</v>
      </c>
      <c r="C1538" t="s">
        <v>4257</v>
      </c>
      <c r="D1538">
        <v>7</v>
      </c>
      <c r="E1538" t="s">
        <v>4445</v>
      </c>
      <c r="F1538" t="s">
        <v>5752</v>
      </c>
      <c r="G1538" t="s">
        <v>5570</v>
      </c>
      <c r="H1538" t="s">
        <v>4915</v>
      </c>
      <c r="I1538" s="79" t="str">
        <f>IF(CARTERA_2026[[#This Row],[RUT]]=774097899,"DIST",_xlfn.XLOOKUP(CARTERA_2026[[#This Row],[VENDEDOR]],dimensiones!$C$21:$C$28,dimensiones!$D$21:$D$28,""))</f>
        <v>ATEL</v>
      </c>
      <c r="J1538" s="125" t="str">
        <f>_xlfn.XLOOKUP(CARTERA_2026[[#This Row],[REGION]],dimensiones!C:C,dimensiones!D:D,"")</f>
        <v>Región de Maule</v>
      </c>
    </row>
    <row r="1539" spans="1:10" x14ac:dyDescent="0.25">
      <c r="A1539">
        <v>776873284</v>
      </c>
      <c r="B1539" t="s">
        <v>5773</v>
      </c>
      <c r="C1539" t="s">
        <v>4391</v>
      </c>
      <c r="D1539"/>
      <c r="E1539" t="s">
        <v>4445</v>
      </c>
      <c r="F1539" t="s">
        <v>5774</v>
      </c>
      <c r="G1539" t="s">
        <v>5568</v>
      </c>
      <c r="H1539" t="s">
        <v>4915</v>
      </c>
      <c r="I1539" s="139" t="str">
        <f>IF(CARTERA_2026[[#This Row],[RUT]]=774097899,"DIST",_xlfn.XLOOKUP(CARTERA_2026[[#This Row],[VENDEDOR]],dimensiones!$C$21:$C$28,dimensiones!$D$21:$D$28,""))</f>
        <v>ATEL</v>
      </c>
      <c r="J1539" s="140">
        <f>_xlfn.XLOOKUP(CARTERA_2026[[#This Row],[REGION]],dimensiones!C:C,dimensiones!D:D,"")</f>
        <v>0</v>
      </c>
    </row>
    <row r="1540" spans="1:10" x14ac:dyDescent="0.25">
      <c r="A1540">
        <v>781843431</v>
      </c>
      <c r="B1540" t="s">
        <v>5775</v>
      </c>
      <c r="C1540" t="s">
        <v>4391</v>
      </c>
      <c r="D1540"/>
      <c r="E1540" t="s">
        <v>4445</v>
      </c>
      <c r="F1540" t="s">
        <v>5776</v>
      </c>
      <c r="G1540" t="s">
        <v>5568</v>
      </c>
      <c r="H1540" t="s">
        <v>4915</v>
      </c>
      <c r="I1540" s="139" t="str">
        <f>IF(CARTERA_2026[[#This Row],[RUT]]=774097899,"DIST",_xlfn.XLOOKUP(CARTERA_2026[[#This Row],[VENDEDOR]],dimensiones!$C$21:$C$28,dimensiones!$D$21:$D$28,""))</f>
        <v>ATEL</v>
      </c>
      <c r="J1540" s="140">
        <f>_xlfn.XLOOKUP(CARTERA_2026[[#This Row],[REGION]],dimensiones!C:C,dimensiones!D:D,"")</f>
        <v>0</v>
      </c>
    </row>
    <row r="1541" spans="1:10" x14ac:dyDescent="0.25">
      <c r="A1541">
        <v>846096000</v>
      </c>
      <c r="B1541" t="s">
        <v>5001</v>
      </c>
      <c r="C1541" t="s">
        <v>4528</v>
      </c>
      <c r="D1541">
        <v>13</v>
      </c>
      <c r="E1541" t="s">
        <v>4445</v>
      </c>
      <c r="F1541" t="s">
        <v>5002</v>
      </c>
      <c r="G1541" t="s">
        <v>5568</v>
      </c>
      <c r="H1541" t="s">
        <v>4915</v>
      </c>
      <c r="I1541" s="139" t="str">
        <f>IF(CARTERA_2026[[#This Row],[RUT]]=774097899,"DIST",_xlfn.XLOOKUP(CARTERA_2026[[#This Row],[VENDEDOR]],dimensiones!$C$21:$C$28,dimensiones!$D$21:$D$28,""))</f>
        <v>ATEL</v>
      </c>
      <c r="J1541" s="140" t="str">
        <f>_xlfn.XLOOKUP(CARTERA_2026[[#This Row],[REGION]],dimensiones!C:C,dimensiones!D:D,"")</f>
        <v>Región de Metropolitana de Santiago</v>
      </c>
    </row>
  </sheetData>
  <conditionalFormatting sqref="A1">
    <cfRule type="duplicateValues" dxfId="64" priority="818"/>
    <cfRule type="duplicateValues" dxfId="63" priority="819"/>
    <cfRule type="duplicateValues" dxfId="62" priority="104"/>
    <cfRule type="duplicateValues" dxfId="61" priority="105"/>
    <cfRule type="duplicateValues" dxfId="60" priority="106"/>
    <cfRule type="duplicateValues" dxfId="59" priority="107"/>
    <cfRule type="duplicateValues" dxfId="58" priority="108"/>
    <cfRule type="duplicateValues" dxfId="57" priority="109"/>
    <cfRule type="duplicateValues" dxfId="56" priority="110"/>
    <cfRule type="duplicateValues" dxfId="55" priority="814"/>
    <cfRule type="duplicateValues" dxfId="54" priority="815"/>
    <cfRule type="duplicateValues" dxfId="53" priority="816"/>
    <cfRule type="duplicateValues" dxfId="52" priority="817"/>
  </conditionalFormatting>
  <conditionalFormatting sqref="A1:A228 A1542:A1048576">
    <cfRule type="duplicateValues" dxfId="51" priority="7"/>
  </conditionalFormatting>
  <conditionalFormatting sqref="A2:A228">
    <cfRule type="duplicateValues" dxfId="50" priority="868"/>
    <cfRule type="duplicateValues" dxfId="49" priority="867"/>
    <cfRule type="duplicateValues" dxfId="48" priority="866"/>
    <cfRule type="duplicateValues" dxfId="47" priority="865"/>
    <cfRule type="duplicateValues" dxfId="46" priority="864"/>
    <cfRule type="duplicateValues" dxfId="45" priority="863"/>
    <cfRule type="duplicateValues" dxfId="44" priority="862"/>
    <cfRule type="duplicateValues" dxfId="43" priority="861"/>
    <cfRule type="duplicateValues" dxfId="42" priority="869"/>
    <cfRule type="duplicateValues" dxfId="41" priority="870"/>
    <cfRule type="duplicateValues" dxfId="40" priority="871"/>
    <cfRule type="duplicateValues" dxfId="39" priority="872"/>
    <cfRule type="duplicateValues" dxfId="38" priority="873"/>
    <cfRule type="duplicateValues" dxfId="37" priority="874"/>
  </conditionalFormatting>
  <conditionalFormatting sqref="A94">
    <cfRule type="duplicateValues" dxfId="36" priority="64"/>
  </conditionalFormatting>
  <conditionalFormatting sqref="A95">
    <cfRule type="duplicateValues" dxfId="35" priority="63"/>
  </conditionalFormatting>
  <conditionalFormatting sqref="A96:A101">
    <cfRule type="duplicateValues" dxfId="34" priority="62"/>
  </conditionalFormatting>
  <conditionalFormatting sqref="A115:A224">
    <cfRule type="duplicateValues" dxfId="33" priority="889"/>
    <cfRule type="duplicateValues" dxfId="32" priority="890"/>
    <cfRule type="duplicateValues" dxfId="31" priority="891"/>
  </conditionalFormatting>
  <conditionalFormatting sqref="A115:A225">
    <cfRule type="duplicateValues" dxfId="30" priority="895"/>
  </conditionalFormatting>
  <conditionalFormatting sqref="A214">
    <cfRule type="duplicateValues" dxfId="29" priority="61"/>
  </conditionalFormatting>
  <conditionalFormatting sqref="A215">
    <cfRule type="duplicateValues" dxfId="28" priority="58"/>
  </conditionalFormatting>
  <conditionalFormatting sqref="A216:A221">
    <cfRule type="duplicateValues" dxfId="27" priority="57"/>
  </conditionalFormatting>
  <conditionalFormatting sqref="A222">
    <cfRule type="duplicateValues" dxfId="26" priority="55"/>
  </conditionalFormatting>
  <conditionalFormatting sqref="A224">
    <cfRule type="duplicateValues" dxfId="25" priority="56"/>
  </conditionalFormatting>
  <conditionalFormatting sqref="A225">
    <cfRule type="duplicateValues" dxfId="24" priority="54"/>
  </conditionalFormatting>
  <conditionalFormatting sqref="A226">
    <cfRule type="duplicateValues" dxfId="23" priority="53"/>
  </conditionalFormatting>
  <conditionalFormatting sqref="A1542:A1048576 A1:A228">
    <cfRule type="duplicateValues" dxfId="20" priority="38"/>
  </conditionalFormatting>
  <conditionalFormatting sqref="F2:F228">
    <cfRule type="duplicateValues" dxfId="19" priority="897"/>
    <cfRule type="duplicateValues" dxfId="18" priority="898"/>
    <cfRule type="duplicateValues" dxfId="17" priority="899"/>
  </conditionalFormatting>
  <conditionalFormatting sqref="F94">
    <cfRule type="duplicateValues" dxfId="16" priority="826"/>
  </conditionalFormatting>
  <conditionalFormatting sqref="F95:F101">
    <cfRule type="duplicateValues" dxfId="15" priority="827"/>
  </conditionalFormatting>
  <conditionalFormatting sqref="F1:G1">
    <cfRule type="duplicateValues" dxfId="14" priority="821"/>
  </conditionalFormatting>
  <conditionalFormatting sqref="A229:A1426">
    <cfRule type="duplicateValues" dxfId="1" priority="2"/>
  </conditionalFormatting>
  <conditionalFormatting sqref="A229:A1541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158CF-0291-49CB-AA2C-20A570E42038}">
  <dimension ref="C1:L1325"/>
  <sheetViews>
    <sheetView workbookViewId="0">
      <selection activeCell="G1" sqref="G1"/>
    </sheetView>
  </sheetViews>
  <sheetFormatPr baseColWidth="10" defaultRowHeight="15" x14ac:dyDescent="0.25"/>
  <sheetData>
    <row r="1" spans="3:12" x14ac:dyDescent="0.25">
      <c r="C1" t="s">
        <v>1105</v>
      </c>
      <c r="D1" t="s">
        <v>4167</v>
      </c>
      <c r="G1" t="s">
        <v>1174</v>
      </c>
      <c r="H1" t="s">
        <v>1175</v>
      </c>
      <c r="I1" t="s">
        <v>1176</v>
      </c>
      <c r="L1" t="s">
        <v>1140</v>
      </c>
    </row>
    <row r="2" spans="3:12" x14ac:dyDescent="0.25">
      <c r="C2" t="s">
        <v>1106</v>
      </c>
      <c r="D2" t="str">
        <f>_xlfn.XLOOKUP(C2,I:I,G:G,"")</f>
        <v>CN61602212</v>
      </c>
      <c r="G2" t="s">
        <v>1177</v>
      </c>
      <c r="H2" t="s">
        <v>337</v>
      </c>
      <c r="I2" t="s">
        <v>1178</v>
      </c>
    </row>
    <row r="3" spans="3:12" x14ac:dyDescent="0.25">
      <c r="C3" t="s">
        <v>1107</v>
      </c>
      <c r="D3" t="str">
        <f t="shared" ref="D3:D66" si="0">_xlfn.XLOOKUP(C3,I:I,G:G,"")</f>
        <v>CN61602236</v>
      </c>
      <c r="G3" t="s">
        <v>1179</v>
      </c>
      <c r="H3" t="s">
        <v>293</v>
      </c>
      <c r="I3" t="s">
        <v>1180</v>
      </c>
    </row>
    <row r="4" spans="3:12" x14ac:dyDescent="0.25">
      <c r="C4" t="s">
        <v>1108</v>
      </c>
      <c r="D4" t="str">
        <f t="shared" si="0"/>
        <v>CN61606404</v>
      </c>
      <c r="G4" t="s">
        <v>1181</v>
      </c>
      <c r="H4" t="s">
        <v>394</v>
      </c>
      <c r="I4" t="s">
        <v>1182</v>
      </c>
    </row>
    <row r="5" spans="3:12" x14ac:dyDescent="0.25">
      <c r="C5" t="s">
        <v>1109</v>
      </c>
      <c r="D5" t="str">
        <f t="shared" si="0"/>
        <v>CN61606913</v>
      </c>
      <c r="G5" t="s">
        <v>1183</v>
      </c>
      <c r="H5" t="s">
        <v>330</v>
      </c>
      <c r="I5" t="s">
        <v>1184</v>
      </c>
    </row>
    <row r="6" spans="3:12" x14ac:dyDescent="0.25">
      <c r="C6" t="s">
        <v>1110</v>
      </c>
      <c r="D6" t="str">
        <f t="shared" si="0"/>
        <v>CN62000830</v>
      </c>
      <c r="G6" t="s">
        <v>1185</v>
      </c>
      <c r="H6" t="s">
        <v>889</v>
      </c>
      <c r="I6" t="s">
        <v>1186</v>
      </c>
    </row>
    <row r="7" spans="3:12" x14ac:dyDescent="0.25">
      <c r="C7" t="s">
        <v>1111</v>
      </c>
      <c r="D7" t="str">
        <f t="shared" si="0"/>
        <v>CN69010100</v>
      </c>
      <c r="G7" t="s">
        <v>1187</v>
      </c>
      <c r="H7" t="s">
        <v>802</v>
      </c>
      <c r="I7" t="s">
        <v>1188</v>
      </c>
    </row>
    <row r="8" spans="3:12" x14ac:dyDescent="0.25">
      <c r="C8" t="s">
        <v>1112</v>
      </c>
      <c r="D8" t="str">
        <f t="shared" si="0"/>
        <v>CN69141300</v>
      </c>
      <c r="G8" t="s">
        <v>1189</v>
      </c>
      <c r="H8" t="s">
        <v>361</v>
      </c>
      <c r="I8" t="s">
        <v>1190</v>
      </c>
    </row>
    <row r="9" spans="3:12" x14ac:dyDescent="0.25">
      <c r="C9" t="s">
        <v>1112</v>
      </c>
      <c r="D9" t="str">
        <f t="shared" si="0"/>
        <v>CN69141300</v>
      </c>
      <c r="G9" t="s">
        <v>1191</v>
      </c>
      <c r="H9" t="s">
        <v>1192</v>
      </c>
      <c r="I9" t="s">
        <v>1166</v>
      </c>
    </row>
    <row r="10" spans="3:12" x14ac:dyDescent="0.25">
      <c r="C10" t="s">
        <v>1113</v>
      </c>
      <c r="D10" t="str">
        <f t="shared" si="0"/>
        <v>CN69150502</v>
      </c>
      <c r="G10" t="s">
        <v>1193</v>
      </c>
      <c r="H10" t="s">
        <v>886</v>
      </c>
      <c r="I10" t="s">
        <v>1194</v>
      </c>
    </row>
    <row r="11" spans="3:12" x14ac:dyDescent="0.25">
      <c r="C11" t="s">
        <v>1114</v>
      </c>
      <c r="D11" t="str">
        <f t="shared" si="0"/>
        <v>CN69254800</v>
      </c>
      <c r="G11" t="s">
        <v>1195</v>
      </c>
      <c r="H11" t="s">
        <v>1196</v>
      </c>
      <c r="I11" t="s">
        <v>1197</v>
      </c>
    </row>
    <row r="12" spans="3:12" x14ac:dyDescent="0.25">
      <c r="C12" t="s">
        <v>1115</v>
      </c>
      <c r="D12" t="str">
        <f t="shared" si="0"/>
        <v>CN69255300</v>
      </c>
      <c r="G12" t="s">
        <v>1198</v>
      </c>
      <c r="H12" t="s">
        <v>901</v>
      </c>
      <c r="I12" t="s">
        <v>1199</v>
      </c>
    </row>
    <row r="13" spans="3:12" x14ac:dyDescent="0.25">
      <c r="C13" t="s">
        <v>1116</v>
      </c>
      <c r="D13" t="str">
        <f t="shared" si="0"/>
        <v>CN69261400</v>
      </c>
      <c r="G13" t="s">
        <v>1200</v>
      </c>
      <c r="H13" t="s">
        <v>142</v>
      </c>
      <c r="I13" t="s">
        <v>1201</v>
      </c>
    </row>
    <row r="14" spans="3:12" x14ac:dyDescent="0.25">
      <c r="C14" t="s">
        <v>1117</v>
      </c>
      <c r="D14" t="str">
        <f t="shared" si="0"/>
        <v>CN69264700</v>
      </c>
      <c r="G14" t="s">
        <v>1202</v>
      </c>
      <c r="H14" t="s">
        <v>122</v>
      </c>
      <c r="I14" t="s">
        <v>1203</v>
      </c>
    </row>
    <row r="15" spans="3:12" x14ac:dyDescent="0.25">
      <c r="C15" t="s">
        <v>1118</v>
      </c>
      <c r="D15" t="str">
        <f t="shared" si="0"/>
        <v>CN69265100</v>
      </c>
      <c r="G15" t="s">
        <v>1204</v>
      </c>
      <c r="H15" t="s">
        <v>1205</v>
      </c>
      <c r="I15" t="s">
        <v>1206</v>
      </c>
    </row>
    <row r="16" spans="3:12" x14ac:dyDescent="0.25">
      <c r="C16" t="s">
        <v>1119</v>
      </c>
      <c r="D16" t="str">
        <f t="shared" si="0"/>
        <v>CN61602138</v>
      </c>
      <c r="G16" t="s">
        <v>1207</v>
      </c>
      <c r="H16" t="s">
        <v>191</v>
      </c>
      <c r="I16" t="s">
        <v>1208</v>
      </c>
    </row>
    <row r="17" spans="3:9" x14ac:dyDescent="0.25">
      <c r="C17" t="s">
        <v>1120</v>
      </c>
      <c r="D17" t="str">
        <f t="shared" si="0"/>
        <v>CN61602141</v>
      </c>
      <c r="G17" t="s">
        <v>1209</v>
      </c>
      <c r="H17" t="s">
        <v>907</v>
      </c>
      <c r="I17" t="s">
        <v>1210</v>
      </c>
    </row>
    <row r="18" spans="3:9" x14ac:dyDescent="0.25">
      <c r="C18" t="s">
        <v>1121</v>
      </c>
      <c r="D18" t="str">
        <f t="shared" si="0"/>
        <v>CN61606100</v>
      </c>
      <c r="G18" t="s">
        <v>1211</v>
      </c>
      <c r="H18" t="s">
        <v>397</v>
      </c>
      <c r="I18" t="s">
        <v>1212</v>
      </c>
    </row>
    <row r="19" spans="3:9" x14ac:dyDescent="0.25">
      <c r="C19" t="s">
        <v>1122</v>
      </c>
      <c r="D19" t="str">
        <f t="shared" si="0"/>
        <v>CN61606500</v>
      </c>
      <c r="G19" t="s">
        <v>1213</v>
      </c>
      <c r="H19" t="s">
        <v>289</v>
      </c>
      <c r="I19" t="s">
        <v>1214</v>
      </c>
    </row>
    <row r="20" spans="3:9" x14ac:dyDescent="0.25">
      <c r="C20" t="s">
        <v>1122</v>
      </c>
      <c r="D20" t="str">
        <f t="shared" si="0"/>
        <v>CN61606500</v>
      </c>
      <c r="G20" t="s">
        <v>1215</v>
      </c>
      <c r="H20" t="s">
        <v>358</v>
      </c>
      <c r="I20" t="s">
        <v>1216</v>
      </c>
    </row>
    <row r="21" spans="3:9" x14ac:dyDescent="0.25">
      <c r="C21" t="s">
        <v>1123</v>
      </c>
      <c r="D21" t="str">
        <f t="shared" si="0"/>
        <v>CN61608205</v>
      </c>
      <c r="G21" t="s">
        <v>1217</v>
      </c>
      <c r="H21" t="s">
        <v>794</v>
      </c>
      <c r="I21" t="s">
        <v>1149</v>
      </c>
    </row>
    <row r="22" spans="3:9" x14ac:dyDescent="0.25">
      <c r="C22" t="s">
        <v>1124</v>
      </c>
      <c r="D22" t="str">
        <f t="shared" si="0"/>
        <v>CN61608406</v>
      </c>
      <c r="G22" t="s">
        <v>1218</v>
      </c>
      <c r="H22" t="s">
        <v>195</v>
      </c>
      <c r="I22" t="s">
        <v>1219</v>
      </c>
    </row>
    <row r="23" spans="3:9" x14ac:dyDescent="0.25">
      <c r="C23" t="s">
        <v>1125</v>
      </c>
      <c r="D23" t="str">
        <f t="shared" si="0"/>
        <v>CN69041200</v>
      </c>
      <c r="G23" t="s">
        <v>1220</v>
      </c>
      <c r="H23" t="s">
        <v>196</v>
      </c>
      <c r="I23" t="s">
        <v>1167</v>
      </c>
    </row>
    <row r="24" spans="3:9" x14ac:dyDescent="0.25">
      <c r="C24" t="s">
        <v>1126</v>
      </c>
      <c r="D24" t="str">
        <f t="shared" si="0"/>
        <v>CN69070100</v>
      </c>
      <c r="G24" t="s">
        <v>1221</v>
      </c>
      <c r="H24" t="s">
        <v>327</v>
      </c>
      <c r="I24" t="s">
        <v>1222</v>
      </c>
    </row>
    <row r="25" spans="3:9" x14ac:dyDescent="0.25">
      <c r="C25" t="s">
        <v>1127</v>
      </c>
      <c r="D25" t="str">
        <f t="shared" si="0"/>
        <v>CN70938800</v>
      </c>
      <c r="G25" t="s">
        <v>1223</v>
      </c>
      <c r="H25" t="s">
        <v>1224</v>
      </c>
      <c r="I25" t="s">
        <v>1225</v>
      </c>
    </row>
    <row r="26" spans="3:9" x14ac:dyDescent="0.25">
      <c r="C26" t="s">
        <v>1128</v>
      </c>
      <c r="D26" t="str">
        <f t="shared" si="0"/>
        <v>CN70962500</v>
      </c>
      <c r="G26" t="s">
        <v>1226</v>
      </c>
      <c r="H26" t="s">
        <v>639</v>
      </c>
      <c r="I26" t="s">
        <v>1227</v>
      </c>
    </row>
    <row r="27" spans="3:9" x14ac:dyDescent="0.25">
      <c r="C27" t="s">
        <v>1129</v>
      </c>
      <c r="D27" t="str">
        <f t="shared" si="0"/>
        <v>CN61602201</v>
      </c>
      <c r="G27" t="s">
        <v>1228</v>
      </c>
      <c r="H27" t="s">
        <v>537</v>
      </c>
      <c r="I27" t="s">
        <v>1229</v>
      </c>
    </row>
    <row r="28" spans="3:9" x14ac:dyDescent="0.25">
      <c r="C28" t="s">
        <v>1130</v>
      </c>
      <c r="D28" t="str">
        <f t="shared" si="0"/>
        <v>CN61602222</v>
      </c>
      <c r="G28" t="s">
        <v>1230</v>
      </c>
      <c r="H28" t="s">
        <v>198</v>
      </c>
      <c r="I28" t="s">
        <v>1231</v>
      </c>
    </row>
    <row r="29" spans="3:9" x14ac:dyDescent="0.25">
      <c r="C29" t="s">
        <v>1131</v>
      </c>
      <c r="D29" t="str">
        <f t="shared" si="0"/>
        <v>CN61602229</v>
      </c>
      <c r="G29" t="s">
        <v>1232</v>
      </c>
      <c r="H29" t="s">
        <v>646</v>
      </c>
      <c r="I29" t="s">
        <v>1135</v>
      </c>
    </row>
    <row r="30" spans="3:9" x14ac:dyDescent="0.25">
      <c r="C30" t="s">
        <v>1132</v>
      </c>
      <c r="D30" t="str">
        <f t="shared" si="0"/>
        <v>CN61606603</v>
      </c>
      <c r="G30" t="s">
        <v>1233</v>
      </c>
      <c r="H30" t="s">
        <v>200</v>
      </c>
      <c r="I30" t="s">
        <v>1234</v>
      </c>
    </row>
    <row r="31" spans="3:9" x14ac:dyDescent="0.25">
      <c r="C31" t="s">
        <v>1118</v>
      </c>
      <c r="D31" t="str">
        <f t="shared" si="0"/>
        <v>CN69265100</v>
      </c>
      <c r="G31" t="s">
        <v>1235</v>
      </c>
      <c r="H31" t="s">
        <v>201</v>
      </c>
      <c r="I31" t="s">
        <v>1236</v>
      </c>
    </row>
    <row r="32" spans="3:9" x14ac:dyDescent="0.25">
      <c r="C32" t="s">
        <v>1133</v>
      </c>
      <c r="D32" t="str">
        <f t="shared" si="0"/>
        <v>CN61606911</v>
      </c>
      <c r="G32" t="s">
        <v>1237</v>
      </c>
      <c r="H32" t="s">
        <v>402</v>
      </c>
      <c r="I32" t="s">
        <v>1238</v>
      </c>
    </row>
    <row r="33" spans="3:9" x14ac:dyDescent="0.25">
      <c r="C33" t="s">
        <v>1134</v>
      </c>
      <c r="D33" t="str">
        <f t="shared" si="0"/>
        <v>CN61602203</v>
      </c>
      <c r="G33" t="s">
        <v>1239</v>
      </c>
      <c r="H33" t="s">
        <v>887</v>
      </c>
      <c r="I33" t="s">
        <v>1240</v>
      </c>
    </row>
    <row r="34" spans="3:9" x14ac:dyDescent="0.25">
      <c r="C34" t="s">
        <v>1135</v>
      </c>
      <c r="D34" t="str">
        <f t="shared" si="0"/>
        <v>CN61606407</v>
      </c>
      <c r="G34" t="s">
        <v>1241</v>
      </c>
      <c r="H34" t="s">
        <v>561</v>
      </c>
      <c r="I34" t="s">
        <v>1242</v>
      </c>
    </row>
    <row r="35" spans="3:9" x14ac:dyDescent="0.25">
      <c r="C35" t="s">
        <v>1136</v>
      </c>
      <c r="D35" t="str">
        <f t="shared" si="0"/>
        <v>CN61607002</v>
      </c>
      <c r="G35" t="s">
        <v>1243</v>
      </c>
      <c r="H35" t="s">
        <v>1244</v>
      </c>
      <c r="I35" t="s">
        <v>1245</v>
      </c>
    </row>
    <row r="36" spans="3:9" x14ac:dyDescent="0.25">
      <c r="C36" t="s">
        <v>1137</v>
      </c>
      <c r="D36" t="str">
        <f t="shared" si="0"/>
        <v>CN61606201</v>
      </c>
      <c r="G36" t="s">
        <v>1246</v>
      </c>
      <c r="H36" t="s">
        <v>295</v>
      </c>
      <c r="I36" t="s">
        <v>1247</v>
      </c>
    </row>
    <row r="37" spans="3:9" x14ac:dyDescent="0.25">
      <c r="C37" t="s">
        <v>1138</v>
      </c>
      <c r="D37" t="str">
        <f t="shared" si="0"/>
        <v>CN61980320</v>
      </c>
      <c r="G37" t="s">
        <v>1248</v>
      </c>
      <c r="H37" t="s">
        <v>1002</v>
      </c>
      <c r="I37" t="s">
        <v>1249</v>
      </c>
    </row>
    <row r="38" spans="3:9" x14ac:dyDescent="0.25">
      <c r="C38" t="s">
        <v>1138</v>
      </c>
      <c r="D38" t="str">
        <f t="shared" si="0"/>
        <v>CN61980320</v>
      </c>
      <c r="G38" t="s">
        <v>1250</v>
      </c>
      <c r="H38" t="s">
        <v>406</v>
      </c>
      <c r="I38" t="s">
        <v>1251</v>
      </c>
    </row>
    <row r="39" spans="3:9" x14ac:dyDescent="0.25">
      <c r="C39" t="s">
        <v>1139</v>
      </c>
      <c r="D39" t="str">
        <f t="shared" si="0"/>
        <v>CN61004000</v>
      </c>
      <c r="G39" t="s">
        <v>1252</v>
      </c>
      <c r="H39" t="s">
        <v>391</v>
      </c>
      <c r="I39" t="s">
        <v>1253</v>
      </c>
    </row>
    <row r="40" spans="3:9" x14ac:dyDescent="0.25">
      <c r="C40" t="s">
        <v>1140</v>
      </c>
      <c r="D40" t="str">
        <f t="shared" si="0"/>
        <v/>
      </c>
      <c r="G40" t="s">
        <v>1254</v>
      </c>
      <c r="H40" t="s">
        <v>273</v>
      </c>
      <c r="I40" t="s">
        <v>1255</v>
      </c>
    </row>
    <row r="41" spans="3:9" x14ac:dyDescent="0.25">
      <c r="C41" t="s">
        <v>1107</v>
      </c>
      <c r="D41" t="str">
        <f t="shared" si="0"/>
        <v>CN61602236</v>
      </c>
      <c r="G41" t="s">
        <v>1256</v>
      </c>
      <c r="H41" t="s">
        <v>464</v>
      </c>
      <c r="I41" t="s">
        <v>1257</v>
      </c>
    </row>
    <row r="42" spans="3:9" x14ac:dyDescent="0.25">
      <c r="C42" t="s">
        <v>1141</v>
      </c>
      <c r="D42" t="str">
        <f t="shared" si="0"/>
        <v>CN61606611</v>
      </c>
      <c r="G42" t="s">
        <v>1258</v>
      </c>
      <c r="H42" t="s">
        <v>447</v>
      </c>
      <c r="I42" t="s">
        <v>1259</v>
      </c>
    </row>
    <row r="43" spans="3:9" x14ac:dyDescent="0.25">
      <c r="C43" t="s">
        <v>1136</v>
      </c>
      <c r="D43" t="str">
        <f t="shared" si="0"/>
        <v>CN61607002</v>
      </c>
      <c r="G43" t="s">
        <v>1260</v>
      </c>
      <c r="H43" t="s">
        <v>424</v>
      </c>
      <c r="I43" t="s">
        <v>1261</v>
      </c>
    </row>
    <row r="44" spans="3:9" x14ac:dyDescent="0.25">
      <c r="C44" t="s">
        <v>1142</v>
      </c>
      <c r="D44" t="str">
        <f t="shared" si="0"/>
        <v>CN61607401</v>
      </c>
      <c r="G44" t="s">
        <v>1262</v>
      </c>
      <c r="H44" t="s">
        <v>641</v>
      </c>
      <c r="I44" t="s">
        <v>1263</v>
      </c>
    </row>
    <row r="45" spans="3:9" x14ac:dyDescent="0.25">
      <c r="C45" t="s">
        <v>1110</v>
      </c>
      <c r="D45" t="str">
        <f t="shared" si="0"/>
        <v>CN62000830</v>
      </c>
      <c r="G45" t="s">
        <v>1264</v>
      </c>
      <c r="H45" t="s">
        <v>53</v>
      </c>
      <c r="I45" t="s">
        <v>1265</v>
      </c>
    </row>
    <row r="46" spans="3:9" x14ac:dyDescent="0.25">
      <c r="C46" t="s">
        <v>1111</v>
      </c>
      <c r="D46" t="str">
        <f t="shared" si="0"/>
        <v>CN69010100</v>
      </c>
      <c r="G46" t="s">
        <v>1266</v>
      </c>
      <c r="H46" t="s">
        <v>422</v>
      </c>
      <c r="I46" t="s">
        <v>1267</v>
      </c>
    </row>
    <row r="47" spans="3:9" x14ac:dyDescent="0.25">
      <c r="C47" t="s">
        <v>1143</v>
      </c>
      <c r="D47" t="str">
        <f t="shared" si="0"/>
        <v>CN69040700</v>
      </c>
      <c r="G47" t="s">
        <v>1268</v>
      </c>
      <c r="H47" t="s">
        <v>345</v>
      </c>
      <c r="I47" t="s">
        <v>1269</v>
      </c>
    </row>
    <row r="48" spans="3:9" x14ac:dyDescent="0.25">
      <c r="C48" t="s">
        <v>1144</v>
      </c>
      <c r="D48" t="str">
        <f t="shared" si="0"/>
        <v>CN69041400</v>
      </c>
      <c r="G48" t="s">
        <v>1270</v>
      </c>
      <c r="H48" t="s">
        <v>898</v>
      </c>
      <c r="I48" t="s">
        <v>1144</v>
      </c>
    </row>
    <row r="49" spans="3:9" x14ac:dyDescent="0.25">
      <c r="C49" t="s">
        <v>1145</v>
      </c>
      <c r="D49" t="str">
        <f t="shared" si="0"/>
        <v>CN69070900</v>
      </c>
      <c r="G49" t="s">
        <v>1271</v>
      </c>
      <c r="H49" t="s">
        <v>849</v>
      </c>
      <c r="I49" t="s">
        <v>1272</v>
      </c>
    </row>
    <row r="50" spans="3:9" x14ac:dyDescent="0.25">
      <c r="C50" t="s">
        <v>1146</v>
      </c>
      <c r="D50" t="str">
        <f t="shared" si="0"/>
        <v>CN69071700</v>
      </c>
      <c r="G50" t="s">
        <v>1273</v>
      </c>
      <c r="H50" t="s">
        <v>381</v>
      </c>
      <c r="I50" t="s">
        <v>1274</v>
      </c>
    </row>
    <row r="51" spans="3:9" x14ac:dyDescent="0.25">
      <c r="C51" t="s">
        <v>1147</v>
      </c>
      <c r="D51" t="str">
        <f t="shared" si="0"/>
        <v>CN69090600</v>
      </c>
      <c r="G51" t="s">
        <v>1275</v>
      </c>
      <c r="H51" t="s">
        <v>1276</v>
      </c>
      <c r="I51" t="s">
        <v>1277</v>
      </c>
    </row>
    <row r="52" spans="3:9" x14ac:dyDescent="0.25">
      <c r="C52" t="s">
        <v>1148</v>
      </c>
      <c r="D52" t="str">
        <f t="shared" si="0"/>
        <v>CN69110100</v>
      </c>
      <c r="G52" t="s">
        <v>1278</v>
      </c>
      <c r="H52" t="s">
        <v>449</v>
      </c>
      <c r="I52" t="s">
        <v>1279</v>
      </c>
    </row>
    <row r="53" spans="3:9" x14ac:dyDescent="0.25">
      <c r="C53" t="s">
        <v>1149</v>
      </c>
      <c r="D53" t="str">
        <f t="shared" si="0"/>
        <v>CN69140302</v>
      </c>
      <c r="G53" t="s">
        <v>1280</v>
      </c>
      <c r="H53" t="s">
        <v>920</v>
      </c>
      <c r="I53" t="s">
        <v>1281</v>
      </c>
    </row>
    <row r="54" spans="3:9" x14ac:dyDescent="0.25">
      <c r="C54" t="s">
        <v>1150</v>
      </c>
      <c r="D54" t="str">
        <f t="shared" si="0"/>
        <v>CN69172600</v>
      </c>
      <c r="G54" t="s">
        <v>1282</v>
      </c>
      <c r="H54" t="s">
        <v>772</v>
      </c>
      <c r="I54" t="s">
        <v>1283</v>
      </c>
    </row>
    <row r="55" spans="3:9" x14ac:dyDescent="0.25">
      <c r="C55" t="s">
        <v>1151</v>
      </c>
      <c r="D55" t="str">
        <f t="shared" si="0"/>
        <v>CN69180100</v>
      </c>
      <c r="G55" t="s">
        <v>1284</v>
      </c>
      <c r="H55" t="s">
        <v>131</v>
      </c>
      <c r="I55" t="s">
        <v>1285</v>
      </c>
    </row>
    <row r="56" spans="3:9" x14ac:dyDescent="0.25">
      <c r="C56" t="s">
        <v>1152</v>
      </c>
      <c r="D56" t="str">
        <f t="shared" si="0"/>
        <v>CN69191500</v>
      </c>
      <c r="G56" t="s">
        <v>1286</v>
      </c>
      <c r="H56" t="s">
        <v>536</v>
      </c>
      <c r="I56" t="s">
        <v>1287</v>
      </c>
    </row>
    <row r="57" spans="3:9" x14ac:dyDescent="0.25">
      <c r="C57" t="s">
        <v>1153</v>
      </c>
      <c r="D57" t="str">
        <f t="shared" si="0"/>
        <v>CN69210302</v>
      </c>
      <c r="G57" t="s">
        <v>1288</v>
      </c>
      <c r="H57" t="s">
        <v>744</v>
      </c>
      <c r="I57" t="s">
        <v>1289</v>
      </c>
    </row>
    <row r="58" spans="3:9" x14ac:dyDescent="0.25">
      <c r="C58" t="s">
        <v>1154</v>
      </c>
      <c r="D58" t="str">
        <f t="shared" si="0"/>
        <v>CN69220200</v>
      </c>
      <c r="G58" t="s">
        <v>1290</v>
      </c>
      <c r="H58" t="s">
        <v>96</v>
      </c>
      <c r="I58" t="s">
        <v>1291</v>
      </c>
    </row>
    <row r="59" spans="3:9" x14ac:dyDescent="0.25">
      <c r="C59" t="s">
        <v>1155</v>
      </c>
      <c r="D59" t="str">
        <f t="shared" si="0"/>
        <v>CN69251800</v>
      </c>
      <c r="G59" t="s">
        <v>1292</v>
      </c>
      <c r="H59" t="s">
        <v>265</v>
      </c>
      <c r="I59" t="s">
        <v>1293</v>
      </c>
    </row>
    <row r="60" spans="3:9" x14ac:dyDescent="0.25">
      <c r="C60" t="s">
        <v>1156</v>
      </c>
      <c r="D60" t="str">
        <f t="shared" si="0"/>
        <v>CN69253800</v>
      </c>
      <c r="G60" t="s">
        <v>1294</v>
      </c>
      <c r="H60" t="s">
        <v>1096</v>
      </c>
      <c r="I60" t="s">
        <v>1295</v>
      </c>
    </row>
    <row r="61" spans="3:9" x14ac:dyDescent="0.25">
      <c r="C61" t="s">
        <v>1157</v>
      </c>
      <c r="D61" t="str">
        <f t="shared" si="0"/>
        <v>CN69260400</v>
      </c>
      <c r="G61" t="s">
        <v>1296</v>
      </c>
      <c r="H61" t="s">
        <v>681</v>
      </c>
      <c r="I61" t="s">
        <v>1297</v>
      </c>
    </row>
    <row r="62" spans="3:9" x14ac:dyDescent="0.25">
      <c r="C62" t="s">
        <v>1158</v>
      </c>
      <c r="D62" t="str">
        <f t="shared" si="0"/>
        <v>CN69265000</v>
      </c>
      <c r="G62" t="s">
        <v>1298</v>
      </c>
      <c r="H62" t="s">
        <v>904</v>
      </c>
      <c r="I62" t="s">
        <v>1299</v>
      </c>
    </row>
    <row r="63" spans="3:9" x14ac:dyDescent="0.25">
      <c r="C63" t="s">
        <v>1159</v>
      </c>
      <c r="D63" t="str">
        <f t="shared" si="0"/>
        <v>CN70878900</v>
      </c>
      <c r="G63" t="s">
        <v>1300</v>
      </c>
      <c r="H63" t="s">
        <v>251</v>
      </c>
      <c r="I63" t="s">
        <v>1301</v>
      </c>
    </row>
    <row r="64" spans="3:9" x14ac:dyDescent="0.25">
      <c r="C64" t="s">
        <v>1160</v>
      </c>
      <c r="D64" t="str">
        <f t="shared" si="0"/>
        <v>CN70880300</v>
      </c>
      <c r="G64" t="s">
        <v>1302</v>
      </c>
      <c r="H64" t="s">
        <v>595</v>
      </c>
      <c r="I64" t="s">
        <v>1303</v>
      </c>
    </row>
    <row r="65" spans="3:9" x14ac:dyDescent="0.25">
      <c r="C65" t="s">
        <v>1161</v>
      </c>
      <c r="D65" t="str">
        <f t="shared" si="0"/>
        <v>CN70932800</v>
      </c>
      <c r="G65" t="s">
        <v>1304</v>
      </c>
      <c r="H65" t="s">
        <v>219</v>
      </c>
      <c r="I65" t="s">
        <v>1305</v>
      </c>
    </row>
    <row r="66" spans="3:9" x14ac:dyDescent="0.25">
      <c r="C66" t="s">
        <v>1161</v>
      </c>
      <c r="D66" t="str">
        <f t="shared" si="0"/>
        <v>CN70932800</v>
      </c>
      <c r="G66" t="s">
        <v>1306</v>
      </c>
      <c r="H66" t="s">
        <v>766</v>
      </c>
      <c r="I66" t="s">
        <v>1307</v>
      </c>
    </row>
    <row r="67" spans="3:9" x14ac:dyDescent="0.25">
      <c r="C67" t="s">
        <v>1138</v>
      </c>
      <c r="D67" t="str">
        <f t="shared" ref="D67:D83" si="1">_xlfn.XLOOKUP(C67,I:I,G:G,"")</f>
        <v>CN61980320</v>
      </c>
      <c r="G67" t="s">
        <v>1308</v>
      </c>
      <c r="H67" t="s">
        <v>84</v>
      </c>
      <c r="I67" t="s">
        <v>1309</v>
      </c>
    </row>
    <row r="68" spans="3:9" x14ac:dyDescent="0.25">
      <c r="C68" t="s">
        <v>1138</v>
      </c>
      <c r="D68" t="str">
        <f t="shared" si="1"/>
        <v>CN61980320</v>
      </c>
      <c r="G68" t="s">
        <v>1310</v>
      </c>
      <c r="H68" t="s">
        <v>54</v>
      </c>
      <c r="I68" t="s">
        <v>1311</v>
      </c>
    </row>
    <row r="69" spans="3:9" x14ac:dyDescent="0.25">
      <c r="C69" t="s">
        <v>1162</v>
      </c>
      <c r="D69" t="str">
        <f t="shared" si="1"/>
        <v>CN61602213</v>
      </c>
      <c r="G69" t="s">
        <v>1312</v>
      </c>
      <c r="H69" t="s">
        <v>279</v>
      </c>
      <c r="I69" t="s">
        <v>1313</v>
      </c>
    </row>
    <row r="70" spans="3:9" x14ac:dyDescent="0.25">
      <c r="C70" t="s">
        <v>1107</v>
      </c>
      <c r="D70" t="str">
        <f t="shared" si="1"/>
        <v>CN61602236</v>
      </c>
      <c r="G70" t="s">
        <v>1314</v>
      </c>
      <c r="H70" t="s">
        <v>369</v>
      </c>
      <c r="I70" t="s">
        <v>1315</v>
      </c>
    </row>
    <row r="71" spans="3:9" x14ac:dyDescent="0.25">
      <c r="C71" t="s">
        <v>1163</v>
      </c>
      <c r="D71" t="str">
        <f t="shared" si="1"/>
        <v>CN69010400</v>
      </c>
      <c r="G71" t="s">
        <v>1316</v>
      </c>
      <c r="H71" t="s">
        <v>216</v>
      </c>
      <c r="I71" t="s">
        <v>1317</v>
      </c>
    </row>
    <row r="72" spans="3:9" x14ac:dyDescent="0.25">
      <c r="C72" t="s">
        <v>1164</v>
      </c>
      <c r="D72" t="str">
        <f t="shared" si="1"/>
        <v>CN69060600</v>
      </c>
      <c r="G72" t="s">
        <v>1318</v>
      </c>
      <c r="H72" t="s">
        <v>511</v>
      </c>
      <c r="I72" t="s">
        <v>1319</v>
      </c>
    </row>
    <row r="73" spans="3:9" x14ac:dyDescent="0.25">
      <c r="C73" t="s">
        <v>1165</v>
      </c>
      <c r="D73" t="str">
        <f t="shared" si="1"/>
        <v>CN69110500</v>
      </c>
      <c r="G73" t="s">
        <v>1320</v>
      </c>
      <c r="H73" t="s">
        <v>890</v>
      </c>
      <c r="I73" t="s">
        <v>1321</v>
      </c>
    </row>
    <row r="74" spans="3:9" x14ac:dyDescent="0.25">
      <c r="C74" t="s">
        <v>1166</v>
      </c>
      <c r="D74" t="str">
        <f t="shared" si="1"/>
        <v>CN69110700</v>
      </c>
      <c r="G74" t="s">
        <v>1322</v>
      </c>
      <c r="H74" t="s">
        <v>494</v>
      </c>
      <c r="I74" t="s">
        <v>1323</v>
      </c>
    </row>
    <row r="75" spans="3:9" x14ac:dyDescent="0.25">
      <c r="C75" t="s">
        <v>1153</v>
      </c>
      <c r="D75" t="str">
        <f t="shared" si="1"/>
        <v>CN69210302</v>
      </c>
      <c r="G75" t="s">
        <v>1324</v>
      </c>
      <c r="H75" t="s">
        <v>41</v>
      </c>
      <c r="I75" t="s">
        <v>1325</v>
      </c>
    </row>
    <row r="76" spans="3:9" x14ac:dyDescent="0.25">
      <c r="C76" t="s">
        <v>1167</v>
      </c>
      <c r="D76" t="str">
        <f t="shared" si="1"/>
        <v>CN61602247</v>
      </c>
      <c r="G76" t="s">
        <v>1326</v>
      </c>
      <c r="H76" t="s">
        <v>313</v>
      </c>
      <c r="I76" t="s">
        <v>1327</v>
      </c>
    </row>
    <row r="77" spans="3:9" x14ac:dyDescent="0.25">
      <c r="C77" t="s">
        <v>1168</v>
      </c>
      <c r="D77" t="str">
        <f t="shared" si="1"/>
        <v>CN61606309</v>
      </c>
      <c r="G77" t="s">
        <v>1328</v>
      </c>
      <c r="H77" t="s">
        <v>42</v>
      </c>
      <c r="I77" t="s">
        <v>1141</v>
      </c>
    </row>
    <row r="78" spans="3:9" x14ac:dyDescent="0.25">
      <c r="C78" t="s">
        <v>1169</v>
      </c>
      <c r="D78" t="str">
        <f t="shared" si="1"/>
        <v>CN69200100</v>
      </c>
      <c r="G78" t="s">
        <v>1329</v>
      </c>
      <c r="H78" t="s">
        <v>10</v>
      </c>
      <c r="I78" t="s">
        <v>1330</v>
      </c>
    </row>
    <row r="79" spans="3:9" x14ac:dyDescent="0.25">
      <c r="C79" t="s">
        <v>1170</v>
      </c>
      <c r="D79" t="str">
        <f t="shared" si="1"/>
        <v>CN71173100</v>
      </c>
      <c r="G79" t="s">
        <v>1331</v>
      </c>
      <c r="H79" t="s">
        <v>1332</v>
      </c>
      <c r="I79" t="s">
        <v>1333</v>
      </c>
    </row>
    <row r="80" spans="3:9" x14ac:dyDescent="0.25">
      <c r="C80" t="s">
        <v>1171</v>
      </c>
      <c r="D80" t="str">
        <f t="shared" si="1"/>
        <v>CN61606606</v>
      </c>
      <c r="G80" t="s">
        <v>1334</v>
      </c>
      <c r="H80" t="s">
        <v>417</v>
      </c>
      <c r="I80" t="s">
        <v>1159</v>
      </c>
    </row>
    <row r="81" spans="3:9" x14ac:dyDescent="0.25">
      <c r="C81" t="s">
        <v>1172</v>
      </c>
      <c r="D81" t="str">
        <f t="shared" si="1"/>
        <v>CN61608200</v>
      </c>
      <c r="G81" t="s">
        <v>1335</v>
      </c>
      <c r="H81" t="s">
        <v>224</v>
      </c>
      <c r="I81" t="s">
        <v>1336</v>
      </c>
    </row>
    <row r="82" spans="3:9" x14ac:dyDescent="0.25">
      <c r="C82" t="s">
        <v>1173</v>
      </c>
      <c r="D82" t="str">
        <f t="shared" si="1"/>
        <v>CN61979270</v>
      </c>
      <c r="G82" t="s">
        <v>1337</v>
      </c>
      <c r="H82" t="s">
        <v>225</v>
      </c>
      <c r="I82" t="s">
        <v>1338</v>
      </c>
    </row>
    <row r="83" spans="3:9" x14ac:dyDescent="0.25">
      <c r="C83" t="s">
        <v>1110</v>
      </c>
      <c r="D83" t="str">
        <f t="shared" si="1"/>
        <v>CN62000830</v>
      </c>
      <c r="G83" t="s">
        <v>1339</v>
      </c>
      <c r="H83" t="s">
        <v>32</v>
      </c>
      <c r="I83" t="s">
        <v>1340</v>
      </c>
    </row>
    <row r="84" spans="3:9" x14ac:dyDescent="0.25">
      <c r="G84" t="s">
        <v>1341</v>
      </c>
      <c r="H84" t="s">
        <v>399</v>
      </c>
      <c r="I84" t="s">
        <v>1157</v>
      </c>
    </row>
    <row r="85" spans="3:9" x14ac:dyDescent="0.25">
      <c r="G85" t="s">
        <v>1342</v>
      </c>
      <c r="H85" t="s">
        <v>432</v>
      </c>
      <c r="I85" t="s">
        <v>1343</v>
      </c>
    </row>
    <row r="86" spans="3:9" x14ac:dyDescent="0.25">
      <c r="G86" t="s">
        <v>1344</v>
      </c>
      <c r="H86" t="s">
        <v>227</v>
      </c>
      <c r="I86" t="s">
        <v>1345</v>
      </c>
    </row>
    <row r="87" spans="3:9" x14ac:dyDescent="0.25">
      <c r="G87" t="s">
        <v>1346</v>
      </c>
      <c r="H87" t="s">
        <v>745</v>
      </c>
      <c r="I87" t="s">
        <v>1347</v>
      </c>
    </row>
    <row r="88" spans="3:9" x14ac:dyDescent="0.25">
      <c r="G88" t="s">
        <v>1348</v>
      </c>
      <c r="H88" t="s">
        <v>375</v>
      </c>
      <c r="I88" t="s">
        <v>1349</v>
      </c>
    </row>
    <row r="89" spans="3:9" x14ac:dyDescent="0.25">
      <c r="G89" t="s">
        <v>1350</v>
      </c>
      <c r="H89" t="s">
        <v>650</v>
      </c>
      <c r="I89" t="s">
        <v>1133</v>
      </c>
    </row>
    <row r="90" spans="3:9" x14ac:dyDescent="0.25">
      <c r="G90" t="s">
        <v>1351</v>
      </c>
      <c r="H90" t="s">
        <v>376</v>
      </c>
      <c r="I90" t="s">
        <v>1352</v>
      </c>
    </row>
    <row r="91" spans="3:9" x14ac:dyDescent="0.25">
      <c r="G91" t="s">
        <v>1353</v>
      </c>
      <c r="H91" t="s">
        <v>297</v>
      </c>
      <c r="I91" t="s">
        <v>1354</v>
      </c>
    </row>
    <row r="92" spans="3:9" x14ac:dyDescent="0.25">
      <c r="G92" t="s">
        <v>1355</v>
      </c>
      <c r="H92" t="s">
        <v>232</v>
      </c>
      <c r="I92" t="s">
        <v>1356</v>
      </c>
    </row>
    <row r="93" spans="3:9" x14ac:dyDescent="0.25">
      <c r="G93" t="s">
        <v>1357</v>
      </c>
      <c r="H93" t="s">
        <v>671</v>
      </c>
      <c r="I93" t="s">
        <v>1358</v>
      </c>
    </row>
    <row r="94" spans="3:9" x14ac:dyDescent="0.25">
      <c r="G94" t="s">
        <v>1359</v>
      </c>
      <c r="H94" t="s">
        <v>854</v>
      </c>
      <c r="I94" t="s">
        <v>1360</v>
      </c>
    </row>
    <row r="95" spans="3:9" x14ac:dyDescent="0.25">
      <c r="G95" t="s">
        <v>1361</v>
      </c>
      <c r="H95" t="s">
        <v>1362</v>
      </c>
      <c r="I95" t="s">
        <v>1363</v>
      </c>
    </row>
    <row r="96" spans="3:9" x14ac:dyDescent="0.25">
      <c r="G96" t="s">
        <v>1364</v>
      </c>
      <c r="H96" t="s">
        <v>1365</v>
      </c>
      <c r="I96" t="s">
        <v>1366</v>
      </c>
    </row>
    <row r="97" spans="7:9" x14ac:dyDescent="0.25">
      <c r="G97" t="s">
        <v>1367</v>
      </c>
      <c r="H97" t="s">
        <v>949</v>
      </c>
      <c r="I97" t="s">
        <v>1368</v>
      </c>
    </row>
    <row r="98" spans="7:9" x14ac:dyDescent="0.25">
      <c r="G98" t="s">
        <v>1369</v>
      </c>
      <c r="H98" t="s">
        <v>99</v>
      </c>
      <c r="I98" t="s">
        <v>1370</v>
      </c>
    </row>
    <row r="99" spans="7:9" x14ac:dyDescent="0.25">
      <c r="G99" t="s">
        <v>1371</v>
      </c>
      <c r="H99" t="s">
        <v>581</v>
      </c>
      <c r="I99" t="s">
        <v>1372</v>
      </c>
    </row>
    <row r="100" spans="7:9" x14ac:dyDescent="0.25">
      <c r="G100" t="s">
        <v>1373</v>
      </c>
      <c r="H100" t="s">
        <v>237</v>
      </c>
      <c r="I100" t="s">
        <v>1374</v>
      </c>
    </row>
    <row r="101" spans="7:9" x14ac:dyDescent="0.25">
      <c r="G101" t="s">
        <v>1375</v>
      </c>
      <c r="H101" t="s">
        <v>764</v>
      </c>
      <c r="I101" t="s">
        <v>1376</v>
      </c>
    </row>
    <row r="102" spans="7:9" x14ac:dyDescent="0.25">
      <c r="G102" t="s">
        <v>1377</v>
      </c>
      <c r="H102" t="s">
        <v>238</v>
      </c>
      <c r="I102" t="s">
        <v>1378</v>
      </c>
    </row>
    <row r="103" spans="7:9" x14ac:dyDescent="0.25">
      <c r="G103" t="s">
        <v>1379</v>
      </c>
      <c r="H103" t="s">
        <v>419</v>
      </c>
      <c r="I103" t="s">
        <v>1380</v>
      </c>
    </row>
    <row r="104" spans="7:9" x14ac:dyDescent="0.25">
      <c r="G104" t="s">
        <v>1381</v>
      </c>
      <c r="H104" t="s">
        <v>45</v>
      </c>
      <c r="I104" t="s">
        <v>1382</v>
      </c>
    </row>
    <row r="105" spans="7:9" x14ac:dyDescent="0.25">
      <c r="G105" t="s">
        <v>1383</v>
      </c>
      <c r="H105" t="s">
        <v>695</v>
      </c>
      <c r="I105" t="s">
        <v>1384</v>
      </c>
    </row>
    <row r="106" spans="7:9" x14ac:dyDescent="0.25">
      <c r="G106" t="s">
        <v>1385</v>
      </c>
      <c r="H106" t="s">
        <v>185</v>
      </c>
      <c r="I106" t="s">
        <v>1386</v>
      </c>
    </row>
    <row r="107" spans="7:9" x14ac:dyDescent="0.25">
      <c r="G107" t="s">
        <v>1387</v>
      </c>
      <c r="H107" t="s">
        <v>320</v>
      </c>
      <c r="I107" t="s">
        <v>1388</v>
      </c>
    </row>
    <row r="108" spans="7:9" x14ac:dyDescent="0.25">
      <c r="G108" t="s">
        <v>1389</v>
      </c>
      <c r="H108" t="s">
        <v>243</v>
      </c>
      <c r="I108" t="s">
        <v>1390</v>
      </c>
    </row>
    <row r="109" spans="7:9" x14ac:dyDescent="0.25">
      <c r="G109" t="s">
        <v>1391</v>
      </c>
      <c r="H109" t="s">
        <v>34</v>
      </c>
      <c r="I109" t="s">
        <v>1108</v>
      </c>
    </row>
    <row r="110" spans="7:9" x14ac:dyDescent="0.25">
      <c r="G110" t="s">
        <v>1392</v>
      </c>
      <c r="H110" t="s">
        <v>891</v>
      </c>
      <c r="I110" t="s">
        <v>1393</v>
      </c>
    </row>
    <row r="111" spans="7:9" x14ac:dyDescent="0.25">
      <c r="G111" t="s">
        <v>1394</v>
      </c>
      <c r="H111" t="s">
        <v>242</v>
      </c>
      <c r="I111" t="s">
        <v>1395</v>
      </c>
    </row>
    <row r="112" spans="7:9" x14ac:dyDescent="0.25">
      <c r="G112" t="s">
        <v>1396</v>
      </c>
      <c r="H112" t="s">
        <v>319</v>
      </c>
      <c r="I112" t="s">
        <v>1397</v>
      </c>
    </row>
    <row r="113" spans="7:9" x14ac:dyDescent="0.25">
      <c r="G113" t="s">
        <v>1398</v>
      </c>
      <c r="H113" t="s">
        <v>245</v>
      </c>
      <c r="I113" t="s">
        <v>1399</v>
      </c>
    </row>
    <row r="114" spans="7:9" x14ac:dyDescent="0.25">
      <c r="G114" t="s">
        <v>1400</v>
      </c>
      <c r="H114" t="s">
        <v>892</v>
      </c>
      <c r="I114" t="s">
        <v>1401</v>
      </c>
    </row>
    <row r="115" spans="7:9" x14ac:dyDescent="0.25">
      <c r="G115" t="s">
        <v>1402</v>
      </c>
      <c r="H115" t="s">
        <v>637</v>
      </c>
      <c r="I115" t="s">
        <v>1403</v>
      </c>
    </row>
    <row r="116" spans="7:9" x14ac:dyDescent="0.25">
      <c r="G116" t="s">
        <v>1404</v>
      </c>
      <c r="H116" t="s">
        <v>1405</v>
      </c>
      <c r="I116" t="s">
        <v>1406</v>
      </c>
    </row>
    <row r="117" spans="7:9" x14ac:dyDescent="0.25">
      <c r="G117" t="s">
        <v>1407</v>
      </c>
      <c r="H117" t="s">
        <v>315</v>
      </c>
      <c r="I117" t="s">
        <v>1408</v>
      </c>
    </row>
    <row r="118" spans="7:9" x14ac:dyDescent="0.25">
      <c r="G118" t="s">
        <v>1409</v>
      </c>
      <c r="H118" t="s">
        <v>924</v>
      </c>
      <c r="I118" t="s">
        <v>1156</v>
      </c>
    </row>
    <row r="119" spans="7:9" x14ac:dyDescent="0.25">
      <c r="G119" t="s">
        <v>1410</v>
      </c>
      <c r="H119" t="s">
        <v>246</v>
      </c>
      <c r="I119" t="s">
        <v>1411</v>
      </c>
    </row>
    <row r="120" spans="7:9" x14ac:dyDescent="0.25">
      <c r="G120" t="s">
        <v>1412</v>
      </c>
      <c r="H120" t="s">
        <v>448</v>
      </c>
      <c r="I120" t="s">
        <v>1413</v>
      </c>
    </row>
    <row r="121" spans="7:9" x14ac:dyDescent="0.25">
      <c r="G121" t="s">
        <v>1414</v>
      </c>
      <c r="H121" t="s">
        <v>247</v>
      </c>
      <c r="I121" t="s">
        <v>1415</v>
      </c>
    </row>
    <row r="122" spans="7:9" x14ac:dyDescent="0.25">
      <c r="G122" t="s">
        <v>1416</v>
      </c>
      <c r="H122" t="s">
        <v>248</v>
      </c>
      <c r="I122" t="s">
        <v>1417</v>
      </c>
    </row>
    <row r="123" spans="7:9" x14ac:dyDescent="0.25">
      <c r="G123" t="s">
        <v>1418</v>
      </c>
      <c r="H123" t="s">
        <v>81</v>
      </c>
      <c r="I123" t="s">
        <v>1419</v>
      </c>
    </row>
    <row r="124" spans="7:9" x14ac:dyDescent="0.25">
      <c r="G124" t="s">
        <v>1420</v>
      </c>
      <c r="H124" t="s">
        <v>958</v>
      </c>
      <c r="I124" t="s">
        <v>1421</v>
      </c>
    </row>
    <row r="125" spans="7:9" x14ac:dyDescent="0.25">
      <c r="G125" t="s">
        <v>1422</v>
      </c>
      <c r="H125" t="s">
        <v>1423</v>
      </c>
      <c r="I125" t="s">
        <v>1406</v>
      </c>
    </row>
    <row r="126" spans="7:9" x14ac:dyDescent="0.25">
      <c r="G126" t="s">
        <v>1424</v>
      </c>
      <c r="H126" t="s">
        <v>1425</v>
      </c>
      <c r="I126" t="s">
        <v>1426</v>
      </c>
    </row>
    <row r="127" spans="7:9" x14ac:dyDescent="0.25">
      <c r="G127" t="s">
        <v>1427</v>
      </c>
      <c r="H127" t="s">
        <v>450</v>
      </c>
      <c r="I127" t="s">
        <v>1428</v>
      </c>
    </row>
    <row r="128" spans="7:9" x14ac:dyDescent="0.25">
      <c r="G128" t="s">
        <v>1429</v>
      </c>
      <c r="H128" t="s">
        <v>902</v>
      </c>
      <c r="I128" t="s">
        <v>1430</v>
      </c>
    </row>
    <row r="129" spans="7:9" x14ac:dyDescent="0.25">
      <c r="G129" t="s">
        <v>1431</v>
      </c>
      <c r="H129" t="s">
        <v>1432</v>
      </c>
      <c r="I129" t="s">
        <v>1433</v>
      </c>
    </row>
    <row r="130" spans="7:9" x14ac:dyDescent="0.25">
      <c r="G130" t="s">
        <v>1434</v>
      </c>
      <c r="H130" t="s">
        <v>166</v>
      </c>
      <c r="I130" t="s">
        <v>1435</v>
      </c>
    </row>
    <row r="131" spans="7:9" x14ac:dyDescent="0.25">
      <c r="G131" t="s">
        <v>1436</v>
      </c>
      <c r="H131" t="s">
        <v>466</v>
      </c>
      <c r="I131" t="s">
        <v>1437</v>
      </c>
    </row>
    <row r="132" spans="7:9" x14ac:dyDescent="0.25">
      <c r="G132" t="s">
        <v>1438</v>
      </c>
      <c r="H132" t="s">
        <v>1439</v>
      </c>
      <c r="I132" t="s">
        <v>1440</v>
      </c>
    </row>
    <row r="133" spans="7:9" x14ac:dyDescent="0.25">
      <c r="G133" t="s">
        <v>1441</v>
      </c>
      <c r="H133" t="s">
        <v>55</v>
      </c>
      <c r="I133" t="s">
        <v>1442</v>
      </c>
    </row>
    <row r="134" spans="7:9" x14ac:dyDescent="0.25">
      <c r="G134" t="s">
        <v>1443</v>
      </c>
      <c r="H134" t="s">
        <v>193</v>
      </c>
      <c r="I134" t="s">
        <v>1444</v>
      </c>
    </row>
    <row r="135" spans="7:9" x14ac:dyDescent="0.25">
      <c r="G135" t="s">
        <v>1445</v>
      </c>
      <c r="H135" t="s">
        <v>953</v>
      </c>
      <c r="I135" t="s">
        <v>1446</v>
      </c>
    </row>
    <row r="136" spans="7:9" x14ac:dyDescent="0.25">
      <c r="G136" t="s">
        <v>1447</v>
      </c>
      <c r="H136" t="s">
        <v>65</v>
      </c>
      <c r="I136" t="s">
        <v>1448</v>
      </c>
    </row>
    <row r="137" spans="7:9" x14ac:dyDescent="0.25">
      <c r="G137" t="s">
        <v>1449</v>
      </c>
      <c r="H137" t="s">
        <v>179</v>
      </c>
      <c r="I137" t="s">
        <v>1450</v>
      </c>
    </row>
    <row r="138" spans="7:9" x14ac:dyDescent="0.25">
      <c r="G138" t="s">
        <v>1451</v>
      </c>
      <c r="H138" t="s">
        <v>513</v>
      </c>
      <c r="I138" t="s">
        <v>1452</v>
      </c>
    </row>
    <row r="139" spans="7:9" x14ac:dyDescent="0.25">
      <c r="G139" t="s">
        <v>1453</v>
      </c>
      <c r="H139" t="s">
        <v>339</v>
      </c>
      <c r="I139" t="s">
        <v>1454</v>
      </c>
    </row>
    <row r="140" spans="7:9" x14ac:dyDescent="0.25">
      <c r="G140" t="s">
        <v>1455</v>
      </c>
      <c r="H140" t="s">
        <v>769</v>
      </c>
      <c r="I140" t="s">
        <v>1456</v>
      </c>
    </row>
    <row r="141" spans="7:9" x14ac:dyDescent="0.25">
      <c r="G141" t="s">
        <v>1457</v>
      </c>
      <c r="H141" t="s">
        <v>612</v>
      </c>
      <c r="I141" t="s">
        <v>1458</v>
      </c>
    </row>
    <row r="142" spans="7:9" x14ac:dyDescent="0.25">
      <c r="G142" t="s">
        <v>1459</v>
      </c>
      <c r="H142" t="s">
        <v>1460</v>
      </c>
      <c r="I142" t="s">
        <v>1461</v>
      </c>
    </row>
    <row r="143" spans="7:9" x14ac:dyDescent="0.25">
      <c r="G143" t="s">
        <v>1462</v>
      </c>
      <c r="H143" t="s">
        <v>1463</v>
      </c>
      <c r="I143" t="s">
        <v>1464</v>
      </c>
    </row>
    <row r="144" spans="7:9" x14ac:dyDescent="0.25">
      <c r="G144" t="s">
        <v>1465</v>
      </c>
      <c r="H144" t="s">
        <v>627</v>
      </c>
      <c r="I144" t="s">
        <v>1466</v>
      </c>
    </row>
    <row r="145" spans="7:9" x14ac:dyDescent="0.25">
      <c r="G145" t="s">
        <v>1467</v>
      </c>
      <c r="H145" t="s">
        <v>1468</v>
      </c>
      <c r="I145" t="s">
        <v>1469</v>
      </c>
    </row>
    <row r="146" spans="7:9" x14ac:dyDescent="0.25">
      <c r="G146" t="s">
        <v>1470</v>
      </c>
      <c r="H146" t="s">
        <v>283</v>
      </c>
      <c r="I146" t="s">
        <v>1471</v>
      </c>
    </row>
    <row r="147" spans="7:9" x14ac:dyDescent="0.25">
      <c r="G147" t="s">
        <v>1472</v>
      </c>
      <c r="H147" t="s">
        <v>83</v>
      </c>
      <c r="I147" t="s">
        <v>1473</v>
      </c>
    </row>
    <row r="148" spans="7:9" x14ac:dyDescent="0.25">
      <c r="G148" t="s">
        <v>1474</v>
      </c>
      <c r="H148" t="s">
        <v>660</v>
      </c>
      <c r="I148" t="s">
        <v>1475</v>
      </c>
    </row>
    <row r="149" spans="7:9" x14ac:dyDescent="0.25">
      <c r="G149" t="s">
        <v>1476</v>
      </c>
      <c r="H149" t="s">
        <v>22</v>
      </c>
      <c r="I149" t="s">
        <v>1477</v>
      </c>
    </row>
    <row r="150" spans="7:9" x14ac:dyDescent="0.25">
      <c r="G150" t="s">
        <v>1478</v>
      </c>
      <c r="H150" t="s">
        <v>257</v>
      </c>
      <c r="I150" t="s">
        <v>1479</v>
      </c>
    </row>
    <row r="151" spans="7:9" x14ac:dyDescent="0.25">
      <c r="G151" t="s">
        <v>1480</v>
      </c>
      <c r="H151" t="s">
        <v>16</v>
      </c>
      <c r="I151" t="s">
        <v>1481</v>
      </c>
    </row>
    <row r="152" spans="7:9" x14ac:dyDescent="0.25">
      <c r="G152" t="s">
        <v>1482</v>
      </c>
      <c r="H152" t="s">
        <v>1483</v>
      </c>
      <c r="I152" t="s">
        <v>1484</v>
      </c>
    </row>
    <row r="153" spans="7:9" x14ac:dyDescent="0.25">
      <c r="G153" t="s">
        <v>1485</v>
      </c>
      <c r="H153" t="s">
        <v>915</v>
      </c>
      <c r="I153" t="s">
        <v>1486</v>
      </c>
    </row>
    <row r="154" spans="7:9" x14ac:dyDescent="0.25">
      <c r="G154" t="s">
        <v>1487</v>
      </c>
      <c r="H154" t="s">
        <v>1056</v>
      </c>
      <c r="I154" t="s">
        <v>1488</v>
      </c>
    </row>
    <row r="155" spans="7:9" x14ac:dyDescent="0.25">
      <c r="G155" t="s">
        <v>1489</v>
      </c>
      <c r="H155" t="s">
        <v>662</v>
      </c>
      <c r="I155" t="s">
        <v>1490</v>
      </c>
    </row>
    <row r="156" spans="7:9" x14ac:dyDescent="0.25">
      <c r="G156" t="s">
        <v>1491</v>
      </c>
      <c r="H156" t="s">
        <v>260</v>
      </c>
      <c r="I156" t="s">
        <v>1492</v>
      </c>
    </row>
    <row r="157" spans="7:9" x14ac:dyDescent="0.25">
      <c r="G157" t="s">
        <v>1493</v>
      </c>
      <c r="H157" t="s">
        <v>261</v>
      </c>
      <c r="I157" t="s">
        <v>1494</v>
      </c>
    </row>
    <row r="158" spans="7:9" x14ac:dyDescent="0.25">
      <c r="G158" t="s">
        <v>1495</v>
      </c>
      <c r="H158" t="s">
        <v>956</v>
      </c>
      <c r="I158" t="s">
        <v>1496</v>
      </c>
    </row>
    <row r="159" spans="7:9" x14ac:dyDescent="0.25">
      <c r="G159" t="s">
        <v>1497</v>
      </c>
      <c r="H159" t="s">
        <v>262</v>
      </c>
      <c r="I159" t="s">
        <v>1498</v>
      </c>
    </row>
    <row r="160" spans="7:9" x14ac:dyDescent="0.25">
      <c r="G160" t="s">
        <v>1499</v>
      </c>
      <c r="H160" t="s">
        <v>395</v>
      </c>
      <c r="I160" t="s">
        <v>1500</v>
      </c>
    </row>
    <row r="161" spans="7:9" x14ac:dyDescent="0.25">
      <c r="G161" t="s">
        <v>1501</v>
      </c>
      <c r="H161" t="s">
        <v>263</v>
      </c>
      <c r="I161" t="s">
        <v>1502</v>
      </c>
    </row>
    <row r="162" spans="7:9" x14ac:dyDescent="0.25">
      <c r="G162" t="s">
        <v>1503</v>
      </c>
      <c r="H162" t="s">
        <v>921</v>
      </c>
      <c r="I162" t="s">
        <v>1504</v>
      </c>
    </row>
    <row r="163" spans="7:9" x14ac:dyDescent="0.25">
      <c r="G163" t="s">
        <v>1505</v>
      </c>
      <c r="H163" t="s">
        <v>1506</v>
      </c>
      <c r="I163" t="s">
        <v>1507</v>
      </c>
    </row>
    <row r="164" spans="7:9" x14ac:dyDescent="0.25">
      <c r="G164" t="s">
        <v>1508</v>
      </c>
      <c r="H164" t="s">
        <v>264</v>
      </c>
      <c r="I164" t="s">
        <v>1509</v>
      </c>
    </row>
    <row r="165" spans="7:9" x14ac:dyDescent="0.25">
      <c r="G165" t="s">
        <v>1510</v>
      </c>
      <c r="H165" t="s">
        <v>317</v>
      </c>
      <c r="I165" t="s">
        <v>1511</v>
      </c>
    </row>
    <row r="166" spans="7:9" x14ac:dyDescent="0.25">
      <c r="G166" t="s">
        <v>1512</v>
      </c>
      <c r="H166" t="s">
        <v>205</v>
      </c>
      <c r="I166" t="s">
        <v>1513</v>
      </c>
    </row>
    <row r="167" spans="7:9" x14ac:dyDescent="0.25">
      <c r="G167" t="s">
        <v>1514</v>
      </c>
      <c r="H167" t="s">
        <v>773</v>
      </c>
      <c r="I167" t="s">
        <v>1515</v>
      </c>
    </row>
    <row r="168" spans="7:9" x14ac:dyDescent="0.25">
      <c r="G168" t="s">
        <v>1516</v>
      </c>
      <c r="H168" t="s">
        <v>799</v>
      </c>
      <c r="I168" t="s">
        <v>1517</v>
      </c>
    </row>
    <row r="169" spans="7:9" x14ac:dyDescent="0.25">
      <c r="G169" t="s">
        <v>1518</v>
      </c>
      <c r="H169" t="s">
        <v>266</v>
      </c>
      <c r="I169" t="s">
        <v>1519</v>
      </c>
    </row>
    <row r="170" spans="7:9" x14ac:dyDescent="0.25">
      <c r="G170" t="s">
        <v>1520</v>
      </c>
      <c r="H170" t="s">
        <v>1030</v>
      </c>
      <c r="I170" t="s">
        <v>1521</v>
      </c>
    </row>
    <row r="171" spans="7:9" x14ac:dyDescent="0.25">
      <c r="G171" t="s">
        <v>1522</v>
      </c>
      <c r="H171" t="s">
        <v>894</v>
      </c>
      <c r="I171" t="s">
        <v>1523</v>
      </c>
    </row>
    <row r="172" spans="7:9" x14ac:dyDescent="0.25">
      <c r="G172" t="s">
        <v>1524</v>
      </c>
      <c r="H172" t="s">
        <v>1525</v>
      </c>
      <c r="I172" t="s">
        <v>1526</v>
      </c>
    </row>
    <row r="173" spans="7:9" x14ac:dyDescent="0.25">
      <c r="G173" t="s">
        <v>1527</v>
      </c>
      <c r="H173" t="s">
        <v>462</v>
      </c>
      <c r="I173" t="s">
        <v>1528</v>
      </c>
    </row>
    <row r="174" spans="7:9" x14ac:dyDescent="0.25">
      <c r="G174" t="s">
        <v>1529</v>
      </c>
      <c r="H174" t="s">
        <v>35</v>
      </c>
      <c r="I174" t="s">
        <v>1530</v>
      </c>
    </row>
    <row r="175" spans="7:9" x14ac:dyDescent="0.25">
      <c r="G175" t="s">
        <v>1531</v>
      </c>
      <c r="H175" t="s">
        <v>268</v>
      </c>
      <c r="I175" t="s">
        <v>1532</v>
      </c>
    </row>
    <row r="176" spans="7:9" x14ac:dyDescent="0.25">
      <c r="G176" t="s">
        <v>1533</v>
      </c>
      <c r="H176" t="s">
        <v>665</v>
      </c>
      <c r="I176" t="s">
        <v>1534</v>
      </c>
    </row>
    <row r="177" spans="7:9" x14ac:dyDescent="0.25">
      <c r="G177" t="s">
        <v>1535</v>
      </c>
      <c r="H177" t="s">
        <v>1536</v>
      </c>
      <c r="I177" t="s">
        <v>1537</v>
      </c>
    </row>
    <row r="178" spans="7:9" x14ac:dyDescent="0.25">
      <c r="G178" t="s">
        <v>1538</v>
      </c>
      <c r="H178" t="s">
        <v>269</v>
      </c>
      <c r="I178" t="s">
        <v>1539</v>
      </c>
    </row>
    <row r="179" spans="7:9" x14ac:dyDescent="0.25">
      <c r="G179" t="s">
        <v>1540</v>
      </c>
      <c r="H179" t="s">
        <v>77</v>
      </c>
      <c r="I179" t="s">
        <v>1541</v>
      </c>
    </row>
    <row r="180" spans="7:9" x14ac:dyDescent="0.25">
      <c r="G180" t="s">
        <v>1542</v>
      </c>
      <c r="H180" t="s">
        <v>998</v>
      </c>
      <c r="I180" t="s">
        <v>1543</v>
      </c>
    </row>
    <row r="181" spans="7:9" x14ac:dyDescent="0.25">
      <c r="G181" t="s">
        <v>1544</v>
      </c>
      <c r="H181" t="s">
        <v>244</v>
      </c>
      <c r="I181" t="s">
        <v>1545</v>
      </c>
    </row>
    <row r="182" spans="7:9" x14ac:dyDescent="0.25">
      <c r="G182" t="s">
        <v>1546</v>
      </c>
      <c r="H182" t="s">
        <v>271</v>
      </c>
      <c r="I182" t="s">
        <v>1547</v>
      </c>
    </row>
    <row r="183" spans="7:9" x14ac:dyDescent="0.25">
      <c r="G183" t="s">
        <v>1548</v>
      </c>
      <c r="H183" t="s">
        <v>1549</v>
      </c>
      <c r="I183" t="s">
        <v>1550</v>
      </c>
    </row>
    <row r="184" spans="7:9" x14ac:dyDescent="0.25">
      <c r="G184" t="s">
        <v>1551</v>
      </c>
      <c r="H184" t="s">
        <v>346</v>
      </c>
      <c r="I184" t="s">
        <v>1552</v>
      </c>
    </row>
    <row r="185" spans="7:9" x14ac:dyDescent="0.25">
      <c r="G185" t="s">
        <v>1553</v>
      </c>
      <c r="H185" t="s">
        <v>1554</v>
      </c>
      <c r="I185" t="s">
        <v>1555</v>
      </c>
    </row>
    <row r="186" spans="7:9" x14ac:dyDescent="0.25">
      <c r="G186" t="s">
        <v>1556</v>
      </c>
      <c r="H186" t="s">
        <v>1557</v>
      </c>
      <c r="I186" t="s">
        <v>1558</v>
      </c>
    </row>
    <row r="187" spans="7:9" x14ac:dyDescent="0.25">
      <c r="G187" t="s">
        <v>1559</v>
      </c>
      <c r="H187" t="s">
        <v>1560</v>
      </c>
      <c r="I187" t="s">
        <v>1561</v>
      </c>
    </row>
    <row r="188" spans="7:9" x14ac:dyDescent="0.25">
      <c r="G188" t="s">
        <v>1562</v>
      </c>
      <c r="H188" t="s">
        <v>302</v>
      </c>
      <c r="I188" t="s">
        <v>1126</v>
      </c>
    </row>
    <row r="189" spans="7:9" x14ac:dyDescent="0.25">
      <c r="G189" t="s">
        <v>1563</v>
      </c>
      <c r="H189" t="s">
        <v>1564</v>
      </c>
      <c r="I189" t="s">
        <v>1565</v>
      </c>
    </row>
    <row r="190" spans="7:9" x14ac:dyDescent="0.25">
      <c r="G190" t="s">
        <v>1566</v>
      </c>
      <c r="H190" t="s">
        <v>602</v>
      </c>
      <c r="I190" t="s">
        <v>1567</v>
      </c>
    </row>
    <row r="191" spans="7:9" x14ac:dyDescent="0.25">
      <c r="G191" t="s">
        <v>1568</v>
      </c>
      <c r="H191" t="s">
        <v>1569</v>
      </c>
      <c r="I191" t="s">
        <v>1406</v>
      </c>
    </row>
    <row r="192" spans="7:9" x14ac:dyDescent="0.25">
      <c r="G192" t="s">
        <v>1570</v>
      </c>
      <c r="H192" t="s">
        <v>453</v>
      </c>
      <c r="I192" t="s">
        <v>1571</v>
      </c>
    </row>
    <row r="193" spans="7:9" x14ac:dyDescent="0.25">
      <c r="G193" t="s">
        <v>1572</v>
      </c>
      <c r="H193" t="s">
        <v>21</v>
      </c>
      <c r="I193" t="s">
        <v>1134</v>
      </c>
    </row>
    <row r="194" spans="7:9" x14ac:dyDescent="0.25">
      <c r="G194" t="s">
        <v>1573</v>
      </c>
      <c r="H194" t="s">
        <v>1086</v>
      </c>
      <c r="I194" t="s">
        <v>1574</v>
      </c>
    </row>
    <row r="195" spans="7:9" x14ac:dyDescent="0.25">
      <c r="G195" t="s">
        <v>1575</v>
      </c>
      <c r="H195" t="s">
        <v>218</v>
      </c>
      <c r="I195" t="s">
        <v>1576</v>
      </c>
    </row>
    <row r="196" spans="7:9" x14ac:dyDescent="0.25">
      <c r="G196" t="s">
        <v>1577</v>
      </c>
      <c r="H196" t="s">
        <v>190</v>
      </c>
      <c r="I196" t="s">
        <v>1578</v>
      </c>
    </row>
    <row r="197" spans="7:9" x14ac:dyDescent="0.25">
      <c r="G197" t="s">
        <v>1579</v>
      </c>
      <c r="H197" t="s">
        <v>669</v>
      </c>
      <c r="I197" t="s">
        <v>1580</v>
      </c>
    </row>
    <row r="198" spans="7:9" x14ac:dyDescent="0.25">
      <c r="G198" t="s">
        <v>1581</v>
      </c>
      <c r="H198" t="s">
        <v>1582</v>
      </c>
      <c r="I198" t="s">
        <v>1583</v>
      </c>
    </row>
    <row r="199" spans="7:9" x14ac:dyDescent="0.25">
      <c r="G199" t="s">
        <v>1584</v>
      </c>
      <c r="H199" t="s">
        <v>180</v>
      </c>
      <c r="I199" t="s">
        <v>1585</v>
      </c>
    </row>
    <row r="200" spans="7:9" x14ac:dyDescent="0.25">
      <c r="G200" t="s">
        <v>1586</v>
      </c>
      <c r="H200" t="s">
        <v>996</v>
      </c>
      <c r="I200" t="s">
        <v>1587</v>
      </c>
    </row>
    <row r="201" spans="7:9" x14ac:dyDescent="0.25">
      <c r="G201" t="s">
        <v>1588</v>
      </c>
      <c r="H201" t="s">
        <v>897</v>
      </c>
      <c r="I201" t="s">
        <v>1589</v>
      </c>
    </row>
    <row r="202" spans="7:9" x14ac:dyDescent="0.25">
      <c r="G202" t="s">
        <v>1590</v>
      </c>
      <c r="H202" t="s">
        <v>111</v>
      </c>
      <c r="I202" t="s">
        <v>1591</v>
      </c>
    </row>
    <row r="203" spans="7:9" x14ac:dyDescent="0.25">
      <c r="G203" t="s">
        <v>1592</v>
      </c>
      <c r="H203" t="s">
        <v>74</v>
      </c>
      <c r="I203" t="s">
        <v>1593</v>
      </c>
    </row>
    <row r="204" spans="7:9" x14ac:dyDescent="0.25">
      <c r="G204" t="s">
        <v>1594</v>
      </c>
      <c r="H204" t="s">
        <v>310</v>
      </c>
      <c r="I204" t="s">
        <v>1595</v>
      </c>
    </row>
    <row r="205" spans="7:9" x14ac:dyDescent="0.25">
      <c r="G205" t="s">
        <v>1596</v>
      </c>
      <c r="H205" t="s">
        <v>958</v>
      </c>
      <c r="I205" t="s">
        <v>1597</v>
      </c>
    </row>
    <row r="206" spans="7:9" x14ac:dyDescent="0.25">
      <c r="G206" t="s">
        <v>1598</v>
      </c>
      <c r="H206" t="s">
        <v>863</v>
      </c>
      <c r="I206" t="s">
        <v>1599</v>
      </c>
    </row>
    <row r="207" spans="7:9" x14ac:dyDescent="0.25">
      <c r="G207" t="s">
        <v>1600</v>
      </c>
      <c r="H207" t="s">
        <v>281</v>
      </c>
      <c r="I207" t="s">
        <v>1601</v>
      </c>
    </row>
    <row r="208" spans="7:9" x14ac:dyDescent="0.25">
      <c r="G208" t="s">
        <v>1602</v>
      </c>
      <c r="H208" t="s">
        <v>155</v>
      </c>
      <c r="I208" t="s">
        <v>1603</v>
      </c>
    </row>
    <row r="209" spans="7:9" x14ac:dyDescent="0.25">
      <c r="G209" t="s">
        <v>1604</v>
      </c>
      <c r="H209" t="s">
        <v>182</v>
      </c>
      <c r="I209" t="s">
        <v>1605</v>
      </c>
    </row>
    <row r="210" spans="7:9" x14ac:dyDescent="0.25">
      <c r="G210" t="s">
        <v>1606</v>
      </c>
      <c r="H210" t="s">
        <v>993</v>
      </c>
      <c r="I210" t="s">
        <v>1607</v>
      </c>
    </row>
    <row r="211" spans="7:9" x14ac:dyDescent="0.25">
      <c r="G211" t="s">
        <v>1608</v>
      </c>
      <c r="H211" t="s">
        <v>282</v>
      </c>
      <c r="I211" t="s">
        <v>1609</v>
      </c>
    </row>
    <row r="212" spans="7:9" x14ac:dyDescent="0.25">
      <c r="G212" t="s">
        <v>1610</v>
      </c>
      <c r="H212" t="s">
        <v>484</v>
      </c>
      <c r="I212" t="s">
        <v>1611</v>
      </c>
    </row>
    <row r="213" spans="7:9" x14ac:dyDescent="0.25">
      <c r="G213" t="s">
        <v>1612</v>
      </c>
      <c r="H213" t="s">
        <v>75</v>
      </c>
      <c r="I213" t="s">
        <v>1613</v>
      </c>
    </row>
    <row r="214" spans="7:9" x14ac:dyDescent="0.25">
      <c r="G214" t="s">
        <v>1614</v>
      </c>
      <c r="H214" t="s">
        <v>285</v>
      </c>
      <c r="I214" t="s">
        <v>1615</v>
      </c>
    </row>
    <row r="215" spans="7:9" x14ac:dyDescent="0.25">
      <c r="G215" t="s">
        <v>1616</v>
      </c>
      <c r="H215" t="s">
        <v>909</v>
      </c>
      <c r="I215" t="s">
        <v>1617</v>
      </c>
    </row>
    <row r="216" spans="7:9" x14ac:dyDescent="0.25">
      <c r="G216" t="s">
        <v>1618</v>
      </c>
      <c r="H216" t="s">
        <v>673</v>
      </c>
      <c r="I216" t="s">
        <v>1619</v>
      </c>
    </row>
    <row r="217" spans="7:9" x14ac:dyDescent="0.25">
      <c r="G217" t="s">
        <v>1620</v>
      </c>
      <c r="H217" t="s">
        <v>1621</v>
      </c>
      <c r="I217" t="s">
        <v>1622</v>
      </c>
    </row>
    <row r="218" spans="7:9" x14ac:dyDescent="0.25">
      <c r="G218" t="s">
        <v>1623</v>
      </c>
      <c r="H218" t="s">
        <v>230</v>
      </c>
      <c r="I218" t="s">
        <v>1624</v>
      </c>
    </row>
    <row r="219" spans="7:9" x14ac:dyDescent="0.25">
      <c r="G219" t="s">
        <v>1625</v>
      </c>
      <c r="H219" t="s">
        <v>1031</v>
      </c>
      <c r="I219" t="s">
        <v>1626</v>
      </c>
    </row>
    <row r="220" spans="7:9" x14ac:dyDescent="0.25">
      <c r="G220" t="s">
        <v>1627</v>
      </c>
      <c r="H220" t="s">
        <v>314</v>
      </c>
      <c r="I220" t="s">
        <v>1628</v>
      </c>
    </row>
    <row r="221" spans="7:9" x14ac:dyDescent="0.25">
      <c r="G221" t="s">
        <v>1629</v>
      </c>
      <c r="H221" t="s">
        <v>591</v>
      </c>
      <c r="I221" t="s">
        <v>1630</v>
      </c>
    </row>
    <row r="222" spans="7:9" x14ac:dyDescent="0.25">
      <c r="G222" t="s">
        <v>1631</v>
      </c>
      <c r="H222" t="s">
        <v>287</v>
      </c>
      <c r="I222" t="s">
        <v>1632</v>
      </c>
    </row>
    <row r="223" spans="7:9" x14ac:dyDescent="0.25">
      <c r="G223" t="s">
        <v>1633</v>
      </c>
      <c r="H223" t="s">
        <v>288</v>
      </c>
      <c r="I223" t="s">
        <v>1634</v>
      </c>
    </row>
    <row r="224" spans="7:9" x14ac:dyDescent="0.25">
      <c r="G224" t="s">
        <v>1635</v>
      </c>
      <c r="H224" t="s">
        <v>784</v>
      </c>
      <c r="I224" t="s">
        <v>1636</v>
      </c>
    </row>
    <row r="225" spans="7:9" x14ac:dyDescent="0.25">
      <c r="G225" t="s">
        <v>1637</v>
      </c>
      <c r="H225" t="s">
        <v>94</v>
      </c>
      <c r="I225" t="s">
        <v>1638</v>
      </c>
    </row>
    <row r="226" spans="7:9" x14ac:dyDescent="0.25">
      <c r="G226" t="s">
        <v>1639</v>
      </c>
      <c r="H226" t="s">
        <v>236</v>
      </c>
      <c r="I226" t="s">
        <v>1640</v>
      </c>
    </row>
    <row r="227" spans="7:9" x14ac:dyDescent="0.25">
      <c r="G227" t="s">
        <v>1641</v>
      </c>
      <c r="H227" t="s">
        <v>405</v>
      </c>
      <c r="I227" t="s">
        <v>1118</v>
      </c>
    </row>
    <row r="228" spans="7:9" x14ac:dyDescent="0.25">
      <c r="G228" t="s">
        <v>1642</v>
      </c>
      <c r="H228" t="s">
        <v>899</v>
      </c>
      <c r="I228" t="s">
        <v>1643</v>
      </c>
    </row>
    <row r="229" spans="7:9" x14ac:dyDescent="0.25">
      <c r="G229" t="s">
        <v>1644</v>
      </c>
      <c r="H229" t="s">
        <v>895</v>
      </c>
      <c r="I229" t="s">
        <v>1645</v>
      </c>
    </row>
    <row r="230" spans="7:9" x14ac:dyDescent="0.25">
      <c r="G230" t="s">
        <v>1646</v>
      </c>
      <c r="H230" t="s">
        <v>752</v>
      </c>
      <c r="I230" t="s">
        <v>1647</v>
      </c>
    </row>
    <row r="231" spans="7:9" x14ac:dyDescent="0.25">
      <c r="G231" t="s">
        <v>1648</v>
      </c>
      <c r="H231" t="s">
        <v>785</v>
      </c>
      <c r="I231" t="s">
        <v>1649</v>
      </c>
    </row>
    <row r="232" spans="7:9" x14ac:dyDescent="0.25">
      <c r="G232" t="s">
        <v>1650</v>
      </c>
      <c r="H232" t="s">
        <v>654</v>
      </c>
      <c r="I232" t="s">
        <v>1651</v>
      </c>
    </row>
    <row r="233" spans="7:9" x14ac:dyDescent="0.25">
      <c r="G233" t="s">
        <v>1652</v>
      </c>
      <c r="H233" t="s">
        <v>292</v>
      </c>
      <c r="I233" t="s">
        <v>1653</v>
      </c>
    </row>
    <row r="234" spans="7:9" x14ac:dyDescent="0.25">
      <c r="G234" t="s">
        <v>1654</v>
      </c>
      <c r="H234" t="s">
        <v>900</v>
      </c>
      <c r="I234" t="s">
        <v>1655</v>
      </c>
    </row>
    <row r="235" spans="7:9" x14ac:dyDescent="0.25">
      <c r="G235" t="s">
        <v>1656</v>
      </c>
      <c r="H235" t="s">
        <v>1657</v>
      </c>
      <c r="I235" t="s">
        <v>1658</v>
      </c>
    </row>
    <row r="236" spans="7:9" x14ac:dyDescent="0.25">
      <c r="G236" t="s">
        <v>1659</v>
      </c>
      <c r="H236" t="s">
        <v>786</v>
      </c>
      <c r="I236" t="s">
        <v>1660</v>
      </c>
    </row>
    <row r="237" spans="7:9" x14ac:dyDescent="0.25">
      <c r="G237" t="s">
        <v>1661</v>
      </c>
      <c r="H237" t="s">
        <v>1662</v>
      </c>
      <c r="I237" t="s">
        <v>1663</v>
      </c>
    </row>
    <row r="238" spans="7:9" x14ac:dyDescent="0.25">
      <c r="G238" t="s">
        <v>1664</v>
      </c>
      <c r="H238" t="s">
        <v>291</v>
      </c>
      <c r="I238" t="s">
        <v>1665</v>
      </c>
    </row>
    <row r="239" spans="7:9" x14ac:dyDescent="0.25">
      <c r="G239" t="s">
        <v>1666</v>
      </c>
      <c r="H239" t="s">
        <v>599</v>
      </c>
      <c r="I239" t="s">
        <v>1667</v>
      </c>
    </row>
    <row r="240" spans="7:9" x14ac:dyDescent="0.25">
      <c r="G240" t="s">
        <v>1668</v>
      </c>
      <c r="H240" t="s">
        <v>1669</v>
      </c>
      <c r="I240" t="s">
        <v>1129</v>
      </c>
    </row>
    <row r="241" spans="7:9" x14ac:dyDescent="0.25">
      <c r="G241" t="s">
        <v>1670</v>
      </c>
      <c r="H241" t="s">
        <v>78</v>
      </c>
      <c r="I241" t="s">
        <v>1671</v>
      </c>
    </row>
    <row r="242" spans="7:9" x14ac:dyDescent="0.25">
      <c r="G242" t="s">
        <v>1672</v>
      </c>
      <c r="H242" t="s">
        <v>46</v>
      </c>
      <c r="I242" t="s">
        <v>1673</v>
      </c>
    </row>
    <row r="243" spans="7:9" x14ac:dyDescent="0.25">
      <c r="G243" t="s">
        <v>1674</v>
      </c>
      <c r="H243" t="s">
        <v>105</v>
      </c>
      <c r="I243" t="s">
        <v>1128</v>
      </c>
    </row>
    <row r="244" spans="7:9" x14ac:dyDescent="0.25">
      <c r="G244" t="s">
        <v>1675</v>
      </c>
      <c r="H244" t="s">
        <v>73</v>
      </c>
      <c r="I244" t="s">
        <v>1676</v>
      </c>
    </row>
    <row r="245" spans="7:9" x14ac:dyDescent="0.25">
      <c r="G245" t="s">
        <v>1677</v>
      </c>
      <c r="H245" t="s">
        <v>294</v>
      </c>
      <c r="I245" t="s">
        <v>1678</v>
      </c>
    </row>
    <row r="246" spans="7:9" x14ac:dyDescent="0.25">
      <c r="G246" t="s">
        <v>1679</v>
      </c>
      <c r="H246" t="s">
        <v>1680</v>
      </c>
      <c r="I246" t="s">
        <v>1681</v>
      </c>
    </row>
    <row r="247" spans="7:9" x14ac:dyDescent="0.25">
      <c r="G247" t="s">
        <v>1682</v>
      </c>
      <c r="H247" t="s">
        <v>1683</v>
      </c>
      <c r="I247" t="s">
        <v>1684</v>
      </c>
    </row>
    <row r="248" spans="7:9" x14ac:dyDescent="0.25">
      <c r="G248" t="s">
        <v>1685</v>
      </c>
      <c r="H248" t="s">
        <v>300</v>
      </c>
      <c r="I248" t="s">
        <v>1686</v>
      </c>
    </row>
    <row r="249" spans="7:9" x14ac:dyDescent="0.25">
      <c r="G249" t="s">
        <v>1687</v>
      </c>
      <c r="H249" t="s">
        <v>301</v>
      </c>
      <c r="I249" t="s">
        <v>1688</v>
      </c>
    </row>
    <row r="250" spans="7:9" x14ac:dyDescent="0.25">
      <c r="G250" t="s">
        <v>1689</v>
      </c>
      <c r="H250" t="s">
        <v>305</v>
      </c>
      <c r="I250" t="s">
        <v>1690</v>
      </c>
    </row>
    <row r="251" spans="7:9" x14ac:dyDescent="0.25">
      <c r="G251" t="s">
        <v>1691</v>
      </c>
      <c r="H251" t="s">
        <v>749</v>
      </c>
      <c r="I251" t="s">
        <v>1692</v>
      </c>
    </row>
    <row r="252" spans="7:9" x14ac:dyDescent="0.25">
      <c r="G252" t="s">
        <v>1693</v>
      </c>
      <c r="H252" t="s">
        <v>135</v>
      </c>
      <c r="I252" t="s">
        <v>1694</v>
      </c>
    </row>
    <row r="253" spans="7:9" x14ac:dyDescent="0.25">
      <c r="G253" t="s">
        <v>1695</v>
      </c>
      <c r="H253" t="s">
        <v>351</v>
      </c>
      <c r="I253" t="s">
        <v>1112</v>
      </c>
    </row>
    <row r="254" spans="7:9" x14ac:dyDescent="0.25">
      <c r="G254" t="s">
        <v>1696</v>
      </c>
      <c r="H254" t="s">
        <v>360</v>
      </c>
      <c r="I254" t="s">
        <v>1697</v>
      </c>
    </row>
    <row r="255" spans="7:9" x14ac:dyDescent="0.25">
      <c r="G255" t="s">
        <v>1698</v>
      </c>
      <c r="H255" t="s">
        <v>1699</v>
      </c>
      <c r="I255" t="s">
        <v>1700</v>
      </c>
    </row>
    <row r="256" spans="7:9" x14ac:dyDescent="0.25">
      <c r="G256" t="s">
        <v>1701</v>
      </c>
      <c r="H256" t="s">
        <v>1702</v>
      </c>
      <c r="I256" t="s">
        <v>1703</v>
      </c>
    </row>
    <row r="257" spans="7:9" x14ac:dyDescent="0.25">
      <c r="G257" t="s">
        <v>1704</v>
      </c>
      <c r="H257" t="s">
        <v>787</v>
      </c>
      <c r="I257" t="s">
        <v>1705</v>
      </c>
    </row>
    <row r="258" spans="7:9" x14ac:dyDescent="0.25">
      <c r="G258" t="s">
        <v>1706</v>
      </c>
      <c r="H258" t="s">
        <v>1707</v>
      </c>
      <c r="I258" t="s">
        <v>1708</v>
      </c>
    </row>
    <row r="259" spans="7:9" x14ac:dyDescent="0.25">
      <c r="G259" t="s">
        <v>1709</v>
      </c>
      <c r="H259" t="s">
        <v>635</v>
      </c>
      <c r="I259" t="s">
        <v>1710</v>
      </c>
    </row>
    <row r="260" spans="7:9" x14ac:dyDescent="0.25">
      <c r="G260" t="s">
        <v>1711</v>
      </c>
      <c r="H260" t="s">
        <v>387</v>
      </c>
      <c r="I260" t="s">
        <v>1155</v>
      </c>
    </row>
    <row r="261" spans="7:9" x14ac:dyDescent="0.25">
      <c r="G261" t="s">
        <v>1712</v>
      </c>
      <c r="H261" t="s">
        <v>373</v>
      </c>
      <c r="I261" t="s">
        <v>1713</v>
      </c>
    </row>
    <row r="262" spans="7:9" x14ac:dyDescent="0.25">
      <c r="G262" t="s">
        <v>1714</v>
      </c>
      <c r="H262" t="s">
        <v>1715</v>
      </c>
      <c r="I262" t="s">
        <v>1716</v>
      </c>
    </row>
    <row r="263" spans="7:9" x14ac:dyDescent="0.25">
      <c r="G263" t="s">
        <v>1717</v>
      </c>
      <c r="H263" t="s">
        <v>481</v>
      </c>
      <c r="I263" t="s">
        <v>1718</v>
      </c>
    </row>
    <row r="264" spans="7:9" x14ac:dyDescent="0.25">
      <c r="G264" t="s">
        <v>1719</v>
      </c>
      <c r="H264" t="s">
        <v>1720</v>
      </c>
      <c r="I264" t="s">
        <v>1721</v>
      </c>
    </row>
    <row r="265" spans="7:9" x14ac:dyDescent="0.25">
      <c r="G265" t="s">
        <v>1722</v>
      </c>
      <c r="H265" t="s">
        <v>82</v>
      </c>
      <c r="I265" t="s">
        <v>1723</v>
      </c>
    </row>
    <row r="266" spans="7:9" x14ac:dyDescent="0.25">
      <c r="G266" t="s">
        <v>1724</v>
      </c>
      <c r="H266" t="s">
        <v>1725</v>
      </c>
      <c r="I266" t="s">
        <v>1726</v>
      </c>
    </row>
    <row r="267" spans="7:9" x14ac:dyDescent="0.25">
      <c r="G267" t="s">
        <v>1727</v>
      </c>
      <c r="H267" t="s">
        <v>312</v>
      </c>
      <c r="I267" t="s">
        <v>1728</v>
      </c>
    </row>
    <row r="268" spans="7:9" x14ac:dyDescent="0.25">
      <c r="G268" t="s">
        <v>1729</v>
      </c>
      <c r="H268" t="s">
        <v>231</v>
      </c>
      <c r="I268" t="s">
        <v>1730</v>
      </c>
    </row>
    <row r="269" spans="7:9" x14ac:dyDescent="0.25">
      <c r="G269" t="s">
        <v>1731</v>
      </c>
      <c r="H269" t="s">
        <v>774</v>
      </c>
      <c r="I269" t="s">
        <v>1732</v>
      </c>
    </row>
    <row r="270" spans="7:9" x14ac:dyDescent="0.25">
      <c r="G270" t="s">
        <v>1733</v>
      </c>
      <c r="H270" t="s">
        <v>1734</v>
      </c>
      <c r="I270" t="s">
        <v>1735</v>
      </c>
    </row>
    <row r="271" spans="7:9" x14ac:dyDescent="0.25">
      <c r="G271" t="s">
        <v>1736</v>
      </c>
      <c r="H271" t="s">
        <v>683</v>
      </c>
      <c r="I271" t="s">
        <v>1737</v>
      </c>
    </row>
    <row r="272" spans="7:9" x14ac:dyDescent="0.25">
      <c r="G272" t="s">
        <v>1738</v>
      </c>
      <c r="H272" t="s">
        <v>277</v>
      </c>
      <c r="I272" t="s">
        <v>1739</v>
      </c>
    </row>
    <row r="273" spans="7:9" x14ac:dyDescent="0.25">
      <c r="G273" t="s">
        <v>1740</v>
      </c>
      <c r="H273" t="s">
        <v>947</v>
      </c>
      <c r="I273" t="s">
        <v>1741</v>
      </c>
    </row>
    <row r="274" spans="7:9" x14ac:dyDescent="0.25">
      <c r="G274" t="s">
        <v>1742</v>
      </c>
      <c r="H274" t="s">
        <v>116</v>
      </c>
      <c r="I274" t="s">
        <v>1743</v>
      </c>
    </row>
    <row r="275" spans="7:9" x14ac:dyDescent="0.25">
      <c r="G275" t="s">
        <v>1744</v>
      </c>
      <c r="H275" t="s">
        <v>442</v>
      </c>
      <c r="I275" t="s">
        <v>1745</v>
      </c>
    </row>
    <row r="276" spans="7:9" x14ac:dyDescent="0.25">
      <c r="G276" t="s">
        <v>1746</v>
      </c>
      <c r="H276" t="s">
        <v>1747</v>
      </c>
      <c r="I276" t="s">
        <v>1748</v>
      </c>
    </row>
    <row r="277" spans="7:9" x14ac:dyDescent="0.25">
      <c r="G277" t="s">
        <v>1749</v>
      </c>
      <c r="H277" t="s">
        <v>689</v>
      </c>
      <c r="I277" t="s">
        <v>1750</v>
      </c>
    </row>
    <row r="278" spans="7:9" x14ac:dyDescent="0.25">
      <c r="G278" t="s">
        <v>1751</v>
      </c>
      <c r="H278" t="s">
        <v>1752</v>
      </c>
      <c r="I278" t="s">
        <v>1753</v>
      </c>
    </row>
    <row r="279" spans="7:9" x14ac:dyDescent="0.25">
      <c r="G279" t="s">
        <v>1754</v>
      </c>
      <c r="H279" t="s">
        <v>816</v>
      </c>
      <c r="I279" t="s">
        <v>1755</v>
      </c>
    </row>
    <row r="280" spans="7:9" x14ac:dyDescent="0.25">
      <c r="G280" t="s">
        <v>1756</v>
      </c>
      <c r="H280" t="s">
        <v>903</v>
      </c>
      <c r="I280" t="s">
        <v>1757</v>
      </c>
    </row>
    <row r="281" spans="7:9" x14ac:dyDescent="0.25">
      <c r="G281" t="s">
        <v>1758</v>
      </c>
      <c r="H281" t="s">
        <v>1759</v>
      </c>
      <c r="I281" t="s">
        <v>1760</v>
      </c>
    </row>
    <row r="282" spans="7:9" x14ac:dyDescent="0.25">
      <c r="G282" t="s">
        <v>1761</v>
      </c>
      <c r="H282" t="s">
        <v>321</v>
      </c>
      <c r="I282" t="s">
        <v>1762</v>
      </c>
    </row>
    <row r="283" spans="7:9" x14ac:dyDescent="0.25">
      <c r="G283" t="s">
        <v>1763</v>
      </c>
      <c r="H283" t="s">
        <v>790</v>
      </c>
      <c r="I283" t="s">
        <v>1764</v>
      </c>
    </row>
    <row r="284" spans="7:9" x14ac:dyDescent="0.25">
      <c r="G284" t="s">
        <v>1765</v>
      </c>
      <c r="H284" t="s">
        <v>322</v>
      </c>
      <c r="I284" t="s">
        <v>1766</v>
      </c>
    </row>
    <row r="285" spans="7:9" x14ac:dyDescent="0.25">
      <c r="G285" t="s">
        <v>1767</v>
      </c>
      <c r="H285" t="s">
        <v>323</v>
      </c>
      <c r="I285" t="s">
        <v>1768</v>
      </c>
    </row>
    <row r="286" spans="7:9" x14ac:dyDescent="0.25">
      <c r="G286" t="s">
        <v>1769</v>
      </c>
      <c r="H286" t="s">
        <v>316</v>
      </c>
      <c r="I286" t="s">
        <v>1770</v>
      </c>
    </row>
    <row r="287" spans="7:9" x14ac:dyDescent="0.25">
      <c r="G287" t="s">
        <v>1771</v>
      </c>
      <c r="H287" t="s">
        <v>1772</v>
      </c>
      <c r="I287" t="s">
        <v>1773</v>
      </c>
    </row>
    <row r="288" spans="7:9" x14ac:dyDescent="0.25">
      <c r="G288" t="s">
        <v>1774</v>
      </c>
      <c r="H288" t="s">
        <v>325</v>
      </c>
      <c r="I288" t="s">
        <v>1775</v>
      </c>
    </row>
    <row r="289" spans="7:9" x14ac:dyDescent="0.25">
      <c r="G289" t="s">
        <v>1776</v>
      </c>
      <c r="H289" t="s">
        <v>440</v>
      </c>
      <c r="I289" t="s">
        <v>1777</v>
      </c>
    </row>
    <row r="290" spans="7:9" x14ac:dyDescent="0.25">
      <c r="G290" t="s">
        <v>1778</v>
      </c>
      <c r="H290" t="s">
        <v>326</v>
      </c>
      <c r="I290" t="s">
        <v>1779</v>
      </c>
    </row>
    <row r="291" spans="7:9" x14ac:dyDescent="0.25">
      <c r="G291" t="s">
        <v>1780</v>
      </c>
      <c r="H291" t="s">
        <v>487</v>
      </c>
      <c r="I291" t="s">
        <v>1781</v>
      </c>
    </row>
    <row r="292" spans="7:9" x14ac:dyDescent="0.25">
      <c r="G292" t="s">
        <v>1782</v>
      </c>
      <c r="H292" t="s">
        <v>1783</v>
      </c>
      <c r="I292" t="s">
        <v>1784</v>
      </c>
    </row>
    <row r="293" spans="7:9" x14ac:dyDescent="0.25">
      <c r="G293" t="s">
        <v>1785</v>
      </c>
      <c r="H293" t="s">
        <v>14</v>
      </c>
      <c r="I293" t="s">
        <v>1786</v>
      </c>
    </row>
    <row r="294" spans="7:9" x14ac:dyDescent="0.25">
      <c r="G294" t="s">
        <v>1787</v>
      </c>
      <c r="H294" t="s">
        <v>328</v>
      </c>
      <c r="I294" t="s">
        <v>1788</v>
      </c>
    </row>
    <row r="295" spans="7:9" x14ac:dyDescent="0.25">
      <c r="G295" t="s">
        <v>1789</v>
      </c>
      <c r="H295" t="s">
        <v>329</v>
      </c>
      <c r="I295" t="s">
        <v>1790</v>
      </c>
    </row>
    <row r="296" spans="7:9" x14ac:dyDescent="0.25">
      <c r="G296" t="s">
        <v>1791</v>
      </c>
      <c r="H296" t="s">
        <v>331</v>
      </c>
      <c r="I296" t="s">
        <v>1792</v>
      </c>
    </row>
    <row r="297" spans="7:9" x14ac:dyDescent="0.25">
      <c r="G297" t="s">
        <v>1793</v>
      </c>
      <c r="H297" t="s">
        <v>27</v>
      </c>
      <c r="I297" t="s">
        <v>1107</v>
      </c>
    </row>
    <row r="298" spans="7:9" x14ac:dyDescent="0.25">
      <c r="G298" t="s">
        <v>1794</v>
      </c>
      <c r="H298" t="s">
        <v>332</v>
      </c>
      <c r="I298" t="s">
        <v>1795</v>
      </c>
    </row>
    <row r="299" spans="7:9" x14ac:dyDescent="0.25">
      <c r="G299" t="s">
        <v>1796</v>
      </c>
      <c r="H299" t="s">
        <v>333</v>
      </c>
      <c r="I299" t="s">
        <v>1797</v>
      </c>
    </row>
    <row r="300" spans="7:9" x14ac:dyDescent="0.25">
      <c r="G300" t="s">
        <v>1798</v>
      </c>
      <c r="H300" t="s">
        <v>334</v>
      </c>
      <c r="I300" t="s">
        <v>1148</v>
      </c>
    </row>
    <row r="301" spans="7:9" x14ac:dyDescent="0.25">
      <c r="G301" t="s">
        <v>1799</v>
      </c>
      <c r="H301" t="s">
        <v>335</v>
      </c>
      <c r="I301" t="s">
        <v>1800</v>
      </c>
    </row>
    <row r="302" spans="7:9" x14ac:dyDescent="0.25">
      <c r="G302" t="s">
        <v>1801</v>
      </c>
      <c r="H302" t="s">
        <v>336</v>
      </c>
      <c r="I302" t="s">
        <v>1802</v>
      </c>
    </row>
    <row r="303" spans="7:9" x14ac:dyDescent="0.25">
      <c r="G303" t="s">
        <v>1803</v>
      </c>
      <c r="H303" t="s">
        <v>286</v>
      </c>
      <c r="I303" t="s">
        <v>1804</v>
      </c>
    </row>
    <row r="304" spans="7:9" x14ac:dyDescent="0.25">
      <c r="G304" t="s">
        <v>1805</v>
      </c>
      <c r="H304" t="s">
        <v>354</v>
      </c>
      <c r="I304" t="s">
        <v>1806</v>
      </c>
    </row>
    <row r="305" spans="7:9" x14ac:dyDescent="0.25">
      <c r="G305" t="s">
        <v>1807</v>
      </c>
      <c r="H305" t="s">
        <v>893</v>
      </c>
      <c r="I305" t="s">
        <v>1808</v>
      </c>
    </row>
    <row r="306" spans="7:9" x14ac:dyDescent="0.25">
      <c r="G306" t="s">
        <v>1809</v>
      </c>
      <c r="H306" t="s">
        <v>687</v>
      </c>
      <c r="I306" t="s">
        <v>1810</v>
      </c>
    </row>
    <row r="307" spans="7:9" x14ac:dyDescent="0.25">
      <c r="G307" t="s">
        <v>1811</v>
      </c>
      <c r="H307" t="s">
        <v>951</v>
      </c>
      <c r="I307" t="s">
        <v>1812</v>
      </c>
    </row>
    <row r="308" spans="7:9" x14ac:dyDescent="0.25">
      <c r="G308" t="s">
        <v>1813</v>
      </c>
      <c r="H308" t="s">
        <v>1814</v>
      </c>
      <c r="I308" t="s">
        <v>1815</v>
      </c>
    </row>
    <row r="309" spans="7:9" x14ac:dyDescent="0.25">
      <c r="G309" t="s">
        <v>1816</v>
      </c>
      <c r="H309" t="s">
        <v>906</v>
      </c>
      <c r="I309" t="s">
        <v>1817</v>
      </c>
    </row>
    <row r="310" spans="7:9" x14ac:dyDescent="0.25">
      <c r="G310" t="s">
        <v>1818</v>
      </c>
      <c r="H310" t="s">
        <v>177</v>
      </c>
      <c r="I310" t="s">
        <v>1120</v>
      </c>
    </row>
    <row r="311" spans="7:9" x14ac:dyDescent="0.25">
      <c r="G311" t="s">
        <v>1819</v>
      </c>
      <c r="H311" t="s">
        <v>982</v>
      </c>
      <c r="I311" t="s">
        <v>1163</v>
      </c>
    </row>
    <row r="312" spans="7:9" x14ac:dyDescent="0.25">
      <c r="G312" t="s">
        <v>1820</v>
      </c>
      <c r="H312" t="s">
        <v>792</v>
      </c>
      <c r="I312" t="s">
        <v>1821</v>
      </c>
    </row>
    <row r="313" spans="7:9" x14ac:dyDescent="0.25">
      <c r="G313" t="s">
        <v>1822</v>
      </c>
      <c r="H313" t="s">
        <v>5</v>
      </c>
      <c r="I313" t="s">
        <v>1823</v>
      </c>
    </row>
    <row r="314" spans="7:9" x14ac:dyDescent="0.25">
      <c r="G314" t="s">
        <v>1824</v>
      </c>
      <c r="H314" t="s">
        <v>793</v>
      </c>
      <c r="I314" t="s">
        <v>1825</v>
      </c>
    </row>
    <row r="315" spans="7:9" x14ac:dyDescent="0.25">
      <c r="G315" t="s">
        <v>1826</v>
      </c>
      <c r="H315" t="s">
        <v>344</v>
      </c>
      <c r="I315" t="s">
        <v>1827</v>
      </c>
    </row>
    <row r="316" spans="7:9" x14ac:dyDescent="0.25">
      <c r="G316" t="s">
        <v>1828</v>
      </c>
      <c r="H316" t="s">
        <v>1829</v>
      </c>
      <c r="I316" t="s">
        <v>1830</v>
      </c>
    </row>
    <row r="317" spans="7:9" x14ac:dyDescent="0.25">
      <c r="G317" t="s">
        <v>1831</v>
      </c>
      <c r="H317" t="s">
        <v>299</v>
      </c>
      <c r="I317" t="s">
        <v>1164</v>
      </c>
    </row>
    <row r="318" spans="7:9" x14ac:dyDescent="0.25">
      <c r="G318" t="s">
        <v>1832</v>
      </c>
      <c r="H318" t="s">
        <v>1833</v>
      </c>
      <c r="I318" t="s">
        <v>1834</v>
      </c>
    </row>
    <row r="319" spans="7:9" x14ac:dyDescent="0.25">
      <c r="G319" t="s">
        <v>1835</v>
      </c>
      <c r="H319" t="s">
        <v>259</v>
      </c>
      <c r="I319" t="s">
        <v>1836</v>
      </c>
    </row>
    <row r="320" spans="7:9" x14ac:dyDescent="0.25">
      <c r="G320" t="s">
        <v>1837</v>
      </c>
      <c r="H320" t="s">
        <v>1838</v>
      </c>
      <c r="I320" t="s">
        <v>1839</v>
      </c>
    </row>
    <row r="321" spans="7:9" x14ac:dyDescent="0.25">
      <c r="G321" t="s">
        <v>1840</v>
      </c>
      <c r="H321" t="s">
        <v>347</v>
      </c>
      <c r="I321" t="s">
        <v>1841</v>
      </c>
    </row>
    <row r="322" spans="7:9" x14ac:dyDescent="0.25">
      <c r="G322" t="s">
        <v>1842</v>
      </c>
      <c r="H322" t="s">
        <v>780</v>
      </c>
      <c r="I322" t="s">
        <v>1843</v>
      </c>
    </row>
    <row r="323" spans="7:9" x14ac:dyDescent="0.25">
      <c r="G323" t="s">
        <v>1844</v>
      </c>
      <c r="H323" t="s">
        <v>349</v>
      </c>
      <c r="I323" t="s">
        <v>1845</v>
      </c>
    </row>
    <row r="324" spans="7:9" x14ac:dyDescent="0.25">
      <c r="G324" t="s">
        <v>1846</v>
      </c>
      <c r="H324" t="s">
        <v>350</v>
      </c>
      <c r="I324" t="s">
        <v>1847</v>
      </c>
    </row>
    <row r="325" spans="7:9" x14ac:dyDescent="0.25">
      <c r="G325" t="s">
        <v>1848</v>
      </c>
      <c r="H325" t="s">
        <v>359</v>
      </c>
      <c r="I325" t="s">
        <v>1849</v>
      </c>
    </row>
    <row r="326" spans="7:9" x14ac:dyDescent="0.25">
      <c r="G326" t="s">
        <v>1850</v>
      </c>
      <c r="H326" t="s">
        <v>439</v>
      </c>
      <c r="I326" t="s">
        <v>1851</v>
      </c>
    </row>
    <row r="327" spans="7:9" x14ac:dyDescent="0.25">
      <c r="G327" t="s">
        <v>1852</v>
      </c>
      <c r="H327" t="s">
        <v>352</v>
      </c>
      <c r="I327" t="s">
        <v>1853</v>
      </c>
    </row>
    <row r="328" spans="7:9" x14ac:dyDescent="0.25">
      <c r="G328" t="s">
        <v>1854</v>
      </c>
      <c r="H328" t="s">
        <v>1855</v>
      </c>
      <c r="I328" t="s">
        <v>1856</v>
      </c>
    </row>
    <row r="329" spans="7:9" x14ac:dyDescent="0.25">
      <c r="G329" t="s">
        <v>1857</v>
      </c>
      <c r="H329" t="s">
        <v>818</v>
      </c>
      <c r="I329" t="s">
        <v>1858</v>
      </c>
    </row>
    <row r="330" spans="7:9" x14ac:dyDescent="0.25">
      <c r="G330" t="s">
        <v>1859</v>
      </c>
      <c r="H330" t="s">
        <v>353</v>
      </c>
      <c r="I330" t="s">
        <v>1860</v>
      </c>
    </row>
    <row r="331" spans="7:9" x14ac:dyDescent="0.25">
      <c r="G331" t="s">
        <v>1861</v>
      </c>
      <c r="H331" t="s">
        <v>278</v>
      </c>
      <c r="I331" t="s">
        <v>1862</v>
      </c>
    </row>
    <row r="332" spans="7:9" x14ac:dyDescent="0.25">
      <c r="G332" t="s">
        <v>1863</v>
      </c>
      <c r="H332" t="s">
        <v>795</v>
      </c>
      <c r="I332" t="s">
        <v>1864</v>
      </c>
    </row>
    <row r="333" spans="7:9" x14ac:dyDescent="0.25">
      <c r="G333" t="s">
        <v>1865</v>
      </c>
      <c r="H333" t="s">
        <v>614</v>
      </c>
      <c r="I333" t="s">
        <v>1866</v>
      </c>
    </row>
    <row r="334" spans="7:9" x14ac:dyDescent="0.25">
      <c r="G334" t="s">
        <v>1867</v>
      </c>
      <c r="H334" t="s">
        <v>544</v>
      </c>
      <c r="I334" t="s">
        <v>1868</v>
      </c>
    </row>
    <row r="335" spans="7:9" x14ac:dyDescent="0.25">
      <c r="G335" t="s">
        <v>1869</v>
      </c>
      <c r="H335" t="s">
        <v>197</v>
      </c>
      <c r="I335" t="s">
        <v>1870</v>
      </c>
    </row>
    <row r="336" spans="7:9" x14ac:dyDescent="0.25">
      <c r="G336" t="s">
        <v>1871</v>
      </c>
      <c r="H336" t="s">
        <v>1872</v>
      </c>
      <c r="I336">
        <v>154270272</v>
      </c>
    </row>
    <row r="337" spans="7:9" x14ac:dyDescent="0.25">
      <c r="G337" t="s">
        <v>1873</v>
      </c>
      <c r="H337" t="s">
        <v>356</v>
      </c>
      <c r="I337" t="s">
        <v>1874</v>
      </c>
    </row>
    <row r="338" spans="7:9" x14ac:dyDescent="0.25">
      <c r="G338" t="s">
        <v>1875</v>
      </c>
      <c r="H338" t="s">
        <v>229</v>
      </c>
      <c r="I338" t="s">
        <v>1876</v>
      </c>
    </row>
    <row r="339" spans="7:9" x14ac:dyDescent="0.25">
      <c r="G339" t="s">
        <v>1877</v>
      </c>
      <c r="H339" t="s">
        <v>910</v>
      </c>
      <c r="I339" t="s">
        <v>1878</v>
      </c>
    </row>
    <row r="340" spans="7:9" x14ac:dyDescent="0.25">
      <c r="G340" t="s">
        <v>1879</v>
      </c>
      <c r="H340" t="s">
        <v>92</v>
      </c>
      <c r="I340" t="s">
        <v>1880</v>
      </c>
    </row>
    <row r="341" spans="7:9" x14ac:dyDescent="0.25">
      <c r="G341" t="s">
        <v>1881</v>
      </c>
      <c r="H341" t="s">
        <v>1882</v>
      </c>
      <c r="I341" t="s">
        <v>1883</v>
      </c>
    </row>
    <row r="342" spans="7:9" x14ac:dyDescent="0.25">
      <c r="G342" t="s">
        <v>1884</v>
      </c>
      <c r="H342" t="s">
        <v>86</v>
      </c>
      <c r="I342" t="s">
        <v>1885</v>
      </c>
    </row>
    <row r="343" spans="7:9" x14ac:dyDescent="0.25">
      <c r="G343" t="s">
        <v>1886</v>
      </c>
      <c r="H343" t="s">
        <v>652</v>
      </c>
      <c r="I343" t="s">
        <v>1887</v>
      </c>
    </row>
    <row r="344" spans="7:9" x14ac:dyDescent="0.25">
      <c r="G344" t="s">
        <v>1888</v>
      </c>
      <c r="H344" t="s">
        <v>20</v>
      </c>
      <c r="I344" t="s">
        <v>1889</v>
      </c>
    </row>
    <row r="345" spans="7:9" x14ac:dyDescent="0.25">
      <c r="G345" t="s">
        <v>1890</v>
      </c>
      <c r="H345" t="s">
        <v>1891</v>
      </c>
      <c r="I345" t="s">
        <v>1892</v>
      </c>
    </row>
    <row r="346" spans="7:9" x14ac:dyDescent="0.25">
      <c r="G346" t="s">
        <v>1893</v>
      </c>
      <c r="H346" t="s">
        <v>877</v>
      </c>
      <c r="I346" t="s">
        <v>1894</v>
      </c>
    </row>
    <row r="347" spans="7:9" x14ac:dyDescent="0.25">
      <c r="G347" t="s">
        <v>1895</v>
      </c>
      <c r="H347" t="s">
        <v>284</v>
      </c>
      <c r="I347" t="s">
        <v>1896</v>
      </c>
    </row>
    <row r="348" spans="7:9" x14ac:dyDescent="0.25">
      <c r="G348" t="s">
        <v>1897</v>
      </c>
      <c r="H348" t="s">
        <v>912</v>
      </c>
      <c r="I348" t="s">
        <v>1898</v>
      </c>
    </row>
    <row r="349" spans="7:9" x14ac:dyDescent="0.25">
      <c r="G349" t="s">
        <v>1899</v>
      </c>
      <c r="H349" t="s">
        <v>308</v>
      </c>
      <c r="I349" t="s">
        <v>1900</v>
      </c>
    </row>
    <row r="350" spans="7:9" x14ac:dyDescent="0.25">
      <c r="G350" t="s">
        <v>1901</v>
      </c>
      <c r="H350" t="s">
        <v>362</v>
      </c>
      <c r="I350" t="s">
        <v>1902</v>
      </c>
    </row>
    <row r="351" spans="7:9" x14ac:dyDescent="0.25">
      <c r="G351" t="s">
        <v>1903</v>
      </c>
      <c r="H351" t="s">
        <v>363</v>
      </c>
      <c r="I351" t="s">
        <v>1904</v>
      </c>
    </row>
    <row r="352" spans="7:9" x14ac:dyDescent="0.25">
      <c r="G352" t="s">
        <v>1905</v>
      </c>
      <c r="H352" t="s">
        <v>541</v>
      </c>
      <c r="I352" t="s">
        <v>1906</v>
      </c>
    </row>
    <row r="353" spans="7:9" x14ac:dyDescent="0.25">
      <c r="G353" t="s">
        <v>1907</v>
      </c>
      <c r="H353" t="s">
        <v>691</v>
      </c>
      <c r="I353" t="s">
        <v>1158</v>
      </c>
    </row>
    <row r="354" spans="7:9" x14ac:dyDescent="0.25">
      <c r="G354" t="s">
        <v>1908</v>
      </c>
      <c r="H354" t="s">
        <v>365</v>
      </c>
      <c r="I354" t="s">
        <v>1909</v>
      </c>
    </row>
    <row r="355" spans="7:9" x14ac:dyDescent="0.25">
      <c r="G355" t="s">
        <v>1910</v>
      </c>
      <c r="H355" t="s">
        <v>685</v>
      </c>
      <c r="I355" t="s">
        <v>1911</v>
      </c>
    </row>
    <row r="356" spans="7:9" x14ac:dyDescent="0.25">
      <c r="G356" t="s">
        <v>1912</v>
      </c>
      <c r="H356" t="s">
        <v>425</v>
      </c>
      <c r="I356" t="s">
        <v>1913</v>
      </c>
    </row>
    <row r="357" spans="7:9" x14ac:dyDescent="0.25">
      <c r="G357" t="s">
        <v>1914</v>
      </c>
      <c r="H357" t="s">
        <v>913</v>
      </c>
      <c r="I357" t="s">
        <v>1915</v>
      </c>
    </row>
    <row r="358" spans="7:9" x14ac:dyDescent="0.25">
      <c r="G358" t="s">
        <v>1916</v>
      </c>
      <c r="H358" t="s">
        <v>1917</v>
      </c>
      <c r="I358" t="s">
        <v>1918</v>
      </c>
    </row>
    <row r="359" spans="7:9" x14ac:dyDescent="0.25">
      <c r="G359" t="s">
        <v>1919</v>
      </c>
      <c r="H359" t="s">
        <v>89</v>
      </c>
      <c r="I359" t="s">
        <v>1920</v>
      </c>
    </row>
    <row r="360" spans="7:9" x14ac:dyDescent="0.25">
      <c r="G360" t="s">
        <v>1921</v>
      </c>
      <c r="H360" t="s">
        <v>368</v>
      </c>
      <c r="I360" t="s">
        <v>1922</v>
      </c>
    </row>
    <row r="361" spans="7:9" x14ac:dyDescent="0.25">
      <c r="G361" t="s">
        <v>1923</v>
      </c>
      <c r="H361" t="s">
        <v>1101</v>
      </c>
      <c r="I361" t="s">
        <v>1924</v>
      </c>
    </row>
    <row r="362" spans="7:9" x14ac:dyDescent="0.25">
      <c r="G362" t="s">
        <v>1925</v>
      </c>
      <c r="H362" t="s">
        <v>1926</v>
      </c>
      <c r="I362" t="s">
        <v>1927</v>
      </c>
    </row>
    <row r="363" spans="7:9" x14ac:dyDescent="0.25">
      <c r="G363" t="s">
        <v>1928</v>
      </c>
      <c r="H363" t="s">
        <v>460</v>
      </c>
      <c r="I363" t="s">
        <v>1929</v>
      </c>
    </row>
    <row r="364" spans="7:9" x14ac:dyDescent="0.25">
      <c r="G364" t="s">
        <v>1930</v>
      </c>
      <c r="H364" t="s">
        <v>91</v>
      </c>
      <c r="I364" t="s">
        <v>1931</v>
      </c>
    </row>
    <row r="365" spans="7:9" x14ac:dyDescent="0.25">
      <c r="G365" t="s">
        <v>1932</v>
      </c>
      <c r="H365" t="s">
        <v>370</v>
      </c>
      <c r="I365" t="s">
        <v>1933</v>
      </c>
    </row>
    <row r="366" spans="7:9" x14ac:dyDescent="0.25">
      <c r="G366" t="s">
        <v>1934</v>
      </c>
      <c r="H366" t="s">
        <v>371</v>
      </c>
      <c r="I366" t="s">
        <v>1935</v>
      </c>
    </row>
    <row r="367" spans="7:9" x14ac:dyDescent="0.25">
      <c r="G367" t="s">
        <v>1936</v>
      </c>
      <c r="H367" t="s">
        <v>1937</v>
      </c>
      <c r="I367">
        <v>267722250</v>
      </c>
    </row>
    <row r="368" spans="7:9" x14ac:dyDescent="0.25">
      <c r="G368" t="s">
        <v>1938</v>
      </c>
      <c r="H368" t="s">
        <v>206</v>
      </c>
      <c r="I368" t="s">
        <v>1939</v>
      </c>
    </row>
    <row r="369" spans="7:9" x14ac:dyDescent="0.25">
      <c r="G369" t="s">
        <v>1940</v>
      </c>
      <c r="H369" t="s">
        <v>18</v>
      </c>
      <c r="I369" t="s">
        <v>1941</v>
      </c>
    </row>
    <row r="370" spans="7:9" x14ac:dyDescent="0.25">
      <c r="G370" t="s">
        <v>1942</v>
      </c>
      <c r="H370" t="s">
        <v>604</v>
      </c>
      <c r="I370" t="s">
        <v>1943</v>
      </c>
    </row>
    <row r="371" spans="7:9" x14ac:dyDescent="0.25">
      <c r="G371" t="s">
        <v>1944</v>
      </c>
      <c r="H371" t="s">
        <v>374</v>
      </c>
      <c r="I371" t="s">
        <v>1945</v>
      </c>
    </row>
    <row r="372" spans="7:9" x14ac:dyDescent="0.25">
      <c r="G372" t="s">
        <v>1946</v>
      </c>
      <c r="H372" t="s">
        <v>233</v>
      </c>
      <c r="I372" t="s">
        <v>1947</v>
      </c>
    </row>
    <row r="373" spans="7:9" x14ac:dyDescent="0.25">
      <c r="G373" t="s">
        <v>1948</v>
      </c>
      <c r="H373" t="s">
        <v>93</v>
      </c>
      <c r="I373" t="s">
        <v>1949</v>
      </c>
    </row>
    <row r="374" spans="7:9" x14ac:dyDescent="0.25">
      <c r="G374" t="s">
        <v>1950</v>
      </c>
      <c r="H374" t="s">
        <v>210</v>
      </c>
      <c r="I374" t="s">
        <v>1951</v>
      </c>
    </row>
    <row r="375" spans="7:9" x14ac:dyDescent="0.25">
      <c r="G375" t="s">
        <v>1952</v>
      </c>
      <c r="H375" t="s">
        <v>491</v>
      </c>
      <c r="I375" t="s">
        <v>1953</v>
      </c>
    </row>
    <row r="376" spans="7:9" x14ac:dyDescent="0.25">
      <c r="G376" t="s">
        <v>1954</v>
      </c>
      <c r="H376" t="s">
        <v>95</v>
      </c>
      <c r="I376" t="s">
        <v>1169</v>
      </c>
    </row>
    <row r="377" spans="7:9" x14ac:dyDescent="0.25">
      <c r="G377" t="s">
        <v>1955</v>
      </c>
      <c r="H377" t="s">
        <v>103</v>
      </c>
      <c r="I377" t="s">
        <v>1956</v>
      </c>
    </row>
    <row r="378" spans="7:9" x14ac:dyDescent="0.25">
      <c r="G378" t="s">
        <v>1957</v>
      </c>
      <c r="H378" t="s">
        <v>377</v>
      </c>
      <c r="I378" t="s">
        <v>1958</v>
      </c>
    </row>
    <row r="379" spans="7:9" x14ac:dyDescent="0.25">
      <c r="G379" t="s">
        <v>1959</v>
      </c>
      <c r="H379" t="s">
        <v>378</v>
      </c>
      <c r="I379" t="s">
        <v>1960</v>
      </c>
    </row>
    <row r="380" spans="7:9" x14ac:dyDescent="0.25">
      <c r="G380" t="s">
        <v>1961</v>
      </c>
      <c r="H380" t="s">
        <v>1962</v>
      </c>
      <c r="I380" t="s">
        <v>1963</v>
      </c>
    </row>
    <row r="381" spans="7:9" x14ac:dyDescent="0.25">
      <c r="G381" t="s">
        <v>1964</v>
      </c>
      <c r="H381" t="s">
        <v>1028</v>
      </c>
      <c r="I381" t="s">
        <v>1965</v>
      </c>
    </row>
    <row r="382" spans="7:9" x14ac:dyDescent="0.25">
      <c r="G382" t="s">
        <v>1966</v>
      </c>
      <c r="H382" t="s">
        <v>1967</v>
      </c>
      <c r="I382" t="s">
        <v>1968</v>
      </c>
    </row>
    <row r="383" spans="7:9" x14ac:dyDescent="0.25">
      <c r="G383" t="s">
        <v>1969</v>
      </c>
      <c r="H383" t="s">
        <v>529</v>
      </c>
      <c r="I383" t="s">
        <v>1970</v>
      </c>
    </row>
    <row r="384" spans="7:9" x14ac:dyDescent="0.25">
      <c r="G384" t="s">
        <v>1971</v>
      </c>
      <c r="H384" t="s">
        <v>430</v>
      </c>
      <c r="I384" t="s">
        <v>1127</v>
      </c>
    </row>
    <row r="385" spans="7:9" x14ac:dyDescent="0.25">
      <c r="G385" t="s">
        <v>1972</v>
      </c>
      <c r="H385" t="s">
        <v>235</v>
      </c>
      <c r="I385" t="s">
        <v>1973</v>
      </c>
    </row>
    <row r="386" spans="7:9" x14ac:dyDescent="0.25">
      <c r="G386" t="s">
        <v>1974</v>
      </c>
      <c r="H386" t="s">
        <v>520</v>
      </c>
      <c r="I386" t="s">
        <v>1975</v>
      </c>
    </row>
    <row r="387" spans="7:9" x14ac:dyDescent="0.25">
      <c r="G387" t="s">
        <v>1976</v>
      </c>
      <c r="H387" t="s">
        <v>324</v>
      </c>
      <c r="I387" t="s">
        <v>1147</v>
      </c>
    </row>
    <row r="388" spans="7:9" x14ac:dyDescent="0.25">
      <c r="G388" t="s">
        <v>1977</v>
      </c>
      <c r="H388" t="s">
        <v>280</v>
      </c>
      <c r="I388" t="s">
        <v>1111</v>
      </c>
    </row>
    <row r="389" spans="7:9" x14ac:dyDescent="0.25">
      <c r="G389" t="s">
        <v>1978</v>
      </c>
      <c r="H389" t="s">
        <v>836</v>
      </c>
      <c r="I389" t="s">
        <v>1979</v>
      </c>
    </row>
    <row r="390" spans="7:9" x14ac:dyDescent="0.25">
      <c r="G390" t="s">
        <v>1980</v>
      </c>
      <c r="H390" t="s">
        <v>1981</v>
      </c>
      <c r="I390" t="s">
        <v>1154</v>
      </c>
    </row>
    <row r="391" spans="7:9" x14ac:dyDescent="0.25">
      <c r="G391" t="s">
        <v>1982</v>
      </c>
      <c r="H391" t="s">
        <v>918</v>
      </c>
      <c r="I391" t="s">
        <v>1983</v>
      </c>
    </row>
    <row r="392" spans="7:9" x14ac:dyDescent="0.25">
      <c r="G392" t="s">
        <v>1984</v>
      </c>
      <c r="H392" t="s">
        <v>800</v>
      </c>
      <c r="I392" t="s">
        <v>1985</v>
      </c>
    </row>
    <row r="393" spans="7:9" x14ac:dyDescent="0.25">
      <c r="G393" t="s">
        <v>1986</v>
      </c>
      <c r="H393" t="s">
        <v>719</v>
      </c>
      <c r="I393" t="s">
        <v>1987</v>
      </c>
    </row>
    <row r="394" spans="7:9" x14ac:dyDescent="0.25">
      <c r="G394" t="s">
        <v>1988</v>
      </c>
      <c r="H394" t="s">
        <v>1989</v>
      </c>
      <c r="I394" t="s">
        <v>1990</v>
      </c>
    </row>
    <row r="395" spans="7:9" x14ac:dyDescent="0.25">
      <c r="G395" t="s">
        <v>1991</v>
      </c>
      <c r="H395" t="s">
        <v>1992</v>
      </c>
      <c r="I395" t="s">
        <v>1993</v>
      </c>
    </row>
    <row r="396" spans="7:9" x14ac:dyDescent="0.25">
      <c r="G396" t="s">
        <v>1994</v>
      </c>
      <c r="H396" t="s">
        <v>37</v>
      </c>
      <c r="I396" t="s">
        <v>1995</v>
      </c>
    </row>
    <row r="397" spans="7:9" x14ac:dyDescent="0.25">
      <c r="G397" t="s">
        <v>1996</v>
      </c>
      <c r="H397" t="s">
        <v>158</v>
      </c>
      <c r="I397" t="s">
        <v>1997</v>
      </c>
    </row>
    <row r="398" spans="7:9" x14ac:dyDescent="0.25">
      <c r="G398" t="s">
        <v>1998</v>
      </c>
      <c r="H398" t="s">
        <v>385</v>
      </c>
      <c r="I398" t="s">
        <v>1999</v>
      </c>
    </row>
    <row r="399" spans="7:9" x14ac:dyDescent="0.25">
      <c r="G399" t="s">
        <v>2000</v>
      </c>
      <c r="H399" t="s">
        <v>2001</v>
      </c>
      <c r="I399" t="s">
        <v>2002</v>
      </c>
    </row>
    <row r="400" spans="7:9" x14ac:dyDescent="0.25">
      <c r="G400" t="s">
        <v>2003</v>
      </c>
      <c r="H400" t="s">
        <v>558</v>
      </c>
      <c r="I400" t="s">
        <v>2004</v>
      </c>
    </row>
    <row r="401" spans="7:9" x14ac:dyDescent="0.25">
      <c r="G401" t="s">
        <v>2005</v>
      </c>
      <c r="H401" t="s">
        <v>386</v>
      </c>
      <c r="I401" t="s">
        <v>2006</v>
      </c>
    </row>
    <row r="402" spans="7:9" x14ac:dyDescent="0.25">
      <c r="G402" t="s">
        <v>2007</v>
      </c>
      <c r="H402" t="s">
        <v>857</v>
      </c>
      <c r="I402" t="s">
        <v>2008</v>
      </c>
    </row>
    <row r="403" spans="7:9" x14ac:dyDescent="0.25">
      <c r="G403" t="s">
        <v>2009</v>
      </c>
      <c r="H403" t="s">
        <v>380</v>
      </c>
      <c r="I403" t="s">
        <v>2010</v>
      </c>
    </row>
    <row r="404" spans="7:9" x14ac:dyDescent="0.25">
      <c r="G404" t="s">
        <v>2011</v>
      </c>
      <c r="H404" t="s">
        <v>382</v>
      </c>
      <c r="I404" t="s">
        <v>1153</v>
      </c>
    </row>
    <row r="405" spans="7:9" x14ac:dyDescent="0.25">
      <c r="G405" t="s">
        <v>2012</v>
      </c>
      <c r="H405" t="s">
        <v>389</v>
      </c>
      <c r="I405" t="s">
        <v>2013</v>
      </c>
    </row>
    <row r="406" spans="7:9" x14ac:dyDescent="0.25">
      <c r="G406" t="s">
        <v>2014</v>
      </c>
      <c r="H406" t="s">
        <v>2015</v>
      </c>
      <c r="I406" t="s">
        <v>2016</v>
      </c>
    </row>
    <row r="407" spans="7:9" x14ac:dyDescent="0.25">
      <c r="G407" t="s">
        <v>2017</v>
      </c>
      <c r="H407" t="s">
        <v>957</v>
      </c>
      <c r="I407" t="s">
        <v>2018</v>
      </c>
    </row>
    <row r="408" spans="7:9" x14ac:dyDescent="0.25">
      <c r="G408" t="s">
        <v>2019</v>
      </c>
      <c r="H408" t="s">
        <v>438</v>
      </c>
      <c r="I408" t="s">
        <v>2020</v>
      </c>
    </row>
    <row r="409" spans="7:9" x14ac:dyDescent="0.25">
      <c r="G409" t="s">
        <v>2021</v>
      </c>
      <c r="H409" t="s">
        <v>896</v>
      </c>
      <c r="I409" t="s">
        <v>2022</v>
      </c>
    </row>
    <row r="410" spans="7:9" x14ac:dyDescent="0.25">
      <c r="G410" t="s">
        <v>2023</v>
      </c>
      <c r="H410" t="s">
        <v>919</v>
      </c>
      <c r="I410" t="s">
        <v>2024</v>
      </c>
    </row>
    <row r="411" spans="7:9" x14ac:dyDescent="0.25">
      <c r="G411" t="s">
        <v>2025</v>
      </c>
      <c r="H411" t="s">
        <v>925</v>
      </c>
      <c r="I411" t="s">
        <v>2026</v>
      </c>
    </row>
    <row r="412" spans="7:9" x14ac:dyDescent="0.25">
      <c r="G412" t="s">
        <v>2027</v>
      </c>
      <c r="H412" t="s">
        <v>2028</v>
      </c>
      <c r="I412" t="s">
        <v>2029</v>
      </c>
    </row>
    <row r="413" spans="7:9" x14ac:dyDescent="0.25">
      <c r="G413" t="s">
        <v>2030</v>
      </c>
      <c r="H413" t="s">
        <v>151</v>
      </c>
      <c r="I413" t="s">
        <v>1152</v>
      </c>
    </row>
    <row r="414" spans="7:9" x14ac:dyDescent="0.25">
      <c r="G414" t="s">
        <v>2031</v>
      </c>
      <c r="H414" t="s">
        <v>80</v>
      </c>
      <c r="I414" t="s">
        <v>2032</v>
      </c>
    </row>
    <row r="415" spans="7:9" x14ac:dyDescent="0.25">
      <c r="G415" t="s">
        <v>2033</v>
      </c>
      <c r="H415" t="s">
        <v>803</v>
      </c>
      <c r="I415" t="s">
        <v>2034</v>
      </c>
    </row>
    <row r="416" spans="7:9" x14ac:dyDescent="0.25">
      <c r="G416" t="s">
        <v>2035</v>
      </c>
      <c r="H416" t="s">
        <v>2036</v>
      </c>
      <c r="I416" t="s">
        <v>2037</v>
      </c>
    </row>
    <row r="417" spans="7:9" x14ac:dyDescent="0.25">
      <c r="G417" t="s">
        <v>2038</v>
      </c>
      <c r="H417" t="s">
        <v>97</v>
      </c>
      <c r="I417" t="s">
        <v>2039</v>
      </c>
    </row>
    <row r="418" spans="7:9" x14ac:dyDescent="0.25">
      <c r="G418" t="s">
        <v>2040</v>
      </c>
      <c r="H418" t="s">
        <v>2041</v>
      </c>
      <c r="I418" t="s">
        <v>2042</v>
      </c>
    </row>
    <row r="419" spans="7:9" x14ac:dyDescent="0.25">
      <c r="G419" t="s">
        <v>2043</v>
      </c>
      <c r="H419" t="s">
        <v>804</v>
      </c>
      <c r="I419" t="s">
        <v>2044</v>
      </c>
    </row>
    <row r="420" spans="7:9" x14ac:dyDescent="0.25">
      <c r="G420" t="s">
        <v>2045</v>
      </c>
      <c r="H420" t="s">
        <v>139</v>
      </c>
      <c r="I420" t="s">
        <v>2046</v>
      </c>
    </row>
    <row r="421" spans="7:9" x14ac:dyDescent="0.25">
      <c r="G421" t="s">
        <v>2047</v>
      </c>
      <c r="H421" t="s">
        <v>384</v>
      </c>
      <c r="I421" t="s">
        <v>2048</v>
      </c>
    </row>
    <row r="422" spans="7:9" x14ac:dyDescent="0.25">
      <c r="G422" t="s">
        <v>2049</v>
      </c>
      <c r="H422" t="s">
        <v>2050</v>
      </c>
      <c r="I422" t="s">
        <v>2051</v>
      </c>
    </row>
    <row r="423" spans="7:9" x14ac:dyDescent="0.25">
      <c r="G423" t="s">
        <v>2052</v>
      </c>
      <c r="H423" t="s">
        <v>435</v>
      </c>
      <c r="I423" t="s">
        <v>2053</v>
      </c>
    </row>
    <row r="424" spans="7:9" x14ac:dyDescent="0.25">
      <c r="G424" t="s">
        <v>2054</v>
      </c>
      <c r="H424" t="s">
        <v>2055</v>
      </c>
      <c r="I424" t="s">
        <v>2056</v>
      </c>
    </row>
    <row r="425" spans="7:9" x14ac:dyDescent="0.25">
      <c r="G425" t="s">
        <v>2057</v>
      </c>
      <c r="H425" t="s">
        <v>153</v>
      </c>
      <c r="I425" t="s">
        <v>2058</v>
      </c>
    </row>
    <row r="426" spans="7:9" x14ac:dyDescent="0.25">
      <c r="G426" t="s">
        <v>2059</v>
      </c>
      <c r="H426" t="s">
        <v>2060</v>
      </c>
      <c r="I426" t="s">
        <v>2061</v>
      </c>
    </row>
    <row r="427" spans="7:9" x14ac:dyDescent="0.25">
      <c r="G427" t="s">
        <v>2062</v>
      </c>
      <c r="H427" t="s">
        <v>633</v>
      </c>
      <c r="I427" t="s">
        <v>2063</v>
      </c>
    </row>
    <row r="428" spans="7:9" x14ac:dyDescent="0.25">
      <c r="G428" t="s">
        <v>2064</v>
      </c>
      <c r="H428" t="s">
        <v>63</v>
      </c>
      <c r="I428" t="s">
        <v>2065</v>
      </c>
    </row>
    <row r="429" spans="7:9" x14ac:dyDescent="0.25">
      <c r="G429" t="s">
        <v>2066</v>
      </c>
      <c r="H429" t="s">
        <v>404</v>
      </c>
      <c r="I429" t="s">
        <v>2067</v>
      </c>
    </row>
    <row r="430" spans="7:9" x14ac:dyDescent="0.25">
      <c r="G430" t="s">
        <v>2068</v>
      </c>
      <c r="H430" t="s">
        <v>617</v>
      </c>
      <c r="I430" t="s">
        <v>2069</v>
      </c>
    </row>
    <row r="431" spans="7:9" x14ac:dyDescent="0.25">
      <c r="G431" t="s">
        <v>2070</v>
      </c>
      <c r="H431" t="s">
        <v>677</v>
      </c>
      <c r="I431" t="s">
        <v>1146</v>
      </c>
    </row>
    <row r="432" spans="7:9" x14ac:dyDescent="0.25">
      <c r="G432" t="s">
        <v>2071</v>
      </c>
      <c r="H432" t="s">
        <v>805</v>
      </c>
      <c r="I432" t="s">
        <v>2072</v>
      </c>
    </row>
    <row r="433" spans="7:9" x14ac:dyDescent="0.25">
      <c r="G433" t="s">
        <v>2073</v>
      </c>
      <c r="H433" t="s">
        <v>415</v>
      </c>
      <c r="I433" t="s">
        <v>2074</v>
      </c>
    </row>
    <row r="434" spans="7:9" x14ac:dyDescent="0.25">
      <c r="G434" t="s">
        <v>2075</v>
      </c>
      <c r="H434" t="s">
        <v>2076</v>
      </c>
      <c r="I434" t="s">
        <v>2077</v>
      </c>
    </row>
    <row r="435" spans="7:9" x14ac:dyDescent="0.25">
      <c r="G435" t="s">
        <v>2078</v>
      </c>
      <c r="H435" t="s">
        <v>274</v>
      </c>
      <c r="I435" t="s">
        <v>2079</v>
      </c>
    </row>
    <row r="436" spans="7:9" x14ac:dyDescent="0.25">
      <c r="G436" t="s">
        <v>2080</v>
      </c>
      <c r="H436" t="s">
        <v>129</v>
      </c>
      <c r="I436" t="s">
        <v>2081</v>
      </c>
    </row>
    <row r="437" spans="7:9" x14ac:dyDescent="0.25">
      <c r="G437" t="s">
        <v>2082</v>
      </c>
      <c r="H437" t="s">
        <v>2083</v>
      </c>
      <c r="I437" t="s">
        <v>2084</v>
      </c>
    </row>
    <row r="438" spans="7:9" x14ac:dyDescent="0.25">
      <c r="G438" t="s">
        <v>2085</v>
      </c>
      <c r="H438" t="s">
        <v>923</v>
      </c>
      <c r="I438" t="s">
        <v>2086</v>
      </c>
    </row>
    <row r="439" spans="7:9" x14ac:dyDescent="0.25">
      <c r="G439" t="s">
        <v>2087</v>
      </c>
      <c r="H439" t="s">
        <v>916</v>
      </c>
      <c r="I439" t="s">
        <v>2088</v>
      </c>
    </row>
    <row r="440" spans="7:9" x14ac:dyDescent="0.25">
      <c r="G440" t="s">
        <v>2089</v>
      </c>
      <c r="H440" t="s">
        <v>2090</v>
      </c>
      <c r="I440" t="s">
        <v>2091</v>
      </c>
    </row>
    <row r="441" spans="7:9" x14ac:dyDescent="0.25">
      <c r="G441" t="s">
        <v>2092</v>
      </c>
      <c r="H441" t="s">
        <v>60</v>
      </c>
      <c r="I441" t="s">
        <v>2093</v>
      </c>
    </row>
    <row r="442" spans="7:9" x14ac:dyDescent="0.25">
      <c r="G442" t="s">
        <v>2094</v>
      </c>
      <c r="H442" t="s">
        <v>1001</v>
      </c>
      <c r="I442" t="s">
        <v>2095</v>
      </c>
    </row>
    <row r="443" spans="7:9" x14ac:dyDescent="0.25">
      <c r="G443" t="s">
        <v>2096</v>
      </c>
      <c r="H443" t="s">
        <v>2097</v>
      </c>
      <c r="I443" t="s">
        <v>2098</v>
      </c>
    </row>
    <row r="444" spans="7:9" x14ac:dyDescent="0.25">
      <c r="G444" t="s">
        <v>2099</v>
      </c>
      <c r="H444" t="s">
        <v>2100</v>
      </c>
      <c r="I444" t="s">
        <v>2101</v>
      </c>
    </row>
    <row r="445" spans="7:9" x14ac:dyDescent="0.25">
      <c r="G445" t="s">
        <v>2102</v>
      </c>
      <c r="H445" t="s">
        <v>241</v>
      </c>
      <c r="I445" t="s">
        <v>2103</v>
      </c>
    </row>
    <row r="446" spans="7:9" x14ac:dyDescent="0.25">
      <c r="G446" t="s">
        <v>2104</v>
      </c>
      <c r="H446" t="s">
        <v>2105</v>
      </c>
      <c r="I446" t="s">
        <v>2106</v>
      </c>
    </row>
    <row r="447" spans="7:9" x14ac:dyDescent="0.25">
      <c r="G447" t="s">
        <v>2107</v>
      </c>
      <c r="H447" t="s">
        <v>79</v>
      </c>
      <c r="I447" t="s">
        <v>2108</v>
      </c>
    </row>
    <row r="448" spans="7:9" x14ac:dyDescent="0.25">
      <c r="G448" t="s">
        <v>2109</v>
      </c>
      <c r="H448" t="s">
        <v>574</v>
      </c>
      <c r="I448" t="s">
        <v>2110</v>
      </c>
    </row>
    <row r="449" spans="7:9" x14ac:dyDescent="0.25">
      <c r="G449" t="s">
        <v>2111</v>
      </c>
      <c r="H449" t="s">
        <v>493</v>
      </c>
      <c r="I449" t="s">
        <v>2112</v>
      </c>
    </row>
    <row r="450" spans="7:9" x14ac:dyDescent="0.25">
      <c r="G450" t="s">
        <v>2113</v>
      </c>
      <c r="H450" t="s">
        <v>2114</v>
      </c>
      <c r="I450" t="s">
        <v>2115</v>
      </c>
    </row>
    <row r="451" spans="7:9" x14ac:dyDescent="0.25">
      <c r="G451" t="s">
        <v>2116</v>
      </c>
      <c r="H451" t="s">
        <v>865</v>
      </c>
      <c r="I451" t="s">
        <v>2117</v>
      </c>
    </row>
    <row r="452" spans="7:9" x14ac:dyDescent="0.25">
      <c r="G452" t="s">
        <v>2118</v>
      </c>
      <c r="H452" t="s">
        <v>2119</v>
      </c>
      <c r="I452" t="s">
        <v>2120</v>
      </c>
    </row>
    <row r="453" spans="7:9" x14ac:dyDescent="0.25">
      <c r="G453" t="s">
        <v>2121</v>
      </c>
      <c r="H453" t="s">
        <v>2122</v>
      </c>
      <c r="I453" t="s">
        <v>2123</v>
      </c>
    </row>
    <row r="454" spans="7:9" x14ac:dyDescent="0.25">
      <c r="G454" t="s">
        <v>2124</v>
      </c>
      <c r="H454" t="s">
        <v>444</v>
      </c>
      <c r="I454" t="s">
        <v>2125</v>
      </c>
    </row>
    <row r="455" spans="7:9" x14ac:dyDescent="0.25">
      <c r="G455" t="s">
        <v>2126</v>
      </c>
      <c r="H455" t="s">
        <v>40</v>
      </c>
      <c r="I455" t="s">
        <v>2127</v>
      </c>
    </row>
    <row r="456" spans="7:9" x14ac:dyDescent="0.25">
      <c r="G456" t="s">
        <v>2128</v>
      </c>
      <c r="H456" t="s">
        <v>618</v>
      </c>
      <c r="I456" t="s">
        <v>2129</v>
      </c>
    </row>
    <row r="457" spans="7:9" x14ac:dyDescent="0.25">
      <c r="G457" t="s">
        <v>2130</v>
      </c>
      <c r="H457" t="s">
        <v>2131</v>
      </c>
      <c r="I457" t="s">
        <v>2132</v>
      </c>
    </row>
    <row r="458" spans="7:9" x14ac:dyDescent="0.25">
      <c r="G458" t="s">
        <v>2133</v>
      </c>
      <c r="H458" t="s">
        <v>2134</v>
      </c>
      <c r="I458" t="s">
        <v>2135</v>
      </c>
    </row>
    <row r="459" spans="7:9" x14ac:dyDescent="0.25">
      <c r="G459" t="s">
        <v>2136</v>
      </c>
      <c r="H459" t="s">
        <v>64</v>
      </c>
      <c r="I459" t="s">
        <v>2137</v>
      </c>
    </row>
    <row r="460" spans="7:9" x14ac:dyDescent="0.25">
      <c r="G460" t="s">
        <v>2138</v>
      </c>
      <c r="H460" t="s">
        <v>58</v>
      </c>
      <c r="I460" t="s">
        <v>2139</v>
      </c>
    </row>
    <row r="461" spans="7:9" x14ac:dyDescent="0.25">
      <c r="G461" t="s">
        <v>2140</v>
      </c>
      <c r="H461" t="s">
        <v>132</v>
      </c>
      <c r="I461" t="s">
        <v>2141</v>
      </c>
    </row>
    <row r="462" spans="7:9" x14ac:dyDescent="0.25">
      <c r="G462" t="s">
        <v>2142</v>
      </c>
      <c r="H462" t="s">
        <v>2143</v>
      </c>
      <c r="I462" t="s">
        <v>2144</v>
      </c>
    </row>
    <row r="463" spans="7:9" x14ac:dyDescent="0.25">
      <c r="G463" t="s">
        <v>2145</v>
      </c>
      <c r="H463" t="s">
        <v>765</v>
      </c>
      <c r="I463" t="s">
        <v>2146</v>
      </c>
    </row>
    <row r="464" spans="7:9" x14ac:dyDescent="0.25">
      <c r="G464" t="s">
        <v>2147</v>
      </c>
      <c r="H464" t="s">
        <v>706</v>
      </c>
      <c r="I464" t="s">
        <v>2148</v>
      </c>
    </row>
    <row r="465" spans="7:9" x14ac:dyDescent="0.25">
      <c r="G465" t="s">
        <v>2149</v>
      </c>
      <c r="H465" t="s">
        <v>68</v>
      </c>
      <c r="I465" t="s">
        <v>2150</v>
      </c>
    </row>
    <row r="466" spans="7:9" x14ac:dyDescent="0.25">
      <c r="G466" t="s">
        <v>2151</v>
      </c>
      <c r="H466" t="s">
        <v>189</v>
      </c>
      <c r="I466" t="s">
        <v>2152</v>
      </c>
    </row>
    <row r="467" spans="7:9" x14ac:dyDescent="0.25">
      <c r="G467" t="s">
        <v>2153</v>
      </c>
      <c r="H467" t="s">
        <v>759</v>
      </c>
      <c r="I467" t="s">
        <v>2154</v>
      </c>
    </row>
    <row r="468" spans="7:9" x14ac:dyDescent="0.25">
      <c r="G468" t="s">
        <v>2155</v>
      </c>
      <c r="H468" t="s">
        <v>2156</v>
      </c>
      <c r="I468" t="s">
        <v>2157</v>
      </c>
    </row>
    <row r="469" spans="7:9" x14ac:dyDescent="0.25">
      <c r="G469" t="s">
        <v>2158</v>
      </c>
      <c r="H469" t="s">
        <v>212</v>
      </c>
      <c r="I469" t="s">
        <v>2159</v>
      </c>
    </row>
    <row r="470" spans="7:9" x14ac:dyDescent="0.25">
      <c r="G470" t="s">
        <v>2160</v>
      </c>
      <c r="H470" t="s">
        <v>107</v>
      </c>
      <c r="I470" t="s">
        <v>2161</v>
      </c>
    </row>
    <row r="471" spans="7:9" x14ac:dyDescent="0.25">
      <c r="G471" t="s">
        <v>2162</v>
      </c>
      <c r="H471" t="s">
        <v>1099</v>
      </c>
      <c r="I471" t="s">
        <v>2163</v>
      </c>
    </row>
    <row r="472" spans="7:9" x14ac:dyDescent="0.25">
      <c r="G472" t="s">
        <v>2164</v>
      </c>
      <c r="H472" t="s">
        <v>267</v>
      </c>
      <c r="I472" t="s">
        <v>2165</v>
      </c>
    </row>
    <row r="473" spans="7:9" x14ac:dyDescent="0.25">
      <c r="G473" t="s">
        <v>2166</v>
      </c>
      <c r="H473" t="s">
        <v>2167</v>
      </c>
      <c r="I473" t="s">
        <v>2168</v>
      </c>
    </row>
    <row r="474" spans="7:9" x14ac:dyDescent="0.25">
      <c r="G474" t="s">
        <v>2169</v>
      </c>
      <c r="H474" t="s">
        <v>304</v>
      </c>
      <c r="I474" t="s">
        <v>1145</v>
      </c>
    </row>
    <row r="475" spans="7:9" x14ac:dyDescent="0.25">
      <c r="G475" t="s">
        <v>2170</v>
      </c>
      <c r="H475" t="s">
        <v>173</v>
      </c>
      <c r="I475" t="s">
        <v>2171</v>
      </c>
    </row>
    <row r="476" spans="7:9" x14ac:dyDescent="0.25">
      <c r="G476" t="s">
        <v>2172</v>
      </c>
      <c r="H476" t="s">
        <v>9</v>
      </c>
      <c r="I476" t="s">
        <v>2173</v>
      </c>
    </row>
    <row r="477" spans="7:9" x14ac:dyDescent="0.25">
      <c r="G477" t="s">
        <v>2174</v>
      </c>
      <c r="H477" t="s">
        <v>798</v>
      </c>
      <c r="I477" t="s">
        <v>2175</v>
      </c>
    </row>
    <row r="478" spans="7:9" x14ac:dyDescent="0.25">
      <c r="G478" t="s">
        <v>2176</v>
      </c>
      <c r="H478" t="s">
        <v>1098</v>
      </c>
      <c r="I478" t="s">
        <v>2177</v>
      </c>
    </row>
    <row r="479" spans="7:9" x14ac:dyDescent="0.25">
      <c r="G479" t="s">
        <v>2178</v>
      </c>
      <c r="H479" t="s">
        <v>192</v>
      </c>
      <c r="I479" t="s">
        <v>2179</v>
      </c>
    </row>
    <row r="480" spans="7:9" x14ac:dyDescent="0.25">
      <c r="G480" t="s">
        <v>2180</v>
      </c>
      <c r="H480" t="s">
        <v>821</v>
      </c>
      <c r="I480" t="s">
        <v>2181</v>
      </c>
    </row>
    <row r="481" spans="7:9" x14ac:dyDescent="0.25">
      <c r="G481" t="s">
        <v>2182</v>
      </c>
      <c r="H481" t="s">
        <v>85</v>
      </c>
      <c r="I481" t="s">
        <v>2183</v>
      </c>
    </row>
    <row r="482" spans="7:9" x14ac:dyDescent="0.25">
      <c r="G482" t="s">
        <v>2184</v>
      </c>
      <c r="H482" t="s">
        <v>876</v>
      </c>
      <c r="I482" t="s">
        <v>1173</v>
      </c>
    </row>
    <row r="483" spans="7:9" x14ac:dyDescent="0.25">
      <c r="G483" t="s">
        <v>2185</v>
      </c>
      <c r="H483" t="s">
        <v>88</v>
      </c>
      <c r="I483" t="s">
        <v>1151</v>
      </c>
    </row>
    <row r="484" spans="7:9" x14ac:dyDescent="0.25">
      <c r="G484" t="s">
        <v>2186</v>
      </c>
      <c r="H484" t="s">
        <v>597</v>
      </c>
      <c r="I484" t="s">
        <v>2187</v>
      </c>
    </row>
    <row r="485" spans="7:9" x14ac:dyDescent="0.25">
      <c r="G485" t="s">
        <v>2188</v>
      </c>
      <c r="H485" t="s">
        <v>2189</v>
      </c>
      <c r="I485" t="s">
        <v>2190</v>
      </c>
    </row>
    <row r="486" spans="7:9" x14ac:dyDescent="0.25">
      <c r="G486" t="s">
        <v>2191</v>
      </c>
      <c r="H486" t="s">
        <v>403</v>
      </c>
      <c r="I486" t="s">
        <v>1117</v>
      </c>
    </row>
    <row r="487" spans="7:9" x14ac:dyDescent="0.25">
      <c r="G487" t="s">
        <v>2192</v>
      </c>
      <c r="H487" t="s">
        <v>2193</v>
      </c>
      <c r="I487" t="s">
        <v>2194</v>
      </c>
    </row>
    <row r="488" spans="7:9" x14ac:dyDescent="0.25">
      <c r="G488" t="s">
        <v>2195</v>
      </c>
      <c r="H488" t="s">
        <v>239</v>
      </c>
      <c r="I488" t="s">
        <v>2196</v>
      </c>
    </row>
    <row r="489" spans="7:9" x14ac:dyDescent="0.25">
      <c r="G489" t="s">
        <v>2197</v>
      </c>
      <c r="H489" t="s">
        <v>1024</v>
      </c>
      <c r="I489" t="s">
        <v>2198</v>
      </c>
    </row>
    <row r="490" spans="7:9" x14ac:dyDescent="0.25">
      <c r="G490" t="s">
        <v>2199</v>
      </c>
      <c r="H490" t="s">
        <v>1037</v>
      </c>
      <c r="I490" t="s">
        <v>2200</v>
      </c>
    </row>
    <row r="491" spans="7:9" x14ac:dyDescent="0.25">
      <c r="G491" t="s">
        <v>2201</v>
      </c>
      <c r="H491" t="s">
        <v>2202</v>
      </c>
      <c r="I491" t="s">
        <v>2203</v>
      </c>
    </row>
    <row r="492" spans="7:9" x14ac:dyDescent="0.25">
      <c r="G492" t="s">
        <v>2204</v>
      </c>
      <c r="H492" t="s">
        <v>1015</v>
      </c>
      <c r="I492" t="s">
        <v>2205</v>
      </c>
    </row>
    <row r="493" spans="7:9" x14ac:dyDescent="0.25">
      <c r="G493" t="s">
        <v>2206</v>
      </c>
      <c r="H493" t="s">
        <v>775</v>
      </c>
      <c r="I493" t="s">
        <v>2207</v>
      </c>
    </row>
    <row r="494" spans="7:9" x14ac:dyDescent="0.25">
      <c r="G494" t="s">
        <v>2208</v>
      </c>
      <c r="H494" t="s">
        <v>2209</v>
      </c>
      <c r="I494" t="s">
        <v>2210</v>
      </c>
    </row>
    <row r="495" spans="7:9" x14ac:dyDescent="0.25">
      <c r="G495" t="s">
        <v>2211</v>
      </c>
      <c r="H495" t="s">
        <v>926</v>
      </c>
      <c r="I495" t="s">
        <v>2212</v>
      </c>
    </row>
    <row r="496" spans="7:9" x14ac:dyDescent="0.25">
      <c r="G496" t="s">
        <v>2213</v>
      </c>
      <c r="H496" t="s">
        <v>167</v>
      </c>
      <c r="I496" t="s">
        <v>2214</v>
      </c>
    </row>
    <row r="497" spans="7:9" x14ac:dyDescent="0.25">
      <c r="G497" t="s">
        <v>2215</v>
      </c>
      <c r="H497" t="s">
        <v>392</v>
      </c>
      <c r="I497" t="s">
        <v>2216</v>
      </c>
    </row>
    <row r="498" spans="7:9" x14ac:dyDescent="0.25">
      <c r="G498" t="s">
        <v>2217</v>
      </c>
      <c r="H498" t="s">
        <v>421</v>
      </c>
      <c r="I498" t="s">
        <v>2218</v>
      </c>
    </row>
    <row r="499" spans="7:9" x14ac:dyDescent="0.25">
      <c r="G499" t="s">
        <v>2219</v>
      </c>
      <c r="H499" t="s">
        <v>2220</v>
      </c>
      <c r="I499" t="s">
        <v>2221</v>
      </c>
    </row>
    <row r="500" spans="7:9" x14ac:dyDescent="0.25">
      <c r="G500" t="s">
        <v>2222</v>
      </c>
      <c r="H500" t="s">
        <v>57</v>
      </c>
      <c r="I500" t="s">
        <v>2223</v>
      </c>
    </row>
    <row r="501" spans="7:9" x14ac:dyDescent="0.25">
      <c r="G501" t="s">
        <v>2224</v>
      </c>
      <c r="H501" t="s">
        <v>117</v>
      </c>
      <c r="I501" t="s">
        <v>2225</v>
      </c>
    </row>
    <row r="502" spans="7:9" x14ac:dyDescent="0.25">
      <c r="G502" t="s">
        <v>2226</v>
      </c>
      <c r="H502" t="s">
        <v>1102</v>
      </c>
      <c r="I502" t="s">
        <v>2227</v>
      </c>
    </row>
    <row r="503" spans="7:9" x14ac:dyDescent="0.25">
      <c r="G503" t="s">
        <v>2228</v>
      </c>
      <c r="H503" t="s">
        <v>1362</v>
      </c>
      <c r="I503" t="s">
        <v>1363</v>
      </c>
    </row>
    <row r="504" spans="7:9" x14ac:dyDescent="0.25">
      <c r="G504" t="s">
        <v>2229</v>
      </c>
      <c r="H504" t="s">
        <v>2230</v>
      </c>
      <c r="I504" t="s">
        <v>2231</v>
      </c>
    </row>
    <row r="505" spans="7:9" x14ac:dyDescent="0.25">
      <c r="G505" t="s">
        <v>2232</v>
      </c>
      <c r="H505" t="s">
        <v>30</v>
      </c>
      <c r="I505" t="s">
        <v>2233</v>
      </c>
    </row>
    <row r="506" spans="7:9" x14ac:dyDescent="0.25">
      <c r="G506" t="s">
        <v>2234</v>
      </c>
      <c r="H506" t="s">
        <v>2235</v>
      </c>
      <c r="I506" t="s">
        <v>2236</v>
      </c>
    </row>
    <row r="507" spans="7:9" x14ac:dyDescent="0.25">
      <c r="G507" t="s">
        <v>2237</v>
      </c>
      <c r="H507" t="s">
        <v>523</v>
      </c>
      <c r="I507" t="s">
        <v>2238</v>
      </c>
    </row>
    <row r="508" spans="7:9" x14ac:dyDescent="0.25">
      <c r="G508" t="s">
        <v>2239</v>
      </c>
      <c r="H508" t="s">
        <v>7</v>
      </c>
      <c r="I508" t="s">
        <v>2240</v>
      </c>
    </row>
    <row r="509" spans="7:9" x14ac:dyDescent="0.25">
      <c r="G509" t="s">
        <v>2241</v>
      </c>
      <c r="H509" t="s">
        <v>423</v>
      </c>
      <c r="I509" t="s">
        <v>2242</v>
      </c>
    </row>
    <row r="510" spans="7:9" x14ac:dyDescent="0.25">
      <c r="G510" t="s">
        <v>2243</v>
      </c>
      <c r="H510" t="s">
        <v>19</v>
      </c>
      <c r="I510" t="s">
        <v>2244</v>
      </c>
    </row>
    <row r="511" spans="7:9" x14ac:dyDescent="0.25">
      <c r="G511" t="s">
        <v>2245</v>
      </c>
      <c r="H511" t="s">
        <v>2246</v>
      </c>
      <c r="I511" t="s">
        <v>2247</v>
      </c>
    </row>
    <row r="512" spans="7:9" x14ac:dyDescent="0.25">
      <c r="G512" t="s">
        <v>2248</v>
      </c>
      <c r="H512" t="s">
        <v>723</v>
      </c>
      <c r="I512" t="s">
        <v>2249</v>
      </c>
    </row>
    <row r="513" spans="7:9" x14ac:dyDescent="0.25">
      <c r="G513" t="s">
        <v>2250</v>
      </c>
      <c r="H513" t="s">
        <v>778</v>
      </c>
      <c r="I513" t="s">
        <v>2251</v>
      </c>
    </row>
    <row r="514" spans="7:9" x14ac:dyDescent="0.25">
      <c r="G514" t="s">
        <v>2252</v>
      </c>
      <c r="H514" t="s">
        <v>2253</v>
      </c>
      <c r="I514" t="s">
        <v>2254</v>
      </c>
    </row>
    <row r="515" spans="7:9" x14ac:dyDescent="0.25">
      <c r="G515" t="s">
        <v>2255</v>
      </c>
      <c r="H515" t="s">
        <v>226</v>
      </c>
      <c r="I515" t="s">
        <v>2256</v>
      </c>
    </row>
    <row r="516" spans="7:9" x14ac:dyDescent="0.25">
      <c r="G516" t="s">
        <v>2257</v>
      </c>
      <c r="H516" t="s">
        <v>2258</v>
      </c>
      <c r="I516" t="s">
        <v>2259</v>
      </c>
    </row>
    <row r="517" spans="7:9" x14ac:dyDescent="0.25">
      <c r="G517" t="s">
        <v>2260</v>
      </c>
      <c r="H517" t="s">
        <v>2261</v>
      </c>
      <c r="I517" t="s">
        <v>2262</v>
      </c>
    </row>
    <row r="518" spans="7:9" x14ac:dyDescent="0.25">
      <c r="G518" t="s">
        <v>2263</v>
      </c>
      <c r="H518" t="s">
        <v>51</v>
      </c>
      <c r="I518" t="s">
        <v>2264</v>
      </c>
    </row>
    <row r="519" spans="7:9" x14ac:dyDescent="0.25">
      <c r="G519" t="s">
        <v>2265</v>
      </c>
      <c r="H519" t="s">
        <v>2266</v>
      </c>
      <c r="I519" t="s">
        <v>2267</v>
      </c>
    </row>
    <row r="520" spans="7:9" x14ac:dyDescent="0.25">
      <c r="G520" t="s">
        <v>2268</v>
      </c>
      <c r="H520" t="s">
        <v>2269</v>
      </c>
      <c r="I520" t="s">
        <v>2270</v>
      </c>
    </row>
    <row r="521" spans="7:9" x14ac:dyDescent="0.25">
      <c r="G521" t="s">
        <v>2271</v>
      </c>
      <c r="H521" t="s">
        <v>35</v>
      </c>
      <c r="I521" t="s">
        <v>1122</v>
      </c>
    </row>
    <row r="522" spans="7:9" x14ac:dyDescent="0.25">
      <c r="G522" t="s">
        <v>2272</v>
      </c>
      <c r="H522" t="s">
        <v>2273</v>
      </c>
      <c r="I522" t="s">
        <v>2274</v>
      </c>
    </row>
    <row r="523" spans="7:9" x14ac:dyDescent="0.25">
      <c r="G523" t="s">
        <v>2275</v>
      </c>
      <c r="H523" t="s">
        <v>2276</v>
      </c>
      <c r="I523" t="s">
        <v>2277</v>
      </c>
    </row>
    <row r="524" spans="7:9" x14ac:dyDescent="0.25">
      <c r="G524" t="s">
        <v>2278</v>
      </c>
      <c r="H524" t="s">
        <v>408</v>
      </c>
      <c r="I524" t="s">
        <v>2279</v>
      </c>
    </row>
    <row r="525" spans="7:9" x14ac:dyDescent="0.25">
      <c r="G525" t="s">
        <v>2280</v>
      </c>
      <c r="H525" t="s">
        <v>2281</v>
      </c>
      <c r="I525" t="s">
        <v>2282</v>
      </c>
    </row>
    <row r="526" spans="7:9" x14ac:dyDescent="0.25">
      <c r="G526" t="s">
        <v>2283</v>
      </c>
      <c r="H526" t="s">
        <v>2284</v>
      </c>
      <c r="I526" t="s">
        <v>2285</v>
      </c>
    </row>
    <row r="527" spans="7:9" x14ac:dyDescent="0.25">
      <c r="G527" t="s">
        <v>2286</v>
      </c>
      <c r="H527" t="s">
        <v>168</v>
      </c>
      <c r="I527" t="s">
        <v>2287</v>
      </c>
    </row>
    <row r="528" spans="7:9" x14ac:dyDescent="0.25">
      <c r="G528" t="s">
        <v>2288</v>
      </c>
      <c r="H528" t="s">
        <v>69</v>
      </c>
      <c r="I528" t="s">
        <v>1138</v>
      </c>
    </row>
    <row r="529" spans="7:9" x14ac:dyDescent="0.25">
      <c r="G529" t="s">
        <v>2289</v>
      </c>
      <c r="H529" t="s">
        <v>252</v>
      </c>
      <c r="I529" t="s">
        <v>2290</v>
      </c>
    </row>
    <row r="530" spans="7:9" x14ac:dyDescent="0.25">
      <c r="G530" t="s">
        <v>2291</v>
      </c>
      <c r="H530" t="s">
        <v>410</v>
      </c>
      <c r="I530" t="s">
        <v>2292</v>
      </c>
    </row>
    <row r="531" spans="7:9" x14ac:dyDescent="0.25">
      <c r="G531" t="s">
        <v>2293</v>
      </c>
      <c r="H531" t="s">
        <v>416</v>
      </c>
      <c r="I531" t="s">
        <v>2294</v>
      </c>
    </row>
    <row r="532" spans="7:9" x14ac:dyDescent="0.25">
      <c r="G532" t="s">
        <v>2295</v>
      </c>
      <c r="H532" t="s">
        <v>412</v>
      </c>
      <c r="I532" t="s">
        <v>2296</v>
      </c>
    </row>
    <row r="533" spans="7:9" x14ac:dyDescent="0.25">
      <c r="G533" t="s">
        <v>2297</v>
      </c>
      <c r="H533" t="s">
        <v>1027</v>
      </c>
      <c r="I533" t="s">
        <v>2298</v>
      </c>
    </row>
    <row r="534" spans="7:9" x14ac:dyDescent="0.25">
      <c r="G534" t="s">
        <v>2299</v>
      </c>
      <c r="H534" t="s">
        <v>413</v>
      </c>
      <c r="I534" t="s">
        <v>2300</v>
      </c>
    </row>
    <row r="535" spans="7:9" x14ac:dyDescent="0.25">
      <c r="G535" t="s">
        <v>2301</v>
      </c>
      <c r="H535" t="s">
        <v>693</v>
      </c>
      <c r="I535" t="s">
        <v>2302</v>
      </c>
    </row>
    <row r="536" spans="7:9" x14ac:dyDescent="0.25">
      <c r="G536" t="s">
        <v>2303</v>
      </c>
      <c r="H536" t="s">
        <v>771</v>
      </c>
      <c r="I536" t="s">
        <v>1121</v>
      </c>
    </row>
    <row r="537" spans="7:9" x14ac:dyDescent="0.25">
      <c r="G537" t="s">
        <v>2304</v>
      </c>
      <c r="H537" t="s">
        <v>414</v>
      </c>
      <c r="I537" t="s">
        <v>2305</v>
      </c>
    </row>
    <row r="538" spans="7:9" x14ac:dyDescent="0.25">
      <c r="G538" t="s">
        <v>2306</v>
      </c>
      <c r="H538" t="s">
        <v>306</v>
      </c>
      <c r="I538" t="s">
        <v>2307</v>
      </c>
    </row>
    <row r="539" spans="7:9" x14ac:dyDescent="0.25">
      <c r="G539" t="s">
        <v>2308</v>
      </c>
      <c r="H539" t="s">
        <v>592</v>
      </c>
      <c r="I539" t="s">
        <v>2309</v>
      </c>
    </row>
    <row r="540" spans="7:9" x14ac:dyDescent="0.25">
      <c r="G540" t="s">
        <v>2310</v>
      </c>
      <c r="H540" t="s">
        <v>2311</v>
      </c>
      <c r="I540" t="s">
        <v>2312</v>
      </c>
    </row>
    <row r="541" spans="7:9" x14ac:dyDescent="0.25">
      <c r="G541" t="s">
        <v>2313</v>
      </c>
      <c r="H541" t="s">
        <v>2314</v>
      </c>
      <c r="I541" t="s">
        <v>2315</v>
      </c>
    </row>
    <row r="542" spans="7:9" x14ac:dyDescent="0.25">
      <c r="G542" t="s">
        <v>2316</v>
      </c>
      <c r="H542" t="s">
        <v>2317</v>
      </c>
      <c r="I542" t="s">
        <v>2318</v>
      </c>
    </row>
    <row r="543" spans="7:9" x14ac:dyDescent="0.25">
      <c r="G543" t="s">
        <v>2319</v>
      </c>
      <c r="H543" t="s">
        <v>779</v>
      </c>
      <c r="I543" t="s">
        <v>2320</v>
      </c>
    </row>
    <row r="544" spans="7:9" x14ac:dyDescent="0.25">
      <c r="G544" t="s">
        <v>2321</v>
      </c>
      <c r="H544" t="s">
        <v>102</v>
      </c>
      <c r="I544" t="s">
        <v>2322</v>
      </c>
    </row>
    <row r="545" spans="7:9" x14ac:dyDescent="0.25">
      <c r="G545" t="s">
        <v>2323</v>
      </c>
      <c r="H545" t="s">
        <v>781</v>
      </c>
      <c r="I545" t="s">
        <v>2324</v>
      </c>
    </row>
    <row r="546" spans="7:9" x14ac:dyDescent="0.25">
      <c r="G546" t="s">
        <v>2325</v>
      </c>
      <c r="H546" t="s">
        <v>420</v>
      </c>
      <c r="I546" t="s">
        <v>2326</v>
      </c>
    </row>
    <row r="547" spans="7:9" x14ac:dyDescent="0.25">
      <c r="G547" t="s">
        <v>2327</v>
      </c>
      <c r="H547" t="s">
        <v>2328</v>
      </c>
      <c r="I547" t="s">
        <v>2329</v>
      </c>
    </row>
    <row r="548" spans="7:9" x14ac:dyDescent="0.25">
      <c r="G548" t="s">
        <v>2330</v>
      </c>
      <c r="H548" t="s">
        <v>2331</v>
      </c>
      <c r="I548" t="s">
        <v>2332</v>
      </c>
    </row>
    <row r="549" spans="7:9" x14ac:dyDescent="0.25">
      <c r="G549" t="s">
        <v>2333</v>
      </c>
      <c r="H549" t="s">
        <v>367</v>
      </c>
      <c r="I549" t="s">
        <v>2334</v>
      </c>
    </row>
    <row r="550" spans="7:9" x14ac:dyDescent="0.25">
      <c r="G550" t="s">
        <v>2335</v>
      </c>
      <c r="H550" t="s">
        <v>2336</v>
      </c>
      <c r="I550" t="s">
        <v>2337</v>
      </c>
    </row>
    <row r="551" spans="7:9" x14ac:dyDescent="0.25">
      <c r="G551" t="s">
        <v>2338</v>
      </c>
      <c r="H551" t="s">
        <v>2339</v>
      </c>
      <c r="I551" t="s">
        <v>2340</v>
      </c>
    </row>
    <row r="552" spans="7:9" x14ac:dyDescent="0.25">
      <c r="G552" t="s">
        <v>2341</v>
      </c>
      <c r="H552" t="s">
        <v>348</v>
      </c>
      <c r="I552" t="s">
        <v>2342</v>
      </c>
    </row>
    <row r="553" spans="7:9" x14ac:dyDescent="0.25">
      <c r="G553" t="s">
        <v>2343</v>
      </c>
      <c r="H553" t="s">
        <v>426</v>
      </c>
      <c r="I553" t="s">
        <v>2344</v>
      </c>
    </row>
    <row r="554" spans="7:9" x14ac:dyDescent="0.25">
      <c r="G554" t="s">
        <v>2345</v>
      </c>
      <c r="H554" t="s">
        <v>318</v>
      </c>
      <c r="I554" t="s">
        <v>2346</v>
      </c>
    </row>
    <row r="555" spans="7:9" x14ac:dyDescent="0.25">
      <c r="G555" t="s">
        <v>2347</v>
      </c>
      <c r="H555" t="s">
        <v>801</v>
      </c>
      <c r="I555" t="s">
        <v>2348</v>
      </c>
    </row>
    <row r="556" spans="7:9" x14ac:dyDescent="0.25">
      <c r="G556" t="s">
        <v>2349</v>
      </c>
      <c r="H556" t="s">
        <v>298</v>
      </c>
      <c r="I556" t="s">
        <v>2350</v>
      </c>
    </row>
    <row r="557" spans="7:9" x14ac:dyDescent="0.25">
      <c r="G557" t="s">
        <v>2351</v>
      </c>
      <c r="H557" t="s">
        <v>204</v>
      </c>
      <c r="I557" t="s">
        <v>2352</v>
      </c>
    </row>
    <row r="558" spans="7:9" x14ac:dyDescent="0.25">
      <c r="G558" t="s">
        <v>2353</v>
      </c>
      <c r="H558" t="s">
        <v>2354</v>
      </c>
      <c r="I558" t="s">
        <v>2355</v>
      </c>
    </row>
    <row r="559" spans="7:9" x14ac:dyDescent="0.25">
      <c r="G559" t="s">
        <v>2356</v>
      </c>
      <c r="H559" t="s">
        <v>631</v>
      </c>
      <c r="I559" t="s">
        <v>2357</v>
      </c>
    </row>
    <row r="560" spans="7:9" x14ac:dyDescent="0.25">
      <c r="G560" t="s">
        <v>2358</v>
      </c>
      <c r="H560" t="s">
        <v>1091</v>
      </c>
      <c r="I560" t="s">
        <v>2359</v>
      </c>
    </row>
    <row r="561" spans="7:9" x14ac:dyDescent="0.25">
      <c r="G561" t="s">
        <v>2360</v>
      </c>
      <c r="H561" t="s">
        <v>878</v>
      </c>
      <c r="I561" t="s">
        <v>2361</v>
      </c>
    </row>
    <row r="562" spans="7:9" x14ac:dyDescent="0.25">
      <c r="G562" t="s">
        <v>2362</v>
      </c>
      <c r="H562" t="s">
        <v>181</v>
      </c>
      <c r="I562" t="s">
        <v>2363</v>
      </c>
    </row>
    <row r="563" spans="7:9" x14ac:dyDescent="0.25">
      <c r="G563" t="s">
        <v>2364</v>
      </c>
      <c r="H563" t="s">
        <v>2365</v>
      </c>
      <c r="I563" t="s">
        <v>2366</v>
      </c>
    </row>
    <row r="564" spans="7:9" x14ac:dyDescent="0.25">
      <c r="G564" t="s">
        <v>2367</v>
      </c>
      <c r="H564" t="s">
        <v>436</v>
      </c>
      <c r="I564" t="s">
        <v>2368</v>
      </c>
    </row>
    <row r="565" spans="7:9" x14ac:dyDescent="0.25">
      <c r="G565" t="s">
        <v>2369</v>
      </c>
      <c r="H565" t="s">
        <v>249</v>
      </c>
      <c r="I565" t="s">
        <v>2370</v>
      </c>
    </row>
    <row r="566" spans="7:9" x14ac:dyDescent="0.25">
      <c r="G566" t="s">
        <v>2371</v>
      </c>
      <c r="H566" t="s">
        <v>2372</v>
      </c>
      <c r="I566" t="s">
        <v>2373</v>
      </c>
    </row>
    <row r="567" spans="7:9" x14ac:dyDescent="0.25">
      <c r="G567" t="s">
        <v>2374</v>
      </c>
      <c r="H567" t="s">
        <v>570</v>
      </c>
      <c r="I567" t="s">
        <v>2375</v>
      </c>
    </row>
    <row r="568" spans="7:9" x14ac:dyDescent="0.25">
      <c r="G568" t="s">
        <v>2376</v>
      </c>
      <c r="H568" t="s">
        <v>648</v>
      </c>
      <c r="I568" t="s">
        <v>2377</v>
      </c>
    </row>
    <row r="569" spans="7:9" x14ac:dyDescent="0.25">
      <c r="G569" t="s">
        <v>2378</v>
      </c>
      <c r="H569" t="s">
        <v>441</v>
      </c>
      <c r="I569" t="s">
        <v>2379</v>
      </c>
    </row>
    <row r="570" spans="7:9" x14ac:dyDescent="0.25">
      <c r="G570" t="s">
        <v>2380</v>
      </c>
      <c r="H570" t="s">
        <v>557</v>
      </c>
      <c r="I570" t="s">
        <v>2381</v>
      </c>
    </row>
    <row r="571" spans="7:9" x14ac:dyDescent="0.25">
      <c r="G571" t="s">
        <v>2382</v>
      </c>
      <c r="H571" t="s">
        <v>253</v>
      </c>
      <c r="I571" t="s">
        <v>1172</v>
      </c>
    </row>
    <row r="572" spans="7:9" x14ac:dyDescent="0.25">
      <c r="G572" t="s">
        <v>2383</v>
      </c>
      <c r="H572" t="s">
        <v>2384</v>
      </c>
      <c r="I572" t="s">
        <v>2385</v>
      </c>
    </row>
    <row r="573" spans="7:9" x14ac:dyDescent="0.25">
      <c r="G573" t="s">
        <v>2386</v>
      </c>
      <c r="H573" t="s">
        <v>999</v>
      </c>
      <c r="I573" t="s">
        <v>2387</v>
      </c>
    </row>
    <row r="574" spans="7:9" x14ac:dyDescent="0.25">
      <c r="G574" t="s">
        <v>2388</v>
      </c>
      <c r="H574" t="s">
        <v>431</v>
      </c>
      <c r="I574" t="s">
        <v>2389</v>
      </c>
    </row>
    <row r="575" spans="7:9" x14ac:dyDescent="0.25">
      <c r="G575" t="s">
        <v>2390</v>
      </c>
      <c r="H575" t="s">
        <v>858</v>
      </c>
      <c r="I575" t="s">
        <v>2391</v>
      </c>
    </row>
    <row r="576" spans="7:9" x14ac:dyDescent="0.25">
      <c r="G576" t="s">
        <v>2392</v>
      </c>
      <c r="H576" t="s">
        <v>446</v>
      </c>
      <c r="I576" t="s">
        <v>2393</v>
      </c>
    </row>
    <row r="577" spans="7:9" x14ac:dyDescent="0.25">
      <c r="G577" t="s">
        <v>2394</v>
      </c>
      <c r="H577" t="s">
        <v>2395</v>
      </c>
      <c r="I577" t="s">
        <v>2396</v>
      </c>
    </row>
    <row r="578" spans="7:9" x14ac:dyDescent="0.25">
      <c r="G578" t="s">
        <v>2397</v>
      </c>
      <c r="H578" t="s">
        <v>2398</v>
      </c>
      <c r="I578" t="s">
        <v>2399</v>
      </c>
    </row>
    <row r="579" spans="7:9" x14ac:dyDescent="0.25">
      <c r="G579" t="s">
        <v>2400</v>
      </c>
      <c r="H579" t="s">
        <v>106</v>
      </c>
      <c r="I579" t="s">
        <v>2401</v>
      </c>
    </row>
    <row r="580" spans="7:9" x14ac:dyDescent="0.25">
      <c r="G580" t="s">
        <v>2402</v>
      </c>
      <c r="H580" t="s">
        <v>1029</v>
      </c>
      <c r="I580" t="s">
        <v>2403</v>
      </c>
    </row>
    <row r="581" spans="7:9" x14ac:dyDescent="0.25">
      <c r="G581" t="s">
        <v>2404</v>
      </c>
      <c r="H581" t="s">
        <v>2405</v>
      </c>
      <c r="I581" t="s">
        <v>2406</v>
      </c>
    </row>
    <row r="582" spans="7:9" x14ac:dyDescent="0.25">
      <c r="G582" t="s">
        <v>2407</v>
      </c>
      <c r="H582" t="s">
        <v>451</v>
      </c>
      <c r="I582" t="s">
        <v>2408</v>
      </c>
    </row>
    <row r="583" spans="7:9" x14ac:dyDescent="0.25">
      <c r="G583" t="s">
        <v>2409</v>
      </c>
      <c r="H583" t="s">
        <v>698</v>
      </c>
      <c r="I583" t="s">
        <v>2410</v>
      </c>
    </row>
    <row r="584" spans="7:9" x14ac:dyDescent="0.25">
      <c r="G584" t="s">
        <v>2411</v>
      </c>
      <c r="H584" t="s">
        <v>927</v>
      </c>
      <c r="I584" t="s">
        <v>2412</v>
      </c>
    </row>
    <row r="585" spans="7:9" x14ac:dyDescent="0.25">
      <c r="G585" t="s">
        <v>2413</v>
      </c>
      <c r="H585" t="s">
        <v>66</v>
      </c>
      <c r="I585" t="s">
        <v>2414</v>
      </c>
    </row>
    <row r="586" spans="7:9" x14ac:dyDescent="0.25">
      <c r="G586" t="s">
        <v>2415</v>
      </c>
      <c r="H586" t="s">
        <v>983</v>
      </c>
      <c r="I586" t="s">
        <v>2416</v>
      </c>
    </row>
    <row r="587" spans="7:9" x14ac:dyDescent="0.25">
      <c r="G587" t="s">
        <v>2417</v>
      </c>
      <c r="H587" t="s">
        <v>452</v>
      </c>
      <c r="I587" t="s">
        <v>2418</v>
      </c>
    </row>
    <row r="588" spans="7:9" x14ac:dyDescent="0.25">
      <c r="G588" t="s">
        <v>2419</v>
      </c>
      <c r="H588" t="s">
        <v>2420</v>
      </c>
      <c r="I588" t="s">
        <v>2421</v>
      </c>
    </row>
    <row r="589" spans="7:9" x14ac:dyDescent="0.25">
      <c r="G589" t="s">
        <v>2422</v>
      </c>
      <c r="H589" t="s">
        <v>456</v>
      </c>
      <c r="I589" t="s">
        <v>2423</v>
      </c>
    </row>
    <row r="590" spans="7:9" x14ac:dyDescent="0.25">
      <c r="G590" t="s">
        <v>2424</v>
      </c>
      <c r="H590" t="s">
        <v>2425</v>
      </c>
      <c r="I590" t="s">
        <v>2426</v>
      </c>
    </row>
    <row r="591" spans="7:9" x14ac:dyDescent="0.25">
      <c r="G591" t="s">
        <v>2427</v>
      </c>
      <c r="H591" t="s">
        <v>700</v>
      </c>
      <c r="I591" t="s">
        <v>2428</v>
      </c>
    </row>
    <row r="592" spans="7:9" x14ac:dyDescent="0.25">
      <c r="G592" t="s">
        <v>2429</v>
      </c>
      <c r="H592" t="s">
        <v>928</v>
      </c>
      <c r="I592" t="s">
        <v>2430</v>
      </c>
    </row>
    <row r="593" spans="7:9" x14ac:dyDescent="0.25">
      <c r="G593" t="s">
        <v>2431</v>
      </c>
      <c r="H593" t="s">
        <v>2432</v>
      </c>
      <c r="I593" t="s">
        <v>2433</v>
      </c>
    </row>
    <row r="594" spans="7:9" x14ac:dyDescent="0.25">
      <c r="G594" t="s">
        <v>2434</v>
      </c>
      <c r="H594" t="s">
        <v>2435</v>
      </c>
      <c r="I594" t="s">
        <v>2436</v>
      </c>
    </row>
    <row r="595" spans="7:9" x14ac:dyDescent="0.25">
      <c r="G595" t="s">
        <v>2437</v>
      </c>
      <c r="H595" t="s">
        <v>455</v>
      </c>
      <c r="I595" t="s">
        <v>2438</v>
      </c>
    </row>
    <row r="596" spans="7:9" x14ac:dyDescent="0.25">
      <c r="G596" t="s">
        <v>2439</v>
      </c>
      <c r="H596" t="s">
        <v>929</v>
      </c>
      <c r="I596" t="s">
        <v>2440</v>
      </c>
    </row>
    <row r="597" spans="7:9" x14ac:dyDescent="0.25">
      <c r="G597" t="s">
        <v>2441</v>
      </c>
      <c r="H597" t="s">
        <v>178</v>
      </c>
      <c r="I597" t="s">
        <v>2442</v>
      </c>
    </row>
    <row r="598" spans="7:9" x14ac:dyDescent="0.25">
      <c r="G598" t="s">
        <v>2443</v>
      </c>
      <c r="H598" t="s">
        <v>211</v>
      </c>
      <c r="I598" t="s">
        <v>2444</v>
      </c>
    </row>
    <row r="599" spans="7:9" x14ac:dyDescent="0.25">
      <c r="G599" t="s">
        <v>2445</v>
      </c>
      <c r="H599" t="s">
        <v>457</v>
      </c>
      <c r="I599" t="s">
        <v>2446</v>
      </c>
    </row>
    <row r="600" spans="7:9" x14ac:dyDescent="0.25">
      <c r="G600" t="s">
        <v>2447</v>
      </c>
      <c r="H600" t="s">
        <v>959</v>
      </c>
      <c r="I600" t="s">
        <v>2448</v>
      </c>
    </row>
    <row r="601" spans="7:9" x14ac:dyDescent="0.25">
      <c r="G601" t="s">
        <v>2449</v>
      </c>
      <c r="H601" t="s">
        <v>2450</v>
      </c>
      <c r="I601" t="s">
        <v>2451</v>
      </c>
    </row>
    <row r="602" spans="7:9" x14ac:dyDescent="0.25">
      <c r="G602" t="s">
        <v>2452</v>
      </c>
      <c r="H602" t="s">
        <v>2453</v>
      </c>
      <c r="I602" t="s">
        <v>2454</v>
      </c>
    </row>
    <row r="603" spans="7:9" x14ac:dyDescent="0.25">
      <c r="G603" t="s">
        <v>2455</v>
      </c>
      <c r="H603" t="s">
        <v>1069</v>
      </c>
      <c r="I603" t="s">
        <v>2456</v>
      </c>
    </row>
    <row r="604" spans="7:9" x14ac:dyDescent="0.25">
      <c r="G604" t="s">
        <v>2457</v>
      </c>
      <c r="H604" t="s">
        <v>458</v>
      </c>
      <c r="I604" t="s">
        <v>2458</v>
      </c>
    </row>
    <row r="605" spans="7:9" x14ac:dyDescent="0.25">
      <c r="G605" t="s">
        <v>2459</v>
      </c>
      <c r="H605" t="s">
        <v>2460</v>
      </c>
      <c r="I605" t="s">
        <v>2461</v>
      </c>
    </row>
    <row r="606" spans="7:9" x14ac:dyDescent="0.25">
      <c r="G606" t="s">
        <v>2462</v>
      </c>
      <c r="H606" t="s">
        <v>702</v>
      </c>
      <c r="I606" t="s">
        <v>2463</v>
      </c>
    </row>
    <row r="607" spans="7:9" x14ac:dyDescent="0.25">
      <c r="G607" t="s">
        <v>2464</v>
      </c>
      <c r="H607" t="s">
        <v>704</v>
      </c>
      <c r="I607" t="s">
        <v>2465</v>
      </c>
    </row>
    <row r="608" spans="7:9" x14ac:dyDescent="0.25">
      <c r="G608" t="s">
        <v>2466</v>
      </c>
      <c r="H608" t="s">
        <v>2467</v>
      </c>
      <c r="I608" t="s">
        <v>2468</v>
      </c>
    </row>
    <row r="609" spans="7:9" x14ac:dyDescent="0.25">
      <c r="G609" t="s">
        <v>2469</v>
      </c>
      <c r="H609" t="s">
        <v>8</v>
      </c>
      <c r="I609" t="s">
        <v>2470</v>
      </c>
    </row>
    <row r="610" spans="7:9" x14ac:dyDescent="0.25">
      <c r="G610" t="s">
        <v>2471</v>
      </c>
      <c r="H610" t="s">
        <v>2472</v>
      </c>
      <c r="I610" t="s">
        <v>2473</v>
      </c>
    </row>
    <row r="611" spans="7:9" x14ac:dyDescent="0.25">
      <c r="G611" t="s">
        <v>2474</v>
      </c>
      <c r="H611" t="s">
        <v>2475</v>
      </c>
      <c r="I611" t="s">
        <v>2476</v>
      </c>
    </row>
    <row r="612" spans="7:9" x14ac:dyDescent="0.25">
      <c r="G612" t="s">
        <v>2477</v>
      </c>
      <c r="H612" t="s">
        <v>307</v>
      </c>
      <c r="I612" t="s">
        <v>2478</v>
      </c>
    </row>
    <row r="613" spans="7:9" x14ac:dyDescent="0.25">
      <c r="G613" t="s">
        <v>2479</v>
      </c>
      <c r="H613" t="s">
        <v>2480</v>
      </c>
      <c r="I613" t="s">
        <v>2481</v>
      </c>
    </row>
    <row r="614" spans="7:9" x14ac:dyDescent="0.25">
      <c r="G614" t="s">
        <v>2482</v>
      </c>
      <c r="H614" t="s">
        <v>256</v>
      </c>
      <c r="I614" t="s">
        <v>2483</v>
      </c>
    </row>
    <row r="615" spans="7:9" x14ac:dyDescent="0.25">
      <c r="G615" t="s">
        <v>2484</v>
      </c>
      <c r="H615" t="s">
        <v>2485</v>
      </c>
      <c r="I615" t="s">
        <v>2486</v>
      </c>
    </row>
    <row r="616" spans="7:9" x14ac:dyDescent="0.25">
      <c r="G616" t="s">
        <v>2487</v>
      </c>
      <c r="H616" t="s">
        <v>950</v>
      </c>
      <c r="I616" t="s">
        <v>2488</v>
      </c>
    </row>
    <row r="617" spans="7:9" x14ac:dyDescent="0.25">
      <c r="G617" t="s">
        <v>2489</v>
      </c>
      <c r="H617" t="s">
        <v>2490</v>
      </c>
      <c r="I617" t="s">
        <v>2491</v>
      </c>
    </row>
    <row r="618" spans="7:9" x14ac:dyDescent="0.25">
      <c r="G618" t="s">
        <v>2492</v>
      </c>
      <c r="H618" t="s">
        <v>2493</v>
      </c>
      <c r="I618" t="s">
        <v>2494</v>
      </c>
    </row>
    <row r="619" spans="7:9" x14ac:dyDescent="0.25">
      <c r="G619" t="s">
        <v>2495</v>
      </c>
      <c r="H619" t="s">
        <v>2496</v>
      </c>
      <c r="I619" t="s">
        <v>2497</v>
      </c>
    </row>
    <row r="620" spans="7:9" x14ac:dyDescent="0.25">
      <c r="G620" t="s">
        <v>2498</v>
      </c>
      <c r="H620" t="s">
        <v>110</v>
      </c>
      <c r="I620" t="s">
        <v>2499</v>
      </c>
    </row>
    <row r="621" spans="7:9" x14ac:dyDescent="0.25">
      <c r="G621" t="s">
        <v>2500</v>
      </c>
      <c r="H621" t="s">
        <v>463</v>
      </c>
      <c r="I621" t="s">
        <v>2501</v>
      </c>
    </row>
    <row r="622" spans="7:9" x14ac:dyDescent="0.25">
      <c r="G622" t="s">
        <v>2502</v>
      </c>
      <c r="H622" t="s">
        <v>811</v>
      </c>
      <c r="I622" t="s">
        <v>2503</v>
      </c>
    </row>
    <row r="623" spans="7:9" x14ac:dyDescent="0.25">
      <c r="G623" t="s">
        <v>2504</v>
      </c>
      <c r="H623" t="s">
        <v>777</v>
      </c>
      <c r="I623" t="s">
        <v>2505</v>
      </c>
    </row>
    <row r="624" spans="7:9" x14ac:dyDescent="0.25">
      <c r="G624" t="s">
        <v>2506</v>
      </c>
      <c r="H624" t="s">
        <v>465</v>
      </c>
      <c r="I624" t="s">
        <v>2507</v>
      </c>
    </row>
    <row r="625" spans="7:9" x14ac:dyDescent="0.25">
      <c r="G625" t="s">
        <v>2508</v>
      </c>
      <c r="H625" t="s">
        <v>1051</v>
      </c>
      <c r="I625" t="s">
        <v>2509</v>
      </c>
    </row>
    <row r="626" spans="7:9" x14ac:dyDescent="0.25">
      <c r="G626" t="s">
        <v>2510</v>
      </c>
      <c r="H626" t="s">
        <v>812</v>
      </c>
      <c r="I626" t="s">
        <v>2511</v>
      </c>
    </row>
    <row r="627" spans="7:9" x14ac:dyDescent="0.25">
      <c r="G627" t="s">
        <v>2512</v>
      </c>
      <c r="H627" t="s">
        <v>209</v>
      </c>
      <c r="I627" t="s">
        <v>2513</v>
      </c>
    </row>
    <row r="628" spans="7:9" x14ac:dyDescent="0.25">
      <c r="G628" t="s">
        <v>2514</v>
      </c>
      <c r="H628" t="s">
        <v>467</v>
      </c>
      <c r="I628" t="s">
        <v>2515</v>
      </c>
    </row>
    <row r="629" spans="7:9" x14ac:dyDescent="0.25">
      <c r="G629" t="s">
        <v>2516</v>
      </c>
      <c r="H629" t="s">
        <v>796</v>
      </c>
      <c r="I629" t="s">
        <v>2517</v>
      </c>
    </row>
    <row r="630" spans="7:9" x14ac:dyDescent="0.25">
      <c r="G630" t="s">
        <v>2518</v>
      </c>
      <c r="H630" t="s">
        <v>468</v>
      </c>
      <c r="I630" t="s">
        <v>2519</v>
      </c>
    </row>
    <row r="631" spans="7:9" x14ac:dyDescent="0.25">
      <c r="G631" t="s">
        <v>2520</v>
      </c>
      <c r="H631" t="s">
        <v>469</v>
      </c>
      <c r="I631" t="s">
        <v>2521</v>
      </c>
    </row>
    <row r="632" spans="7:9" x14ac:dyDescent="0.25">
      <c r="G632" t="s">
        <v>2522</v>
      </c>
      <c r="H632" t="s">
        <v>470</v>
      </c>
      <c r="I632" t="s">
        <v>2523</v>
      </c>
    </row>
    <row r="633" spans="7:9" x14ac:dyDescent="0.25">
      <c r="G633" t="s">
        <v>2524</v>
      </c>
      <c r="H633" t="s">
        <v>398</v>
      </c>
      <c r="I633" t="s">
        <v>2525</v>
      </c>
    </row>
    <row r="634" spans="7:9" x14ac:dyDescent="0.25">
      <c r="G634" t="s">
        <v>2526</v>
      </c>
      <c r="H634" t="s">
        <v>50</v>
      </c>
      <c r="I634" t="s">
        <v>2527</v>
      </c>
    </row>
    <row r="635" spans="7:9" x14ac:dyDescent="0.25">
      <c r="G635" t="s">
        <v>2528</v>
      </c>
      <c r="H635" t="s">
        <v>471</v>
      </c>
      <c r="I635" t="s">
        <v>2529</v>
      </c>
    </row>
    <row r="636" spans="7:9" x14ac:dyDescent="0.25">
      <c r="G636" t="s">
        <v>2530</v>
      </c>
      <c r="H636" t="s">
        <v>100</v>
      </c>
      <c r="I636" t="s">
        <v>2531</v>
      </c>
    </row>
    <row r="637" spans="7:9" x14ac:dyDescent="0.25">
      <c r="G637" t="s">
        <v>2532</v>
      </c>
      <c r="H637" t="s">
        <v>473</v>
      </c>
      <c r="I637" t="s">
        <v>2533</v>
      </c>
    </row>
    <row r="638" spans="7:9" x14ac:dyDescent="0.25">
      <c r="G638" t="s">
        <v>2534</v>
      </c>
      <c r="H638" t="s">
        <v>474</v>
      </c>
      <c r="I638" t="s">
        <v>2535</v>
      </c>
    </row>
    <row r="639" spans="7:9" x14ac:dyDescent="0.25">
      <c r="G639" t="s">
        <v>2536</v>
      </c>
      <c r="H639" t="s">
        <v>2537</v>
      </c>
      <c r="I639" t="s">
        <v>2538</v>
      </c>
    </row>
    <row r="640" spans="7:9" x14ac:dyDescent="0.25">
      <c r="G640" t="s">
        <v>2539</v>
      </c>
      <c r="H640" t="s">
        <v>815</v>
      </c>
      <c r="I640" t="s">
        <v>2540</v>
      </c>
    </row>
    <row r="641" spans="7:9" x14ac:dyDescent="0.25">
      <c r="G641" t="s">
        <v>2541</v>
      </c>
      <c r="H641" t="s">
        <v>2542</v>
      </c>
      <c r="I641" t="s">
        <v>2543</v>
      </c>
    </row>
    <row r="642" spans="7:9" x14ac:dyDescent="0.25">
      <c r="G642" t="s">
        <v>2544</v>
      </c>
      <c r="H642" t="s">
        <v>1080</v>
      </c>
      <c r="I642" t="s">
        <v>2545</v>
      </c>
    </row>
    <row r="643" spans="7:9" x14ac:dyDescent="0.25">
      <c r="G643" t="s">
        <v>2546</v>
      </c>
      <c r="H643" t="s">
        <v>2547</v>
      </c>
      <c r="I643" t="s">
        <v>2548</v>
      </c>
    </row>
    <row r="644" spans="7:9" x14ac:dyDescent="0.25">
      <c r="G644" t="s">
        <v>2549</v>
      </c>
      <c r="H644" t="s">
        <v>476</v>
      </c>
      <c r="I644" t="s">
        <v>2550</v>
      </c>
    </row>
    <row r="645" spans="7:9" x14ac:dyDescent="0.25">
      <c r="G645" t="s">
        <v>2551</v>
      </c>
      <c r="H645" t="s">
        <v>1011</v>
      </c>
      <c r="I645" t="s">
        <v>2552</v>
      </c>
    </row>
    <row r="646" spans="7:9" x14ac:dyDescent="0.25">
      <c r="G646" t="s">
        <v>2553</v>
      </c>
      <c r="H646" t="s">
        <v>2554</v>
      </c>
      <c r="I646" t="s">
        <v>2555</v>
      </c>
    </row>
    <row r="647" spans="7:9" x14ac:dyDescent="0.25">
      <c r="G647" t="s">
        <v>2556</v>
      </c>
      <c r="H647" t="s">
        <v>817</v>
      </c>
      <c r="I647" t="s">
        <v>2557</v>
      </c>
    </row>
    <row r="648" spans="7:9" x14ac:dyDescent="0.25">
      <c r="G648" t="s">
        <v>2558</v>
      </c>
      <c r="H648" t="s">
        <v>2559</v>
      </c>
      <c r="I648" t="s">
        <v>2560</v>
      </c>
    </row>
    <row r="649" spans="7:9" x14ac:dyDescent="0.25">
      <c r="G649" t="s">
        <v>2561</v>
      </c>
      <c r="H649" t="s">
        <v>960</v>
      </c>
      <c r="I649" t="s">
        <v>2562</v>
      </c>
    </row>
    <row r="650" spans="7:9" x14ac:dyDescent="0.25">
      <c r="G650" t="s">
        <v>2563</v>
      </c>
      <c r="H650" t="s">
        <v>930</v>
      </c>
      <c r="I650" t="s">
        <v>2564</v>
      </c>
    </row>
    <row r="651" spans="7:9" x14ac:dyDescent="0.25">
      <c r="G651" t="s">
        <v>2565</v>
      </c>
      <c r="H651" t="s">
        <v>477</v>
      </c>
      <c r="I651" t="s">
        <v>2566</v>
      </c>
    </row>
    <row r="652" spans="7:9" x14ac:dyDescent="0.25">
      <c r="G652" t="s">
        <v>2567</v>
      </c>
      <c r="H652" t="s">
        <v>2568</v>
      </c>
      <c r="I652" t="s">
        <v>2569</v>
      </c>
    </row>
    <row r="653" spans="7:9" x14ac:dyDescent="0.25">
      <c r="G653" t="s">
        <v>2570</v>
      </c>
      <c r="H653" t="s">
        <v>2571</v>
      </c>
      <c r="I653" t="s">
        <v>2572</v>
      </c>
    </row>
    <row r="654" spans="7:9" x14ac:dyDescent="0.25">
      <c r="G654" t="s">
        <v>2573</v>
      </c>
      <c r="H654" t="s">
        <v>24</v>
      </c>
      <c r="I654" t="s">
        <v>1131</v>
      </c>
    </row>
    <row r="655" spans="7:9" x14ac:dyDescent="0.25">
      <c r="G655" t="s">
        <v>2574</v>
      </c>
      <c r="H655" t="s">
        <v>819</v>
      </c>
      <c r="I655" t="s">
        <v>2575</v>
      </c>
    </row>
    <row r="656" spans="7:9" x14ac:dyDescent="0.25">
      <c r="G656" t="s">
        <v>2576</v>
      </c>
      <c r="H656" t="s">
        <v>113</v>
      </c>
      <c r="I656" t="s">
        <v>2577</v>
      </c>
    </row>
    <row r="657" spans="7:9" x14ac:dyDescent="0.25">
      <c r="G657" t="s">
        <v>2578</v>
      </c>
      <c r="H657" t="s">
        <v>2579</v>
      </c>
      <c r="I657" t="s">
        <v>2580</v>
      </c>
    </row>
    <row r="658" spans="7:9" x14ac:dyDescent="0.25">
      <c r="G658" t="s">
        <v>2581</v>
      </c>
      <c r="H658" t="s">
        <v>2582</v>
      </c>
      <c r="I658" t="s">
        <v>2583</v>
      </c>
    </row>
    <row r="659" spans="7:9" x14ac:dyDescent="0.25">
      <c r="G659" t="s">
        <v>2584</v>
      </c>
      <c r="H659" t="s">
        <v>478</v>
      </c>
      <c r="I659" t="s">
        <v>2585</v>
      </c>
    </row>
    <row r="660" spans="7:9" x14ac:dyDescent="0.25">
      <c r="G660" t="s">
        <v>2586</v>
      </c>
      <c r="H660" t="s">
        <v>479</v>
      </c>
      <c r="I660" t="s">
        <v>2587</v>
      </c>
    </row>
    <row r="661" spans="7:9" x14ac:dyDescent="0.25">
      <c r="G661" t="s">
        <v>2588</v>
      </c>
      <c r="H661" t="s">
        <v>820</v>
      </c>
      <c r="I661" t="s">
        <v>2589</v>
      </c>
    </row>
    <row r="662" spans="7:9" x14ac:dyDescent="0.25">
      <c r="G662" t="s">
        <v>2590</v>
      </c>
      <c r="H662" t="s">
        <v>7</v>
      </c>
      <c r="I662" t="s">
        <v>2591</v>
      </c>
    </row>
    <row r="663" spans="7:9" x14ac:dyDescent="0.25">
      <c r="G663" t="s">
        <v>2592</v>
      </c>
      <c r="H663" t="s">
        <v>480</v>
      </c>
      <c r="I663" t="s">
        <v>2593</v>
      </c>
    </row>
    <row r="664" spans="7:9" x14ac:dyDescent="0.25">
      <c r="G664" t="s">
        <v>2594</v>
      </c>
      <c r="H664" t="s">
        <v>2595</v>
      </c>
      <c r="I664" t="s">
        <v>2596</v>
      </c>
    </row>
    <row r="665" spans="7:9" x14ac:dyDescent="0.25">
      <c r="G665" t="s">
        <v>2597</v>
      </c>
      <c r="H665" t="s">
        <v>482</v>
      </c>
      <c r="I665" t="s">
        <v>2598</v>
      </c>
    </row>
    <row r="666" spans="7:9" x14ac:dyDescent="0.25">
      <c r="G666" t="s">
        <v>2599</v>
      </c>
      <c r="H666" t="s">
        <v>931</v>
      </c>
      <c r="I666" t="s">
        <v>2600</v>
      </c>
    </row>
    <row r="667" spans="7:9" x14ac:dyDescent="0.25">
      <c r="G667" t="s">
        <v>2601</v>
      </c>
      <c r="H667" t="s">
        <v>2602</v>
      </c>
      <c r="I667" t="s">
        <v>2603</v>
      </c>
    </row>
    <row r="668" spans="7:9" x14ac:dyDescent="0.25">
      <c r="G668" t="s">
        <v>2604</v>
      </c>
      <c r="H668" t="s">
        <v>2605</v>
      </c>
      <c r="I668" t="s">
        <v>2606</v>
      </c>
    </row>
    <row r="669" spans="7:9" x14ac:dyDescent="0.25">
      <c r="G669" t="s">
        <v>2607</v>
      </c>
      <c r="H669" t="s">
        <v>483</v>
      </c>
      <c r="I669" t="s">
        <v>2608</v>
      </c>
    </row>
    <row r="670" spans="7:9" x14ac:dyDescent="0.25">
      <c r="G670" t="s">
        <v>2609</v>
      </c>
      <c r="H670" t="s">
        <v>396</v>
      </c>
      <c r="I670" t="s">
        <v>1115</v>
      </c>
    </row>
    <row r="671" spans="7:9" x14ac:dyDescent="0.25">
      <c r="G671" t="s">
        <v>2610</v>
      </c>
      <c r="H671" t="s">
        <v>1081</v>
      </c>
      <c r="I671" t="s">
        <v>2611</v>
      </c>
    </row>
    <row r="672" spans="7:9" x14ac:dyDescent="0.25">
      <c r="G672" t="s">
        <v>2612</v>
      </c>
      <c r="H672" t="s">
        <v>489</v>
      </c>
      <c r="I672" t="s">
        <v>2613</v>
      </c>
    </row>
    <row r="673" spans="7:9" x14ac:dyDescent="0.25">
      <c r="G673" t="s">
        <v>2614</v>
      </c>
      <c r="H673" t="s">
        <v>2615</v>
      </c>
      <c r="I673" t="s">
        <v>2616</v>
      </c>
    </row>
    <row r="674" spans="7:9" x14ac:dyDescent="0.25">
      <c r="G674" t="s">
        <v>2617</v>
      </c>
      <c r="H674" t="s">
        <v>827</v>
      </c>
      <c r="I674" t="s">
        <v>2618</v>
      </c>
    </row>
    <row r="675" spans="7:9" x14ac:dyDescent="0.25">
      <c r="G675" t="s">
        <v>2619</v>
      </c>
      <c r="H675" t="s">
        <v>490</v>
      </c>
      <c r="I675" t="s">
        <v>2620</v>
      </c>
    </row>
    <row r="676" spans="7:9" x14ac:dyDescent="0.25">
      <c r="G676" t="s">
        <v>2621</v>
      </c>
      <c r="H676" t="s">
        <v>2622</v>
      </c>
      <c r="I676" t="s">
        <v>2623</v>
      </c>
    </row>
    <row r="677" spans="7:9" x14ac:dyDescent="0.25">
      <c r="G677" t="s">
        <v>2624</v>
      </c>
      <c r="H677" t="s">
        <v>881</v>
      </c>
      <c r="I677" t="s">
        <v>2625</v>
      </c>
    </row>
    <row r="678" spans="7:9" x14ac:dyDescent="0.25">
      <c r="G678" t="s">
        <v>2626</v>
      </c>
      <c r="H678" t="s">
        <v>789</v>
      </c>
      <c r="I678" t="s">
        <v>2627</v>
      </c>
    </row>
    <row r="679" spans="7:9" x14ac:dyDescent="0.25">
      <c r="G679" t="s">
        <v>2628</v>
      </c>
      <c r="H679" t="s">
        <v>62</v>
      </c>
      <c r="I679" t="s">
        <v>2629</v>
      </c>
    </row>
    <row r="680" spans="7:9" x14ac:dyDescent="0.25">
      <c r="G680" t="s">
        <v>2630</v>
      </c>
      <c r="H680" t="s">
        <v>492</v>
      </c>
      <c r="I680" t="s">
        <v>2631</v>
      </c>
    </row>
    <row r="681" spans="7:9" x14ac:dyDescent="0.25">
      <c r="G681" t="s">
        <v>2632</v>
      </c>
      <c r="H681" t="s">
        <v>2633</v>
      </c>
      <c r="I681" t="s">
        <v>2634</v>
      </c>
    </row>
    <row r="682" spans="7:9" x14ac:dyDescent="0.25">
      <c r="G682" t="s">
        <v>2635</v>
      </c>
      <c r="H682" t="s">
        <v>828</v>
      </c>
      <c r="I682" t="s">
        <v>2636</v>
      </c>
    </row>
    <row r="683" spans="7:9" x14ac:dyDescent="0.25">
      <c r="G683" t="s">
        <v>2637</v>
      </c>
      <c r="H683" t="s">
        <v>2638</v>
      </c>
      <c r="I683" t="s">
        <v>2639</v>
      </c>
    </row>
    <row r="684" spans="7:9" x14ac:dyDescent="0.25">
      <c r="G684" t="s">
        <v>2640</v>
      </c>
      <c r="H684" t="s">
        <v>2641</v>
      </c>
      <c r="I684" t="s">
        <v>2642</v>
      </c>
    </row>
    <row r="685" spans="7:9" x14ac:dyDescent="0.25">
      <c r="G685" t="s">
        <v>2643</v>
      </c>
      <c r="H685" t="s">
        <v>49</v>
      </c>
      <c r="I685" t="s">
        <v>2644</v>
      </c>
    </row>
    <row r="686" spans="7:9" x14ac:dyDescent="0.25">
      <c r="G686" t="s">
        <v>2645</v>
      </c>
      <c r="H686" t="s">
        <v>495</v>
      </c>
      <c r="I686" t="s">
        <v>2646</v>
      </c>
    </row>
    <row r="687" spans="7:9" x14ac:dyDescent="0.25">
      <c r="G687" t="s">
        <v>2647</v>
      </c>
      <c r="H687" t="s">
        <v>496</v>
      </c>
      <c r="I687" t="s">
        <v>2648</v>
      </c>
    </row>
    <row r="688" spans="7:9" x14ac:dyDescent="0.25">
      <c r="G688" t="s">
        <v>2649</v>
      </c>
      <c r="H688" t="s">
        <v>830</v>
      </c>
      <c r="I688" t="s">
        <v>2650</v>
      </c>
    </row>
    <row r="689" spans="7:9" x14ac:dyDescent="0.25">
      <c r="G689" t="s">
        <v>2651</v>
      </c>
      <c r="H689" t="s">
        <v>2652</v>
      </c>
      <c r="I689" t="s">
        <v>2653</v>
      </c>
    </row>
    <row r="690" spans="7:9" x14ac:dyDescent="0.25">
      <c r="G690" t="s">
        <v>2654</v>
      </c>
      <c r="H690" t="s">
        <v>26</v>
      </c>
      <c r="I690" t="s">
        <v>2655</v>
      </c>
    </row>
    <row r="691" spans="7:9" x14ac:dyDescent="0.25">
      <c r="G691" t="s">
        <v>2656</v>
      </c>
      <c r="H691" t="s">
        <v>203</v>
      </c>
      <c r="I691" t="s">
        <v>2657</v>
      </c>
    </row>
    <row r="692" spans="7:9" x14ac:dyDescent="0.25">
      <c r="G692" t="s">
        <v>2658</v>
      </c>
      <c r="H692" t="s">
        <v>499</v>
      </c>
      <c r="I692" t="s">
        <v>2659</v>
      </c>
    </row>
    <row r="693" spans="7:9" x14ac:dyDescent="0.25">
      <c r="G693" t="s">
        <v>2660</v>
      </c>
      <c r="H693" t="s">
        <v>497</v>
      </c>
      <c r="I693" t="s">
        <v>2661</v>
      </c>
    </row>
    <row r="694" spans="7:9" x14ac:dyDescent="0.25">
      <c r="G694" t="s">
        <v>2662</v>
      </c>
      <c r="H694" t="s">
        <v>1003</v>
      </c>
      <c r="I694" t="s">
        <v>2663</v>
      </c>
    </row>
    <row r="695" spans="7:9" x14ac:dyDescent="0.25">
      <c r="G695" t="s">
        <v>2664</v>
      </c>
      <c r="H695" t="s">
        <v>500</v>
      </c>
      <c r="I695" t="s">
        <v>2665</v>
      </c>
    </row>
    <row r="696" spans="7:9" x14ac:dyDescent="0.25">
      <c r="G696" t="s">
        <v>2666</v>
      </c>
      <c r="H696" t="s">
        <v>2667</v>
      </c>
      <c r="I696" t="s">
        <v>2668</v>
      </c>
    </row>
    <row r="697" spans="7:9" x14ac:dyDescent="0.25">
      <c r="G697" t="s">
        <v>2669</v>
      </c>
      <c r="H697" t="s">
        <v>501</v>
      </c>
      <c r="I697" t="s">
        <v>2670</v>
      </c>
    </row>
    <row r="698" spans="7:9" x14ac:dyDescent="0.25">
      <c r="G698" t="s">
        <v>2671</v>
      </c>
      <c r="H698" t="s">
        <v>712</v>
      </c>
      <c r="I698" t="s">
        <v>2672</v>
      </c>
    </row>
    <row r="699" spans="7:9" x14ac:dyDescent="0.25">
      <c r="G699" t="s">
        <v>2673</v>
      </c>
      <c r="H699" t="s">
        <v>832</v>
      </c>
      <c r="I699" t="s">
        <v>2674</v>
      </c>
    </row>
    <row r="700" spans="7:9" x14ac:dyDescent="0.25">
      <c r="G700" t="s">
        <v>2675</v>
      </c>
      <c r="H700" t="s">
        <v>933</v>
      </c>
      <c r="I700" t="s">
        <v>2676</v>
      </c>
    </row>
    <row r="701" spans="7:9" x14ac:dyDescent="0.25">
      <c r="G701" t="s">
        <v>2677</v>
      </c>
      <c r="H701" t="s">
        <v>502</v>
      </c>
      <c r="I701" t="s">
        <v>2678</v>
      </c>
    </row>
    <row r="702" spans="7:9" x14ac:dyDescent="0.25">
      <c r="G702" t="s">
        <v>2679</v>
      </c>
      <c r="H702" t="s">
        <v>714</v>
      </c>
      <c r="I702" t="s">
        <v>2680</v>
      </c>
    </row>
    <row r="703" spans="7:9" x14ac:dyDescent="0.25">
      <c r="G703" t="s">
        <v>2681</v>
      </c>
      <c r="H703" t="s">
        <v>2682</v>
      </c>
      <c r="I703" t="s">
        <v>1406</v>
      </c>
    </row>
    <row r="704" spans="7:9" x14ac:dyDescent="0.25">
      <c r="G704" t="s">
        <v>2683</v>
      </c>
      <c r="H704" t="s">
        <v>1047</v>
      </c>
      <c r="I704" t="s">
        <v>2684</v>
      </c>
    </row>
    <row r="705" spans="7:9" x14ac:dyDescent="0.25">
      <c r="G705" t="s">
        <v>2685</v>
      </c>
      <c r="H705" t="s">
        <v>835</v>
      </c>
      <c r="I705" t="s">
        <v>2686</v>
      </c>
    </row>
    <row r="706" spans="7:9" x14ac:dyDescent="0.25">
      <c r="G706" t="s">
        <v>2687</v>
      </c>
      <c r="H706" t="s">
        <v>2688</v>
      </c>
      <c r="I706" t="s">
        <v>2689</v>
      </c>
    </row>
    <row r="707" spans="7:9" x14ac:dyDescent="0.25">
      <c r="G707" t="s">
        <v>2690</v>
      </c>
      <c r="H707" t="s">
        <v>503</v>
      </c>
      <c r="I707" t="s">
        <v>2691</v>
      </c>
    </row>
    <row r="708" spans="7:9" x14ac:dyDescent="0.25">
      <c r="G708" t="s">
        <v>2692</v>
      </c>
      <c r="H708" t="s">
        <v>2693</v>
      </c>
      <c r="I708" t="s">
        <v>2694</v>
      </c>
    </row>
    <row r="709" spans="7:9" x14ac:dyDescent="0.25">
      <c r="G709" t="s">
        <v>2695</v>
      </c>
      <c r="H709" t="s">
        <v>2696</v>
      </c>
      <c r="I709" t="s">
        <v>2697</v>
      </c>
    </row>
    <row r="710" spans="7:9" x14ac:dyDescent="0.25">
      <c r="G710" t="s">
        <v>2698</v>
      </c>
      <c r="H710" t="s">
        <v>2699</v>
      </c>
      <c r="I710" t="s">
        <v>2700</v>
      </c>
    </row>
    <row r="711" spans="7:9" x14ac:dyDescent="0.25">
      <c r="G711" t="s">
        <v>2701</v>
      </c>
      <c r="H711" t="s">
        <v>716</v>
      </c>
      <c r="I711" t="s">
        <v>2702</v>
      </c>
    </row>
    <row r="712" spans="7:9" x14ac:dyDescent="0.25">
      <c r="G712" t="s">
        <v>2703</v>
      </c>
      <c r="H712" t="s">
        <v>2704</v>
      </c>
      <c r="I712" t="s">
        <v>2705</v>
      </c>
    </row>
    <row r="713" spans="7:9" x14ac:dyDescent="0.25">
      <c r="G713" t="s">
        <v>2706</v>
      </c>
      <c r="H713" t="s">
        <v>955</v>
      </c>
      <c r="I713" t="s">
        <v>2707</v>
      </c>
    </row>
    <row r="714" spans="7:9" x14ac:dyDescent="0.25">
      <c r="G714" t="s">
        <v>2708</v>
      </c>
      <c r="H714" t="s">
        <v>504</v>
      </c>
      <c r="I714" t="s">
        <v>2709</v>
      </c>
    </row>
    <row r="715" spans="7:9" x14ac:dyDescent="0.25">
      <c r="G715" t="s">
        <v>2710</v>
      </c>
      <c r="H715" t="s">
        <v>2711</v>
      </c>
      <c r="I715" t="s">
        <v>2190</v>
      </c>
    </row>
    <row r="716" spans="7:9" x14ac:dyDescent="0.25">
      <c r="G716" t="s">
        <v>2712</v>
      </c>
      <c r="H716" t="s">
        <v>837</v>
      </c>
      <c r="I716" t="s">
        <v>2713</v>
      </c>
    </row>
    <row r="717" spans="7:9" x14ac:dyDescent="0.25">
      <c r="G717" t="s">
        <v>2714</v>
      </c>
      <c r="H717" t="s">
        <v>2715</v>
      </c>
      <c r="I717" t="s">
        <v>2716</v>
      </c>
    </row>
    <row r="718" spans="7:9" x14ac:dyDescent="0.25">
      <c r="G718" t="s">
        <v>2717</v>
      </c>
      <c r="H718" t="s">
        <v>838</v>
      </c>
      <c r="I718" t="s">
        <v>2718</v>
      </c>
    </row>
    <row r="719" spans="7:9" x14ac:dyDescent="0.25">
      <c r="G719" t="s">
        <v>2719</v>
      </c>
      <c r="H719" t="s">
        <v>839</v>
      </c>
      <c r="I719" t="s">
        <v>2720</v>
      </c>
    </row>
    <row r="720" spans="7:9" x14ac:dyDescent="0.25">
      <c r="G720" t="s">
        <v>2721</v>
      </c>
      <c r="H720" t="s">
        <v>840</v>
      </c>
      <c r="I720" t="s">
        <v>2722</v>
      </c>
    </row>
    <row r="721" spans="7:9" x14ac:dyDescent="0.25">
      <c r="G721" t="s">
        <v>2723</v>
      </c>
      <c r="H721" t="s">
        <v>841</v>
      </c>
      <c r="I721" t="s">
        <v>2724</v>
      </c>
    </row>
    <row r="722" spans="7:9" x14ac:dyDescent="0.25">
      <c r="G722" t="s">
        <v>2725</v>
      </c>
      <c r="H722" t="s">
        <v>2726</v>
      </c>
      <c r="I722" t="s">
        <v>2727</v>
      </c>
    </row>
    <row r="723" spans="7:9" x14ac:dyDescent="0.25">
      <c r="G723" t="s">
        <v>2728</v>
      </c>
      <c r="H723" t="s">
        <v>505</v>
      </c>
      <c r="I723" t="s">
        <v>2729</v>
      </c>
    </row>
    <row r="724" spans="7:9" x14ac:dyDescent="0.25">
      <c r="G724" t="s">
        <v>2730</v>
      </c>
      <c r="H724" t="s">
        <v>2731</v>
      </c>
      <c r="I724" t="s">
        <v>2732</v>
      </c>
    </row>
    <row r="725" spans="7:9" x14ac:dyDescent="0.25">
      <c r="G725" t="s">
        <v>2733</v>
      </c>
      <c r="H725" t="s">
        <v>2734</v>
      </c>
      <c r="I725" t="s">
        <v>2735</v>
      </c>
    </row>
    <row r="726" spans="7:9" x14ac:dyDescent="0.25">
      <c r="G726" t="s">
        <v>2736</v>
      </c>
      <c r="H726" t="s">
        <v>36</v>
      </c>
      <c r="I726" t="s">
        <v>2737</v>
      </c>
    </row>
    <row r="727" spans="7:9" x14ac:dyDescent="0.25">
      <c r="G727" t="s">
        <v>2738</v>
      </c>
      <c r="H727" t="s">
        <v>507</v>
      </c>
      <c r="I727" t="s">
        <v>2739</v>
      </c>
    </row>
    <row r="728" spans="7:9" x14ac:dyDescent="0.25">
      <c r="G728" t="s">
        <v>2740</v>
      </c>
      <c r="H728" t="s">
        <v>2741</v>
      </c>
      <c r="I728" t="s">
        <v>2742</v>
      </c>
    </row>
    <row r="729" spans="7:9" x14ac:dyDescent="0.25">
      <c r="G729" t="s">
        <v>2743</v>
      </c>
      <c r="H729" t="s">
        <v>2744</v>
      </c>
      <c r="I729" t="s">
        <v>2745</v>
      </c>
    </row>
    <row r="730" spans="7:9" x14ac:dyDescent="0.25">
      <c r="G730" t="s">
        <v>2746</v>
      </c>
      <c r="H730" t="s">
        <v>2747</v>
      </c>
      <c r="I730" t="s">
        <v>2748</v>
      </c>
    </row>
    <row r="731" spans="7:9" x14ac:dyDescent="0.25">
      <c r="G731" t="s">
        <v>2749</v>
      </c>
      <c r="H731" t="s">
        <v>2750</v>
      </c>
      <c r="I731" t="s">
        <v>2751</v>
      </c>
    </row>
    <row r="732" spans="7:9" x14ac:dyDescent="0.25">
      <c r="G732" t="s">
        <v>2752</v>
      </c>
      <c r="H732" t="s">
        <v>510</v>
      </c>
      <c r="I732" t="s">
        <v>2753</v>
      </c>
    </row>
    <row r="733" spans="7:9" x14ac:dyDescent="0.25">
      <c r="G733" t="s">
        <v>2754</v>
      </c>
      <c r="H733" t="s">
        <v>366</v>
      </c>
      <c r="I733" t="s">
        <v>2755</v>
      </c>
    </row>
    <row r="734" spans="7:9" x14ac:dyDescent="0.25">
      <c r="G734" t="s">
        <v>2756</v>
      </c>
      <c r="H734" t="s">
        <v>721</v>
      </c>
      <c r="I734" t="s">
        <v>2757</v>
      </c>
    </row>
    <row r="735" spans="7:9" x14ac:dyDescent="0.25">
      <c r="G735" t="s">
        <v>2758</v>
      </c>
      <c r="H735" t="s">
        <v>2759</v>
      </c>
      <c r="I735" t="s">
        <v>2760</v>
      </c>
    </row>
    <row r="736" spans="7:9" x14ac:dyDescent="0.25">
      <c r="G736" t="s">
        <v>2761</v>
      </c>
      <c r="H736" t="s">
        <v>2762</v>
      </c>
      <c r="I736" t="s">
        <v>2763</v>
      </c>
    </row>
    <row r="737" spans="7:9" x14ac:dyDescent="0.25">
      <c r="G737" t="s">
        <v>2764</v>
      </c>
      <c r="H737" t="s">
        <v>512</v>
      </c>
      <c r="I737" t="s">
        <v>2765</v>
      </c>
    </row>
    <row r="738" spans="7:9" x14ac:dyDescent="0.25">
      <c r="G738" t="s">
        <v>2766</v>
      </c>
      <c r="H738" t="s">
        <v>2767</v>
      </c>
      <c r="I738" t="s">
        <v>2768</v>
      </c>
    </row>
    <row r="739" spans="7:9" x14ac:dyDescent="0.25">
      <c r="G739" t="s">
        <v>2769</v>
      </c>
      <c r="H739" t="s">
        <v>2770</v>
      </c>
      <c r="I739" t="s">
        <v>2771</v>
      </c>
    </row>
    <row r="740" spans="7:9" x14ac:dyDescent="0.25">
      <c r="G740" t="s">
        <v>2772</v>
      </c>
      <c r="H740" t="s">
        <v>2773</v>
      </c>
      <c r="I740" t="s">
        <v>2774</v>
      </c>
    </row>
    <row r="741" spans="7:9" x14ac:dyDescent="0.25">
      <c r="G741" t="s">
        <v>2775</v>
      </c>
      <c r="H741" t="s">
        <v>2776</v>
      </c>
      <c r="I741" t="s">
        <v>2777</v>
      </c>
    </row>
    <row r="742" spans="7:9" x14ac:dyDescent="0.25">
      <c r="G742" t="s">
        <v>2778</v>
      </c>
      <c r="H742" t="s">
        <v>514</v>
      </c>
      <c r="I742" t="s">
        <v>2779</v>
      </c>
    </row>
    <row r="743" spans="7:9" x14ac:dyDescent="0.25">
      <c r="G743" t="s">
        <v>2780</v>
      </c>
      <c r="H743" t="s">
        <v>2781</v>
      </c>
      <c r="I743" t="s">
        <v>2782</v>
      </c>
    </row>
    <row r="744" spans="7:9" x14ac:dyDescent="0.25">
      <c r="G744" t="s">
        <v>2783</v>
      </c>
      <c r="H744" t="s">
        <v>2784</v>
      </c>
      <c r="I744" t="s">
        <v>2785</v>
      </c>
    </row>
    <row r="745" spans="7:9" x14ac:dyDescent="0.25">
      <c r="G745" t="s">
        <v>2786</v>
      </c>
      <c r="H745" t="s">
        <v>184</v>
      </c>
      <c r="I745" t="s">
        <v>2787</v>
      </c>
    </row>
    <row r="746" spans="7:9" x14ac:dyDescent="0.25">
      <c r="G746" t="s">
        <v>2788</v>
      </c>
      <c r="H746" t="s">
        <v>2789</v>
      </c>
      <c r="I746" t="s">
        <v>2790</v>
      </c>
    </row>
    <row r="747" spans="7:9" x14ac:dyDescent="0.25">
      <c r="G747" t="s">
        <v>2791</v>
      </c>
      <c r="H747" t="s">
        <v>2792</v>
      </c>
      <c r="I747" t="s">
        <v>2793</v>
      </c>
    </row>
    <row r="748" spans="7:9" x14ac:dyDescent="0.25">
      <c r="G748" t="s">
        <v>2794</v>
      </c>
      <c r="H748" t="s">
        <v>675</v>
      </c>
      <c r="I748" t="s">
        <v>2795</v>
      </c>
    </row>
    <row r="749" spans="7:9" x14ac:dyDescent="0.25">
      <c r="G749" t="s">
        <v>2796</v>
      </c>
      <c r="H749" t="s">
        <v>517</v>
      </c>
      <c r="I749" t="s">
        <v>2797</v>
      </c>
    </row>
    <row r="750" spans="7:9" x14ac:dyDescent="0.25">
      <c r="G750" t="s">
        <v>2798</v>
      </c>
      <c r="H750" t="s">
        <v>518</v>
      </c>
      <c r="I750" t="s">
        <v>2799</v>
      </c>
    </row>
    <row r="751" spans="7:9" x14ac:dyDescent="0.25">
      <c r="G751" t="s">
        <v>2800</v>
      </c>
      <c r="H751" t="s">
        <v>130</v>
      </c>
      <c r="I751" t="s">
        <v>2801</v>
      </c>
    </row>
    <row r="752" spans="7:9" x14ac:dyDescent="0.25">
      <c r="G752" t="s">
        <v>2802</v>
      </c>
      <c r="H752" t="s">
        <v>588</v>
      </c>
      <c r="I752" t="s">
        <v>2803</v>
      </c>
    </row>
    <row r="753" spans="7:9" x14ac:dyDescent="0.25">
      <c r="G753" t="s">
        <v>2804</v>
      </c>
      <c r="H753" t="s">
        <v>2805</v>
      </c>
      <c r="I753" t="s">
        <v>2806</v>
      </c>
    </row>
    <row r="754" spans="7:9" x14ac:dyDescent="0.25">
      <c r="G754" t="s">
        <v>2807</v>
      </c>
      <c r="H754" t="s">
        <v>2808</v>
      </c>
      <c r="I754" t="s">
        <v>2809</v>
      </c>
    </row>
    <row r="755" spans="7:9" x14ac:dyDescent="0.25">
      <c r="G755" t="s">
        <v>2810</v>
      </c>
      <c r="H755" t="s">
        <v>2811</v>
      </c>
      <c r="I755" t="s">
        <v>2812</v>
      </c>
    </row>
    <row r="756" spans="7:9" x14ac:dyDescent="0.25">
      <c r="G756" t="s">
        <v>2813</v>
      </c>
      <c r="H756" t="s">
        <v>846</v>
      </c>
      <c r="I756" t="s">
        <v>2814</v>
      </c>
    </row>
    <row r="757" spans="7:9" x14ac:dyDescent="0.25">
      <c r="G757" t="s">
        <v>2815</v>
      </c>
      <c r="H757" t="s">
        <v>255</v>
      </c>
      <c r="I757" t="s">
        <v>2816</v>
      </c>
    </row>
    <row r="758" spans="7:9" x14ac:dyDescent="0.25">
      <c r="G758" t="s">
        <v>2817</v>
      </c>
      <c r="H758" t="s">
        <v>1004</v>
      </c>
      <c r="I758" t="s">
        <v>2818</v>
      </c>
    </row>
    <row r="759" spans="7:9" x14ac:dyDescent="0.25">
      <c r="G759" t="s">
        <v>2819</v>
      </c>
      <c r="H759" t="s">
        <v>2820</v>
      </c>
      <c r="I759" t="s">
        <v>2821</v>
      </c>
    </row>
    <row r="760" spans="7:9" x14ac:dyDescent="0.25">
      <c r="G760" t="s">
        <v>2822</v>
      </c>
      <c r="H760" t="s">
        <v>941</v>
      </c>
      <c r="I760" t="s">
        <v>2823</v>
      </c>
    </row>
    <row r="761" spans="7:9" x14ac:dyDescent="0.25">
      <c r="G761" t="s">
        <v>2824</v>
      </c>
      <c r="H761" t="s">
        <v>935</v>
      </c>
      <c r="I761" t="s">
        <v>2825</v>
      </c>
    </row>
    <row r="762" spans="7:9" x14ac:dyDescent="0.25">
      <c r="G762" t="s">
        <v>2826</v>
      </c>
      <c r="H762" t="s">
        <v>522</v>
      </c>
      <c r="I762" t="s">
        <v>2827</v>
      </c>
    </row>
    <row r="763" spans="7:9" x14ac:dyDescent="0.25">
      <c r="G763" t="s">
        <v>2828</v>
      </c>
      <c r="H763" t="s">
        <v>2829</v>
      </c>
      <c r="I763" t="s">
        <v>2830</v>
      </c>
    </row>
    <row r="764" spans="7:9" x14ac:dyDescent="0.25">
      <c r="G764" t="s">
        <v>2831</v>
      </c>
      <c r="H764" t="s">
        <v>524</v>
      </c>
      <c r="I764" t="s">
        <v>2832</v>
      </c>
    </row>
    <row r="765" spans="7:9" x14ac:dyDescent="0.25">
      <c r="G765" t="s">
        <v>2833</v>
      </c>
      <c r="H765" t="s">
        <v>114</v>
      </c>
      <c r="I765" t="s">
        <v>2834</v>
      </c>
    </row>
    <row r="766" spans="7:9" x14ac:dyDescent="0.25">
      <c r="G766" t="s">
        <v>2835</v>
      </c>
      <c r="H766" t="s">
        <v>1082</v>
      </c>
      <c r="I766" t="s">
        <v>2836</v>
      </c>
    </row>
    <row r="767" spans="7:9" x14ac:dyDescent="0.25">
      <c r="G767" t="s">
        <v>2837</v>
      </c>
      <c r="H767" t="s">
        <v>2838</v>
      </c>
      <c r="I767" t="s">
        <v>2839</v>
      </c>
    </row>
    <row r="768" spans="7:9" x14ac:dyDescent="0.25">
      <c r="G768" t="s">
        <v>2840</v>
      </c>
      <c r="H768" t="s">
        <v>2841</v>
      </c>
      <c r="I768" t="s">
        <v>2842</v>
      </c>
    </row>
    <row r="769" spans="7:9" x14ac:dyDescent="0.25">
      <c r="G769" t="s">
        <v>2843</v>
      </c>
      <c r="H769" t="s">
        <v>526</v>
      </c>
      <c r="I769" t="s">
        <v>2844</v>
      </c>
    </row>
    <row r="770" spans="7:9" x14ac:dyDescent="0.25">
      <c r="G770" t="s">
        <v>2845</v>
      </c>
      <c r="H770" t="s">
        <v>2846</v>
      </c>
      <c r="I770" t="s">
        <v>2847</v>
      </c>
    </row>
    <row r="771" spans="7:9" x14ac:dyDescent="0.25">
      <c r="G771" t="s">
        <v>2848</v>
      </c>
      <c r="H771" t="s">
        <v>2849</v>
      </c>
      <c r="I771" t="s">
        <v>2850</v>
      </c>
    </row>
    <row r="772" spans="7:9" x14ac:dyDescent="0.25">
      <c r="G772" t="s">
        <v>2851</v>
      </c>
      <c r="H772" t="s">
        <v>848</v>
      </c>
      <c r="I772" t="s">
        <v>2852</v>
      </c>
    </row>
    <row r="773" spans="7:9" x14ac:dyDescent="0.25">
      <c r="G773" t="s">
        <v>2853</v>
      </c>
      <c r="H773" t="s">
        <v>2854</v>
      </c>
      <c r="I773" t="s">
        <v>2855</v>
      </c>
    </row>
    <row r="774" spans="7:9" x14ac:dyDescent="0.25">
      <c r="G774" t="s">
        <v>2856</v>
      </c>
      <c r="H774" t="s">
        <v>527</v>
      </c>
      <c r="I774" t="s">
        <v>2857</v>
      </c>
    </row>
    <row r="775" spans="7:9" x14ac:dyDescent="0.25">
      <c r="G775" t="s">
        <v>2858</v>
      </c>
      <c r="H775" t="s">
        <v>528</v>
      </c>
      <c r="I775" t="s">
        <v>2859</v>
      </c>
    </row>
    <row r="776" spans="7:9" x14ac:dyDescent="0.25">
      <c r="G776" t="s">
        <v>2860</v>
      </c>
      <c r="H776" t="s">
        <v>2861</v>
      </c>
      <c r="I776" t="s">
        <v>2862</v>
      </c>
    </row>
    <row r="777" spans="7:9" x14ac:dyDescent="0.25">
      <c r="G777" t="s">
        <v>2863</v>
      </c>
      <c r="H777" t="s">
        <v>530</v>
      </c>
      <c r="I777" t="s">
        <v>2864</v>
      </c>
    </row>
    <row r="778" spans="7:9" x14ac:dyDescent="0.25">
      <c r="G778" t="s">
        <v>2865</v>
      </c>
      <c r="H778" t="s">
        <v>531</v>
      </c>
      <c r="I778" t="s">
        <v>2866</v>
      </c>
    </row>
    <row r="779" spans="7:9" x14ac:dyDescent="0.25">
      <c r="G779" t="s">
        <v>2867</v>
      </c>
      <c r="H779" t="s">
        <v>2868</v>
      </c>
      <c r="I779" t="s">
        <v>2869</v>
      </c>
    </row>
    <row r="780" spans="7:9" x14ac:dyDescent="0.25">
      <c r="G780" t="s">
        <v>2870</v>
      </c>
      <c r="H780" t="s">
        <v>532</v>
      </c>
      <c r="I780" t="s">
        <v>2871</v>
      </c>
    </row>
    <row r="781" spans="7:9" x14ac:dyDescent="0.25">
      <c r="G781" t="s">
        <v>2872</v>
      </c>
      <c r="H781" t="s">
        <v>850</v>
      </c>
      <c r="I781" t="s">
        <v>2873</v>
      </c>
    </row>
    <row r="782" spans="7:9" x14ac:dyDescent="0.25">
      <c r="G782" t="s">
        <v>2874</v>
      </c>
      <c r="H782" t="s">
        <v>2875</v>
      </c>
      <c r="I782" t="s">
        <v>2876</v>
      </c>
    </row>
    <row r="783" spans="7:9" x14ac:dyDescent="0.25">
      <c r="G783" t="s">
        <v>2877</v>
      </c>
      <c r="H783" t="s">
        <v>533</v>
      </c>
      <c r="I783" t="s">
        <v>2878</v>
      </c>
    </row>
    <row r="784" spans="7:9" x14ac:dyDescent="0.25">
      <c r="G784" t="s">
        <v>2879</v>
      </c>
      <c r="H784" t="s">
        <v>534</v>
      </c>
      <c r="I784" t="s">
        <v>2880</v>
      </c>
    </row>
    <row r="785" spans="7:9" x14ac:dyDescent="0.25">
      <c r="G785" t="s">
        <v>2881</v>
      </c>
      <c r="H785" t="s">
        <v>535</v>
      </c>
      <c r="I785" t="s">
        <v>2882</v>
      </c>
    </row>
    <row r="786" spans="7:9" x14ac:dyDescent="0.25">
      <c r="G786" t="s">
        <v>2883</v>
      </c>
      <c r="H786" t="s">
        <v>2884</v>
      </c>
      <c r="I786" t="s">
        <v>2885</v>
      </c>
    </row>
    <row r="787" spans="7:9" x14ac:dyDescent="0.25">
      <c r="G787" t="s">
        <v>2886</v>
      </c>
      <c r="H787" t="s">
        <v>851</v>
      </c>
      <c r="I787" t="s">
        <v>2887</v>
      </c>
    </row>
    <row r="788" spans="7:9" x14ac:dyDescent="0.25">
      <c r="G788" t="s">
        <v>2888</v>
      </c>
      <c r="H788" t="s">
        <v>2889</v>
      </c>
      <c r="I788" t="s">
        <v>2890</v>
      </c>
    </row>
    <row r="789" spans="7:9" x14ac:dyDescent="0.25">
      <c r="G789" t="s">
        <v>2891</v>
      </c>
      <c r="H789" t="s">
        <v>2892</v>
      </c>
      <c r="I789" t="s">
        <v>2893</v>
      </c>
    </row>
    <row r="790" spans="7:9" x14ac:dyDescent="0.25">
      <c r="G790" t="s">
        <v>2894</v>
      </c>
      <c r="H790" t="s">
        <v>2895</v>
      </c>
      <c r="I790" t="s">
        <v>2896</v>
      </c>
    </row>
    <row r="791" spans="7:9" x14ac:dyDescent="0.25">
      <c r="G791" t="s">
        <v>2897</v>
      </c>
      <c r="H791" t="s">
        <v>852</v>
      </c>
      <c r="I791" t="s">
        <v>2898</v>
      </c>
    </row>
    <row r="792" spans="7:9" x14ac:dyDescent="0.25">
      <c r="G792" t="s">
        <v>2899</v>
      </c>
      <c r="H792" t="s">
        <v>1038</v>
      </c>
      <c r="I792" t="s">
        <v>2900</v>
      </c>
    </row>
    <row r="793" spans="7:9" x14ac:dyDescent="0.25">
      <c r="G793" t="s">
        <v>2901</v>
      </c>
      <c r="H793" t="s">
        <v>2100</v>
      </c>
      <c r="I793" t="s">
        <v>2101</v>
      </c>
    </row>
    <row r="794" spans="7:9" x14ac:dyDescent="0.25">
      <c r="G794" t="s">
        <v>2902</v>
      </c>
      <c r="H794" t="s">
        <v>539</v>
      </c>
      <c r="I794" t="s">
        <v>2903</v>
      </c>
    </row>
    <row r="795" spans="7:9" x14ac:dyDescent="0.25">
      <c r="G795" t="s">
        <v>2904</v>
      </c>
      <c r="H795" t="s">
        <v>2905</v>
      </c>
      <c r="I795" t="s">
        <v>2906</v>
      </c>
    </row>
    <row r="796" spans="7:9" x14ac:dyDescent="0.25">
      <c r="G796" t="s">
        <v>2907</v>
      </c>
      <c r="H796" t="s">
        <v>725</v>
      </c>
      <c r="I796" t="s">
        <v>2908</v>
      </c>
    </row>
    <row r="797" spans="7:9" x14ac:dyDescent="0.25">
      <c r="G797" t="s">
        <v>2909</v>
      </c>
      <c r="H797" t="s">
        <v>540</v>
      </c>
      <c r="I797" t="s">
        <v>2910</v>
      </c>
    </row>
    <row r="798" spans="7:9" x14ac:dyDescent="0.25">
      <c r="G798" t="s">
        <v>2911</v>
      </c>
      <c r="H798" t="s">
        <v>2912</v>
      </c>
      <c r="I798" t="s">
        <v>2913</v>
      </c>
    </row>
    <row r="799" spans="7:9" x14ac:dyDescent="0.25">
      <c r="G799" t="s">
        <v>2914</v>
      </c>
      <c r="H799" t="s">
        <v>853</v>
      </c>
      <c r="I799" t="s">
        <v>2915</v>
      </c>
    </row>
    <row r="800" spans="7:9" x14ac:dyDescent="0.25">
      <c r="G800" t="s">
        <v>2916</v>
      </c>
      <c r="H800" t="s">
        <v>2917</v>
      </c>
      <c r="I800" t="s">
        <v>2918</v>
      </c>
    </row>
    <row r="801" spans="7:9" x14ac:dyDescent="0.25">
      <c r="G801" t="s">
        <v>2919</v>
      </c>
      <c r="H801" t="s">
        <v>2920</v>
      </c>
      <c r="I801" t="s">
        <v>2921</v>
      </c>
    </row>
    <row r="802" spans="7:9" x14ac:dyDescent="0.25">
      <c r="G802" t="s">
        <v>2922</v>
      </c>
      <c r="H802" t="s">
        <v>2923</v>
      </c>
      <c r="I802" t="s">
        <v>2924</v>
      </c>
    </row>
    <row r="803" spans="7:9" x14ac:dyDescent="0.25">
      <c r="G803" t="s">
        <v>2925</v>
      </c>
      <c r="H803" t="s">
        <v>727</v>
      </c>
      <c r="I803" t="s">
        <v>2926</v>
      </c>
    </row>
    <row r="804" spans="7:9" x14ac:dyDescent="0.25">
      <c r="G804" t="s">
        <v>2927</v>
      </c>
      <c r="H804" t="s">
        <v>2928</v>
      </c>
      <c r="I804" t="s">
        <v>2929</v>
      </c>
    </row>
    <row r="805" spans="7:9" x14ac:dyDescent="0.25">
      <c r="G805" t="s">
        <v>2930</v>
      </c>
      <c r="H805" t="s">
        <v>984</v>
      </c>
      <c r="I805" t="s">
        <v>2931</v>
      </c>
    </row>
    <row r="806" spans="7:9" x14ac:dyDescent="0.25">
      <c r="G806" t="s">
        <v>2932</v>
      </c>
      <c r="H806" t="s">
        <v>2933</v>
      </c>
      <c r="I806" t="s">
        <v>2934</v>
      </c>
    </row>
    <row r="807" spans="7:9" x14ac:dyDescent="0.25">
      <c r="G807" t="s">
        <v>2935</v>
      </c>
      <c r="H807" t="s">
        <v>543</v>
      </c>
      <c r="I807" t="s">
        <v>2936</v>
      </c>
    </row>
    <row r="808" spans="7:9" x14ac:dyDescent="0.25">
      <c r="G808" t="s">
        <v>2937</v>
      </c>
      <c r="H808" t="s">
        <v>544</v>
      </c>
      <c r="I808" t="s">
        <v>1868</v>
      </c>
    </row>
    <row r="809" spans="7:9" x14ac:dyDescent="0.25">
      <c r="G809" t="s">
        <v>2938</v>
      </c>
      <c r="H809" t="s">
        <v>2939</v>
      </c>
      <c r="I809" t="s">
        <v>2940</v>
      </c>
    </row>
    <row r="810" spans="7:9" x14ac:dyDescent="0.25">
      <c r="G810" t="s">
        <v>2941</v>
      </c>
      <c r="H810" t="s">
        <v>2942</v>
      </c>
      <c r="I810" t="s">
        <v>2943</v>
      </c>
    </row>
    <row r="811" spans="7:9" x14ac:dyDescent="0.25">
      <c r="G811" t="s">
        <v>2944</v>
      </c>
      <c r="H811" t="s">
        <v>160</v>
      </c>
      <c r="I811" t="s">
        <v>2945</v>
      </c>
    </row>
    <row r="812" spans="7:9" x14ac:dyDescent="0.25">
      <c r="G812" t="s">
        <v>2946</v>
      </c>
      <c r="H812" t="s">
        <v>2947</v>
      </c>
      <c r="I812" t="s">
        <v>2948</v>
      </c>
    </row>
    <row r="813" spans="7:9" x14ac:dyDescent="0.25">
      <c r="G813" t="s">
        <v>2949</v>
      </c>
      <c r="H813" t="s">
        <v>1092</v>
      </c>
      <c r="I813" t="s">
        <v>2950</v>
      </c>
    </row>
    <row r="814" spans="7:9" x14ac:dyDescent="0.25">
      <c r="G814" t="s">
        <v>2951</v>
      </c>
      <c r="H814" t="s">
        <v>2952</v>
      </c>
      <c r="I814" t="s">
        <v>2953</v>
      </c>
    </row>
    <row r="815" spans="7:9" x14ac:dyDescent="0.25">
      <c r="G815" t="s">
        <v>2954</v>
      </c>
      <c r="H815" t="s">
        <v>545</v>
      </c>
      <c r="I815" t="s">
        <v>2955</v>
      </c>
    </row>
    <row r="816" spans="7:9" x14ac:dyDescent="0.25">
      <c r="G816" t="s">
        <v>2956</v>
      </c>
      <c r="H816" t="s">
        <v>2957</v>
      </c>
      <c r="I816" t="s">
        <v>2958</v>
      </c>
    </row>
    <row r="817" spans="7:9" x14ac:dyDescent="0.25">
      <c r="G817" t="s">
        <v>2959</v>
      </c>
      <c r="H817" t="s">
        <v>2960</v>
      </c>
      <c r="I817" t="s">
        <v>2961</v>
      </c>
    </row>
    <row r="818" spans="7:9" x14ac:dyDescent="0.25">
      <c r="G818" t="s">
        <v>2962</v>
      </c>
      <c r="H818" t="s">
        <v>2963</v>
      </c>
      <c r="I818" t="s">
        <v>2964</v>
      </c>
    </row>
    <row r="819" spans="7:9" x14ac:dyDescent="0.25">
      <c r="G819" t="s">
        <v>2965</v>
      </c>
      <c r="H819" t="s">
        <v>2966</v>
      </c>
      <c r="I819" t="s">
        <v>2967</v>
      </c>
    </row>
    <row r="820" spans="7:9" x14ac:dyDescent="0.25">
      <c r="G820" t="s">
        <v>2968</v>
      </c>
      <c r="H820" t="s">
        <v>2969</v>
      </c>
      <c r="I820" t="s">
        <v>2970</v>
      </c>
    </row>
    <row r="821" spans="7:9" x14ac:dyDescent="0.25">
      <c r="G821" t="s">
        <v>2971</v>
      </c>
      <c r="H821" t="s">
        <v>986</v>
      </c>
      <c r="I821" t="s">
        <v>2972</v>
      </c>
    </row>
    <row r="822" spans="7:9" x14ac:dyDescent="0.25">
      <c r="G822" t="s">
        <v>2973</v>
      </c>
      <c r="H822" t="s">
        <v>172</v>
      </c>
      <c r="I822" t="s">
        <v>2974</v>
      </c>
    </row>
    <row r="823" spans="7:9" x14ac:dyDescent="0.25">
      <c r="G823" t="s">
        <v>2975</v>
      </c>
      <c r="H823" t="s">
        <v>546</v>
      </c>
      <c r="I823" t="s">
        <v>2976</v>
      </c>
    </row>
    <row r="824" spans="7:9" x14ac:dyDescent="0.25">
      <c r="G824" t="s">
        <v>2977</v>
      </c>
      <c r="H824" t="s">
        <v>547</v>
      </c>
      <c r="I824" t="s">
        <v>2978</v>
      </c>
    </row>
    <row r="825" spans="7:9" x14ac:dyDescent="0.25">
      <c r="G825" t="s">
        <v>2979</v>
      </c>
      <c r="H825" t="s">
        <v>2980</v>
      </c>
      <c r="I825" t="s">
        <v>2981</v>
      </c>
    </row>
    <row r="826" spans="7:9" x14ac:dyDescent="0.25">
      <c r="G826" t="s">
        <v>2982</v>
      </c>
      <c r="H826" t="s">
        <v>1078</v>
      </c>
      <c r="I826" t="s">
        <v>2983</v>
      </c>
    </row>
    <row r="827" spans="7:9" x14ac:dyDescent="0.25">
      <c r="G827" t="s">
        <v>2984</v>
      </c>
      <c r="H827" t="s">
        <v>2985</v>
      </c>
      <c r="I827" t="s">
        <v>2986</v>
      </c>
    </row>
    <row r="828" spans="7:9" x14ac:dyDescent="0.25">
      <c r="G828" t="s">
        <v>2987</v>
      </c>
      <c r="H828" t="s">
        <v>732</v>
      </c>
      <c r="I828" t="s">
        <v>2988</v>
      </c>
    </row>
    <row r="829" spans="7:9" x14ac:dyDescent="0.25">
      <c r="G829" t="s">
        <v>2989</v>
      </c>
      <c r="H829" t="s">
        <v>2990</v>
      </c>
      <c r="I829" t="s">
        <v>2991</v>
      </c>
    </row>
    <row r="830" spans="7:9" x14ac:dyDescent="0.25">
      <c r="G830" t="s">
        <v>2992</v>
      </c>
      <c r="H830" t="s">
        <v>549</v>
      </c>
      <c r="I830" t="s">
        <v>2993</v>
      </c>
    </row>
    <row r="831" spans="7:9" x14ac:dyDescent="0.25">
      <c r="G831" t="s">
        <v>2994</v>
      </c>
      <c r="H831" t="s">
        <v>445</v>
      </c>
      <c r="I831" t="s">
        <v>2995</v>
      </c>
    </row>
    <row r="832" spans="7:9" x14ac:dyDescent="0.25">
      <c r="G832" t="s">
        <v>2996</v>
      </c>
      <c r="H832" t="s">
        <v>2997</v>
      </c>
      <c r="I832" t="s">
        <v>2998</v>
      </c>
    </row>
    <row r="833" spans="7:9" x14ac:dyDescent="0.25">
      <c r="G833" t="s">
        <v>2999</v>
      </c>
      <c r="H833" t="s">
        <v>3000</v>
      </c>
      <c r="I833" t="s">
        <v>3001</v>
      </c>
    </row>
    <row r="834" spans="7:9" x14ac:dyDescent="0.25">
      <c r="G834" t="s">
        <v>3002</v>
      </c>
      <c r="H834" t="s">
        <v>1048</v>
      </c>
      <c r="I834" t="s">
        <v>3003</v>
      </c>
    </row>
    <row r="835" spans="7:9" x14ac:dyDescent="0.25">
      <c r="G835" t="s">
        <v>3004</v>
      </c>
      <c r="H835" t="s">
        <v>3005</v>
      </c>
      <c r="I835">
        <v>206707720</v>
      </c>
    </row>
    <row r="836" spans="7:9" x14ac:dyDescent="0.25">
      <c r="G836" t="s">
        <v>3006</v>
      </c>
      <c r="H836" t="s">
        <v>990</v>
      </c>
      <c r="I836" t="s">
        <v>3007</v>
      </c>
    </row>
    <row r="837" spans="7:9" x14ac:dyDescent="0.25">
      <c r="G837" t="s">
        <v>3008</v>
      </c>
      <c r="H837" t="s">
        <v>3009</v>
      </c>
      <c r="I837" t="s">
        <v>3010</v>
      </c>
    </row>
    <row r="838" spans="7:9" x14ac:dyDescent="0.25">
      <c r="G838" t="s">
        <v>3011</v>
      </c>
      <c r="H838" t="s">
        <v>3012</v>
      </c>
      <c r="I838" t="s">
        <v>3013</v>
      </c>
    </row>
    <row r="839" spans="7:9" x14ac:dyDescent="0.25">
      <c r="G839" t="s">
        <v>3014</v>
      </c>
      <c r="H839" t="s">
        <v>551</v>
      </c>
      <c r="I839" t="s">
        <v>3015</v>
      </c>
    </row>
    <row r="840" spans="7:9" x14ac:dyDescent="0.25">
      <c r="G840" t="s">
        <v>3016</v>
      </c>
      <c r="H840" t="s">
        <v>552</v>
      </c>
      <c r="I840" t="s">
        <v>3017</v>
      </c>
    </row>
    <row r="841" spans="7:9" x14ac:dyDescent="0.25">
      <c r="G841" t="s">
        <v>3018</v>
      </c>
      <c r="H841" t="s">
        <v>859</v>
      </c>
      <c r="I841" t="s">
        <v>3019</v>
      </c>
    </row>
    <row r="842" spans="7:9" x14ac:dyDescent="0.25">
      <c r="G842" t="s">
        <v>3020</v>
      </c>
      <c r="H842" t="s">
        <v>3021</v>
      </c>
      <c r="I842" t="s">
        <v>3022</v>
      </c>
    </row>
    <row r="843" spans="7:9" x14ac:dyDescent="0.25">
      <c r="G843" t="s">
        <v>3023</v>
      </c>
      <c r="H843" t="s">
        <v>553</v>
      </c>
      <c r="I843" t="s">
        <v>3024</v>
      </c>
    </row>
    <row r="844" spans="7:9" x14ac:dyDescent="0.25">
      <c r="G844" t="s">
        <v>3025</v>
      </c>
      <c r="H844" t="s">
        <v>554</v>
      </c>
      <c r="I844" t="s">
        <v>3026</v>
      </c>
    </row>
    <row r="845" spans="7:9" x14ac:dyDescent="0.25">
      <c r="G845" t="s">
        <v>3027</v>
      </c>
      <c r="H845" t="s">
        <v>3028</v>
      </c>
      <c r="I845" t="s">
        <v>3029</v>
      </c>
    </row>
    <row r="846" spans="7:9" x14ac:dyDescent="0.25">
      <c r="G846" t="s">
        <v>3030</v>
      </c>
      <c r="H846" t="s">
        <v>734</v>
      </c>
      <c r="I846" t="s">
        <v>3031</v>
      </c>
    </row>
    <row r="847" spans="7:9" x14ac:dyDescent="0.25">
      <c r="G847" t="s">
        <v>3032</v>
      </c>
      <c r="H847" t="s">
        <v>199</v>
      </c>
      <c r="I847" t="s">
        <v>3033</v>
      </c>
    </row>
    <row r="848" spans="7:9" x14ac:dyDescent="0.25">
      <c r="G848" t="s">
        <v>3034</v>
      </c>
      <c r="H848" t="s">
        <v>945</v>
      </c>
      <c r="I848" t="s">
        <v>3035</v>
      </c>
    </row>
    <row r="849" spans="7:9" x14ac:dyDescent="0.25">
      <c r="G849" t="s">
        <v>3036</v>
      </c>
      <c r="H849" t="s">
        <v>3037</v>
      </c>
      <c r="I849" t="s">
        <v>3038</v>
      </c>
    </row>
    <row r="850" spans="7:9" x14ac:dyDescent="0.25">
      <c r="G850" t="s">
        <v>3039</v>
      </c>
      <c r="H850" t="s">
        <v>3040</v>
      </c>
      <c r="I850" t="s">
        <v>3041</v>
      </c>
    </row>
    <row r="851" spans="7:9" x14ac:dyDescent="0.25">
      <c r="G851" t="s">
        <v>3042</v>
      </c>
      <c r="H851" t="s">
        <v>3043</v>
      </c>
      <c r="I851" t="s">
        <v>3044</v>
      </c>
    </row>
    <row r="852" spans="7:9" x14ac:dyDescent="0.25">
      <c r="G852" t="s">
        <v>3045</v>
      </c>
      <c r="H852" t="s">
        <v>3046</v>
      </c>
      <c r="I852" t="s">
        <v>3047</v>
      </c>
    </row>
    <row r="853" spans="7:9" x14ac:dyDescent="0.25">
      <c r="G853" t="s">
        <v>3048</v>
      </c>
      <c r="H853" t="s">
        <v>860</v>
      </c>
      <c r="I853" t="s">
        <v>3049</v>
      </c>
    </row>
    <row r="854" spans="7:9" x14ac:dyDescent="0.25">
      <c r="G854" t="s">
        <v>3050</v>
      </c>
      <c r="H854" t="s">
        <v>3051</v>
      </c>
      <c r="I854" t="s">
        <v>3052</v>
      </c>
    </row>
    <row r="855" spans="7:9" x14ac:dyDescent="0.25">
      <c r="G855" t="s">
        <v>3053</v>
      </c>
      <c r="H855" t="s">
        <v>3054</v>
      </c>
      <c r="I855" t="s">
        <v>3055</v>
      </c>
    </row>
    <row r="856" spans="7:9" x14ac:dyDescent="0.25">
      <c r="G856" t="s">
        <v>3056</v>
      </c>
      <c r="H856" t="s">
        <v>3057</v>
      </c>
      <c r="I856" t="s">
        <v>3058</v>
      </c>
    </row>
    <row r="857" spans="7:9" x14ac:dyDescent="0.25">
      <c r="G857" t="s">
        <v>3059</v>
      </c>
      <c r="H857" t="s">
        <v>3060</v>
      </c>
      <c r="I857" t="s">
        <v>3061</v>
      </c>
    </row>
    <row r="858" spans="7:9" x14ac:dyDescent="0.25">
      <c r="G858" t="s">
        <v>3062</v>
      </c>
      <c r="H858" t="s">
        <v>861</v>
      </c>
      <c r="I858" t="s">
        <v>3063</v>
      </c>
    </row>
    <row r="859" spans="7:9" x14ac:dyDescent="0.25">
      <c r="G859" t="s">
        <v>3064</v>
      </c>
      <c r="H859" t="s">
        <v>559</v>
      </c>
      <c r="I859" t="s">
        <v>3065</v>
      </c>
    </row>
    <row r="860" spans="7:9" x14ac:dyDescent="0.25">
      <c r="G860" t="s">
        <v>3066</v>
      </c>
      <c r="H860" t="s">
        <v>560</v>
      </c>
      <c r="I860" t="s">
        <v>3067</v>
      </c>
    </row>
    <row r="861" spans="7:9" x14ac:dyDescent="0.25">
      <c r="G861" t="s">
        <v>3068</v>
      </c>
      <c r="H861" t="s">
        <v>213</v>
      </c>
      <c r="I861" t="s">
        <v>3069</v>
      </c>
    </row>
    <row r="862" spans="7:9" x14ac:dyDescent="0.25">
      <c r="G862" t="s">
        <v>3070</v>
      </c>
      <c r="H862" t="s">
        <v>3071</v>
      </c>
      <c r="I862" t="s">
        <v>3072</v>
      </c>
    </row>
    <row r="863" spans="7:9" x14ac:dyDescent="0.25">
      <c r="G863" t="s">
        <v>3073</v>
      </c>
      <c r="H863" t="s">
        <v>862</v>
      </c>
      <c r="I863" t="s">
        <v>3074</v>
      </c>
    </row>
    <row r="864" spans="7:9" x14ac:dyDescent="0.25">
      <c r="G864" t="s">
        <v>3075</v>
      </c>
      <c r="H864" t="s">
        <v>1088</v>
      </c>
      <c r="I864" t="s">
        <v>3076</v>
      </c>
    </row>
    <row r="865" spans="7:9" x14ac:dyDescent="0.25">
      <c r="G865" t="s">
        <v>3077</v>
      </c>
      <c r="H865" t="s">
        <v>76</v>
      </c>
      <c r="I865" t="s">
        <v>1143</v>
      </c>
    </row>
    <row r="866" spans="7:9" x14ac:dyDescent="0.25">
      <c r="G866" t="s">
        <v>3078</v>
      </c>
      <c r="H866" t="s">
        <v>562</v>
      </c>
      <c r="I866" t="s">
        <v>3079</v>
      </c>
    </row>
    <row r="867" spans="7:9" x14ac:dyDescent="0.25">
      <c r="G867" t="s">
        <v>3080</v>
      </c>
      <c r="H867" t="s">
        <v>3081</v>
      </c>
      <c r="I867" t="s">
        <v>3082</v>
      </c>
    </row>
    <row r="868" spans="7:9" x14ac:dyDescent="0.25">
      <c r="G868" t="s">
        <v>3083</v>
      </c>
      <c r="H868" t="s">
        <v>563</v>
      </c>
      <c r="I868" t="s">
        <v>3084</v>
      </c>
    </row>
    <row r="869" spans="7:9" x14ac:dyDescent="0.25">
      <c r="G869" t="s">
        <v>3085</v>
      </c>
      <c r="H869" t="s">
        <v>222</v>
      </c>
      <c r="I869" t="s">
        <v>3086</v>
      </c>
    </row>
    <row r="870" spans="7:9" x14ac:dyDescent="0.25">
      <c r="G870" t="s">
        <v>3087</v>
      </c>
      <c r="H870" t="s">
        <v>565</v>
      </c>
      <c r="I870" t="s">
        <v>3088</v>
      </c>
    </row>
    <row r="871" spans="7:9" x14ac:dyDescent="0.25">
      <c r="G871" t="s">
        <v>3089</v>
      </c>
      <c r="H871" t="s">
        <v>567</v>
      </c>
      <c r="I871" t="s">
        <v>3090</v>
      </c>
    </row>
    <row r="872" spans="7:9" x14ac:dyDescent="0.25">
      <c r="G872" t="s">
        <v>3091</v>
      </c>
      <c r="H872" t="s">
        <v>760</v>
      </c>
      <c r="I872" t="s">
        <v>1132</v>
      </c>
    </row>
    <row r="873" spans="7:9" x14ac:dyDescent="0.25">
      <c r="G873" t="s">
        <v>3092</v>
      </c>
      <c r="H873" t="s">
        <v>974</v>
      </c>
      <c r="I873" t="s">
        <v>3093</v>
      </c>
    </row>
    <row r="874" spans="7:9" x14ac:dyDescent="0.25">
      <c r="G874" t="s">
        <v>3094</v>
      </c>
      <c r="H874" t="s">
        <v>613</v>
      </c>
      <c r="I874" t="s">
        <v>3095</v>
      </c>
    </row>
    <row r="875" spans="7:9" x14ac:dyDescent="0.25">
      <c r="G875" t="s">
        <v>3096</v>
      </c>
      <c r="H875" t="s">
        <v>3097</v>
      </c>
      <c r="I875" t="s">
        <v>3098</v>
      </c>
    </row>
    <row r="876" spans="7:9" x14ac:dyDescent="0.25">
      <c r="G876" t="s">
        <v>3099</v>
      </c>
      <c r="H876" t="s">
        <v>3100</v>
      </c>
      <c r="I876" t="s">
        <v>3101</v>
      </c>
    </row>
    <row r="877" spans="7:9" x14ac:dyDescent="0.25">
      <c r="G877" t="s">
        <v>3102</v>
      </c>
      <c r="H877" t="s">
        <v>3103</v>
      </c>
      <c r="I877" t="s">
        <v>3104</v>
      </c>
    </row>
    <row r="878" spans="7:9" x14ac:dyDescent="0.25">
      <c r="G878" t="s">
        <v>3105</v>
      </c>
      <c r="H878" t="s">
        <v>1087</v>
      </c>
      <c r="I878" t="s">
        <v>3106</v>
      </c>
    </row>
    <row r="879" spans="7:9" x14ac:dyDescent="0.25">
      <c r="G879" t="s">
        <v>3107</v>
      </c>
      <c r="H879" t="s">
        <v>234</v>
      </c>
      <c r="I879" t="s">
        <v>3108</v>
      </c>
    </row>
    <row r="880" spans="7:9" x14ac:dyDescent="0.25">
      <c r="G880" t="s">
        <v>3109</v>
      </c>
      <c r="H880" t="s">
        <v>1090</v>
      </c>
      <c r="I880" t="s">
        <v>3110</v>
      </c>
    </row>
    <row r="881" spans="7:9" x14ac:dyDescent="0.25">
      <c r="G881" t="s">
        <v>3111</v>
      </c>
      <c r="H881" t="s">
        <v>3112</v>
      </c>
      <c r="I881" t="s">
        <v>3113</v>
      </c>
    </row>
    <row r="882" spans="7:9" x14ac:dyDescent="0.25">
      <c r="G882" t="s">
        <v>3114</v>
      </c>
      <c r="H882" t="s">
        <v>3115</v>
      </c>
      <c r="I882" t="s">
        <v>3116</v>
      </c>
    </row>
    <row r="883" spans="7:9" x14ac:dyDescent="0.25">
      <c r="G883" t="s">
        <v>3117</v>
      </c>
      <c r="H883" t="s">
        <v>571</v>
      </c>
      <c r="I883" t="s">
        <v>3118</v>
      </c>
    </row>
    <row r="884" spans="7:9" x14ac:dyDescent="0.25">
      <c r="G884" t="s">
        <v>3119</v>
      </c>
      <c r="H884" t="s">
        <v>3120</v>
      </c>
      <c r="I884" t="s">
        <v>1406</v>
      </c>
    </row>
    <row r="885" spans="7:9" x14ac:dyDescent="0.25">
      <c r="G885" t="s">
        <v>3121</v>
      </c>
      <c r="H885" t="s">
        <v>572</v>
      </c>
      <c r="I885" t="s">
        <v>3122</v>
      </c>
    </row>
    <row r="886" spans="7:9" x14ac:dyDescent="0.25">
      <c r="G886" t="s">
        <v>3123</v>
      </c>
      <c r="H886" t="s">
        <v>1084</v>
      </c>
      <c r="I886" t="s">
        <v>3124</v>
      </c>
    </row>
    <row r="887" spans="7:9" x14ac:dyDescent="0.25">
      <c r="G887" t="s">
        <v>3125</v>
      </c>
      <c r="H887" t="s">
        <v>938</v>
      </c>
      <c r="I887" t="s">
        <v>3126</v>
      </c>
    </row>
    <row r="888" spans="7:9" x14ac:dyDescent="0.25">
      <c r="G888" t="s">
        <v>3127</v>
      </c>
      <c r="H888" t="s">
        <v>3128</v>
      </c>
      <c r="I888" t="s">
        <v>3129</v>
      </c>
    </row>
    <row r="889" spans="7:9" x14ac:dyDescent="0.25">
      <c r="G889" t="s">
        <v>3130</v>
      </c>
      <c r="H889" t="s">
        <v>3131</v>
      </c>
      <c r="I889" t="s">
        <v>3132</v>
      </c>
    </row>
    <row r="890" spans="7:9" x14ac:dyDescent="0.25">
      <c r="G890" t="s">
        <v>3133</v>
      </c>
      <c r="H890" t="s">
        <v>980</v>
      </c>
      <c r="I890" t="s">
        <v>3134</v>
      </c>
    </row>
    <row r="891" spans="7:9" x14ac:dyDescent="0.25">
      <c r="G891" t="s">
        <v>3135</v>
      </c>
      <c r="H891" t="s">
        <v>573</v>
      </c>
      <c r="I891" t="s">
        <v>3136</v>
      </c>
    </row>
    <row r="892" spans="7:9" x14ac:dyDescent="0.25">
      <c r="G892" t="s">
        <v>3137</v>
      </c>
      <c r="H892" t="s">
        <v>3138</v>
      </c>
      <c r="I892" t="s">
        <v>3139</v>
      </c>
    </row>
    <row r="893" spans="7:9" x14ac:dyDescent="0.25">
      <c r="G893" t="s">
        <v>3140</v>
      </c>
      <c r="H893" t="s">
        <v>3141</v>
      </c>
      <c r="I893" t="s">
        <v>3142</v>
      </c>
    </row>
    <row r="894" spans="7:9" x14ac:dyDescent="0.25">
      <c r="G894" t="s">
        <v>3143</v>
      </c>
      <c r="H894" t="s">
        <v>52</v>
      </c>
      <c r="I894" t="s">
        <v>3144</v>
      </c>
    </row>
    <row r="895" spans="7:9" x14ac:dyDescent="0.25">
      <c r="G895" t="s">
        <v>3145</v>
      </c>
      <c r="H895" t="s">
        <v>1016</v>
      </c>
      <c r="I895" t="s">
        <v>3146</v>
      </c>
    </row>
    <row r="896" spans="7:9" x14ac:dyDescent="0.25">
      <c r="G896" t="s">
        <v>3147</v>
      </c>
      <c r="H896" t="s">
        <v>952</v>
      </c>
      <c r="I896" t="s">
        <v>3148</v>
      </c>
    </row>
    <row r="897" spans="7:9" x14ac:dyDescent="0.25">
      <c r="G897" t="s">
        <v>3149</v>
      </c>
      <c r="H897" t="s">
        <v>748</v>
      </c>
      <c r="I897" t="s">
        <v>3150</v>
      </c>
    </row>
    <row r="898" spans="7:9" x14ac:dyDescent="0.25">
      <c r="G898" t="s">
        <v>3151</v>
      </c>
      <c r="H898" t="s">
        <v>3152</v>
      </c>
      <c r="I898" t="s">
        <v>2016</v>
      </c>
    </row>
    <row r="899" spans="7:9" x14ac:dyDescent="0.25">
      <c r="G899" t="s">
        <v>3153</v>
      </c>
      <c r="H899" t="s">
        <v>3154</v>
      </c>
      <c r="I899" t="s">
        <v>3155</v>
      </c>
    </row>
    <row r="900" spans="7:9" x14ac:dyDescent="0.25">
      <c r="G900" t="s">
        <v>3156</v>
      </c>
      <c r="H900" t="s">
        <v>576</v>
      </c>
      <c r="I900" t="s">
        <v>3157</v>
      </c>
    </row>
    <row r="901" spans="7:9" x14ac:dyDescent="0.25">
      <c r="G901" t="s">
        <v>3158</v>
      </c>
      <c r="H901" t="s">
        <v>1010</v>
      </c>
      <c r="I901" t="s">
        <v>3159</v>
      </c>
    </row>
    <row r="902" spans="7:9" x14ac:dyDescent="0.25">
      <c r="G902" t="s">
        <v>3160</v>
      </c>
      <c r="H902" t="s">
        <v>1089</v>
      </c>
      <c r="I902" t="s">
        <v>3161</v>
      </c>
    </row>
    <row r="903" spans="7:9" x14ac:dyDescent="0.25">
      <c r="G903" t="s">
        <v>3162</v>
      </c>
      <c r="H903" t="s">
        <v>577</v>
      </c>
      <c r="I903" t="s">
        <v>3163</v>
      </c>
    </row>
    <row r="904" spans="7:9" x14ac:dyDescent="0.25">
      <c r="G904" t="s">
        <v>3164</v>
      </c>
      <c r="H904" t="s">
        <v>3165</v>
      </c>
      <c r="I904" t="s">
        <v>1406</v>
      </c>
    </row>
    <row r="905" spans="7:9" x14ac:dyDescent="0.25">
      <c r="G905" t="s">
        <v>3166</v>
      </c>
      <c r="H905" t="s">
        <v>578</v>
      </c>
      <c r="I905" t="s">
        <v>3167</v>
      </c>
    </row>
    <row r="906" spans="7:9" x14ac:dyDescent="0.25">
      <c r="G906" t="s">
        <v>3168</v>
      </c>
      <c r="H906" t="s">
        <v>3169</v>
      </c>
      <c r="I906" t="s">
        <v>3170</v>
      </c>
    </row>
    <row r="907" spans="7:9" x14ac:dyDescent="0.25">
      <c r="G907" t="s">
        <v>3171</v>
      </c>
      <c r="H907" t="s">
        <v>736</v>
      </c>
      <c r="I907" t="s">
        <v>3172</v>
      </c>
    </row>
    <row r="908" spans="7:9" x14ac:dyDescent="0.25">
      <c r="G908" t="s">
        <v>3173</v>
      </c>
      <c r="H908" t="s">
        <v>580</v>
      </c>
      <c r="I908" t="s">
        <v>3174</v>
      </c>
    </row>
    <row r="909" spans="7:9" x14ac:dyDescent="0.25">
      <c r="G909" t="s">
        <v>3175</v>
      </c>
      <c r="H909" t="s">
        <v>188</v>
      </c>
      <c r="I909" t="s">
        <v>1106</v>
      </c>
    </row>
    <row r="910" spans="7:9" x14ac:dyDescent="0.25">
      <c r="G910" t="s">
        <v>3176</v>
      </c>
      <c r="H910" t="s">
        <v>582</v>
      </c>
      <c r="I910" t="s">
        <v>3177</v>
      </c>
    </row>
    <row r="911" spans="7:9" x14ac:dyDescent="0.25">
      <c r="G911" t="s">
        <v>3178</v>
      </c>
      <c r="H911" t="s">
        <v>401</v>
      </c>
      <c r="I911" t="s">
        <v>3179</v>
      </c>
    </row>
    <row r="912" spans="7:9" x14ac:dyDescent="0.25">
      <c r="G912" t="s">
        <v>3180</v>
      </c>
      <c r="H912" t="s">
        <v>911</v>
      </c>
      <c r="I912" t="s">
        <v>3181</v>
      </c>
    </row>
    <row r="913" spans="7:9" x14ac:dyDescent="0.25">
      <c r="G913" t="s">
        <v>3182</v>
      </c>
      <c r="H913" t="s">
        <v>584</v>
      </c>
      <c r="I913" t="s">
        <v>3183</v>
      </c>
    </row>
    <row r="914" spans="7:9" x14ac:dyDescent="0.25">
      <c r="G914" t="s">
        <v>3184</v>
      </c>
      <c r="H914" t="s">
        <v>3185</v>
      </c>
      <c r="I914" t="s">
        <v>3186</v>
      </c>
    </row>
    <row r="915" spans="7:9" x14ac:dyDescent="0.25">
      <c r="G915" t="s">
        <v>3187</v>
      </c>
      <c r="H915" t="s">
        <v>118</v>
      </c>
      <c r="I915" t="s">
        <v>3188</v>
      </c>
    </row>
    <row r="916" spans="7:9" x14ac:dyDescent="0.25">
      <c r="G916" t="s">
        <v>3189</v>
      </c>
      <c r="H916" t="s">
        <v>3190</v>
      </c>
      <c r="I916" t="s">
        <v>3191</v>
      </c>
    </row>
    <row r="917" spans="7:9" x14ac:dyDescent="0.25">
      <c r="G917" t="s">
        <v>3192</v>
      </c>
      <c r="H917" t="s">
        <v>223</v>
      </c>
      <c r="I917" t="s">
        <v>3193</v>
      </c>
    </row>
    <row r="918" spans="7:9" x14ac:dyDescent="0.25">
      <c r="G918" t="s">
        <v>3194</v>
      </c>
      <c r="H918" t="s">
        <v>104</v>
      </c>
      <c r="I918" t="s">
        <v>3195</v>
      </c>
    </row>
    <row r="919" spans="7:9" x14ac:dyDescent="0.25">
      <c r="G919" t="s">
        <v>3196</v>
      </c>
      <c r="H919" t="s">
        <v>3197</v>
      </c>
      <c r="I919" t="s">
        <v>3198</v>
      </c>
    </row>
    <row r="920" spans="7:9" x14ac:dyDescent="0.25">
      <c r="G920" t="s">
        <v>3199</v>
      </c>
      <c r="H920" t="s">
        <v>214</v>
      </c>
      <c r="I920" t="s">
        <v>3200</v>
      </c>
    </row>
    <row r="921" spans="7:9" x14ac:dyDescent="0.25">
      <c r="G921" t="s">
        <v>3201</v>
      </c>
      <c r="H921" t="s">
        <v>3202</v>
      </c>
      <c r="I921" t="s">
        <v>3203</v>
      </c>
    </row>
    <row r="922" spans="7:9" x14ac:dyDescent="0.25">
      <c r="G922" t="s">
        <v>3204</v>
      </c>
      <c r="H922" t="s">
        <v>3205</v>
      </c>
      <c r="I922" t="s">
        <v>2329</v>
      </c>
    </row>
    <row r="923" spans="7:9" x14ac:dyDescent="0.25">
      <c r="G923" t="s">
        <v>3206</v>
      </c>
      <c r="H923" t="s">
        <v>587</v>
      </c>
      <c r="I923" t="s">
        <v>3207</v>
      </c>
    </row>
    <row r="924" spans="7:9" x14ac:dyDescent="0.25">
      <c r="G924" t="s">
        <v>3208</v>
      </c>
      <c r="H924" t="s">
        <v>3209</v>
      </c>
      <c r="I924" t="s">
        <v>1161</v>
      </c>
    </row>
    <row r="925" spans="7:9" x14ac:dyDescent="0.25">
      <c r="G925" t="s">
        <v>3210</v>
      </c>
      <c r="H925" t="s">
        <v>589</v>
      </c>
      <c r="I925" t="s">
        <v>3211</v>
      </c>
    </row>
    <row r="926" spans="7:9" x14ac:dyDescent="0.25">
      <c r="G926" t="s">
        <v>3212</v>
      </c>
      <c r="H926" t="s">
        <v>939</v>
      </c>
      <c r="I926" t="s">
        <v>3213</v>
      </c>
    </row>
    <row r="927" spans="7:9" x14ac:dyDescent="0.25">
      <c r="G927" t="s">
        <v>3214</v>
      </c>
      <c r="H927" t="s">
        <v>975</v>
      </c>
      <c r="I927" t="s">
        <v>3215</v>
      </c>
    </row>
    <row r="928" spans="7:9" x14ac:dyDescent="0.25">
      <c r="G928" t="s">
        <v>3216</v>
      </c>
      <c r="H928" t="s">
        <v>1065</v>
      </c>
      <c r="I928" t="s">
        <v>3217</v>
      </c>
    </row>
    <row r="929" spans="7:9" x14ac:dyDescent="0.25">
      <c r="G929" t="s">
        <v>3218</v>
      </c>
      <c r="H929" t="s">
        <v>590</v>
      </c>
      <c r="I929" t="s">
        <v>3219</v>
      </c>
    </row>
    <row r="930" spans="7:9" x14ac:dyDescent="0.25">
      <c r="G930" t="s">
        <v>3220</v>
      </c>
      <c r="H930" t="s">
        <v>3221</v>
      </c>
      <c r="I930" t="s">
        <v>3222</v>
      </c>
    </row>
    <row r="931" spans="7:9" x14ac:dyDescent="0.25">
      <c r="G931" t="s">
        <v>3223</v>
      </c>
      <c r="H931" t="s">
        <v>806</v>
      </c>
      <c r="I931" t="s">
        <v>3224</v>
      </c>
    </row>
    <row r="932" spans="7:9" x14ac:dyDescent="0.25">
      <c r="G932" t="s">
        <v>3225</v>
      </c>
      <c r="H932" t="s">
        <v>3226</v>
      </c>
      <c r="I932" t="s">
        <v>3227</v>
      </c>
    </row>
    <row r="933" spans="7:9" x14ac:dyDescent="0.25">
      <c r="G933" t="s">
        <v>3228</v>
      </c>
      <c r="H933" t="s">
        <v>833</v>
      </c>
      <c r="I933" t="s">
        <v>3229</v>
      </c>
    </row>
    <row r="934" spans="7:9" x14ac:dyDescent="0.25">
      <c r="G934" t="s">
        <v>3230</v>
      </c>
      <c r="H934" t="s">
        <v>3231</v>
      </c>
      <c r="I934" t="s">
        <v>3232</v>
      </c>
    </row>
    <row r="935" spans="7:9" x14ac:dyDescent="0.25">
      <c r="G935" t="s">
        <v>3233</v>
      </c>
      <c r="H935" t="s">
        <v>593</v>
      </c>
      <c r="I935" t="s">
        <v>3234</v>
      </c>
    </row>
    <row r="936" spans="7:9" x14ac:dyDescent="0.25">
      <c r="G936" t="s">
        <v>3235</v>
      </c>
      <c r="H936" t="s">
        <v>594</v>
      </c>
      <c r="I936" t="s">
        <v>3236</v>
      </c>
    </row>
    <row r="937" spans="7:9" x14ac:dyDescent="0.25">
      <c r="G937" t="s">
        <v>3237</v>
      </c>
      <c r="H937" t="s">
        <v>59</v>
      </c>
      <c r="I937" t="s">
        <v>1123</v>
      </c>
    </row>
    <row r="938" spans="7:9" x14ac:dyDescent="0.25">
      <c r="G938" t="s">
        <v>3238</v>
      </c>
      <c r="H938" t="s">
        <v>3239</v>
      </c>
      <c r="I938" t="s">
        <v>3240</v>
      </c>
    </row>
    <row r="939" spans="7:9" x14ac:dyDescent="0.25">
      <c r="G939" t="s">
        <v>3241</v>
      </c>
      <c r="H939" t="s">
        <v>834</v>
      </c>
      <c r="I939" t="s">
        <v>3242</v>
      </c>
    </row>
    <row r="940" spans="7:9" x14ac:dyDescent="0.25">
      <c r="G940" t="s">
        <v>3243</v>
      </c>
      <c r="H940" t="s">
        <v>870</v>
      </c>
      <c r="I940" t="s">
        <v>3244</v>
      </c>
    </row>
    <row r="941" spans="7:9" x14ac:dyDescent="0.25">
      <c r="G941" t="s">
        <v>3245</v>
      </c>
      <c r="H941" t="s">
        <v>564</v>
      </c>
      <c r="I941" t="s">
        <v>3246</v>
      </c>
    </row>
    <row r="942" spans="7:9" x14ac:dyDescent="0.25">
      <c r="G942" t="s">
        <v>3247</v>
      </c>
      <c r="H942" t="s">
        <v>596</v>
      </c>
      <c r="I942" t="s">
        <v>3248</v>
      </c>
    </row>
    <row r="943" spans="7:9" x14ac:dyDescent="0.25">
      <c r="G943" t="s">
        <v>3249</v>
      </c>
      <c r="H943" t="s">
        <v>3250</v>
      </c>
      <c r="I943" t="s">
        <v>3251</v>
      </c>
    </row>
    <row r="944" spans="7:9" x14ac:dyDescent="0.25">
      <c r="G944" t="s">
        <v>3252</v>
      </c>
      <c r="H944" t="s">
        <v>519</v>
      </c>
      <c r="I944" t="s">
        <v>3253</v>
      </c>
    </row>
    <row r="945" spans="7:9" x14ac:dyDescent="0.25">
      <c r="G945" t="s">
        <v>3254</v>
      </c>
      <c r="H945" t="s">
        <v>568</v>
      </c>
      <c r="I945" t="s">
        <v>3255</v>
      </c>
    </row>
    <row r="946" spans="7:9" x14ac:dyDescent="0.25">
      <c r="G946" t="s">
        <v>3256</v>
      </c>
      <c r="H946" t="s">
        <v>981</v>
      </c>
      <c r="I946" t="s">
        <v>3257</v>
      </c>
    </row>
    <row r="947" spans="7:9" x14ac:dyDescent="0.25">
      <c r="G947" t="s">
        <v>3258</v>
      </c>
      <c r="H947" t="s">
        <v>125</v>
      </c>
      <c r="I947" t="s">
        <v>3259</v>
      </c>
    </row>
    <row r="948" spans="7:9" x14ac:dyDescent="0.25">
      <c r="G948" t="s">
        <v>3260</v>
      </c>
      <c r="H948" t="s">
        <v>136</v>
      </c>
      <c r="I948" t="s">
        <v>3261</v>
      </c>
    </row>
    <row r="949" spans="7:9" x14ac:dyDescent="0.25">
      <c r="G949" t="s">
        <v>3262</v>
      </c>
      <c r="H949" t="s">
        <v>355</v>
      </c>
      <c r="I949" t="s">
        <v>1113</v>
      </c>
    </row>
    <row r="950" spans="7:9" x14ac:dyDescent="0.25">
      <c r="G950" t="s">
        <v>3263</v>
      </c>
      <c r="H950" t="s">
        <v>598</v>
      </c>
      <c r="I950" t="s">
        <v>3264</v>
      </c>
    </row>
    <row r="951" spans="7:9" x14ac:dyDescent="0.25">
      <c r="G951" t="s">
        <v>3265</v>
      </c>
      <c r="H951" t="s">
        <v>388</v>
      </c>
      <c r="I951" t="s">
        <v>3266</v>
      </c>
    </row>
    <row r="952" spans="7:9" x14ac:dyDescent="0.25">
      <c r="G952" t="s">
        <v>3267</v>
      </c>
      <c r="H952" t="s">
        <v>600</v>
      </c>
      <c r="I952" t="s">
        <v>3268</v>
      </c>
    </row>
    <row r="953" spans="7:9" x14ac:dyDescent="0.25">
      <c r="G953" t="s">
        <v>3269</v>
      </c>
      <c r="H953" t="s">
        <v>3270</v>
      </c>
      <c r="I953" t="s">
        <v>3271</v>
      </c>
    </row>
    <row r="954" spans="7:9" x14ac:dyDescent="0.25">
      <c r="G954" t="s">
        <v>3272</v>
      </c>
      <c r="H954" t="s">
        <v>3273</v>
      </c>
      <c r="I954" t="s">
        <v>3274</v>
      </c>
    </row>
    <row r="955" spans="7:9" x14ac:dyDescent="0.25">
      <c r="G955" t="s">
        <v>3275</v>
      </c>
      <c r="H955" t="s">
        <v>3276</v>
      </c>
      <c r="I955" t="s">
        <v>3277</v>
      </c>
    </row>
    <row r="956" spans="7:9" x14ac:dyDescent="0.25">
      <c r="G956" t="s">
        <v>3278</v>
      </c>
      <c r="H956" t="s">
        <v>3279</v>
      </c>
      <c r="I956" t="s">
        <v>3280</v>
      </c>
    </row>
    <row r="957" spans="7:9" x14ac:dyDescent="0.25">
      <c r="G957" t="s">
        <v>3281</v>
      </c>
      <c r="H957" t="s">
        <v>3282</v>
      </c>
      <c r="I957" t="s">
        <v>3283</v>
      </c>
    </row>
    <row r="958" spans="7:9" x14ac:dyDescent="0.25">
      <c r="G958" t="s">
        <v>3284</v>
      </c>
      <c r="H958" t="s">
        <v>1033</v>
      </c>
      <c r="I958" t="s">
        <v>3285</v>
      </c>
    </row>
    <row r="959" spans="7:9" x14ac:dyDescent="0.25">
      <c r="G959" t="s">
        <v>3286</v>
      </c>
      <c r="H959" t="s">
        <v>601</v>
      </c>
      <c r="I959" t="s">
        <v>3287</v>
      </c>
    </row>
    <row r="960" spans="7:9" x14ac:dyDescent="0.25">
      <c r="G960" t="s">
        <v>3288</v>
      </c>
      <c r="H960" t="s">
        <v>163</v>
      </c>
      <c r="I960" t="s">
        <v>3289</v>
      </c>
    </row>
    <row r="961" spans="7:9" x14ac:dyDescent="0.25">
      <c r="G961" t="s">
        <v>3290</v>
      </c>
      <c r="H961" t="s">
        <v>742</v>
      </c>
      <c r="I961" t="s">
        <v>3291</v>
      </c>
    </row>
    <row r="962" spans="7:9" x14ac:dyDescent="0.25">
      <c r="G962" t="s">
        <v>3292</v>
      </c>
      <c r="H962" t="s">
        <v>3293</v>
      </c>
      <c r="I962" t="s">
        <v>3294</v>
      </c>
    </row>
    <row r="963" spans="7:9" x14ac:dyDescent="0.25">
      <c r="G963" t="s">
        <v>3295</v>
      </c>
      <c r="H963" t="s">
        <v>29</v>
      </c>
      <c r="I963" t="s">
        <v>3296</v>
      </c>
    </row>
    <row r="964" spans="7:9" x14ac:dyDescent="0.25">
      <c r="G964" t="s">
        <v>3297</v>
      </c>
      <c r="H964" t="s">
        <v>3298</v>
      </c>
      <c r="I964" t="s">
        <v>3299</v>
      </c>
    </row>
    <row r="965" spans="7:9" x14ac:dyDescent="0.25">
      <c r="G965" t="s">
        <v>3300</v>
      </c>
      <c r="H965" t="s">
        <v>3301</v>
      </c>
      <c r="I965" t="s">
        <v>3302</v>
      </c>
    </row>
    <row r="966" spans="7:9" x14ac:dyDescent="0.25">
      <c r="G966" t="s">
        <v>3303</v>
      </c>
      <c r="H966" t="s">
        <v>605</v>
      </c>
      <c r="I966" t="s">
        <v>3304</v>
      </c>
    </row>
    <row r="967" spans="7:9" x14ac:dyDescent="0.25">
      <c r="G967" t="s">
        <v>3305</v>
      </c>
      <c r="H967" t="s">
        <v>3306</v>
      </c>
      <c r="I967" t="s">
        <v>3307</v>
      </c>
    </row>
    <row r="968" spans="7:9" x14ac:dyDescent="0.25">
      <c r="G968" t="s">
        <v>3308</v>
      </c>
      <c r="H968" t="s">
        <v>872</v>
      </c>
      <c r="I968" t="s">
        <v>3309</v>
      </c>
    </row>
    <row r="969" spans="7:9" x14ac:dyDescent="0.25">
      <c r="G969" t="s">
        <v>3310</v>
      </c>
      <c r="H969" t="s">
        <v>873</v>
      </c>
      <c r="I969" t="s">
        <v>3311</v>
      </c>
    </row>
    <row r="970" spans="7:9" x14ac:dyDescent="0.25">
      <c r="G970" t="s">
        <v>3312</v>
      </c>
      <c r="H970" t="s">
        <v>3313</v>
      </c>
      <c r="I970" t="s">
        <v>3314</v>
      </c>
    </row>
    <row r="971" spans="7:9" x14ac:dyDescent="0.25">
      <c r="G971" t="s">
        <v>3315</v>
      </c>
      <c r="H971" t="s">
        <v>741</v>
      </c>
      <c r="I971" t="s">
        <v>3316</v>
      </c>
    </row>
    <row r="972" spans="7:9" x14ac:dyDescent="0.25">
      <c r="G972" t="s">
        <v>3317</v>
      </c>
      <c r="H972" t="s">
        <v>1013</v>
      </c>
      <c r="I972" t="s">
        <v>3318</v>
      </c>
    </row>
    <row r="973" spans="7:9" x14ac:dyDescent="0.25">
      <c r="G973" t="s">
        <v>3319</v>
      </c>
      <c r="H973" t="s">
        <v>3320</v>
      </c>
      <c r="I973" t="s">
        <v>3321</v>
      </c>
    </row>
    <row r="974" spans="7:9" x14ac:dyDescent="0.25">
      <c r="G974" t="s">
        <v>3322</v>
      </c>
      <c r="H974" t="s">
        <v>608</v>
      </c>
      <c r="I974" t="s">
        <v>3323</v>
      </c>
    </row>
    <row r="975" spans="7:9" x14ac:dyDescent="0.25">
      <c r="G975" t="s">
        <v>3324</v>
      </c>
      <c r="H975" t="s">
        <v>884</v>
      </c>
      <c r="I975" t="s">
        <v>3325</v>
      </c>
    </row>
    <row r="976" spans="7:9" x14ac:dyDescent="0.25">
      <c r="G976" t="s">
        <v>3326</v>
      </c>
      <c r="H976" t="s">
        <v>1022</v>
      </c>
      <c r="I976" t="s">
        <v>3327</v>
      </c>
    </row>
    <row r="977" spans="7:9" x14ac:dyDescent="0.25">
      <c r="G977" t="s">
        <v>3328</v>
      </c>
      <c r="H977" t="s">
        <v>3329</v>
      </c>
      <c r="I977" t="s">
        <v>3330</v>
      </c>
    </row>
    <row r="978" spans="7:9" x14ac:dyDescent="0.25">
      <c r="G978" t="s">
        <v>3331</v>
      </c>
      <c r="H978" t="s">
        <v>609</v>
      </c>
      <c r="I978" t="s">
        <v>3332</v>
      </c>
    </row>
    <row r="979" spans="7:9" x14ac:dyDescent="0.25">
      <c r="G979" t="s">
        <v>3333</v>
      </c>
      <c r="H979" t="s">
        <v>3334</v>
      </c>
      <c r="I979" t="s">
        <v>3335</v>
      </c>
    </row>
    <row r="980" spans="7:9" x14ac:dyDescent="0.25">
      <c r="G980" t="s">
        <v>3336</v>
      </c>
      <c r="H980" t="s">
        <v>3337</v>
      </c>
      <c r="I980" t="s">
        <v>3338</v>
      </c>
    </row>
    <row r="981" spans="7:9" x14ac:dyDescent="0.25">
      <c r="G981" t="s">
        <v>3339</v>
      </c>
      <c r="H981" t="s">
        <v>3340</v>
      </c>
      <c r="I981" t="s">
        <v>3341</v>
      </c>
    </row>
    <row r="982" spans="7:9" x14ac:dyDescent="0.25">
      <c r="G982" t="s">
        <v>3342</v>
      </c>
      <c r="H982" t="s">
        <v>610</v>
      </c>
      <c r="I982" t="s">
        <v>3343</v>
      </c>
    </row>
    <row r="983" spans="7:9" x14ac:dyDescent="0.25">
      <c r="G983" t="s">
        <v>3344</v>
      </c>
      <c r="H983" t="s">
        <v>611</v>
      </c>
      <c r="I983" t="s">
        <v>3345</v>
      </c>
    </row>
    <row r="984" spans="7:9" x14ac:dyDescent="0.25">
      <c r="G984" t="s">
        <v>3346</v>
      </c>
      <c r="H984" t="s">
        <v>3347</v>
      </c>
      <c r="I984" t="s">
        <v>3348</v>
      </c>
    </row>
    <row r="985" spans="7:9" x14ac:dyDescent="0.25">
      <c r="G985" t="s">
        <v>3349</v>
      </c>
      <c r="H985" t="s">
        <v>606</v>
      </c>
      <c r="I985" t="s">
        <v>3350</v>
      </c>
    </row>
    <row r="986" spans="7:9" x14ac:dyDescent="0.25">
      <c r="G986" t="s">
        <v>3351</v>
      </c>
      <c r="H986" t="s">
        <v>3352</v>
      </c>
      <c r="I986">
        <v>260414356</v>
      </c>
    </row>
    <row r="987" spans="7:9" x14ac:dyDescent="0.25">
      <c r="G987" t="s">
        <v>3353</v>
      </c>
      <c r="H987" t="s">
        <v>3354</v>
      </c>
      <c r="I987" t="s">
        <v>3355</v>
      </c>
    </row>
    <row r="988" spans="7:9" x14ac:dyDescent="0.25">
      <c r="G988" t="s">
        <v>3356</v>
      </c>
      <c r="H988" t="s">
        <v>3357</v>
      </c>
      <c r="I988" t="s">
        <v>3358</v>
      </c>
    </row>
    <row r="989" spans="7:9" x14ac:dyDescent="0.25">
      <c r="G989" t="s">
        <v>3359</v>
      </c>
      <c r="H989" t="s">
        <v>108</v>
      </c>
      <c r="I989" t="s">
        <v>3360</v>
      </c>
    </row>
    <row r="990" spans="7:9" x14ac:dyDescent="0.25">
      <c r="G990" t="s">
        <v>3361</v>
      </c>
      <c r="H990" t="s">
        <v>3362</v>
      </c>
      <c r="I990" t="s">
        <v>3363</v>
      </c>
    </row>
    <row r="991" spans="7:9" x14ac:dyDescent="0.25">
      <c r="G991" t="s">
        <v>3364</v>
      </c>
      <c r="H991" t="s">
        <v>3365</v>
      </c>
      <c r="I991" t="s">
        <v>3366</v>
      </c>
    </row>
    <row r="992" spans="7:9" x14ac:dyDescent="0.25">
      <c r="G992" t="s">
        <v>3367</v>
      </c>
      <c r="H992" t="s">
        <v>3368</v>
      </c>
      <c r="I992" t="s">
        <v>3369</v>
      </c>
    </row>
    <row r="993" spans="7:9" x14ac:dyDescent="0.25">
      <c r="G993" t="s">
        <v>3370</v>
      </c>
      <c r="H993" t="s">
        <v>515</v>
      </c>
      <c r="I993" t="s">
        <v>3371</v>
      </c>
    </row>
    <row r="994" spans="7:9" x14ac:dyDescent="0.25">
      <c r="G994" t="s">
        <v>3372</v>
      </c>
      <c r="H994" t="s">
        <v>90</v>
      </c>
      <c r="I994" t="s">
        <v>3373</v>
      </c>
    </row>
    <row r="995" spans="7:9" x14ac:dyDescent="0.25">
      <c r="G995" t="s">
        <v>3374</v>
      </c>
      <c r="H995" t="s">
        <v>3375</v>
      </c>
      <c r="I995" t="s">
        <v>3376</v>
      </c>
    </row>
    <row r="996" spans="7:9" x14ac:dyDescent="0.25">
      <c r="G996" t="s">
        <v>3377</v>
      </c>
      <c r="H996" t="s">
        <v>56</v>
      </c>
      <c r="I996" t="s">
        <v>3378</v>
      </c>
    </row>
    <row r="997" spans="7:9" x14ac:dyDescent="0.25">
      <c r="G997" t="s">
        <v>3379</v>
      </c>
      <c r="H997" t="s">
        <v>3380</v>
      </c>
      <c r="I997" t="s">
        <v>3381</v>
      </c>
    </row>
    <row r="998" spans="7:9" x14ac:dyDescent="0.25">
      <c r="G998" t="s">
        <v>3382</v>
      </c>
      <c r="H998" t="s">
        <v>3383</v>
      </c>
      <c r="I998" t="s">
        <v>3384</v>
      </c>
    </row>
    <row r="999" spans="7:9" x14ac:dyDescent="0.25">
      <c r="G999" t="s">
        <v>3385</v>
      </c>
      <c r="H999" t="s">
        <v>124</v>
      </c>
      <c r="I999" t="s">
        <v>3386</v>
      </c>
    </row>
    <row r="1000" spans="7:9" x14ac:dyDescent="0.25">
      <c r="G1000" t="s">
        <v>3387</v>
      </c>
      <c r="H1000" t="s">
        <v>341</v>
      </c>
      <c r="I1000" t="s">
        <v>3388</v>
      </c>
    </row>
    <row r="1001" spans="7:9" x14ac:dyDescent="0.25">
      <c r="G1001" t="s">
        <v>3389</v>
      </c>
      <c r="H1001" t="s">
        <v>3390</v>
      </c>
      <c r="I1001" t="s">
        <v>3391</v>
      </c>
    </row>
    <row r="1002" spans="7:9" x14ac:dyDescent="0.25">
      <c r="G1002" t="s">
        <v>3392</v>
      </c>
      <c r="H1002" t="s">
        <v>3393</v>
      </c>
      <c r="I1002" t="s">
        <v>3394</v>
      </c>
    </row>
    <row r="1003" spans="7:9" x14ac:dyDescent="0.25">
      <c r="G1003" t="s">
        <v>3395</v>
      </c>
      <c r="H1003" t="s">
        <v>3396</v>
      </c>
      <c r="I1003" t="s">
        <v>3397</v>
      </c>
    </row>
    <row r="1004" spans="7:9" x14ac:dyDescent="0.25">
      <c r="G1004" t="s">
        <v>3398</v>
      </c>
      <c r="H1004" t="s">
        <v>3399</v>
      </c>
      <c r="I1004" t="s">
        <v>3400</v>
      </c>
    </row>
    <row r="1005" spans="7:9" x14ac:dyDescent="0.25">
      <c r="G1005" t="s">
        <v>3401</v>
      </c>
      <c r="H1005" t="s">
        <v>3402</v>
      </c>
      <c r="I1005" t="s">
        <v>3403</v>
      </c>
    </row>
    <row r="1006" spans="7:9" x14ac:dyDescent="0.25">
      <c r="G1006" t="s">
        <v>3404</v>
      </c>
      <c r="H1006" t="s">
        <v>3405</v>
      </c>
      <c r="I1006" t="s">
        <v>3406</v>
      </c>
    </row>
    <row r="1007" spans="7:9" x14ac:dyDescent="0.25">
      <c r="G1007" t="s">
        <v>3407</v>
      </c>
      <c r="H1007" t="s">
        <v>3408</v>
      </c>
      <c r="I1007" t="s">
        <v>3409</v>
      </c>
    </row>
    <row r="1008" spans="7:9" x14ac:dyDescent="0.25">
      <c r="G1008" t="s">
        <v>3410</v>
      </c>
      <c r="H1008" t="s">
        <v>3411</v>
      </c>
      <c r="I1008" t="s">
        <v>3412</v>
      </c>
    </row>
    <row r="1009" spans="7:9" x14ac:dyDescent="0.25">
      <c r="G1009" t="s">
        <v>3413</v>
      </c>
      <c r="H1009" t="s">
        <v>3414</v>
      </c>
      <c r="I1009" t="s">
        <v>3415</v>
      </c>
    </row>
    <row r="1010" spans="7:9" x14ac:dyDescent="0.25">
      <c r="G1010" t="s">
        <v>3416</v>
      </c>
      <c r="H1010" t="s">
        <v>3417</v>
      </c>
      <c r="I1010" t="s">
        <v>3418</v>
      </c>
    </row>
    <row r="1011" spans="7:9" x14ac:dyDescent="0.25">
      <c r="G1011" t="s">
        <v>3419</v>
      </c>
      <c r="H1011" t="s">
        <v>3420</v>
      </c>
      <c r="I1011" t="s">
        <v>3421</v>
      </c>
    </row>
    <row r="1012" spans="7:9" x14ac:dyDescent="0.25">
      <c r="G1012" t="s">
        <v>3422</v>
      </c>
      <c r="H1012" t="s">
        <v>3423</v>
      </c>
      <c r="I1012" t="s">
        <v>3424</v>
      </c>
    </row>
    <row r="1013" spans="7:9" x14ac:dyDescent="0.25">
      <c r="G1013" t="s">
        <v>3425</v>
      </c>
      <c r="H1013" t="s">
        <v>309</v>
      </c>
      <c r="I1013" t="s">
        <v>3426</v>
      </c>
    </row>
    <row r="1014" spans="7:9" x14ac:dyDescent="0.25">
      <c r="G1014" t="s">
        <v>3427</v>
      </c>
      <c r="H1014" t="s">
        <v>3428</v>
      </c>
      <c r="I1014" t="s">
        <v>3429</v>
      </c>
    </row>
    <row r="1015" spans="7:9" x14ac:dyDescent="0.25">
      <c r="G1015" t="s">
        <v>3430</v>
      </c>
      <c r="H1015" t="s">
        <v>3431</v>
      </c>
      <c r="I1015" t="s">
        <v>3432</v>
      </c>
    </row>
    <row r="1016" spans="7:9" x14ac:dyDescent="0.25">
      <c r="G1016" t="s">
        <v>3433</v>
      </c>
      <c r="H1016" t="s">
        <v>3434</v>
      </c>
      <c r="I1016" t="s">
        <v>3435</v>
      </c>
    </row>
    <row r="1017" spans="7:9" x14ac:dyDescent="0.25">
      <c r="G1017" t="s">
        <v>3436</v>
      </c>
      <c r="H1017" t="s">
        <v>3437</v>
      </c>
      <c r="I1017" t="s">
        <v>3438</v>
      </c>
    </row>
    <row r="1018" spans="7:9" x14ac:dyDescent="0.25">
      <c r="G1018" t="s">
        <v>3439</v>
      </c>
      <c r="H1018" t="s">
        <v>3440</v>
      </c>
      <c r="I1018" t="s">
        <v>3441</v>
      </c>
    </row>
    <row r="1019" spans="7:9" x14ac:dyDescent="0.25">
      <c r="G1019" t="s">
        <v>3442</v>
      </c>
      <c r="H1019" t="s">
        <v>3443</v>
      </c>
      <c r="I1019" t="s">
        <v>3444</v>
      </c>
    </row>
    <row r="1020" spans="7:9" x14ac:dyDescent="0.25">
      <c r="G1020" t="s">
        <v>3445</v>
      </c>
      <c r="H1020" t="s">
        <v>3446</v>
      </c>
      <c r="I1020" t="s">
        <v>3447</v>
      </c>
    </row>
    <row r="1021" spans="7:9" x14ac:dyDescent="0.25">
      <c r="G1021" t="s">
        <v>3448</v>
      </c>
      <c r="H1021" t="s">
        <v>270</v>
      </c>
      <c r="I1021" t="s">
        <v>3449</v>
      </c>
    </row>
    <row r="1022" spans="7:9" x14ac:dyDescent="0.25">
      <c r="G1022" t="s">
        <v>3450</v>
      </c>
      <c r="H1022" t="s">
        <v>3451</v>
      </c>
      <c r="I1022" t="s">
        <v>3452</v>
      </c>
    </row>
    <row r="1023" spans="7:9" x14ac:dyDescent="0.25">
      <c r="G1023" t="s">
        <v>3453</v>
      </c>
      <c r="H1023" t="s">
        <v>3454</v>
      </c>
      <c r="I1023" t="s">
        <v>3455</v>
      </c>
    </row>
    <row r="1024" spans="7:9" x14ac:dyDescent="0.25">
      <c r="G1024" t="s">
        <v>3456</v>
      </c>
      <c r="H1024" t="s">
        <v>3457</v>
      </c>
      <c r="I1024" t="s">
        <v>3458</v>
      </c>
    </row>
    <row r="1025" spans="7:9" x14ac:dyDescent="0.25">
      <c r="G1025" t="s">
        <v>3459</v>
      </c>
      <c r="H1025" t="s">
        <v>3460</v>
      </c>
      <c r="I1025" t="s">
        <v>3461</v>
      </c>
    </row>
    <row r="1026" spans="7:9" x14ac:dyDescent="0.25">
      <c r="G1026" t="s">
        <v>3462</v>
      </c>
      <c r="H1026" t="s">
        <v>3463</v>
      </c>
      <c r="I1026" t="s">
        <v>3464</v>
      </c>
    </row>
    <row r="1027" spans="7:9" x14ac:dyDescent="0.25">
      <c r="G1027" t="s">
        <v>3465</v>
      </c>
      <c r="H1027" t="s">
        <v>3466</v>
      </c>
      <c r="I1027" t="s">
        <v>3467</v>
      </c>
    </row>
    <row r="1028" spans="7:9" x14ac:dyDescent="0.25">
      <c r="G1028" t="s">
        <v>3468</v>
      </c>
      <c r="H1028" t="s">
        <v>3469</v>
      </c>
      <c r="I1028" t="s">
        <v>3470</v>
      </c>
    </row>
    <row r="1029" spans="7:9" x14ac:dyDescent="0.25">
      <c r="G1029" t="s">
        <v>3471</v>
      </c>
      <c r="H1029" t="s">
        <v>372</v>
      </c>
      <c r="I1029" t="s">
        <v>3472</v>
      </c>
    </row>
    <row r="1030" spans="7:9" x14ac:dyDescent="0.25">
      <c r="G1030" t="s">
        <v>3473</v>
      </c>
      <c r="H1030" t="s">
        <v>3474</v>
      </c>
      <c r="I1030" t="s">
        <v>3475</v>
      </c>
    </row>
    <row r="1031" spans="7:9" x14ac:dyDescent="0.25">
      <c r="G1031" t="s">
        <v>3476</v>
      </c>
      <c r="H1031" t="s">
        <v>3477</v>
      </c>
      <c r="I1031" t="s">
        <v>3478</v>
      </c>
    </row>
    <row r="1032" spans="7:9" x14ac:dyDescent="0.25">
      <c r="G1032" t="s">
        <v>3479</v>
      </c>
      <c r="H1032" t="s">
        <v>3480</v>
      </c>
      <c r="I1032" t="s">
        <v>3481</v>
      </c>
    </row>
    <row r="1033" spans="7:9" x14ac:dyDescent="0.25">
      <c r="G1033" t="s">
        <v>3482</v>
      </c>
      <c r="H1033" t="s">
        <v>3483</v>
      </c>
      <c r="I1033" t="s">
        <v>3484</v>
      </c>
    </row>
    <row r="1034" spans="7:9" x14ac:dyDescent="0.25">
      <c r="G1034" t="s">
        <v>3485</v>
      </c>
      <c r="H1034" t="s">
        <v>3486</v>
      </c>
      <c r="I1034" t="s">
        <v>3487</v>
      </c>
    </row>
    <row r="1035" spans="7:9" x14ac:dyDescent="0.25">
      <c r="G1035" t="s">
        <v>3488</v>
      </c>
      <c r="H1035" t="s">
        <v>3489</v>
      </c>
      <c r="I1035" t="s">
        <v>3490</v>
      </c>
    </row>
    <row r="1036" spans="7:9" x14ac:dyDescent="0.25">
      <c r="G1036" t="s">
        <v>3491</v>
      </c>
      <c r="H1036" t="s">
        <v>3492</v>
      </c>
      <c r="I1036" t="s">
        <v>1406</v>
      </c>
    </row>
    <row r="1037" spans="7:9" x14ac:dyDescent="0.25">
      <c r="G1037" t="s">
        <v>3493</v>
      </c>
      <c r="H1037" t="s">
        <v>3494</v>
      </c>
      <c r="I1037" t="s">
        <v>3495</v>
      </c>
    </row>
    <row r="1038" spans="7:9" x14ac:dyDescent="0.25">
      <c r="G1038" t="s">
        <v>3496</v>
      </c>
      <c r="H1038" t="s">
        <v>3497</v>
      </c>
      <c r="I1038" t="s">
        <v>1406</v>
      </c>
    </row>
    <row r="1039" spans="7:9" x14ac:dyDescent="0.25">
      <c r="G1039" t="s">
        <v>3498</v>
      </c>
      <c r="H1039" t="s">
        <v>3499</v>
      </c>
      <c r="I1039" t="s">
        <v>1406</v>
      </c>
    </row>
    <row r="1040" spans="7:9" x14ac:dyDescent="0.25">
      <c r="G1040" t="s">
        <v>3500</v>
      </c>
      <c r="H1040" t="s">
        <v>3501</v>
      </c>
      <c r="I1040" t="s">
        <v>1406</v>
      </c>
    </row>
    <row r="1041" spans="7:9" x14ac:dyDescent="0.25">
      <c r="G1041" t="s">
        <v>3502</v>
      </c>
      <c r="H1041" t="s">
        <v>3503</v>
      </c>
      <c r="I1041" t="s">
        <v>3504</v>
      </c>
    </row>
    <row r="1042" spans="7:9" x14ac:dyDescent="0.25">
      <c r="G1042" t="s">
        <v>3505</v>
      </c>
      <c r="H1042" t="s">
        <v>3506</v>
      </c>
      <c r="I1042" t="s">
        <v>1406</v>
      </c>
    </row>
    <row r="1043" spans="7:9" x14ac:dyDescent="0.25">
      <c r="G1043" t="s">
        <v>3507</v>
      </c>
      <c r="H1043" t="s">
        <v>3508</v>
      </c>
      <c r="I1043" t="s">
        <v>1406</v>
      </c>
    </row>
    <row r="1044" spans="7:9" x14ac:dyDescent="0.25">
      <c r="G1044" t="s">
        <v>3509</v>
      </c>
      <c r="H1044" t="s">
        <v>3510</v>
      </c>
      <c r="I1044" t="s">
        <v>1406</v>
      </c>
    </row>
    <row r="1045" spans="7:9" x14ac:dyDescent="0.25">
      <c r="G1045" t="s">
        <v>3511</v>
      </c>
      <c r="H1045" t="s">
        <v>3512</v>
      </c>
      <c r="I1045" t="s">
        <v>1406</v>
      </c>
    </row>
    <row r="1046" spans="7:9" x14ac:dyDescent="0.25">
      <c r="G1046" t="s">
        <v>3513</v>
      </c>
      <c r="H1046" t="s">
        <v>3514</v>
      </c>
      <c r="I1046" t="s">
        <v>1406</v>
      </c>
    </row>
    <row r="1047" spans="7:9" x14ac:dyDescent="0.25">
      <c r="G1047" t="s">
        <v>3515</v>
      </c>
      <c r="H1047" t="s">
        <v>3516</v>
      </c>
      <c r="I1047" t="s">
        <v>1406</v>
      </c>
    </row>
    <row r="1048" spans="7:9" x14ac:dyDescent="0.25">
      <c r="G1048" t="s">
        <v>3517</v>
      </c>
      <c r="H1048" t="s">
        <v>566</v>
      </c>
      <c r="I1048" t="s">
        <v>3518</v>
      </c>
    </row>
    <row r="1049" spans="7:9" x14ac:dyDescent="0.25">
      <c r="G1049" t="s">
        <v>3519</v>
      </c>
      <c r="H1049" t="s">
        <v>3520</v>
      </c>
      <c r="I1049" t="s">
        <v>1406</v>
      </c>
    </row>
    <row r="1050" spans="7:9" x14ac:dyDescent="0.25">
      <c r="G1050" t="s">
        <v>3521</v>
      </c>
      <c r="H1050" t="s">
        <v>1103</v>
      </c>
      <c r="I1050" t="s">
        <v>3522</v>
      </c>
    </row>
    <row r="1051" spans="7:9" x14ac:dyDescent="0.25">
      <c r="G1051" t="s">
        <v>3523</v>
      </c>
      <c r="H1051" t="s">
        <v>338</v>
      </c>
      <c r="I1051" t="s">
        <v>1165</v>
      </c>
    </row>
    <row r="1052" spans="7:9" x14ac:dyDescent="0.25">
      <c r="G1052" t="s">
        <v>3524</v>
      </c>
      <c r="H1052" t="s">
        <v>3525</v>
      </c>
      <c r="I1052" t="s">
        <v>1406</v>
      </c>
    </row>
    <row r="1053" spans="7:9" x14ac:dyDescent="0.25">
      <c r="G1053" t="s">
        <v>3526</v>
      </c>
      <c r="H1053" t="s">
        <v>220</v>
      </c>
      <c r="I1053" t="s">
        <v>3527</v>
      </c>
    </row>
    <row r="1054" spans="7:9" x14ac:dyDescent="0.25">
      <c r="G1054" t="s">
        <v>3528</v>
      </c>
      <c r="H1054" t="s">
        <v>3529</v>
      </c>
      <c r="I1054" t="s">
        <v>1406</v>
      </c>
    </row>
    <row r="1055" spans="7:9" x14ac:dyDescent="0.25">
      <c r="G1055" t="s">
        <v>3530</v>
      </c>
      <c r="H1055" t="s">
        <v>119</v>
      </c>
      <c r="I1055" t="s">
        <v>3531</v>
      </c>
    </row>
    <row r="1056" spans="7:9" x14ac:dyDescent="0.25">
      <c r="G1056" t="s">
        <v>3532</v>
      </c>
      <c r="H1056" t="s">
        <v>3533</v>
      </c>
      <c r="I1056" t="s">
        <v>1406</v>
      </c>
    </row>
    <row r="1057" spans="7:9" x14ac:dyDescent="0.25">
      <c r="G1057" t="s">
        <v>3534</v>
      </c>
      <c r="H1057" t="s">
        <v>3535</v>
      </c>
      <c r="I1057" t="s">
        <v>1406</v>
      </c>
    </row>
    <row r="1058" spans="7:9" x14ac:dyDescent="0.25">
      <c r="G1058" t="s">
        <v>3536</v>
      </c>
      <c r="H1058" t="s">
        <v>3537</v>
      </c>
      <c r="I1058" t="s">
        <v>1406</v>
      </c>
    </row>
    <row r="1059" spans="7:9" x14ac:dyDescent="0.25">
      <c r="G1059" t="s">
        <v>3538</v>
      </c>
      <c r="H1059" t="s">
        <v>3539</v>
      </c>
      <c r="I1059" t="s">
        <v>1406</v>
      </c>
    </row>
    <row r="1060" spans="7:9" x14ac:dyDescent="0.25">
      <c r="G1060" t="s">
        <v>3540</v>
      </c>
      <c r="H1060" t="s">
        <v>3541</v>
      </c>
      <c r="I1060" t="s">
        <v>1406</v>
      </c>
    </row>
    <row r="1061" spans="7:9" x14ac:dyDescent="0.25">
      <c r="G1061" t="s">
        <v>3542</v>
      </c>
      <c r="H1061" t="s">
        <v>3543</v>
      </c>
      <c r="I1061" t="s">
        <v>1406</v>
      </c>
    </row>
    <row r="1062" spans="7:9" x14ac:dyDescent="0.25">
      <c r="G1062" t="s">
        <v>3544</v>
      </c>
      <c r="H1062" t="s">
        <v>3545</v>
      </c>
      <c r="I1062" t="s">
        <v>1406</v>
      </c>
    </row>
    <row r="1063" spans="7:9" x14ac:dyDescent="0.25">
      <c r="G1063" t="s">
        <v>3546</v>
      </c>
      <c r="H1063" t="s">
        <v>71</v>
      </c>
      <c r="I1063" t="s">
        <v>1110</v>
      </c>
    </row>
    <row r="1064" spans="7:9" x14ac:dyDescent="0.25">
      <c r="G1064" t="s">
        <v>3547</v>
      </c>
      <c r="H1064" t="s">
        <v>1104</v>
      </c>
      <c r="I1064" t="s">
        <v>3548</v>
      </c>
    </row>
    <row r="1065" spans="7:9" x14ac:dyDescent="0.25">
      <c r="G1065" t="s">
        <v>3549</v>
      </c>
      <c r="H1065" t="s">
        <v>3550</v>
      </c>
      <c r="I1065" t="s">
        <v>3551</v>
      </c>
    </row>
    <row r="1066" spans="7:9" x14ac:dyDescent="0.25">
      <c r="G1066" t="s">
        <v>3552</v>
      </c>
      <c r="H1066" t="s">
        <v>101</v>
      </c>
      <c r="I1066" t="s">
        <v>3553</v>
      </c>
    </row>
    <row r="1067" spans="7:9" x14ac:dyDescent="0.25">
      <c r="G1067" t="s">
        <v>3554</v>
      </c>
      <c r="H1067" t="s">
        <v>3555</v>
      </c>
      <c r="I1067" t="s">
        <v>3556</v>
      </c>
    </row>
    <row r="1068" spans="7:9" x14ac:dyDescent="0.25">
      <c r="G1068" t="s">
        <v>3557</v>
      </c>
      <c r="H1068" t="s">
        <v>3558</v>
      </c>
      <c r="I1068" t="s">
        <v>3559</v>
      </c>
    </row>
    <row r="1069" spans="7:9" x14ac:dyDescent="0.25">
      <c r="G1069" t="s">
        <v>3560</v>
      </c>
      <c r="H1069" t="s">
        <v>3561</v>
      </c>
      <c r="I1069" t="s">
        <v>3562</v>
      </c>
    </row>
    <row r="1070" spans="7:9" x14ac:dyDescent="0.25">
      <c r="G1070" t="s">
        <v>3563</v>
      </c>
      <c r="H1070" t="s">
        <v>137</v>
      </c>
      <c r="I1070" t="s">
        <v>3564</v>
      </c>
    </row>
    <row r="1071" spans="7:9" x14ac:dyDescent="0.25">
      <c r="G1071" t="s">
        <v>3565</v>
      </c>
      <c r="H1071" t="s">
        <v>3566</v>
      </c>
      <c r="I1071" t="s">
        <v>3567</v>
      </c>
    </row>
    <row r="1072" spans="7:9" x14ac:dyDescent="0.25">
      <c r="G1072" t="s">
        <v>3568</v>
      </c>
      <c r="H1072" t="s">
        <v>782</v>
      </c>
      <c r="I1072" t="s">
        <v>3569</v>
      </c>
    </row>
    <row r="1073" spans="7:9" x14ac:dyDescent="0.25">
      <c r="G1073" t="s">
        <v>3570</v>
      </c>
      <c r="H1073" t="s">
        <v>3571</v>
      </c>
      <c r="I1073" t="s">
        <v>3572</v>
      </c>
    </row>
    <row r="1074" spans="7:9" x14ac:dyDescent="0.25">
      <c r="G1074" t="s">
        <v>3573</v>
      </c>
      <c r="H1074" t="s">
        <v>3574</v>
      </c>
      <c r="I1074" t="s">
        <v>3575</v>
      </c>
    </row>
    <row r="1075" spans="7:9" x14ac:dyDescent="0.25">
      <c r="G1075" t="s">
        <v>3576</v>
      </c>
      <c r="H1075" t="s">
        <v>303</v>
      </c>
      <c r="I1075" t="s">
        <v>3577</v>
      </c>
    </row>
    <row r="1076" spans="7:9" x14ac:dyDescent="0.25">
      <c r="G1076" t="s">
        <v>3578</v>
      </c>
      <c r="H1076" t="s">
        <v>459</v>
      </c>
      <c r="I1076" t="s">
        <v>3579</v>
      </c>
    </row>
    <row r="1077" spans="7:9" x14ac:dyDescent="0.25">
      <c r="G1077" t="s">
        <v>3580</v>
      </c>
      <c r="H1077" t="s">
        <v>521</v>
      </c>
      <c r="I1077" t="s">
        <v>3581</v>
      </c>
    </row>
    <row r="1078" spans="7:9" x14ac:dyDescent="0.25">
      <c r="G1078" t="s">
        <v>3582</v>
      </c>
      <c r="H1078" t="s">
        <v>3583</v>
      </c>
      <c r="I1078" t="s">
        <v>3584</v>
      </c>
    </row>
    <row r="1079" spans="7:9" x14ac:dyDescent="0.25">
      <c r="G1079" t="s">
        <v>3585</v>
      </c>
      <c r="H1079" t="s">
        <v>3586</v>
      </c>
      <c r="I1079" t="s">
        <v>3587</v>
      </c>
    </row>
    <row r="1080" spans="7:9" x14ac:dyDescent="0.25">
      <c r="G1080" t="s">
        <v>3588</v>
      </c>
      <c r="H1080" t="s">
        <v>3589</v>
      </c>
      <c r="I1080" t="s">
        <v>3590</v>
      </c>
    </row>
    <row r="1081" spans="7:9" x14ac:dyDescent="0.25">
      <c r="G1081" t="s">
        <v>3591</v>
      </c>
      <c r="H1081" t="s">
        <v>3592</v>
      </c>
      <c r="I1081" t="s">
        <v>3593</v>
      </c>
    </row>
    <row r="1082" spans="7:9" x14ac:dyDescent="0.25">
      <c r="G1082" t="s">
        <v>3594</v>
      </c>
      <c r="H1082" t="s">
        <v>3595</v>
      </c>
      <c r="I1082" t="s">
        <v>3596</v>
      </c>
    </row>
    <row r="1083" spans="7:9" x14ac:dyDescent="0.25">
      <c r="G1083" t="s">
        <v>3597</v>
      </c>
      <c r="H1083" t="s">
        <v>3598</v>
      </c>
      <c r="I1083" t="s">
        <v>3599</v>
      </c>
    </row>
    <row r="1084" spans="7:9" x14ac:dyDescent="0.25">
      <c r="G1084" t="s">
        <v>3600</v>
      </c>
      <c r="H1084" t="s">
        <v>443</v>
      </c>
      <c r="I1084" t="s">
        <v>1170</v>
      </c>
    </row>
    <row r="1085" spans="7:9" x14ac:dyDescent="0.25">
      <c r="G1085" t="s">
        <v>3601</v>
      </c>
      <c r="H1085" t="s">
        <v>115</v>
      </c>
      <c r="I1085" t="s">
        <v>3602</v>
      </c>
    </row>
    <row r="1086" spans="7:9" x14ac:dyDescent="0.25">
      <c r="G1086" t="s">
        <v>3603</v>
      </c>
      <c r="H1086" t="s">
        <v>3604</v>
      </c>
      <c r="I1086" t="s">
        <v>3605</v>
      </c>
    </row>
    <row r="1087" spans="7:9" x14ac:dyDescent="0.25">
      <c r="G1087" t="s">
        <v>3606</v>
      </c>
      <c r="H1087" t="s">
        <v>3607</v>
      </c>
      <c r="I1087" t="s">
        <v>3608</v>
      </c>
    </row>
    <row r="1088" spans="7:9" x14ac:dyDescent="0.25">
      <c r="G1088" t="s">
        <v>3609</v>
      </c>
      <c r="H1088" t="s">
        <v>3610</v>
      </c>
      <c r="I1088" t="s">
        <v>3611</v>
      </c>
    </row>
    <row r="1089" spans="7:9" x14ac:dyDescent="0.25">
      <c r="G1089" t="s">
        <v>3612</v>
      </c>
      <c r="H1089" t="s">
        <v>603</v>
      </c>
      <c r="I1089" t="s">
        <v>3613</v>
      </c>
    </row>
    <row r="1090" spans="7:9" x14ac:dyDescent="0.25">
      <c r="G1090" t="s">
        <v>3614</v>
      </c>
      <c r="H1090" t="s">
        <v>11</v>
      </c>
      <c r="I1090" t="s">
        <v>3615</v>
      </c>
    </row>
    <row r="1091" spans="7:9" x14ac:dyDescent="0.25">
      <c r="G1091" t="s">
        <v>3616</v>
      </c>
      <c r="H1091" t="s">
        <v>140</v>
      </c>
      <c r="I1091" t="s">
        <v>3617</v>
      </c>
    </row>
    <row r="1092" spans="7:9" x14ac:dyDescent="0.25">
      <c r="G1092" t="s">
        <v>3618</v>
      </c>
      <c r="H1092" t="s">
        <v>290</v>
      </c>
      <c r="I1092" t="s">
        <v>1125</v>
      </c>
    </row>
    <row r="1093" spans="7:9" x14ac:dyDescent="0.25">
      <c r="G1093" t="s">
        <v>3619</v>
      </c>
      <c r="H1093" t="s">
        <v>3620</v>
      </c>
      <c r="I1093" t="s">
        <v>3621</v>
      </c>
    </row>
    <row r="1094" spans="7:9" x14ac:dyDescent="0.25">
      <c r="G1094" t="s">
        <v>3622</v>
      </c>
      <c r="H1094" t="s">
        <v>3623</v>
      </c>
      <c r="I1094" t="s">
        <v>3624</v>
      </c>
    </row>
    <row r="1095" spans="7:9" x14ac:dyDescent="0.25">
      <c r="G1095" t="s">
        <v>3625</v>
      </c>
      <c r="H1095" t="s">
        <v>3626</v>
      </c>
      <c r="I1095" t="s">
        <v>3627</v>
      </c>
    </row>
    <row r="1096" spans="7:9" x14ac:dyDescent="0.25">
      <c r="G1096" t="s">
        <v>3628</v>
      </c>
      <c r="H1096" t="s">
        <v>521</v>
      </c>
      <c r="I1096" t="s">
        <v>3581</v>
      </c>
    </row>
    <row r="1097" spans="7:9" x14ac:dyDescent="0.25">
      <c r="G1097" t="s">
        <v>3629</v>
      </c>
      <c r="H1097" t="s">
        <v>757</v>
      </c>
      <c r="I1097" t="s">
        <v>3630</v>
      </c>
    </row>
    <row r="1098" spans="7:9" x14ac:dyDescent="0.25">
      <c r="G1098" t="s">
        <v>3631</v>
      </c>
      <c r="H1098" t="s">
        <v>3632</v>
      </c>
      <c r="I1098" t="s">
        <v>3633</v>
      </c>
    </row>
    <row r="1099" spans="7:9" x14ac:dyDescent="0.25">
      <c r="G1099" t="s">
        <v>3634</v>
      </c>
      <c r="H1099" t="s">
        <v>3635</v>
      </c>
      <c r="I1099" t="s">
        <v>3636</v>
      </c>
    </row>
    <row r="1100" spans="7:9" x14ac:dyDescent="0.25">
      <c r="G1100" t="s">
        <v>3637</v>
      </c>
      <c r="H1100" t="s">
        <v>3638</v>
      </c>
      <c r="I1100" t="s">
        <v>3639</v>
      </c>
    </row>
    <row r="1101" spans="7:9" x14ac:dyDescent="0.25">
      <c r="G1101" t="s">
        <v>3640</v>
      </c>
      <c r="H1101" t="s">
        <v>3641</v>
      </c>
      <c r="I1101" t="s">
        <v>3642</v>
      </c>
    </row>
    <row r="1102" spans="7:9" x14ac:dyDescent="0.25">
      <c r="G1102" t="s">
        <v>3643</v>
      </c>
      <c r="H1102" t="s">
        <v>3644</v>
      </c>
      <c r="I1102" t="s">
        <v>3645</v>
      </c>
    </row>
    <row r="1103" spans="7:9" x14ac:dyDescent="0.25">
      <c r="G1103" t="s">
        <v>3646</v>
      </c>
      <c r="H1103" t="s">
        <v>3647</v>
      </c>
      <c r="I1103" t="s">
        <v>3648</v>
      </c>
    </row>
    <row r="1104" spans="7:9" x14ac:dyDescent="0.25">
      <c r="G1104" t="s">
        <v>3649</v>
      </c>
      <c r="H1104" t="s">
        <v>623</v>
      </c>
      <c r="I1104" t="s">
        <v>3650</v>
      </c>
    </row>
    <row r="1105" spans="7:9" x14ac:dyDescent="0.25">
      <c r="G1105" t="s">
        <v>3651</v>
      </c>
      <c r="H1105" t="s">
        <v>72</v>
      </c>
      <c r="I1105" t="s">
        <v>3652</v>
      </c>
    </row>
    <row r="1106" spans="7:9" x14ac:dyDescent="0.25">
      <c r="G1106" t="s">
        <v>3653</v>
      </c>
      <c r="H1106" t="s">
        <v>475</v>
      </c>
      <c r="I1106" t="s">
        <v>3654</v>
      </c>
    </row>
    <row r="1107" spans="7:9" x14ac:dyDescent="0.25">
      <c r="G1107" t="s">
        <v>3655</v>
      </c>
      <c r="H1107" t="s">
        <v>607</v>
      </c>
      <c r="I1107" t="s">
        <v>3656</v>
      </c>
    </row>
    <row r="1108" spans="7:9" x14ac:dyDescent="0.25">
      <c r="G1108" t="s">
        <v>3657</v>
      </c>
      <c r="H1108" t="s">
        <v>3658</v>
      </c>
      <c r="I1108" t="s">
        <v>3659</v>
      </c>
    </row>
    <row r="1109" spans="7:9" x14ac:dyDescent="0.25">
      <c r="G1109" t="s">
        <v>3660</v>
      </c>
      <c r="H1109" t="s">
        <v>498</v>
      </c>
      <c r="I1109" t="s">
        <v>3661</v>
      </c>
    </row>
    <row r="1110" spans="7:9" x14ac:dyDescent="0.25">
      <c r="G1110" t="s">
        <v>3662</v>
      </c>
      <c r="H1110" t="s">
        <v>3663</v>
      </c>
      <c r="I1110" t="s">
        <v>3664</v>
      </c>
    </row>
    <row r="1111" spans="7:9" x14ac:dyDescent="0.25">
      <c r="G1111" t="s">
        <v>3665</v>
      </c>
      <c r="H1111" t="s">
        <v>3666</v>
      </c>
      <c r="I1111" t="s">
        <v>3063</v>
      </c>
    </row>
    <row r="1112" spans="7:9" x14ac:dyDescent="0.25">
      <c r="G1112" t="s">
        <v>3667</v>
      </c>
      <c r="H1112" t="s">
        <v>146</v>
      </c>
      <c r="I1112" t="s">
        <v>1162</v>
      </c>
    </row>
    <row r="1113" spans="7:9" x14ac:dyDescent="0.25">
      <c r="G1113" t="s">
        <v>3668</v>
      </c>
      <c r="H1113" t="s">
        <v>3669</v>
      </c>
      <c r="I1113" t="s">
        <v>3670</v>
      </c>
    </row>
    <row r="1114" spans="7:9" x14ac:dyDescent="0.25">
      <c r="G1114" t="s">
        <v>3671</v>
      </c>
      <c r="H1114" t="s">
        <v>506</v>
      </c>
      <c r="I1114" t="s">
        <v>3672</v>
      </c>
    </row>
    <row r="1115" spans="7:9" x14ac:dyDescent="0.25">
      <c r="G1115" t="s">
        <v>3673</v>
      </c>
      <c r="H1115" t="s">
        <v>3674</v>
      </c>
      <c r="I1115" t="s">
        <v>3675</v>
      </c>
    </row>
    <row r="1116" spans="7:9" x14ac:dyDescent="0.25">
      <c r="G1116" t="s">
        <v>3676</v>
      </c>
      <c r="H1116" t="s">
        <v>3677</v>
      </c>
      <c r="I1116" t="s">
        <v>3678</v>
      </c>
    </row>
    <row r="1117" spans="7:9" x14ac:dyDescent="0.25">
      <c r="G1117" t="s">
        <v>3679</v>
      </c>
      <c r="H1117" t="s">
        <v>3680</v>
      </c>
      <c r="I1117" t="s">
        <v>3681</v>
      </c>
    </row>
    <row r="1118" spans="7:9" x14ac:dyDescent="0.25">
      <c r="G1118" t="s">
        <v>3682</v>
      </c>
      <c r="H1118" t="s">
        <v>3683</v>
      </c>
      <c r="I1118" t="s">
        <v>3684</v>
      </c>
    </row>
    <row r="1119" spans="7:9" x14ac:dyDescent="0.25">
      <c r="G1119" t="s">
        <v>3685</v>
      </c>
      <c r="H1119" t="s">
        <v>3686</v>
      </c>
      <c r="I1119" t="s">
        <v>3687</v>
      </c>
    </row>
    <row r="1120" spans="7:9" x14ac:dyDescent="0.25">
      <c r="G1120" t="s">
        <v>3688</v>
      </c>
      <c r="H1120" t="s">
        <v>3689</v>
      </c>
      <c r="I1120" t="s">
        <v>3690</v>
      </c>
    </row>
    <row r="1121" spans="7:9" x14ac:dyDescent="0.25">
      <c r="G1121" t="s">
        <v>3691</v>
      </c>
      <c r="H1121" t="s">
        <v>579</v>
      </c>
      <c r="I1121" t="s">
        <v>3692</v>
      </c>
    </row>
    <row r="1122" spans="7:9" x14ac:dyDescent="0.25">
      <c r="G1122" t="s">
        <v>3693</v>
      </c>
      <c r="H1122" t="s">
        <v>3694</v>
      </c>
      <c r="I1122" t="s">
        <v>3695</v>
      </c>
    </row>
    <row r="1123" spans="7:9" x14ac:dyDescent="0.25">
      <c r="G1123" t="s">
        <v>3696</v>
      </c>
      <c r="H1123" t="s">
        <v>3697</v>
      </c>
      <c r="I1123" t="s">
        <v>3698</v>
      </c>
    </row>
    <row r="1124" spans="7:9" x14ac:dyDescent="0.25">
      <c r="G1124" t="s">
        <v>3699</v>
      </c>
      <c r="H1124" t="s">
        <v>3700</v>
      </c>
      <c r="I1124" t="s">
        <v>3701</v>
      </c>
    </row>
    <row r="1125" spans="7:9" x14ac:dyDescent="0.25">
      <c r="G1125" t="s">
        <v>3702</v>
      </c>
      <c r="H1125" t="s">
        <v>67</v>
      </c>
      <c r="I1125" t="s">
        <v>3703</v>
      </c>
    </row>
    <row r="1126" spans="7:9" x14ac:dyDescent="0.25">
      <c r="G1126" t="s">
        <v>3704</v>
      </c>
      <c r="H1126" t="s">
        <v>3705</v>
      </c>
      <c r="I1126" t="s">
        <v>3706</v>
      </c>
    </row>
    <row r="1127" spans="7:9" x14ac:dyDescent="0.25">
      <c r="G1127" t="s">
        <v>3707</v>
      </c>
      <c r="H1127" t="s">
        <v>61</v>
      </c>
      <c r="I1127" t="s">
        <v>1124</v>
      </c>
    </row>
    <row r="1128" spans="7:9" x14ac:dyDescent="0.25">
      <c r="G1128" t="s">
        <v>3708</v>
      </c>
      <c r="H1128" t="s">
        <v>3709</v>
      </c>
      <c r="I1128" t="s">
        <v>3710</v>
      </c>
    </row>
    <row r="1129" spans="7:9" x14ac:dyDescent="0.25">
      <c r="G1129" t="s">
        <v>3711</v>
      </c>
      <c r="H1129" t="s">
        <v>3712</v>
      </c>
      <c r="I1129" t="s">
        <v>3713</v>
      </c>
    </row>
    <row r="1130" spans="7:9" x14ac:dyDescent="0.25">
      <c r="G1130" t="s">
        <v>3714</v>
      </c>
      <c r="H1130" t="s">
        <v>516</v>
      </c>
      <c r="I1130" t="s">
        <v>3715</v>
      </c>
    </row>
    <row r="1131" spans="7:9" x14ac:dyDescent="0.25">
      <c r="G1131" t="s">
        <v>3716</v>
      </c>
      <c r="H1131" t="s">
        <v>3717</v>
      </c>
      <c r="I1131" t="s">
        <v>3718</v>
      </c>
    </row>
    <row r="1132" spans="7:9" x14ac:dyDescent="0.25">
      <c r="G1132" t="s">
        <v>3719</v>
      </c>
      <c r="H1132" t="s">
        <v>3720</v>
      </c>
      <c r="I1132" t="s">
        <v>3721</v>
      </c>
    </row>
    <row r="1133" spans="7:9" x14ac:dyDescent="0.25">
      <c r="G1133" t="s">
        <v>3722</v>
      </c>
      <c r="H1133" t="s">
        <v>807</v>
      </c>
      <c r="I1133" t="s">
        <v>3723</v>
      </c>
    </row>
    <row r="1134" spans="7:9" x14ac:dyDescent="0.25">
      <c r="G1134" t="s">
        <v>3724</v>
      </c>
      <c r="H1134" t="s">
        <v>3725</v>
      </c>
      <c r="I1134" t="s">
        <v>3726</v>
      </c>
    </row>
    <row r="1135" spans="7:9" x14ac:dyDescent="0.25">
      <c r="G1135" t="s">
        <v>3727</v>
      </c>
      <c r="H1135" t="s">
        <v>15</v>
      </c>
      <c r="I1135" t="s">
        <v>3728</v>
      </c>
    </row>
    <row r="1136" spans="7:9" x14ac:dyDescent="0.25">
      <c r="G1136" t="s">
        <v>3729</v>
      </c>
      <c r="H1136" t="s">
        <v>3730</v>
      </c>
      <c r="I1136" t="s">
        <v>3219</v>
      </c>
    </row>
    <row r="1137" spans="7:9" x14ac:dyDescent="0.25">
      <c r="G1137" t="s">
        <v>3731</v>
      </c>
      <c r="H1137" t="s">
        <v>208</v>
      </c>
      <c r="I1137" t="s">
        <v>3732</v>
      </c>
    </row>
    <row r="1138" spans="7:9" x14ac:dyDescent="0.25">
      <c r="G1138" t="s">
        <v>3733</v>
      </c>
      <c r="H1138" t="s">
        <v>3734</v>
      </c>
      <c r="I1138" t="s">
        <v>3735</v>
      </c>
    </row>
    <row r="1139" spans="7:9" x14ac:dyDescent="0.25">
      <c r="G1139" t="s">
        <v>3736</v>
      </c>
      <c r="H1139" t="s">
        <v>3737</v>
      </c>
      <c r="I1139" t="s">
        <v>3738</v>
      </c>
    </row>
    <row r="1140" spans="7:9" x14ac:dyDescent="0.25">
      <c r="G1140" t="s">
        <v>3739</v>
      </c>
      <c r="H1140" t="s">
        <v>411</v>
      </c>
      <c r="I1140" t="s">
        <v>3740</v>
      </c>
    </row>
    <row r="1141" spans="7:9" x14ac:dyDescent="0.25">
      <c r="G1141" t="s">
        <v>3741</v>
      </c>
      <c r="H1141" t="s">
        <v>3742</v>
      </c>
      <c r="I1141" t="s">
        <v>3743</v>
      </c>
    </row>
    <row r="1142" spans="7:9" x14ac:dyDescent="0.25">
      <c r="G1142" t="s">
        <v>3744</v>
      </c>
      <c r="H1142" t="s">
        <v>3745</v>
      </c>
      <c r="I1142" t="s">
        <v>3746</v>
      </c>
    </row>
    <row r="1143" spans="7:9" x14ac:dyDescent="0.25">
      <c r="G1143" t="s">
        <v>3747</v>
      </c>
      <c r="H1143" t="s">
        <v>3748</v>
      </c>
      <c r="I1143" t="s">
        <v>3749</v>
      </c>
    </row>
    <row r="1144" spans="7:9" x14ac:dyDescent="0.25">
      <c r="G1144" t="s">
        <v>3750</v>
      </c>
      <c r="H1144" t="s">
        <v>3751</v>
      </c>
      <c r="I1144" t="s">
        <v>3752</v>
      </c>
    </row>
    <row r="1145" spans="7:9" x14ac:dyDescent="0.25">
      <c r="G1145" t="s">
        <v>3753</v>
      </c>
      <c r="H1145" t="s">
        <v>44</v>
      </c>
      <c r="I1145" t="s">
        <v>1136</v>
      </c>
    </row>
    <row r="1146" spans="7:9" x14ac:dyDescent="0.25">
      <c r="G1146" t="s">
        <v>3754</v>
      </c>
      <c r="H1146" t="s">
        <v>48</v>
      </c>
      <c r="I1146" t="s">
        <v>1142</v>
      </c>
    </row>
    <row r="1147" spans="7:9" x14ac:dyDescent="0.25">
      <c r="G1147" t="s">
        <v>3755</v>
      </c>
      <c r="H1147" t="s">
        <v>3756</v>
      </c>
      <c r="I1147" t="s">
        <v>3757</v>
      </c>
    </row>
    <row r="1148" spans="7:9" x14ac:dyDescent="0.25">
      <c r="G1148" t="s">
        <v>3758</v>
      </c>
      <c r="H1148" t="s">
        <v>583</v>
      </c>
      <c r="I1148" t="s">
        <v>3759</v>
      </c>
    </row>
    <row r="1149" spans="7:9" x14ac:dyDescent="0.25">
      <c r="G1149" t="s">
        <v>3760</v>
      </c>
      <c r="H1149" t="s">
        <v>3761</v>
      </c>
      <c r="I1149" t="s">
        <v>3762</v>
      </c>
    </row>
    <row r="1150" spans="7:9" x14ac:dyDescent="0.25">
      <c r="G1150" t="s">
        <v>3763</v>
      </c>
      <c r="H1150" t="s">
        <v>176</v>
      </c>
      <c r="I1150" t="s">
        <v>3764</v>
      </c>
    </row>
    <row r="1151" spans="7:9" x14ac:dyDescent="0.25">
      <c r="G1151" t="s">
        <v>3765</v>
      </c>
      <c r="H1151" t="s">
        <v>3766</v>
      </c>
      <c r="I1151" t="s">
        <v>3767</v>
      </c>
    </row>
    <row r="1152" spans="7:9" x14ac:dyDescent="0.25">
      <c r="G1152" t="s">
        <v>3768</v>
      </c>
      <c r="H1152" t="s">
        <v>3769</v>
      </c>
      <c r="I1152" t="s">
        <v>3770</v>
      </c>
    </row>
    <row r="1153" spans="7:9" x14ac:dyDescent="0.25">
      <c r="G1153" t="s">
        <v>3771</v>
      </c>
      <c r="H1153" t="s">
        <v>3772</v>
      </c>
      <c r="I1153" t="s">
        <v>3773</v>
      </c>
    </row>
    <row r="1154" spans="7:9" x14ac:dyDescent="0.25">
      <c r="G1154" t="s">
        <v>3774</v>
      </c>
      <c r="H1154" t="s">
        <v>3775</v>
      </c>
      <c r="I1154" t="s">
        <v>3248</v>
      </c>
    </row>
    <row r="1155" spans="7:9" x14ac:dyDescent="0.25">
      <c r="G1155" t="s">
        <v>3776</v>
      </c>
      <c r="H1155" t="s">
        <v>3777</v>
      </c>
      <c r="I1155" t="s">
        <v>3778</v>
      </c>
    </row>
    <row r="1156" spans="7:9" x14ac:dyDescent="0.25">
      <c r="G1156" t="s">
        <v>3779</v>
      </c>
      <c r="H1156" t="s">
        <v>39</v>
      </c>
      <c r="I1156" t="s">
        <v>1171</v>
      </c>
    </row>
    <row r="1157" spans="7:9" x14ac:dyDescent="0.25">
      <c r="G1157" t="s">
        <v>3780</v>
      </c>
      <c r="H1157" t="s">
        <v>3781</v>
      </c>
      <c r="I1157" t="s">
        <v>3782</v>
      </c>
    </row>
    <row r="1158" spans="7:9" x14ac:dyDescent="0.25">
      <c r="G1158" t="s">
        <v>3783</v>
      </c>
      <c r="H1158" t="s">
        <v>3784</v>
      </c>
      <c r="I1158" t="s">
        <v>3785</v>
      </c>
    </row>
    <row r="1159" spans="7:9" x14ac:dyDescent="0.25">
      <c r="G1159" t="s">
        <v>3786</v>
      </c>
      <c r="H1159" t="s">
        <v>3787</v>
      </c>
      <c r="I1159" t="s">
        <v>3788</v>
      </c>
    </row>
    <row r="1160" spans="7:9" x14ac:dyDescent="0.25">
      <c r="G1160" t="s">
        <v>3789</v>
      </c>
      <c r="H1160" t="s">
        <v>3790</v>
      </c>
      <c r="I1160" t="s">
        <v>3791</v>
      </c>
    </row>
    <row r="1161" spans="7:9" x14ac:dyDescent="0.25">
      <c r="G1161" t="s">
        <v>3792</v>
      </c>
      <c r="H1161" t="s">
        <v>187</v>
      </c>
      <c r="I1161" t="s">
        <v>3793</v>
      </c>
    </row>
    <row r="1162" spans="7:9" x14ac:dyDescent="0.25">
      <c r="G1162" t="s">
        <v>3794</v>
      </c>
      <c r="H1162" t="s">
        <v>3795</v>
      </c>
      <c r="I1162" t="s">
        <v>3796</v>
      </c>
    </row>
    <row r="1163" spans="7:9" x14ac:dyDescent="0.25">
      <c r="G1163" t="s">
        <v>3797</v>
      </c>
      <c r="H1163" t="s">
        <v>3798</v>
      </c>
      <c r="I1163" t="s">
        <v>3799</v>
      </c>
    </row>
    <row r="1164" spans="7:9" x14ac:dyDescent="0.25">
      <c r="G1164" t="s">
        <v>3800</v>
      </c>
      <c r="H1164" t="s">
        <v>776</v>
      </c>
      <c r="I1164" t="s">
        <v>1109</v>
      </c>
    </row>
    <row r="1165" spans="7:9" x14ac:dyDescent="0.25">
      <c r="G1165" t="s">
        <v>3801</v>
      </c>
      <c r="H1165" t="s">
        <v>3802</v>
      </c>
      <c r="I1165" t="s">
        <v>3803</v>
      </c>
    </row>
    <row r="1166" spans="7:9" x14ac:dyDescent="0.25">
      <c r="G1166" t="s">
        <v>3804</v>
      </c>
      <c r="H1166" t="s">
        <v>144</v>
      </c>
      <c r="I1166" t="s">
        <v>3805</v>
      </c>
    </row>
    <row r="1167" spans="7:9" x14ac:dyDescent="0.25">
      <c r="G1167" t="s">
        <v>3806</v>
      </c>
      <c r="H1167" t="s">
        <v>3807</v>
      </c>
      <c r="I1167" t="s">
        <v>3808</v>
      </c>
    </row>
    <row r="1168" spans="7:9" x14ac:dyDescent="0.25">
      <c r="G1168" t="s">
        <v>3809</v>
      </c>
      <c r="H1168" t="s">
        <v>3810</v>
      </c>
      <c r="I1168" t="s">
        <v>1406</v>
      </c>
    </row>
    <row r="1169" spans="7:9" x14ac:dyDescent="0.25">
      <c r="G1169" t="s">
        <v>3811</v>
      </c>
      <c r="H1169" t="s">
        <v>3812</v>
      </c>
      <c r="I1169" t="s">
        <v>3813</v>
      </c>
    </row>
    <row r="1170" spans="7:9" x14ac:dyDescent="0.25">
      <c r="G1170" t="s">
        <v>3814</v>
      </c>
      <c r="H1170" t="s">
        <v>864</v>
      </c>
      <c r="I1170" t="s">
        <v>3815</v>
      </c>
    </row>
    <row r="1171" spans="7:9" x14ac:dyDescent="0.25">
      <c r="G1171" t="s">
        <v>3816</v>
      </c>
      <c r="H1171" t="s">
        <v>3817</v>
      </c>
      <c r="I1171" t="s">
        <v>3818</v>
      </c>
    </row>
    <row r="1172" spans="7:9" x14ac:dyDescent="0.25">
      <c r="G1172" t="s">
        <v>3819</v>
      </c>
      <c r="H1172" t="s">
        <v>3820</v>
      </c>
      <c r="I1172" t="s">
        <v>3821</v>
      </c>
    </row>
    <row r="1173" spans="7:9" x14ac:dyDescent="0.25">
      <c r="G1173" t="s">
        <v>3822</v>
      </c>
      <c r="H1173" t="s">
        <v>128</v>
      </c>
      <c r="I1173" t="s">
        <v>3823</v>
      </c>
    </row>
    <row r="1174" spans="7:9" x14ac:dyDescent="0.25">
      <c r="G1174" t="s">
        <v>3824</v>
      </c>
      <c r="H1174" t="s">
        <v>3825</v>
      </c>
      <c r="I1174" t="s">
        <v>3826</v>
      </c>
    </row>
    <row r="1175" spans="7:9" x14ac:dyDescent="0.25">
      <c r="G1175" t="s">
        <v>3827</v>
      </c>
      <c r="H1175" t="s">
        <v>109</v>
      </c>
      <c r="I1175" t="s">
        <v>3828</v>
      </c>
    </row>
    <row r="1176" spans="7:9" x14ac:dyDescent="0.25">
      <c r="G1176" t="s">
        <v>3829</v>
      </c>
      <c r="H1176" t="s">
        <v>3830</v>
      </c>
      <c r="I1176" t="s">
        <v>3831</v>
      </c>
    </row>
    <row r="1177" spans="7:9" x14ac:dyDescent="0.25">
      <c r="G1177" t="s">
        <v>3832</v>
      </c>
      <c r="H1177" t="s">
        <v>87</v>
      </c>
      <c r="I1177" t="s">
        <v>3833</v>
      </c>
    </row>
    <row r="1178" spans="7:9" x14ac:dyDescent="0.25">
      <c r="G1178" t="s">
        <v>3834</v>
      </c>
      <c r="H1178" t="s">
        <v>754</v>
      </c>
      <c r="I1178" t="s">
        <v>3835</v>
      </c>
    </row>
    <row r="1179" spans="7:9" x14ac:dyDescent="0.25">
      <c r="G1179" t="s">
        <v>3836</v>
      </c>
      <c r="H1179" t="s">
        <v>3837</v>
      </c>
      <c r="I1179" t="s">
        <v>3838</v>
      </c>
    </row>
    <row r="1180" spans="7:9" x14ac:dyDescent="0.25">
      <c r="G1180" t="s">
        <v>3839</v>
      </c>
      <c r="H1180" t="s">
        <v>342</v>
      </c>
      <c r="I1180" t="s">
        <v>3840</v>
      </c>
    </row>
    <row r="1181" spans="7:9" x14ac:dyDescent="0.25">
      <c r="G1181" t="s">
        <v>3841</v>
      </c>
      <c r="H1181" t="s">
        <v>3842</v>
      </c>
      <c r="I1181" t="s">
        <v>3843</v>
      </c>
    </row>
    <row r="1182" spans="7:9" x14ac:dyDescent="0.25">
      <c r="G1182" t="s">
        <v>3844</v>
      </c>
      <c r="H1182" t="s">
        <v>23</v>
      </c>
      <c r="I1182" t="s">
        <v>1130</v>
      </c>
    </row>
    <row r="1183" spans="7:9" x14ac:dyDescent="0.25">
      <c r="G1183" t="s">
        <v>3845</v>
      </c>
      <c r="H1183" t="s">
        <v>3846</v>
      </c>
      <c r="I1183" t="s">
        <v>3847</v>
      </c>
    </row>
    <row r="1184" spans="7:9" x14ac:dyDescent="0.25">
      <c r="G1184" t="s">
        <v>3848</v>
      </c>
      <c r="H1184" t="s">
        <v>3849</v>
      </c>
      <c r="I1184" t="s">
        <v>3850</v>
      </c>
    </row>
    <row r="1185" spans="7:9" x14ac:dyDescent="0.25">
      <c r="G1185" t="s">
        <v>3851</v>
      </c>
      <c r="H1185" t="s">
        <v>3852</v>
      </c>
      <c r="I1185" t="s">
        <v>3853</v>
      </c>
    </row>
    <row r="1186" spans="7:9" x14ac:dyDescent="0.25">
      <c r="G1186" t="s">
        <v>3854</v>
      </c>
      <c r="H1186" t="s">
        <v>38</v>
      </c>
      <c r="I1186" t="s">
        <v>3855</v>
      </c>
    </row>
    <row r="1187" spans="7:9" x14ac:dyDescent="0.25">
      <c r="G1187" t="s">
        <v>3856</v>
      </c>
      <c r="H1187" t="s">
        <v>43</v>
      </c>
      <c r="I1187" t="s">
        <v>3857</v>
      </c>
    </row>
    <row r="1188" spans="7:9" x14ac:dyDescent="0.25">
      <c r="G1188" t="s">
        <v>3858</v>
      </c>
      <c r="H1188" t="s">
        <v>3859</v>
      </c>
      <c r="I1188" t="s">
        <v>3860</v>
      </c>
    </row>
    <row r="1189" spans="7:9" x14ac:dyDescent="0.25">
      <c r="G1189" t="s">
        <v>3861</v>
      </c>
      <c r="H1189" t="s">
        <v>3862</v>
      </c>
      <c r="I1189" t="s">
        <v>3863</v>
      </c>
    </row>
    <row r="1190" spans="7:9" x14ac:dyDescent="0.25">
      <c r="G1190" t="s">
        <v>3864</v>
      </c>
      <c r="H1190" t="s">
        <v>3865</v>
      </c>
      <c r="I1190" t="s">
        <v>3866</v>
      </c>
    </row>
    <row r="1191" spans="7:9" x14ac:dyDescent="0.25">
      <c r="G1191" t="s">
        <v>3867</v>
      </c>
      <c r="H1191" t="s">
        <v>250</v>
      </c>
      <c r="I1191" t="s">
        <v>3868</v>
      </c>
    </row>
    <row r="1192" spans="7:9" x14ac:dyDescent="0.25">
      <c r="G1192" t="s">
        <v>3869</v>
      </c>
      <c r="H1192" t="s">
        <v>3870</v>
      </c>
      <c r="I1192" t="s">
        <v>3871</v>
      </c>
    </row>
    <row r="1193" spans="7:9" x14ac:dyDescent="0.25">
      <c r="G1193" t="s">
        <v>3872</v>
      </c>
      <c r="H1193" t="s">
        <v>3873</v>
      </c>
      <c r="I1193" t="s">
        <v>3874</v>
      </c>
    </row>
    <row r="1194" spans="7:9" x14ac:dyDescent="0.25">
      <c r="G1194" t="s">
        <v>3875</v>
      </c>
      <c r="H1194" t="s">
        <v>207</v>
      </c>
      <c r="I1194" t="s">
        <v>1137</v>
      </c>
    </row>
    <row r="1195" spans="7:9" x14ac:dyDescent="0.25">
      <c r="G1195" t="s">
        <v>3876</v>
      </c>
      <c r="H1195" t="s">
        <v>3877</v>
      </c>
      <c r="I1195" t="s">
        <v>3878</v>
      </c>
    </row>
    <row r="1196" spans="7:9" x14ac:dyDescent="0.25">
      <c r="G1196" t="s">
        <v>3879</v>
      </c>
      <c r="H1196" t="s">
        <v>1506</v>
      </c>
      <c r="I1196" t="s">
        <v>1507</v>
      </c>
    </row>
    <row r="1197" spans="7:9" x14ac:dyDescent="0.25">
      <c r="G1197" t="s">
        <v>3880</v>
      </c>
      <c r="H1197" t="s">
        <v>149</v>
      </c>
      <c r="I1197" t="s">
        <v>3881</v>
      </c>
    </row>
    <row r="1198" spans="7:9" x14ac:dyDescent="0.25">
      <c r="G1198" t="s">
        <v>3882</v>
      </c>
      <c r="H1198" t="s">
        <v>3883</v>
      </c>
      <c r="I1198" t="s">
        <v>3884</v>
      </c>
    </row>
    <row r="1199" spans="7:9" x14ac:dyDescent="0.25">
      <c r="G1199" t="s">
        <v>3885</v>
      </c>
      <c r="H1199" t="s">
        <v>3886</v>
      </c>
      <c r="I1199" t="s">
        <v>3726</v>
      </c>
    </row>
    <row r="1200" spans="7:9" x14ac:dyDescent="0.25">
      <c r="G1200" t="s">
        <v>3887</v>
      </c>
      <c r="H1200" t="s">
        <v>3888</v>
      </c>
      <c r="I1200" t="s">
        <v>3889</v>
      </c>
    </row>
    <row r="1201" spans="7:9" x14ac:dyDescent="0.25">
      <c r="G1201" t="s">
        <v>3890</v>
      </c>
      <c r="H1201" t="s">
        <v>3891</v>
      </c>
      <c r="I1201" t="s">
        <v>2993</v>
      </c>
    </row>
    <row r="1202" spans="7:9" x14ac:dyDescent="0.25">
      <c r="G1202" t="s">
        <v>3892</v>
      </c>
      <c r="H1202" t="s">
        <v>3893</v>
      </c>
      <c r="I1202" t="s">
        <v>3894</v>
      </c>
    </row>
    <row r="1203" spans="7:9" x14ac:dyDescent="0.25">
      <c r="G1203" t="s">
        <v>3895</v>
      </c>
      <c r="H1203" t="s">
        <v>98</v>
      </c>
      <c r="I1203" t="s">
        <v>3896</v>
      </c>
    </row>
    <row r="1204" spans="7:9" x14ac:dyDescent="0.25">
      <c r="G1204" t="s">
        <v>3897</v>
      </c>
      <c r="H1204" t="s">
        <v>228</v>
      </c>
      <c r="I1204" t="s">
        <v>3898</v>
      </c>
    </row>
    <row r="1205" spans="7:9" x14ac:dyDescent="0.25">
      <c r="G1205" t="s">
        <v>3899</v>
      </c>
      <c r="H1205" t="s">
        <v>3900</v>
      </c>
      <c r="I1205" t="s">
        <v>3901</v>
      </c>
    </row>
    <row r="1206" spans="7:9" x14ac:dyDescent="0.25">
      <c r="G1206" t="s">
        <v>3902</v>
      </c>
      <c r="H1206" t="s">
        <v>47</v>
      </c>
      <c r="I1206" t="s">
        <v>3903</v>
      </c>
    </row>
    <row r="1207" spans="7:9" x14ac:dyDescent="0.25">
      <c r="G1207" t="s">
        <v>3904</v>
      </c>
      <c r="H1207" t="s">
        <v>3905</v>
      </c>
      <c r="I1207" t="s">
        <v>3906</v>
      </c>
    </row>
    <row r="1208" spans="7:9" x14ac:dyDescent="0.25">
      <c r="G1208" t="s">
        <v>3907</v>
      </c>
      <c r="H1208" t="s">
        <v>3908</v>
      </c>
      <c r="I1208" t="s">
        <v>3909</v>
      </c>
    </row>
    <row r="1209" spans="7:9" x14ac:dyDescent="0.25">
      <c r="G1209" t="s">
        <v>3910</v>
      </c>
      <c r="H1209" t="s">
        <v>3911</v>
      </c>
      <c r="I1209" t="s">
        <v>3912</v>
      </c>
    </row>
    <row r="1210" spans="7:9" x14ac:dyDescent="0.25">
      <c r="G1210" t="s">
        <v>3913</v>
      </c>
      <c r="H1210" t="s">
        <v>112</v>
      </c>
      <c r="I1210" t="s">
        <v>3914</v>
      </c>
    </row>
    <row r="1211" spans="7:9" x14ac:dyDescent="0.25">
      <c r="G1211" t="s">
        <v>3915</v>
      </c>
      <c r="H1211" t="s">
        <v>1048</v>
      </c>
      <c r="I1211" t="s">
        <v>3003</v>
      </c>
    </row>
    <row r="1212" spans="7:9" x14ac:dyDescent="0.25">
      <c r="G1212" t="s">
        <v>3916</v>
      </c>
      <c r="H1212" t="s">
        <v>3917</v>
      </c>
      <c r="I1212" t="s">
        <v>3918</v>
      </c>
    </row>
    <row r="1213" spans="7:9" x14ac:dyDescent="0.25">
      <c r="G1213" t="s">
        <v>3919</v>
      </c>
      <c r="H1213" t="s">
        <v>3920</v>
      </c>
      <c r="I1213" t="s">
        <v>3921</v>
      </c>
    </row>
    <row r="1214" spans="7:9" x14ac:dyDescent="0.25">
      <c r="G1214" t="s">
        <v>3922</v>
      </c>
      <c r="H1214" t="s">
        <v>383</v>
      </c>
      <c r="I1214" t="s">
        <v>3923</v>
      </c>
    </row>
    <row r="1215" spans="7:9" x14ac:dyDescent="0.25">
      <c r="G1215" t="s">
        <v>3924</v>
      </c>
      <c r="H1215" t="s">
        <v>948</v>
      </c>
      <c r="I1215" t="s">
        <v>3925</v>
      </c>
    </row>
    <row r="1216" spans="7:9" x14ac:dyDescent="0.25">
      <c r="G1216" t="s">
        <v>3926</v>
      </c>
      <c r="H1216" t="s">
        <v>3927</v>
      </c>
      <c r="I1216" t="s">
        <v>3928</v>
      </c>
    </row>
    <row r="1217" spans="7:9" x14ac:dyDescent="0.25">
      <c r="G1217" t="s">
        <v>3929</v>
      </c>
      <c r="H1217" t="s">
        <v>658</v>
      </c>
      <c r="I1217" t="s">
        <v>3930</v>
      </c>
    </row>
    <row r="1218" spans="7:9" x14ac:dyDescent="0.25">
      <c r="G1218" t="s">
        <v>3931</v>
      </c>
      <c r="H1218" t="s">
        <v>126</v>
      </c>
      <c r="I1218" t="s">
        <v>3932</v>
      </c>
    </row>
    <row r="1219" spans="7:9" x14ac:dyDescent="0.25">
      <c r="G1219" t="s">
        <v>3933</v>
      </c>
      <c r="H1219" t="s">
        <v>3934</v>
      </c>
      <c r="I1219" t="s">
        <v>3935</v>
      </c>
    </row>
    <row r="1220" spans="7:9" x14ac:dyDescent="0.25">
      <c r="G1220" t="s">
        <v>3936</v>
      </c>
      <c r="H1220" t="s">
        <v>3937</v>
      </c>
      <c r="I1220" t="s">
        <v>1406</v>
      </c>
    </row>
    <row r="1221" spans="7:9" x14ac:dyDescent="0.25">
      <c r="G1221" t="s">
        <v>3938</v>
      </c>
      <c r="H1221" t="s">
        <v>175</v>
      </c>
      <c r="I1221" t="s">
        <v>1119</v>
      </c>
    </row>
    <row r="1222" spans="7:9" x14ac:dyDescent="0.25">
      <c r="G1222" t="s">
        <v>3939</v>
      </c>
      <c r="H1222" t="s">
        <v>822</v>
      </c>
      <c r="I1222" t="s">
        <v>3940</v>
      </c>
    </row>
    <row r="1223" spans="7:9" x14ac:dyDescent="0.25">
      <c r="G1223" t="s">
        <v>3941</v>
      </c>
      <c r="H1223" t="s">
        <v>823</v>
      </c>
      <c r="I1223" t="s">
        <v>3942</v>
      </c>
    </row>
    <row r="1224" spans="7:9" x14ac:dyDescent="0.25">
      <c r="G1224" t="s">
        <v>3943</v>
      </c>
      <c r="H1224" t="s">
        <v>3944</v>
      </c>
      <c r="I1224" t="s">
        <v>3945</v>
      </c>
    </row>
    <row r="1225" spans="7:9" x14ac:dyDescent="0.25">
      <c r="G1225" t="s">
        <v>3946</v>
      </c>
      <c r="H1225" t="s">
        <v>485</v>
      </c>
      <c r="I1225" t="s">
        <v>3947</v>
      </c>
    </row>
    <row r="1226" spans="7:9" x14ac:dyDescent="0.25">
      <c r="G1226" t="s">
        <v>3948</v>
      </c>
      <c r="H1226" t="s">
        <v>825</v>
      </c>
      <c r="I1226" t="s">
        <v>3949</v>
      </c>
    </row>
    <row r="1227" spans="7:9" x14ac:dyDescent="0.25">
      <c r="G1227" t="s">
        <v>3950</v>
      </c>
      <c r="H1227" t="s">
        <v>932</v>
      </c>
      <c r="I1227" t="s">
        <v>3951</v>
      </c>
    </row>
    <row r="1228" spans="7:9" x14ac:dyDescent="0.25">
      <c r="G1228" t="s">
        <v>3952</v>
      </c>
      <c r="H1228" t="s">
        <v>418</v>
      </c>
      <c r="I1228" t="s">
        <v>1160</v>
      </c>
    </row>
    <row r="1229" spans="7:9" x14ac:dyDescent="0.25">
      <c r="G1229" t="s">
        <v>3953</v>
      </c>
      <c r="H1229" t="s">
        <v>3954</v>
      </c>
      <c r="I1229" t="s">
        <v>3955</v>
      </c>
    </row>
    <row r="1230" spans="7:9" x14ac:dyDescent="0.25">
      <c r="G1230" t="s">
        <v>3956</v>
      </c>
      <c r="H1230" t="s">
        <v>486</v>
      </c>
      <c r="I1230" t="s">
        <v>3957</v>
      </c>
    </row>
    <row r="1231" spans="7:9" x14ac:dyDescent="0.25">
      <c r="G1231" t="s">
        <v>3958</v>
      </c>
      <c r="H1231" t="s">
        <v>826</v>
      </c>
      <c r="I1231" t="s">
        <v>3959</v>
      </c>
    </row>
    <row r="1232" spans="7:9" x14ac:dyDescent="0.25">
      <c r="G1232" t="s">
        <v>3960</v>
      </c>
      <c r="H1232" t="s">
        <v>709</v>
      </c>
      <c r="I1232" t="s">
        <v>3961</v>
      </c>
    </row>
    <row r="1233" spans="7:9" x14ac:dyDescent="0.25">
      <c r="G1233" t="s">
        <v>3962</v>
      </c>
      <c r="H1233" t="s">
        <v>379</v>
      </c>
      <c r="I1233" t="s">
        <v>3963</v>
      </c>
    </row>
    <row r="1234" spans="7:9" x14ac:dyDescent="0.25">
      <c r="G1234" t="s">
        <v>3964</v>
      </c>
      <c r="H1234" t="s">
        <v>3965</v>
      </c>
      <c r="I1234" t="s">
        <v>3966</v>
      </c>
    </row>
    <row r="1235" spans="7:9" x14ac:dyDescent="0.25">
      <c r="G1235" t="s">
        <v>3967</v>
      </c>
      <c r="H1235" t="s">
        <v>488</v>
      </c>
      <c r="I1235" t="s">
        <v>3968</v>
      </c>
    </row>
    <row r="1236" spans="7:9" x14ac:dyDescent="0.25">
      <c r="G1236" t="s">
        <v>3969</v>
      </c>
      <c r="H1236" t="s">
        <v>874</v>
      </c>
      <c r="I1236" t="s">
        <v>3970</v>
      </c>
    </row>
    <row r="1237" spans="7:9" x14ac:dyDescent="0.25">
      <c r="G1237" t="s">
        <v>3971</v>
      </c>
      <c r="H1237" t="s">
        <v>3972</v>
      </c>
      <c r="I1237" t="s">
        <v>3973</v>
      </c>
    </row>
    <row r="1238" spans="7:9" x14ac:dyDescent="0.25">
      <c r="G1238" t="s">
        <v>3974</v>
      </c>
      <c r="H1238" t="s">
        <v>616</v>
      </c>
      <c r="I1238" t="s">
        <v>3975</v>
      </c>
    </row>
    <row r="1239" spans="7:9" x14ac:dyDescent="0.25">
      <c r="G1239" t="s">
        <v>3976</v>
      </c>
      <c r="H1239" t="s">
        <v>3977</v>
      </c>
      <c r="I1239" t="s">
        <v>3978</v>
      </c>
    </row>
    <row r="1240" spans="7:9" x14ac:dyDescent="0.25">
      <c r="G1240" t="s">
        <v>3979</v>
      </c>
      <c r="H1240" t="s">
        <v>555</v>
      </c>
      <c r="I1240" t="s">
        <v>3980</v>
      </c>
    </row>
    <row r="1241" spans="7:9" x14ac:dyDescent="0.25">
      <c r="G1241" t="s">
        <v>3981</v>
      </c>
      <c r="H1241" t="s">
        <v>400</v>
      </c>
      <c r="I1241" t="s">
        <v>1116</v>
      </c>
    </row>
    <row r="1242" spans="7:9" x14ac:dyDescent="0.25">
      <c r="G1242" t="s">
        <v>3982</v>
      </c>
      <c r="H1242" t="s">
        <v>1020</v>
      </c>
      <c r="I1242" t="s">
        <v>3983</v>
      </c>
    </row>
    <row r="1243" spans="7:9" x14ac:dyDescent="0.25">
      <c r="G1243" t="s">
        <v>3984</v>
      </c>
      <c r="H1243" t="s">
        <v>3985</v>
      </c>
      <c r="I1243" t="s">
        <v>3986</v>
      </c>
    </row>
    <row r="1244" spans="7:9" x14ac:dyDescent="0.25">
      <c r="G1244" t="s">
        <v>3987</v>
      </c>
      <c r="H1244" t="s">
        <v>343</v>
      </c>
      <c r="I1244" t="s">
        <v>3988</v>
      </c>
    </row>
    <row r="1245" spans="7:9" x14ac:dyDescent="0.25">
      <c r="G1245" t="s">
        <v>3989</v>
      </c>
      <c r="H1245" t="s">
        <v>619</v>
      </c>
      <c r="I1245" t="s">
        <v>3990</v>
      </c>
    </row>
    <row r="1246" spans="7:9" x14ac:dyDescent="0.25">
      <c r="G1246" t="s">
        <v>3991</v>
      </c>
      <c r="H1246" t="s">
        <v>3992</v>
      </c>
      <c r="I1246" t="s">
        <v>3993</v>
      </c>
    </row>
    <row r="1247" spans="7:9" x14ac:dyDescent="0.25">
      <c r="G1247" t="s">
        <v>3994</v>
      </c>
      <c r="H1247" t="s">
        <v>433</v>
      </c>
      <c r="I1247" t="s">
        <v>3995</v>
      </c>
    </row>
    <row r="1248" spans="7:9" x14ac:dyDescent="0.25">
      <c r="G1248" t="s">
        <v>3996</v>
      </c>
      <c r="H1248" t="s">
        <v>305</v>
      </c>
      <c r="I1248" t="s">
        <v>3997</v>
      </c>
    </row>
    <row r="1249" spans="7:9" x14ac:dyDescent="0.25">
      <c r="G1249" t="s">
        <v>3998</v>
      </c>
      <c r="H1249" t="s">
        <v>393</v>
      </c>
      <c r="I1249" t="s">
        <v>1114</v>
      </c>
    </row>
    <row r="1250" spans="7:9" x14ac:dyDescent="0.25">
      <c r="G1250" t="s">
        <v>3999</v>
      </c>
      <c r="H1250" t="s">
        <v>4000</v>
      </c>
      <c r="I1250" t="s">
        <v>4001</v>
      </c>
    </row>
    <row r="1251" spans="7:9" x14ac:dyDescent="0.25">
      <c r="G1251" t="s">
        <v>4002</v>
      </c>
      <c r="H1251" t="s">
        <v>747</v>
      </c>
      <c r="I1251" t="s">
        <v>4003</v>
      </c>
    </row>
    <row r="1252" spans="7:9" x14ac:dyDescent="0.25">
      <c r="G1252" t="s">
        <v>4004</v>
      </c>
      <c r="H1252" t="s">
        <v>454</v>
      </c>
      <c r="I1252" t="s">
        <v>4005</v>
      </c>
    </row>
    <row r="1253" spans="7:9" x14ac:dyDescent="0.25">
      <c r="G1253" t="s">
        <v>4006</v>
      </c>
      <c r="H1253" t="s">
        <v>428</v>
      </c>
      <c r="I1253" t="s">
        <v>4007</v>
      </c>
    </row>
    <row r="1254" spans="7:9" x14ac:dyDescent="0.25">
      <c r="G1254" t="s">
        <v>4008</v>
      </c>
      <c r="H1254" t="s">
        <v>751</v>
      </c>
      <c r="I1254" t="s">
        <v>4009</v>
      </c>
    </row>
    <row r="1255" spans="7:9" x14ac:dyDescent="0.25">
      <c r="G1255" t="s">
        <v>4010</v>
      </c>
      <c r="H1255" t="s">
        <v>4011</v>
      </c>
      <c r="I1255" t="s">
        <v>4012</v>
      </c>
    </row>
    <row r="1256" spans="7:9" x14ac:dyDescent="0.25">
      <c r="G1256" t="s">
        <v>4013</v>
      </c>
      <c r="H1256" t="s">
        <v>4014</v>
      </c>
      <c r="I1256" t="s">
        <v>4015</v>
      </c>
    </row>
    <row r="1257" spans="7:9" x14ac:dyDescent="0.25">
      <c r="G1257" t="s">
        <v>4016</v>
      </c>
      <c r="H1257" t="s">
        <v>762</v>
      </c>
      <c r="I1257" t="s">
        <v>4017</v>
      </c>
    </row>
    <row r="1258" spans="7:9" x14ac:dyDescent="0.25">
      <c r="G1258" t="s">
        <v>4018</v>
      </c>
      <c r="H1258" t="s">
        <v>4019</v>
      </c>
      <c r="I1258" t="s">
        <v>4020</v>
      </c>
    </row>
    <row r="1259" spans="7:9" x14ac:dyDescent="0.25">
      <c r="G1259" t="s">
        <v>4021</v>
      </c>
      <c r="H1259" t="s">
        <v>161</v>
      </c>
      <c r="I1259" t="s">
        <v>4022</v>
      </c>
    </row>
    <row r="1260" spans="7:9" x14ac:dyDescent="0.25">
      <c r="G1260" t="s">
        <v>4023</v>
      </c>
      <c r="H1260" t="s">
        <v>4024</v>
      </c>
      <c r="I1260" t="s">
        <v>4025</v>
      </c>
    </row>
    <row r="1261" spans="7:9" x14ac:dyDescent="0.25">
      <c r="G1261" t="s">
        <v>4026</v>
      </c>
      <c r="H1261" t="s">
        <v>4027</v>
      </c>
      <c r="I1261" t="s">
        <v>4028</v>
      </c>
    </row>
    <row r="1262" spans="7:9" x14ac:dyDescent="0.25">
      <c r="G1262" t="s">
        <v>4029</v>
      </c>
      <c r="H1262" t="s">
        <v>4030</v>
      </c>
      <c r="I1262" t="s">
        <v>3013</v>
      </c>
    </row>
    <row r="1263" spans="7:9" x14ac:dyDescent="0.25">
      <c r="G1263" t="s">
        <v>4031</v>
      </c>
      <c r="H1263" t="s">
        <v>4032</v>
      </c>
      <c r="I1263" t="s">
        <v>4033</v>
      </c>
    </row>
    <row r="1264" spans="7:9" x14ac:dyDescent="0.25">
      <c r="G1264" t="s">
        <v>4034</v>
      </c>
      <c r="H1264" t="s">
        <v>1008</v>
      </c>
      <c r="I1264" t="s">
        <v>4035</v>
      </c>
    </row>
    <row r="1265" spans="7:9" x14ac:dyDescent="0.25">
      <c r="G1265" t="s">
        <v>4036</v>
      </c>
      <c r="H1265" t="s">
        <v>1018</v>
      </c>
      <c r="I1265" t="s">
        <v>4037</v>
      </c>
    </row>
    <row r="1266" spans="7:9" x14ac:dyDescent="0.25">
      <c r="G1266" t="s">
        <v>4038</v>
      </c>
      <c r="H1266" t="s">
        <v>4039</v>
      </c>
      <c r="I1266" t="s">
        <v>4040</v>
      </c>
    </row>
    <row r="1267" spans="7:9" x14ac:dyDescent="0.25">
      <c r="G1267" t="s">
        <v>4041</v>
      </c>
      <c r="H1267" t="s">
        <v>977</v>
      </c>
      <c r="I1267" t="s">
        <v>4042</v>
      </c>
    </row>
    <row r="1268" spans="7:9" x14ac:dyDescent="0.25">
      <c r="G1268" t="s">
        <v>4043</v>
      </c>
      <c r="H1268" t="s">
        <v>162</v>
      </c>
      <c r="I1268" t="s">
        <v>4044</v>
      </c>
    </row>
    <row r="1269" spans="7:9" x14ac:dyDescent="0.25">
      <c r="G1269" t="s">
        <v>4045</v>
      </c>
      <c r="H1269" t="s">
        <v>4046</v>
      </c>
      <c r="I1269" t="s">
        <v>4047</v>
      </c>
    </row>
    <row r="1270" spans="7:9" x14ac:dyDescent="0.25">
      <c r="G1270" t="s">
        <v>4048</v>
      </c>
      <c r="H1270" t="s">
        <v>885</v>
      </c>
      <c r="I1270" t="s">
        <v>1139</v>
      </c>
    </row>
    <row r="1271" spans="7:9" x14ac:dyDescent="0.25">
      <c r="G1271" t="s">
        <v>4049</v>
      </c>
      <c r="H1271" t="s">
        <v>1017</v>
      </c>
      <c r="I1271" t="s">
        <v>4050</v>
      </c>
    </row>
    <row r="1272" spans="7:9" x14ac:dyDescent="0.25">
      <c r="G1272" t="s">
        <v>4051</v>
      </c>
      <c r="H1272" t="s">
        <v>164</v>
      </c>
      <c r="I1272" t="s">
        <v>4052</v>
      </c>
    </row>
    <row r="1273" spans="7:9" x14ac:dyDescent="0.25">
      <c r="G1273" t="s">
        <v>4053</v>
      </c>
      <c r="H1273" t="s">
        <v>621</v>
      </c>
      <c r="I1273" t="s">
        <v>4054</v>
      </c>
    </row>
    <row r="1274" spans="7:9" x14ac:dyDescent="0.25">
      <c r="G1274" t="s">
        <v>4055</v>
      </c>
      <c r="H1274" t="s">
        <v>944</v>
      </c>
      <c r="I1274" t="s">
        <v>4056</v>
      </c>
    </row>
    <row r="1275" spans="7:9" x14ac:dyDescent="0.25">
      <c r="G1275" t="s">
        <v>4057</v>
      </c>
      <c r="H1275" t="s">
        <v>905</v>
      </c>
      <c r="I1275" t="s">
        <v>4058</v>
      </c>
    </row>
    <row r="1276" spans="7:9" x14ac:dyDescent="0.25">
      <c r="G1276" t="s">
        <v>4059</v>
      </c>
      <c r="H1276" t="s">
        <v>4060</v>
      </c>
      <c r="I1276" t="s">
        <v>4061</v>
      </c>
    </row>
    <row r="1277" spans="7:9" x14ac:dyDescent="0.25">
      <c r="G1277" t="s">
        <v>4062</v>
      </c>
      <c r="H1277" t="s">
        <v>1050</v>
      </c>
      <c r="I1277" t="s">
        <v>4063</v>
      </c>
    </row>
    <row r="1278" spans="7:9" x14ac:dyDescent="0.25">
      <c r="G1278" t="s">
        <v>4064</v>
      </c>
      <c r="H1278" t="s">
        <v>4065</v>
      </c>
      <c r="I1278" t="s">
        <v>4066</v>
      </c>
    </row>
    <row r="1279" spans="7:9" x14ac:dyDescent="0.25">
      <c r="G1279" t="s">
        <v>4067</v>
      </c>
      <c r="H1279" t="s">
        <v>311</v>
      </c>
      <c r="I1279" t="s">
        <v>4068</v>
      </c>
    </row>
    <row r="1280" spans="7:9" x14ac:dyDescent="0.25">
      <c r="G1280" t="s">
        <v>4069</v>
      </c>
      <c r="H1280" t="s">
        <v>4070</v>
      </c>
      <c r="I1280" t="s">
        <v>4071</v>
      </c>
    </row>
    <row r="1281" spans="7:9" x14ac:dyDescent="0.25">
      <c r="G1281" t="s">
        <v>4072</v>
      </c>
      <c r="H1281" t="s">
        <v>615</v>
      </c>
      <c r="I1281" t="s">
        <v>4073</v>
      </c>
    </row>
    <row r="1282" spans="7:9" x14ac:dyDescent="0.25">
      <c r="G1282" t="s">
        <v>4074</v>
      </c>
      <c r="H1282" t="s">
        <v>1021</v>
      </c>
      <c r="I1282" t="s">
        <v>4075</v>
      </c>
    </row>
    <row r="1283" spans="7:9" x14ac:dyDescent="0.25">
      <c r="G1283" t="s">
        <v>4076</v>
      </c>
      <c r="H1283" t="s">
        <v>4077</v>
      </c>
      <c r="I1283" t="s">
        <v>4078</v>
      </c>
    </row>
    <row r="1284" spans="7:9" x14ac:dyDescent="0.25">
      <c r="G1284" t="s">
        <v>4079</v>
      </c>
      <c r="H1284" t="s">
        <v>169</v>
      </c>
      <c r="I1284" t="s">
        <v>4080</v>
      </c>
    </row>
    <row r="1285" spans="7:9" x14ac:dyDescent="0.25">
      <c r="G1285" t="s">
        <v>4081</v>
      </c>
      <c r="H1285" t="s">
        <v>1000</v>
      </c>
      <c r="I1285" t="s">
        <v>4082</v>
      </c>
    </row>
    <row r="1286" spans="7:9" x14ac:dyDescent="0.25">
      <c r="G1286" t="s">
        <v>4083</v>
      </c>
      <c r="H1286" t="s">
        <v>4084</v>
      </c>
      <c r="I1286" t="s">
        <v>4085</v>
      </c>
    </row>
    <row r="1287" spans="7:9" x14ac:dyDescent="0.25">
      <c r="G1287" t="s">
        <v>4086</v>
      </c>
      <c r="H1287" t="s">
        <v>170</v>
      </c>
      <c r="I1287" t="s">
        <v>4087</v>
      </c>
    </row>
    <row r="1288" spans="7:9" x14ac:dyDescent="0.25">
      <c r="G1288" t="s">
        <v>4088</v>
      </c>
      <c r="H1288" t="s">
        <v>989</v>
      </c>
      <c r="I1288" t="s">
        <v>4089</v>
      </c>
    </row>
    <row r="1289" spans="7:9" x14ac:dyDescent="0.25">
      <c r="G1289" t="s">
        <v>4090</v>
      </c>
      <c r="H1289" t="s">
        <v>4091</v>
      </c>
      <c r="I1289" t="s">
        <v>4092</v>
      </c>
    </row>
    <row r="1290" spans="7:9" x14ac:dyDescent="0.25">
      <c r="G1290" t="s">
        <v>4093</v>
      </c>
      <c r="H1290" t="s">
        <v>625</v>
      </c>
      <c r="I1290" t="s">
        <v>4094</v>
      </c>
    </row>
    <row r="1291" spans="7:9" x14ac:dyDescent="0.25">
      <c r="G1291" t="s">
        <v>4095</v>
      </c>
      <c r="H1291" t="s">
        <v>13</v>
      </c>
      <c r="I1291" t="s">
        <v>4096</v>
      </c>
    </row>
    <row r="1292" spans="7:9" x14ac:dyDescent="0.25">
      <c r="G1292" t="s">
        <v>4097</v>
      </c>
      <c r="H1292" t="s">
        <v>656</v>
      </c>
      <c r="I1292" t="s">
        <v>4098</v>
      </c>
    </row>
    <row r="1293" spans="7:9" x14ac:dyDescent="0.25">
      <c r="G1293" t="s">
        <v>4099</v>
      </c>
      <c r="H1293" t="s">
        <v>508</v>
      </c>
      <c r="I1293" t="s">
        <v>4100</v>
      </c>
    </row>
    <row r="1294" spans="7:9" x14ac:dyDescent="0.25">
      <c r="G1294" t="s">
        <v>4101</v>
      </c>
      <c r="H1294" t="s">
        <v>258</v>
      </c>
      <c r="I1294" t="s">
        <v>4102</v>
      </c>
    </row>
    <row r="1295" spans="7:9" x14ac:dyDescent="0.25">
      <c r="G1295" t="s">
        <v>4103</v>
      </c>
      <c r="H1295" t="s">
        <v>4104</v>
      </c>
      <c r="I1295" t="s">
        <v>4105</v>
      </c>
    </row>
    <row r="1296" spans="7:9" x14ac:dyDescent="0.25">
      <c r="G1296" t="s">
        <v>4106</v>
      </c>
      <c r="H1296" t="s">
        <v>409</v>
      </c>
      <c r="I1296" t="s">
        <v>4107</v>
      </c>
    </row>
    <row r="1297" spans="7:9" x14ac:dyDescent="0.25">
      <c r="G1297" t="s">
        <v>4108</v>
      </c>
      <c r="H1297" t="s">
        <v>138</v>
      </c>
      <c r="I1297" t="s">
        <v>4109</v>
      </c>
    </row>
    <row r="1298" spans="7:9" x14ac:dyDescent="0.25">
      <c r="G1298" t="s">
        <v>4110</v>
      </c>
      <c r="H1298" t="s">
        <v>357</v>
      </c>
      <c r="I1298" t="s">
        <v>4111</v>
      </c>
    </row>
    <row r="1299" spans="7:9" x14ac:dyDescent="0.25">
      <c r="G1299" t="s">
        <v>4112</v>
      </c>
      <c r="H1299" t="s">
        <v>390</v>
      </c>
      <c r="I1299" t="s">
        <v>4113</v>
      </c>
    </row>
    <row r="1300" spans="7:9" x14ac:dyDescent="0.25">
      <c r="G1300" t="s">
        <v>4114</v>
      </c>
      <c r="H1300" t="s">
        <v>4115</v>
      </c>
      <c r="I1300" t="s">
        <v>4116</v>
      </c>
    </row>
    <row r="1301" spans="7:9" x14ac:dyDescent="0.25">
      <c r="G1301" t="s">
        <v>4117</v>
      </c>
      <c r="H1301" t="s">
        <v>364</v>
      </c>
      <c r="I1301" t="s">
        <v>1150</v>
      </c>
    </row>
    <row r="1302" spans="7:9" x14ac:dyDescent="0.25">
      <c r="G1302" t="s">
        <v>4118</v>
      </c>
      <c r="H1302" t="s">
        <v>272</v>
      </c>
      <c r="I1302" t="s">
        <v>4119</v>
      </c>
    </row>
    <row r="1303" spans="7:9" x14ac:dyDescent="0.25">
      <c r="G1303" t="s">
        <v>4120</v>
      </c>
      <c r="H1303" t="s">
        <v>437</v>
      </c>
      <c r="I1303" t="s">
        <v>4121</v>
      </c>
    </row>
    <row r="1304" spans="7:9" x14ac:dyDescent="0.25">
      <c r="G1304" t="s">
        <v>4122</v>
      </c>
      <c r="H1304" t="s">
        <v>525</v>
      </c>
      <c r="I1304" t="s">
        <v>4123</v>
      </c>
    </row>
    <row r="1305" spans="7:9" x14ac:dyDescent="0.25">
      <c r="G1305" t="s">
        <v>4124</v>
      </c>
      <c r="H1305" t="s">
        <v>461</v>
      </c>
      <c r="I1305" t="s">
        <v>4125</v>
      </c>
    </row>
    <row r="1306" spans="7:9" x14ac:dyDescent="0.25">
      <c r="G1306" t="s">
        <v>4126</v>
      </c>
      <c r="H1306" t="s">
        <v>296</v>
      </c>
      <c r="I1306" t="s">
        <v>4127</v>
      </c>
    </row>
    <row r="1307" spans="7:9" x14ac:dyDescent="0.25">
      <c r="G1307" t="s">
        <v>4128</v>
      </c>
      <c r="H1307" t="s">
        <v>629</v>
      </c>
      <c r="I1307" t="s">
        <v>4129</v>
      </c>
    </row>
    <row r="1308" spans="7:9" x14ac:dyDescent="0.25">
      <c r="G1308" t="s">
        <v>4130</v>
      </c>
      <c r="H1308" t="s">
        <v>868</v>
      </c>
      <c r="I1308" t="s">
        <v>4131</v>
      </c>
    </row>
    <row r="1309" spans="7:9" x14ac:dyDescent="0.25">
      <c r="G1309" t="s">
        <v>4132</v>
      </c>
      <c r="H1309" t="s">
        <v>4133</v>
      </c>
      <c r="I1309" t="s">
        <v>4134</v>
      </c>
    </row>
    <row r="1310" spans="7:9" x14ac:dyDescent="0.25">
      <c r="G1310" t="s">
        <v>4135</v>
      </c>
      <c r="H1310" t="s">
        <v>667</v>
      </c>
      <c r="I1310" t="s">
        <v>4136</v>
      </c>
    </row>
    <row r="1311" spans="7:9" x14ac:dyDescent="0.25">
      <c r="G1311" t="s">
        <v>4137</v>
      </c>
      <c r="H1311" t="s">
        <v>183</v>
      </c>
      <c r="I1311" t="s">
        <v>4138</v>
      </c>
    </row>
    <row r="1312" spans="7:9" x14ac:dyDescent="0.25">
      <c r="G1312" t="s">
        <v>4139</v>
      </c>
      <c r="H1312" t="s">
        <v>888</v>
      </c>
      <c r="I1312" t="s">
        <v>4140</v>
      </c>
    </row>
    <row r="1313" spans="7:9" x14ac:dyDescent="0.25">
      <c r="G1313" t="s">
        <v>4141</v>
      </c>
      <c r="H1313" t="s">
        <v>922</v>
      </c>
      <c r="I1313" t="s">
        <v>4142</v>
      </c>
    </row>
    <row r="1314" spans="7:9" x14ac:dyDescent="0.25">
      <c r="G1314" t="s">
        <v>4143</v>
      </c>
      <c r="H1314" t="s">
        <v>221</v>
      </c>
      <c r="I1314" t="s">
        <v>4144</v>
      </c>
    </row>
    <row r="1315" spans="7:9" x14ac:dyDescent="0.25">
      <c r="G1315" t="s">
        <v>4145</v>
      </c>
      <c r="H1315" t="s">
        <v>429</v>
      </c>
      <c r="I1315" t="s">
        <v>4146</v>
      </c>
    </row>
    <row r="1316" spans="7:9" x14ac:dyDescent="0.25">
      <c r="G1316" t="s">
        <v>4147</v>
      </c>
      <c r="H1316" t="s">
        <v>186</v>
      </c>
      <c r="I1316" t="s">
        <v>4148</v>
      </c>
    </row>
    <row r="1317" spans="7:9" x14ac:dyDescent="0.25">
      <c r="G1317" t="s">
        <v>4149</v>
      </c>
      <c r="H1317" t="s">
        <v>788</v>
      </c>
      <c r="I1317" t="s">
        <v>4150</v>
      </c>
    </row>
    <row r="1318" spans="7:9" x14ac:dyDescent="0.25">
      <c r="G1318" t="s">
        <v>4151</v>
      </c>
      <c r="H1318" t="s">
        <v>33</v>
      </c>
      <c r="I1318" t="s">
        <v>4152</v>
      </c>
    </row>
    <row r="1319" spans="7:9" x14ac:dyDescent="0.25">
      <c r="G1319" t="s">
        <v>4153</v>
      </c>
      <c r="H1319" t="s">
        <v>120</v>
      </c>
      <c r="I1319" t="s">
        <v>4154</v>
      </c>
    </row>
    <row r="1320" spans="7:9" x14ac:dyDescent="0.25">
      <c r="G1320" t="s">
        <v>4155</v>
      </c>
      <c r="H1320" t="s">
        <v>644</v>
      </c>
      <c r="I1320" t="s">
        <v>1168</v>
      </c>
    </row>
    <row r="1321" spans="7:9" x14ac:dyDescent="0.25">
      <c r="G1321" t="s">
        <v>4156</v>
      </c>
      <c r="H1321" t="s">
        <v>17</v>
      </c>
      <c r="I1321" t="s">
        <v>4157</v>
      </c>
    </row>
    <row r="1322" spans="7:9" x14ac:dyDescent="0.25">
      <c r="G1322" t="s">
        <v>4158</v>
      </c>
      <c r="H1322" t="s">
        <v>215</v>
      </c>
      <c r="I1322" t="s">
        <v>4159</v>
      </c>
    </row>
    <row r="1323" spans="7:9" x14ac:dyDescent="0.25">
      <c r="G1323" t="s">
        <v>4160</v>
      </c>
      <c r="H1323" t="s">
        <v>70</v>
      </c>
      <c r="I1323" t="s">
        <v>4161</v>
      </c>
    </row>
    <row r="1324" spans="7:9" x14ac:dyDescent="0.25">
      <c r="G1324" t="s">
        <v>4162</v>
      </c>
      <c r="H1324" t="s">
        <v>240</v>
      </c>
      <c r="I1324" t="s">
        <v>4163</v>
      </c>
    </row>
    <row r="1325" spans="7:9" x14ac:dyDescent="0.25">
      <c r="G1325" t="s">
        <v>4164</v>
      </c>
      <c r="H1325" t="s">
        <v>4165</v>
      </c>
      <c r="I1325" t="s">
        <v>4166</v>
      </c>
    </row>
  </sheetData>
  <autoFilter ref="G1:I1325" xr:uid="{7BE158CF-0291-49CB-AA2C-20A570E42038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FB178-25D5-4FC8-8AB3-82336F3BC89E}">
  <dimension ref="C1:I30"/>
  <sheetViews>
    <sheetView workbookViewId="0">
      <selection activeCell="C28" sqref="C28"/>
    </sheetView>
  </sheetViews>
  <sheetFormatPr baseColWidth="10" defaultRowHeight="15" x14ac:dyDescent="0.25"/>
  <cols>
    <col min="3" max="3" width="36" bestFit="1" customWidth="1"/>
    <col min="4" max="4" width="48" bestFit="1" customWidth="1"/>
  </cols>
  <sheetData>
    <row r="1" spans="3:9" ht="15.75" thickBot="1" x14ac:dyDescent="0.3"/>
    <row r="2" spans="3:9" x14ac:dyDescent="0.25">
      <c r="C2" s="85" t="s">
        <v>4938</v>
      </c>
      <c r="D2" s="85" t="s">
        <v>4939</v>
      </c>
      <c r="I2" s="137" t="s">
        <v>0</v>
      </c>
    </row>
    <row r="3" spans="3:9" x14ac:dyDescent="0.25">
      <c r="C3" s="88">
        <v>1</v>
      </c>
      <c r="D3" s="86" t="s">
        <v>4940</v>
      </c>
      <c r="I3" s="138">
        <v>616084038</v>
      </c>
    </row>
    <row r="4" spans="3:9" x14ac:dyDescent="0.25">
      <c r="C4" s="88">
        <v>2</v>
      </c>
      <c r="D4" s="87" t="s">
        <v>4941</v>
      </c>
      <c r="I4" s="138">
        <v>616084070</v>
      </c>
    </row>
    <row r="5" spans="3:9" x14ac:dyDescent="0.25">
      <c r="C5" s="88">
        <v>3</v>
      </c>
      <c r="D5" s="87" t="s">
        <v>4942</v>
      </c>
      <c r="I5" s="138">
        <v>616084089</v>
      </c>
    </row>
    <row r="6" spans="3:9" x14ac:dyDescent="0.25">
      <c r="C6" s="88">
        <v>4</v>
      </c>
      <c r="D6" s="87" t="s">
        <v>4943</v>
      </c>
      <c r="I6" s="138">
        <v>619794508</v>
      </c>
    </row>
    <row r="7" spans="3:9" x14ac:dyDescent="0.25">
      <c r="C7" s="88">
        <v>5</v>
      </c>
      <c r="D7" s="87" t="s">
        <v>4944</v>
      </c>
      <c r="I7" s="138">
        <v>703774008</v>
      </c>
    </row>
    <row r="8" spans="3:9" x14ac:dyDescent="0.25">
      <c r="C8" s="88">
        <v>6</v>
      </c>
      <c r="D8" s="87" t="s">
        <v>4945</v>
      </c>
      <c r="I8" s="138">
        <v>780405201</v>
      </c>
    </row>
    <row r="9" spans="3:9" x14ac:dyDescent="0.25">
      <c r="C9" s="88">
        <v>7</v>
      </c>
      <c r="D9" s="87" t="s">
        <v>4946</v>
      </c>
      <c r="I9" s="138">
        <v>907530000</v>
      </c>
    </row>
    <row r="10" spans="3:9" x14ac:dyDescent="0.25">
      <c r="C10" s="88">
        <v>8</v>
      </c>
      <c r="D10" s="87" t="s">
        <v>4947</v>
      </c>
      <c r="I10" s="138" t="s">
        <v>657</v>
      </c>
    </row>
    <row r="11" spans="3:9" x14ac:dyDescent="0.25">
      <c r="C11" s="88">
        <v>9</v>
      </c>
      <c r="D11" s="87" t="s">
        <v>4948</v>
      </c>
      <c r="I11" s="138">
        <v>616021389</v>
      </c>
    </row>
    <row r="12" spans="3:9" x14ac:dyDescent="0.25">
      <c r="C12" s="89">
        <v>10</v>
      </c>
      <c r="D12" s="87" t="s">
        <v>4949</v>
      </c>
      <c r="I12" s="138">
        <v>709057006</v>
      </c>
    </row>
    <row r="13" spans="3:9" x14ac:dyDescent="0.25">
      <c r="C13" s="89">
        <v>11</v>
      </c>
      <c r="D13" s="87" t="s">
        <v>4950</v>
      </c>
      <c r="I13" s="138">
        <v>710142009</v>
      </c>
    </row>
    <row r="14" spans="3:9" x14ac:dyDescent="0.25">
      <c r="C14" s="89">
        <v>12</v>
      </c>
      <c r="D14" s="87" t="s">
        <v>4951</v>
      </c>
      <c r="I14" s="138">
        <v>966624507</v>
      </c>
    </row>
    <row r="15" spans="3:9" x14ac:dyDescent="0.25">
      <c r="C15" s="89">
        <v>13</v>
      </c>
      <c r="D15" s="87" t="s">
        <v>4952</v>
      </c>
      <c r="I15" s="138">
        <v>782302302</v>
      </c>
    </row>
    <row r="16" spans="3:9" x14ac:dyDescent="0.25">
      <c r="C16" s="89">
        <v>14</v>
      </c>
      <c r="D16" s="87" t="s">
        <v>4953</v>
      </c>
      <c r="I16" s="138">
        <v>789182906</v>
      </c>
    </row>
    <row r="17" spans="3:9" x14ac:dyDescent="0.25">
      <c r="C17" s="89">
        <v>15</v>
      </c>
      <c r="D17" s="87" t="s">
        <v>4954</v>
      </c>
      <c r="I17" s="138">
        <v>616069179</v>
      </c>
    </row>
    <row r="18" spans="3:9" x14ac:dyDescent="0.25">
      <c r="C18" s="74">
        <v>16</v>
      </c>
      <c r="D18" s="86" t="s">
        <v>4955</v>
      </c>
      <c r="I18" s="138">
        <v>691104001</v>
      </c>
    </row>
    <row r="19" spans="3:9" x14ac:dyDescent="0.25">
      <c r="I19" s="138">
        <v>691303012</v>
      </c>
    </row>
    <row r="20" spans="3:9" ht="15.75" thickBot="1" x14ac:dyDescent="0.3">
      <c r="I20" s="138">
        <v>616069039</v>
      </c>
    </row>
    <row r="21" spans="3:9" x14ac:dyDescent="0.25">
      <c r="C21" s="85" t="s">
        <v>2</v>
      </c>
      <c r="D21" s="85" t="s">
        <v>4759</v>
      </c>
      <c r="I21" s="138">
        <v>616069012</v>
      </c>
    </row>
    <row r="22" spans="3:9" x14ac:dyDescent="0.25">
      <c r="C22" s="88" t="s">
        <v>4445</v>
      </c>
      <c r="D22" s="86" t="s">
        <v>4918</v>
      </c>
      <c r="I22" s="138">
        <v>768426007</v>
      </c>
    </row>
    <row r="23" spans="3:9" x14ac:dyDescent="0.25">
      <c r="C23" s="88" t="s">
        <v>4453</v>
      </c>
      <c r="D23" s="87" t="s">
        <v>4921</v>
      </c>
      <c r="I23" s="138">
        <v>691001008</v>
      </c>
    </row>
    <row r="24" spans="3:9" x14ac:dyDescent="0.25">
      <c r="C24" s="88" t="s">
        <v>4457</v>
      </c>
      <c r="D24" s="87" t="s">
        <v>4920</v>
      </c>
      <c r="I24" s="138">
        <v>967591904</v>
      </c>
    </row>
    <row r="25" spans="3:9" x14ac:dyDescent="0.25">
      <c r="C25" s="88" t="s">
        <v>2372</v>
      </c>
      <c r="D25" s="87" t="s">
        <v>4919</v>
      </c>
      <c r="I25" s="138">
        <v>616086057</v>
      </c>
    </row>
    <row r="26" spans="3:9" x14ac:dyDescent="0.25">
      <c r="C26" s="88" t="s">
        <v>4464</v>
      </c>
      <c r="D26" s="87" t="s">
        <v>4922</v>
      </c>
      <c r="I26" s="138">
        <v>616081055</v>
      </c>
    </row>
    <row r="27" spans="3:9" x14ac:dyDescent="0.25">
      <c r="C27" s="88" t="s">
        <v>4454</v>
      </c>
      <c r="D27" s="87" t="s">
        <v>4923</v>
      </c>
      <c r="I27" s="138">
        <v>766862357</v>
      </c>
    </row>
    <row r="28" spans="3:9" x14ac:dyDescent="0.25">
      <c r="C28" s="88" t="s">
        <v>5729</v>
      </c>
      <c r="D28" s="87" t="s">
        <v>5692</v>
      </c>
      <c r="I28" s="138">
        <v>708352004</v>
      </c>
    </row>
    <row r="29" spans="3:9" x14ac:dyDescent="0.25">
      <c r="I29" s="138">
        <v>616021451</v>
      </c>
    </row>
    <row r="30" spans="3:9" x14ac:dyDescent="0.25">
      <c r="I30" s="138">
        <v>713286001</v>
      </c>
    </row>
  </sheetData>
  <conditionalFormatting sqref="I2">
    <cfRule type="duplicateValues" dxfId="13" priority="9"/>
  </conditionalFormatting>
  <conditionalFormatting sqref="I3:I24">
    <cfRule type="duplicateValues" dxfId="12" priority="7"/>
    <cfRule type="duplicateValues" dxfId="11" priority="8"/>
  </conditionalFormatting>
  <conditionalFormatting sqref="I25:I27">
    <cfRule type="duplicateValues" dxfId="10" priority="5"/>
    <cfRule type="duplicateValues" dxfId="9" priority="6"/>
  </conditionalFormatting>
  <conditionalFormatting sqref="I28">
    <cfRule type="duplicateValues" dxfId="8" priority="3"/>
    <cfRule type="duplicateValues" dxfId="7" priority="4"/>
  </conditionalFormatting>
  <conditionalFormatting sqref="I29:I30">
    <cfRule type="duplicateValues" dxfId="6" priority="1"/>
    <cfRule type="duplicateValues" dxfId="5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1DB05-36A4-45FF-81AF-447D4136E650}">
  <dimension ref="A1:H1314"/>
  <sheetViews>
    <sheetView topLeftCell="A1262" zoomScale="70" zoomScaleNormal="70" workbookViewId="0">
      <selection activeCell="A2" sqref="A2:H1314"/>
    </sheetView>
  </sheetViews>
  <sheetFormatPr baseColWidth="10" defaultRowHeight="15" x14ac:dyDescent="0.25"/>
  <cols>
    <col min="1" max="1" width="13.5703125" bestFit="1" customWidth="1"/>
    <col min="2" max="2" width="89" bestFit="1" customWidth="1"/>
    <col min="3" max="3" width="23.5703125" bestFit="1" customWidth="1"/>
    <col min="4" max="4" width="7.85546875" bestFit="1" customWidth="1"/>
    <col min="5" max="5" width="34" bestFit="1" customWidth="1"/>
    <col min="6" max="6" width="12.28515625" bestFit="1" customWidth="1"/>
  </cols>
  <sheetData>
    <row r="1" spans="1:8" x14ac:dyDescent="0.25">
      <c r="A1" t="s">
        <v>0</v>
      </c>
      <c r="B1" t="s">
        <v>1</v>
      </c>
      <c r="C1" t="s">
        <v>4776</v>
      </c>
      <c r="D1" t="s">
        <v>4777</v>
      </c>
      <c r="E1" t="s">
        <v>2</v>
      </c>
      <c r="F1" t="s">
        <v>4781</v>
      </c>
      <c r="G1" t="s">
        <v>5567</v>
      </c>
      <c r="H1" t="s">
        <v>4913</v>
      </c>
    </row>
    <row r="2" spans="1:8" x14ac:dyDescent="0.25">
      <c r="A2">
        <v>107123016</v>
      </c>
      <c r="B2" t="s">
        <v>5521</v>
      </c>
      <c r="C2" t="s">
        <v>4393</v>
      </c>
      <c r="D2">
        <v>13</v>
      </c>
      <c r="E2" t="s">
        <v>4445</v>
      </c>
      <c r="F2" t="s">
        <v>5522</v>
      </c>
      <c r="G2" t="s">
        <v>5568</v>
      </c>
      <c r="H2" t="s">
        <v>4915</v>
      </c>
    </row>
    <row r="3" spans="1:8" x14ac:dyDescent="0.25">
      <c r="A3">
        <v>119907985</v>
      </c>
      <c r="B3" t="s">
        <v>5615</v>
      </c>
      <c r="C3" t="s">
        <v>4456</v>
      </c>
      <c r="D3">
        <v>13</v>
      </c>
      <c r="E3" t="s">
        <v>4445</v>
      </c>
      <c r="F3" t="s">
        <v>5616</v>
      </c>
      <c r="G3" t="s">
        <v>5568</v>
      </c>
      <c r="H3" t="s">
        <v>4915</v>
      </c>
    </row>
    <row r="4" spans="1:8" x14ac:dyDescent="0.25">
      <c r="A4">
        <v>124106559</v>
      </c>
      <c r="B4" t="s">
        <v>4917</v>
      </c>
      <c r="C4" t="s">
        <v>4463</v>
      </c>
      <c r="D4">
        <v>13</v>
      </c>
      <c r="E4" t="s">
        <v>4445</v>
      </c>
      <c r="F4" t="s">
        <v>4924</v>
      </c>
      <c r="G4" t="s">
        <v>5568</v>
      </c>
      <c r="H4" t="s">
        <v>4915</v>
      </c>
    </row>
    <row r="5" spans="1:8" x14ac:dyDescent="0.25">
      <c r="A5">
        <v>128624430</v>
      </c>
      <c r="B5" t="s">
        <v>3279</v>
      </c>
      <c r="C5" t="s">
        <v>4444</v>
      </c>
      <c r="D5">
        <v>13</v>
      </c>
      <c r="E5" t="s">
        <v>4445</v>
      </c>
      <c r="F5" t="s">
        <v>3278</v>
      </c>
      <c r="G5" t="s">
        <v>5569</v>
      </c>
      <c r="H5" t="s">
        <v>4915</v>
      </c>
    </row>
    <row r="6" spans="1:8" x14ac:dyDescent="0.25">
      <c r="A6">
        <v>130628583</v>
      </c>
      <c r="B6" t="s">
        <v>4447</v>
      </c>
      <c r="C6" t="s">
        <v>4170</v>
      </c>
      <c r="D6">
        <v>14</v>
      </c>
      <c r="E6" t="s">
        <v>4445</v>
      </c>
      <c r="F6" t="s">
        <v>4446</v>
      </c>
      <c r="G6" t="s">
        <v>5570</v>
      </c>
      <c r="H6" t="s">
        <v>4915</v>
      </c>
    </row>
    <row r="7" spans="1:8" x14ac:dyDescent="0.25">
      <c r="A7">
        <v>137714132</v>
      </c>
      <c r="B7" t="s">
        <v>762</v>
      </c>
      <c r="C7" t="s">
        <v>4448</v>
      </c>
      <c r="D7">
        <v>13</v>
      </c>
      <c r="E7" t="s">
        <v>4445</v>
      </c>
      <c r="F7" t="s">
        <v>4016</v>
      </c>
      <c r="G7" t="s">
        <v>5568</v>
      </c>
      <c r="H7" t="s">
        <v>4915</v>
      </c>
    </row>
    <row r="8" spans="1:8" x14ac:dyDescent="0.25">
      <c r="A8">
        <v>138177564</v>
      </c>
      <c r="B8" t="s">
        <v>4019</v>
      </c>
      <c r="C8" t="s">
        <v>4170</v>
      </c>
      <c r="D8">
        <v>14</v>
      </c>
      <c r="E8" t="s">
        <v>4445</v>
      </c>
      <c r="F8" t="s">
        <v>4018</v>
      </c>
      <c r="G8" t="s">
        <v>5568</v>
      </c>
      <c r="H8" t="s">
        <v>4915</v>
      </c>
    </row>
    <row r="9" spans="1:8" x14ac:dyDescent="0.25">
      <c r="A9">
        <v>143751368</v>
      </c>
      <c r="B9" t="s">
        <v>5021</v>
      </c>
      <c r="C9" t="s">
        <v>4392</v>
      </c>
      <c r="D9">
        <v>8</v>
      </c>
      <c r="E9" t="s">
        <v>4445</v>
      </c>
      <c r="F9" t="s">
        <v>5149</v>
      </c>
      <c r="G9" t="s">
        <v>5568</v>
      </c>
      <c r="H9" t="s">
        <v>4915</v>
      </c>
    </row>
    <row r="10" spans="1:8" x14ac:dyDescent="0.25">
      <c r="A10">
        <v>150603439</v>
      </c>
      <c r="B10" t="s">
        <v>4978</v>
      </c>
      <c r="C10" t="s">
        <v>4192</v>
      </c>
      <c r="D10">
        <v>5</v>
      </c>
      <c r="E10" t="s">
        <v>4445</v>
      </c>
      <c r="F10" t="s">
        <v>4979</v>
      </c>
      <c r="G10" t="s">
        <v>5568</v>
      </c>
      <c r="H10" t="s">
        <v>4915</v>
      </c>
    </row>
    <row r="11" spans="1:8" x14ac:dyDescent="0.25">
      <c r="A11">
        <v>159017230</v>
      </c>
      <c r="B11" t="s">
        <v>160</v>
      </c>
      <c r="C11" t="s">
        <v>4171</v>
      </c>
      <c r="D11">
        <v>4</v>
      </c>
      <c r="E11" t="s">
        <v>4445</v>
      </c>
      <c r="F11" t="s">
        <v>2944</v>
      </c>
      <c r="G11" t="s">
        <v>5568</v>
      </c>
      <c r="H11" t="s">
        <v>4915</v>
      </c>
    </row>
    <row r="12" spans="1:8" x14ac:dyDescent="0.25">
      <c r="A12">
        <v>164793079</v>
      </c>
      <c r="B12" t="s">
        <v>161</v>
      </c>
      <c r="C12" t="s">
        <v>4449</v>
      </c>
      <c r="D12">
        <v>13</v>
      </c>
      <c r="E12" t="s">
        <v>4445</v>
      </c>
      <c r="F12" t="s">
        <v>4021</v>
      </c>
      <c r="G12" t="s">
        <v>5568</v>
      </c>
      <c r="H12" t="s">
        <v>4915</v>
      </c>
    </row>
    <row r="13" spans="1:8" x14ac:dyDescent="0.25">
      <c r="A13">
        <v>167985769</v>
      </c>
      <c r="B13" t="s">
        <v>2861</v>
      </c>
      <c r="C13" t="s">
        <v>4528</v>
      </c>
      <c r="D13">
        <v>13</v>
      </c>
      <c r="E13" t="s">
        <v>5563</v>
      </c>
      <c r="F13" t="s">
        <v>5711</v>
      </c>
      <c r="H13" t="s">
        <v>4915</v>
      </c>
    </row>
    <row r="14" spans="1:8" x14ac:dyDescent="0.25">
      <c r="A14">
        <v>176010681</v>
      </c>
      <c r="B14" t="s">
        <v>4451</v>
      </c>
      <c r="C14" t="s">
        <v>4409</v>
      </c>
      <c r="D14">
        <v>13</v>
      </c>
      <c r="E14" t="s">
        <v>4445</v>
      </c>
      <c r="F14" t="s">
        <v>4450</v>
      </c>
      <c r="G14" t="s">
        <v>5569</v>
      </c>
      <c r="H14" t="s">
        <v>4915</v>
      </c>
    </row>
    <row r="15" spans="1:8" x14ac:dyDescent="0.25">
      <c r="A15" t="s">
        <v>4763</v>
      </c>
      <c r="B15" t="s">
        <v>4024</v>
      </c>
      <c r="C15" t="s">
        <v>4393</v>
      </c>
      <c r="D15">
        <v>13</v>
      </c>
      <c r="E15" t="s">
        <v>4445</v>
      </c>
      <c r="F15" t="s">
        <v>4023</v>
      </c>
      <c r="G15" t="s">
        <v>5568</v>
      </c>
      <c r="H15" t="s">
        <v>4915</v>
      </c>
    </row>
    <row r="16" spans="1:8" x14ac:dyDescent="0.25">
      <c r="A16">
        <v>193613578</v>
      </c>
      <c r="B16" t="s">
        <v>5617</v>
      </c>
      <c r="C16" t="s">
        <v>4209</v>
      </c>
      <c r="D16">
        <v>6</v>
      </c>
      <c r="E16" t="s">
        <v>4445</v>
      </c>
      <c r="F16" t="s">
        <v>5618</v>
      </c>
      <c r="G16" t="s">
        <v>5568</v>
      </c>
      <c r="H16" t="s">
        <v>4915</v>
      </c>
    </row>
    <row r="17" spans="1:8" x14ac:dyDescent="0.25">
      <c r="A17">
        <v>236443140</v>
      </c>
      <c r="B17" t="s">
        <v>4027</v>
      </c>
      <c r="C17" t="s">
        <v>4410</v>
      </c>
      <c r="D17">
        <v>13</v>
      </c>
      <c r="E17" t="s">
        <v>4445</v>
      </c>
      <c r="F17" t="s">
        <v>4026</v>
      </c>
      <c r="G17" t="s">
        <v>5568</v>
      </c>
      <c r="H17" t="s">
        <v>4915</v>
      </c>
    </row>
    <row r="18" spans="1:8" x14ac:dyDescent="0.25">
      <c r="A18">
        <v>267104476</v>
      </c>
      <c r="B18" t="s">
        <v>4030</v>
      </c>
      <c r="C18" t="s">
        <v>4410</v>
      </c>
      <c r="D18">
        <v>13</v>
      </c>
      <c r="E18" t="s">
        <v>4445</v>
      </c>
      <c r="F18" t="s">
        <v>4029</v>
      </c>
      <c r="G18" t="s">
        <v>5568</v>
      </c>
      <c r="H18" t="s">
        <v>4915</v>
      </c>
    </row>
    <row r="19" spans="1:8" x14ac:dyDescent="0.25">
      <c r="A19">
        <v>531258509</v>
      </c>
      <c r="B19" t="s">
        <v>2036</v>
      </c>
      <c r="C19" t="s">
        <v>4452</v>
      </c>
      <c r="D19">
        <v>13</v>
      </c>
      <c r="E19" t="s">
        <v>4453</v>
      </c>
      <c r="F19" t="s">
        <v>2035</v>
      </c>
      <c r="G19" t="s">
        <v>5570</v>
      </c>
      <c r="H19" t="s">
        <v>4915</v>
      </c>
    </row>
    <row r="20" spans="1:8" x14ac:dyDescent="0.25">
      <c r="A20" t="s">
        <v>141</v>
      </c>
      <c r="B20" t="s">
        <v>142</v>
      </c>
      <c r="C20" t="s">
        <v>4170</v>
      </c>
      <c r="D20">
        <v>14</v>
      </c>
      <c r="E20" t="s">
        <v>4454</v>
      </c>
      <c r="F20" t="s">
        <v>1200</v>
      </c>
      <c r="G20" t="s">
        <v>5570</v>
      </c>
      <c r="H20" t="s">
        <v>4957</v>
      </c>
    </row>
    <row r="21" spans="1:8" x14ac:dyDescent="0.25">
      <c r="A21">
        <v>58921203</v>
      </c>
      <c r="B21" t="s">
        <v>4418</v>
      </c>
      <c r="C21" t="s">
        <v>4456</v>
      </c>
      <c r="D21">
        <v>13</v>
      </c>
      <c r="E21" t="s">
        <v>4445</v>
      </c>
      <c r="F21" t="s">
        <v>4455</v>
      </c>
      <c r="G21" t="s">
        <v>5568</v>
      </c>
      <c r="H21" t="s">
        <v>4915</v>
      </c>
    </row>
    <row r="22" spans="1:8" x14ac:dyDescent="0.25">
      <c r="A22" t="s">
        <v>4760</v>
      </c>
      <c r="B22" t="s">
        <v>1008</v>
      </c>
      <c r="C22" t="s">
        <v>4287</v>
      </c>
      <c r="D22">
        <v>13</v>
      </c>
      <c r="E22" t="s">
        <v>4445</v>
      </c>
      <c r="F22" t="s">
        <v>4034</v>
      </c>
      <c r="G22" t="s">
        <v>5568</v>
      </c>
      <c r="H22" t="s">
        <v>4915</v>
      </c>
    </row>
    <row r="23" spans="1:8" x14ac:dyDescent="0.25">
      <c r="A23">
        <v>605055230</v>
      </c>
      <c r="B23" t="s">
        <v>1018</v>
      </c>
      <c r="C23" t="s">
        <v>4170</v>
      </c>
      <c r="D23">
        <v>14</v>
      </c>
      <c r="E23" t="s">
        <v>4445</v>
      </c>
      <c r="F23" t="s">
        <v>4036</v>
      </c>
      <c r="G23" t="s">
        <v>5571</v>
      </c>
      <c r="H23" t="s">
        <v>4957</v>
      </c>
    </row>
    <row r="24" spans="1:8" x14ac:dyDescent="0.25">
      <c r="A24">
        <v>605057233</v>
      </c>
      <c r="B24" t="s">
        <v>5</v>
      </c>
      <c r="C24" t="s">
        <v>4395</v>
      </c>
      <c r="D24">
        <v>13</v>
      </c>
      <c r="E24" t="s">
        <v>4457</v>
      </c>
      <c r="F24" t="s">
        <v>1822</v>
      </c>
      <c r="G24" t="s">
        <v>5572</v>
      </c>
      <c r="H24" t="s">
        <v>4957</v>
      </c>
    </row>
    <row r="25" spans="1:8" x14ac:dyDescent="0.25">
      <c r="A25">
        <v>605060110</v>
      </c>
      <c r="B25" t="s">
        <v>5732</v>
      </c>
      <c r="C25" t="s">
        <v>4458</v>
      </c>
      <c r="D25">
        <v>13</v>
      </c>
      <c r="E25" t="s">
        <v>4445</v>
      </c>
      <c r="F25" t="s">
        <v>5733</v>
      </c>
      <c r="G25" t="s">
        <v>5571</v>
      </c>
      <c r="H25" t="s">
        <v>4957</v>
      </c>
    </row>
    <row r="26" spans="1:8" x14ac:dyDescent="0.25">
      <c r="A26">
        <v>605140009</v>
      </c>
      <c r="B26" t="s">
        <v>7</v>
      </c>
      <c r="C26" t="s">
        <v>4169</v>
      </c>
      <c r="D26">
        <v>13</v>
      </c>
      <c r="E26" t="s">
        <v>4457</v>
      </c>
      <c r="F26" t="s">
        <v>2239</v>
      </c>
      <c r="G26" t="s">
        <v>5571</v>
      </c>
      <c r="H26" t="s">
        <v>4957</v>
      </c>
    </row>
    <row r="27" spans="1:8" x14ac:dyDescent="0.25">
      <c r="A27">
        <v>608040072</v>
      </c>
      <c r="B27" t="s">
        <v>5712</v>
      </c>
      <c r="C27" t="s">
        <v>4192</v>
      </c>
      <c r="D27">
        <v>5</v>
      </c>
      <c r="E27" t="s">
        <v>4445</v>
      </c>
      <c r="F27" t="s">
        <v>5713</v>
      </c>
      <c r="G27" t="s">
        <v>5571</v>
      </c>
      <c r="H27" t="s">
        <v>4957</v>
      </c>
    </row>
    <row r="28" spans="1:8" x14ac:dyDescent="0.25">
      <c r="A28">
        <v>609100001</v>
      </c>
      <c r="B28" t="s">
        <v>8</v>
      </c>
      <c r="C28" t="s">
        <v>4458</v>
      </c>
      <c r="D28">
        <v>13</v>
      </c>
      <c r="E28" t="s">
        <v>4453</v>
      </c>
      <c r="F28" t="s">
        <v>2469</v>
      </c>
      <c r="G28" t="s">
        <v>5573</v>
      </c>
      <c r="H28" t="s">
        <v>4957</v>
      </c>
    </row>
    <row r="29" spans="1:8" x14ac:dyDescent="0.25">
      <c r="A29">
        <v>609110007</v>
      </c>
      <c r="B29" t="s">
        <v>162</v>
      </c>
      <c r="C29" t="s">
        <v>4452</v>
      </c>
      <c r="D29">
        <v>13</v>
      </c>
      <c r="E29" t="s">
        <v>4445</v>
      </c>
      <c r="F29" t="s">
        <v>4043</v>
      </c>
      <c r="G29" t="s">
        <v>5573</v>
      </c>
      <c r="H29" t="s">
        <v>4957</v>
      </c>
    </row>
    <row r="30" spans="1:8" x14ac:dyDescent="0.25">
      <c r="A30">
        <v>609210001</v>
      </c>
      <c r="B30" t="s">
        <v>163</v>
      </c>
      <c r="C30" t="s">
        <v>4175</v>
      </c>
      <c r="D30">
        <v>5</v>
      </c>
      <c r="E30" t="s">
        <v>4445</v>
      </c>
      <c r="F30" t="s">
        <v>3288</v>
      </c>
      <c r="G30" t="s">
        <v>5573</v>
      </c>
      <c r="H30" t="s">
        <v>4957</v>
      </c>
    </row>
    <row r="31" spans="1:8" x14ac:dyDescent="0.25">
      <c r="A31">
        <v>610040004</v>
      </c>
      <c r="B31" t="s">
        <v>885</v>
      </c>
      <c r="C31" t="s">
        <v>4168</v>
      </c>
      <c r="D31">
        <v>13</v>
      </c>
      <c r="E31" t="s">
        <v>4445</v>
      </c>
      <c r="F31" t="s">
        <v>4048</v>
      </c>
      <c r="G31" t="s">
        <v>5571</v>
      </c>
      <c r="H31" t="s">
        <v>4957</v>
      </c>
    </row>
    <row r="32" spans="1:8" x14ac:dyDescent="0.25">
      <c r="A32">
        <v>610040101</v>
      </c>
      <c r="B32" t="s">
        <v>5672</v>
      </c>
      <c r="C32" t="s">
        <v>4466</v>
      </c>
      <c r="D32">
        <v>3</v>
      </c>
      <c r="E32" t="s">
        <v>4445</v>
      </c>
      <c r="F32" t="s">
        <v>5170</v>
      </c>
      <c r="G32" t="s">
        <v>5571</v>
      </c>
      <c r="H32" t="s">
        <v>4957</v>
      </c>
    </row>
    <row r="33" spans="1:8" x14ac:dyDescent="0.25">
      <c r="A33">
        <v>610040128</v>
      </c>
      <c r="B33" t="s">
        <v>1017</v>
      </c>
      <c r="C33" t="s">
        <v>4171</v>
      </c>
      <c r="D33">
        <v>4</v>
      </c>
      <c r="E33" t="s">
        <v>4445</v>
      </c>
      <c r="F33" t="s">
        <v>4049</v>
      </c>
      <c r="G33" t="s">
        <v>5571</v>
      </c>
      <c r="H33" t="s">
        <v>4957</v>
      </c>
    </row>
    <row r="34" spans="1:8" x14ac:dyDescent="0.25">
      <c r="A34">
        <v>610040241</v>
      </c>
      <c r="B34" t="s">
        <v>164</v>
      </c>
      <c r="C34" t="s">
        <v>4459</v>
      </c>
      <c r="D34">
        <v>5</v>
      </c>
      <c r="E34" t="s">
        <v>4445</v>
      </c>
      <c r="F34" t="s">
        <v>4051</v>
      </c>
      <c r="G34" t="s">
        <v>5571</v>
      </c>
      <c r="H34" t="s">
        <v>4957</v>
      </c>
    </row>
    <row r="35" spans="1:8" x14ac:dyDescent="0.25">
      <c r="A35" t="s">
        <v>620</v>
      </c>
      <c r="B35" t="s">
        <v>621</v>
      </c>
      <c r="C35" t="s">
        <v>4178</v>
      </c>
      <c r="D35">
        <v>6</v>
      </c>
      <c r="E35" t="s">
        <v>4445</v>
      </c>
      <c r="F35" t="s">
        <v>4053</v>
      </c>
      <c r="G35" t="s">
        <v>5571</v>
      </c>
      <c r="H35" t="s">
        <v>4957</v>
      </c>
    </row>
    <row r="36" spans="1:8" x14ac:dyDescent="0.25">
      <c r="A36">
        <v>610040683</v>
      </c>
      <c r="B36" t="s">
        <v>944</v>
      </c>
      <c r="C36" t="s">
        <v>4460</v>
      </c>
      <c r="D36">
        <v>8</v>
      </c>
      <c r="E36" t="s">
        <v>4445</v>
      </c>
      <c r="F36" t="s">
        <v>4055</v>
      </c>
      <c r="G36" t="s">
        <v>5571</v>
      </c>
      <c r="H36" t="s">
        <v>4957</v>
      </c>
    </row>
    <row r="37" spans="1:8" x14ac:dyDescent="0.25">
      <c r="A37">
        <v>610040985</v>
      </c>
      <c r="B37" t="s">
        <v>5734</v>
      </c>
      <c r="C37" t="s">
        <v>4224</v>
      </c>
      <c r="D37">
        <v>10</v>
      </c>
      <c r="E37" t="s">
        <v>4445</v>
      </c>
      <c r="F37" t="s">
        <v>5172</v>
      </c>
      <c r="G37" t="s">
        <v>5571</v>
      </c>
      <c r="H37" t="s">
        <v>4957</v>
      </c>
    </row>
    <row r="38" spans="1:8" x14ac:dyDescent="0.25">
      <c r="A38">
        <v>610080006</v>
      </c>
      <c r="B38" t="s">
        <v>4462</v>
      </c>
      <c r="C38" t="s">
        <v>4460</v>
      </c>
      <c r="D38">
        <v>8</v>
      </c>
      <c r="E38" t="s">
        <v>4445</v>
      </c>
      <c r="F38" t="s">
        <v>4461</v>
      </c>
      <c r="G38" t="s">
        <v>5571</v>
      </c>
      <c r="H38" t="s">
        <v>4957</v>
      </c>
    </row>
    <row r="39" spans="1:8" x14ac:dyDescent="0.25">
      <c r="A39">
        <v>611010303</v>
      </c>
      <c r="B39" t="s">
        <v>9</v>
      </c>
      <c r="C39" t="s">
        <v>4463</v>
      </c>
      <c r="D39">
        <v>13</v>
      </c>
      <c r="E39" t="s">
        <v>4457</v>
      </c>
      <c r="F39" t="s">
        <v>2172</v>
      </c>
      <c r="G39" t="s">
        <v>5572</v>
      </c>
      <c r="H39" t="s">
        <v>4957</v>
      </c>
    </row>
    <row r="40" spans="1:8" x14ac:dyDescent="0.25">
      <c r="A40">
        <v>611010311</v>
      </c>
      <c r="B40" t="s">
        <v>2641</v>
      </c>
      <c r="C40" t="s">
        <v>4168</v>
      </c>
      <c r="D40">
        <v>13</v>
      </c>
      <c r="E40" t="s">
        <v>4445</v>
      </c>
      <c r="F40" t="s">
        <v>2640</v>
      </c>
      <c r="G40" t="s">
        <v>5571</v>
      </c>
      <c r="H40" t="s">
        <v>4957</v>
      </c>
    </row>
    <row r="41" spans="1:8" x14ac:dyDescent="0.25">
      <c r="A41">
        <v>611010826</v>
      </c>
      <c r="B41" t="s">
        <v>4060</v>
      </c>
      <c r="C41" t="s">
        <v>4181</v>
      </c>
      <c r="D41">
        <v>15</v>
      </c>
      <c r="E41" t="s">
        <v>4445</v>
      </c>
      <c r="F41" t="s">
        <v>4059</v>
      </c>
      <c r="G41" t="s">
        <v>5571</v>
      </c>
      <c r="H41" t="s">
        <v>4957</v>
      </c>
    </row>
    <row r="42" spans="1:8" x14ac:dyDescent="0.25">
      <c r="A42">
        <v>611010869</v>
      </c>
      <c r="B42" t="s">
        <v>166</v>
      </c>
      <c r="C42" t="s">
        <v>4182</v>
      </c>
      <c r="D42">
        <v>2</v>
      </c>
      <c r="E42" t="s">
        <v>4445</v>
      </c>
      <c r="F42" t="s">
        <v>1434</v>
      </c>
      <c r="G42" t="s">
        <v>5572</v>
      </c>
      <c r="H42" t="s">
        <v>4957</v>
      </c>
    </row>
    <row r="43" spans="1:8" x14ac:dyDescent="0.25">
      <c r="A43">
        <v>611020171</v>
      </c>
      <c r="B43" t="s">
        <v>10</v>
      </c>
      <c r="C43" t="s">
        <v>4175</v>
      </c>
      <c r="D43">
        <v>5</v>
      </c>
      <c r="E43" t="s">
        <v>2372</v>
      </c>
      <c r="F43" t="s">
        <v>1329</v>
      </c>
      <c r="G43" t="s">
        <v>5572</v>
      </c>
      <c r="H43" t="s">
        <v>4957</v>
      </c>
    </row>
    <row r="44" spans="1:8" x14ac:dyDescent="0.25">
      <c r="A44">
        <v>611020252</v>
      </c>
      <c r="B44" t="s">
        <v>11</v>
      </c>
      <c r="C44" t="s">
        <v>4183</v>
      </c>
      <c r="D44">
        <v>8</v>
      </c>
      <c r="E44" t="s">
        <v>4464</v>
      </c>
      <c r="F44" t="s">
        <v>3614</v>
      </c>
      <c r="G44" t="s">
        <v>5572</v>
      </c>
      <c r="H44" t="s">
        <v>4957</v>
      </c>
    </row>
    <row r="45" spans="1:8" x14ac:dyDescent="0.25">
      <c r="A45">
        <v>611020295</v>
      </c>
      <c r="B45" t="s">
        <v>167</v>
      </c>
      <c r="C45" t="s">
        <v>4185</v>
      </c>
      <c r="D45">
        <v>12</v>
      </c>
      <c r="E45" t="s">
        <v>4445</v>
      </c>
      <c r="F45" t="s">
        <v>2213</v>
      </c>
      <c r="G45" t="s">
        <v>5572</v>
      </c>
      <c r="H45" t="s">
        <v>4957</v>
      </c>
    </row>
    <row r="46" spans="1:8" x14ac:dyDescent="0.25">
      <c r="A46">
        <v>611020678</v>
      </c>
      <c r="B46" t="s">
        <v>168</v>
      </c>
      <c r="C46" t="s">
        <v>4183</v>
      </c>
      <c r="D46">
        <v>8</v>
      </c>
      <c r="E46" t="s">
        <v>4445</v>
      </c>
      <c r="F46" t="s">
        <v>2286</v>
      </c>
      <c r="G46" t="s">
        <v>5571</v>
      </c>
      <c r="H46" t="s">
        <v>4957</v>
      </c>
    </row>
    <row r="47" spans="1:8" x14ac:dyDescent="0.25">
      <c r="A47">
        <v>611030061</v>
      </c>
      <c r="B47" t="s">
        <v>1021</v>
      </c>
      <c r="C47" t="s">
        <v>4186</v>
      </c>
      <c r="D47">
        <v>1</v>
      </c>
      <c r="E47" t="s">
        <v>4453</v>
      </c>
      <c r="F47" t="s">
        <v>4074</v>
      </c>
      <c r="G47" t="s">
        <v>5568</v>
      </c>
      <c r="H47" t="s">
        <v>4957</v>
      </c>
    </row>
    <row r="48" spans="1:8" x14ac:dyDescent="0.25">
      <c r="A48" t="s">
        <v>143</v>
      </c>
      <c r="B48" t="s">
        <v>144</v>
      </c>
      <c r="C48" t="s">
        <v>4465</v>
      </c>
      <c r="D48">
        <v>13</v>
      </c>
      <c r="E48" t="s">
        <v>4457</v>
      </c>
      <c r="F48" t="s">
        <v>3804</v>
      </c>
      <c r="G48" t="s">
        <v>5572</v>
      </c>
      <c r="H48" t="s">
        <v>4957</v>
      </c>
    </row>
    <row r="49" spans="1:8" x14ac:dyDescent="0.25">
      <c r="A49">
        <v>611030193</v>
      </c>
      <c r="B49" t="s">
        <v>169</v>
      </c>
      <c r="C49" t="s">
        <v>4182</v>
      </c>
      <c r="D49">
        <v>2</v>
      </c>
      <c r="E49" t="s">
        <v>4445</v>
      </c>
      <c r="F49" t="s">
        <v>4079</v>
      </c>
      <c r="G49" t="s">
        <v>5571</v>
      </c>
      <c r="H49" t="s">
        <v>4957</v>
      </c>
    </row>
    <row r="50" spans="1:8" x14ac:dyDescent="0.25">
      <c r="A50">
        <v>611030355</v>
      </c>
      <c r="B50" t="s">
        <v>1000</v>
      </c>
      <c r="C50" t="s">
        <v>4411</v>
      </c>
      <c r="D50">
        <v>13</v>
      </c>
      <c r="E50" t="s">
        <v>4445</v>
      </c>
      <c r="F50" t="s">
        <v>4081</v>
      </c>
      <c r="G50" t="s">
        <v>5571</v>
      </c>
      <c r="H50" t="s">
        <v>4957</v>
      </c>
    </row>
    <row r="51" spans="1:8" x14ac:dyDescent="0.25">
      <c r="A51">
        <v>611070004</v>
      </c>
      <c r="B51" t="s">
        <v>4084</v>
      </c>
      <c r="C51" t="s">
        <v>4391</v>
      </c>
      <c r="D51">
        <v>13</v>
      </c>
      <c r="E51" t="s">
        <v>4445</v>
      </c>
      <c r="F51" t="s">
        <v>4083</v>
      </c>
      <c r="G51" t="s">
        <v>5571</v>
      </c>
      <c r="H51" t="s">
        <v>4957</v>
      </c>
    </row>
    <row r="52" spans="1:8" x14ac:dyDescent="0.25">
      <c r="A52" t="s">
        <v>622</v>
      </c>
      <c r="B52" t="s">
        <v>623</v>
      </c>
      <c r="C52" t="s">
        <v>4177</v>
      </c>
      <c r="D52">
        <v>13</v>
      </c>
      <c r="E52" t="s">
        <v>4445</v>
      </c>
      <c r="F52" t="s">
        <v>3649</v>
      </c>
      <c r="G52" t="s">
        <v>5571</v>
      </c>
      <c r="H52" t="s">
        <v>4957</v>
      </c>
    </row>
    <row r="53" spans="1:8" x14ac:dyDescent="0.25">
      <c r="A53">
        <v>613080007</v>
      </c>
      <c r="B53" t="s">
        <v>170</v>
      </c>
      <c r="C53" t="s">
        <v>4466</v>
      </c>
      <c r="D53">
        <v>3</v>
      </c>
      <c r="E53" t="s">
        <v>4445</v>
      </c>
      <c r="F53" t="s">
        <v>4086</v>
      </c>
      <c r="G53" t="s">
        <v>5571</v>
      </c>
      <c r="H53" t="s">
        <v>4957</v>
      </c>
    </row>
    <row r="54" spans="1:8" x14ac:dyDescent="0.25">
      <c r="A54">
        <v>613130004</v>
      </c>
      <c r="B54" t="s">
        <v>989</v>
      </c>
      <c r="C54" t="s">
        <v>4467</v>
      </c>
      <c r="D54">
        <v>14</v>
      </c>
      <c r="E54" t="s">
        <v>4445</v>
      </c>
      <c r="F54" t="s">
        <v>4088</v>
      </c>
      <c r="G54" t="s">
        <v>5574</v>
      </c>
      <c r="H54" t="s">
        <v>4957</v>
      </c>
    </row>
    <row r="55" spans="1:8" x14ac:dyDescent="0.25">
      <c r="A55">
        <v>615130036</v>
      </c>
      <c r="B55" t="s">
        <v>7</v>
      </c>
      <c r="C55" t="s">
        <v>4465</v>
      </c>
      <c r="D55">
        <v>13</v>
      </c>
      <c r="E55" t="s">
        <v>4457</v>
      </c>
      <c r="F55" t="s">
        <v>2590</v>
      </c>
      <c r="G55" t="s">
        <v>5571</v>
      </c>
      <c r="H55" t="s">
        <v>4957</v>
      </c>
    </row>
    <row r="56" spans="1:8" x14ac:dyDescent="0.25">
      <c r="A56" t="s">
        <v>624</v>
      </c>
      <c r="B56" t="s">
        <v>625</v>
      </c>
      <c r="C56" t="s">
        <v>4459</v>
      </c>
      <c r="D56">
        <v>4</v>
      </c>
      <c r="E56" t="s">
        <v>4445</v>
      </c>
      <c r="F56" t="s">
        <v>4093</v>
      </c>
      <c r="G56" t="s">
        <v>5571</v>
      </c>
      <c r="H56" t="s">
        <v>4957</v>
      </c>
    </row>
    <row r="57" spans="1:8" x14ac:dyDescent="0.25">
      <c r="A57">
        <v>616020366</v>
      </c>
      <c r="B57" t="s">
        <v>13</v>
      </c>
      <c r="C57" t="s">
        <v>4192</v>
      </c>
      <c r="D57">
        <v>5</v>
      </c>
      <c r="E57" t="s">
        <v>2372</v>
      </c>
      <c r="F57" t="s">
        <v>4095</v>
      </c>
      <c r="G57" t="s">
        <v>5572</v>
      </c>
      <c r="H57" t="s">
        <v>4957</v>
      </c>
    </row>
    <row r="58" spans="1:8" x14ac:dyDescent="0.25">
      <c r="A58">
        <v>616020382</v>
      </c>
      <c r="B58" t="s">
        <v>742</v>
      </c>
      <c r="C58" t="s">
        <v>4174</v>
      </c>
      <c r="D58">
        <v>5</v>
      </c>
      <c r="E58" t="s">
        <v>2372</v>
      </c>
      <c r="F58" t="s">
        <v>3290</v>
      </c>
      <c r="G58" t="s">
        <v>5572</v>
      </c>
      <c r="H58" t="s">
        <v>4957</v>
      </c>
    </row>
    <row r="59" spans="1:8" x14ac:dyDescent="0.25">
      <c r="A59">
        <v>616020404</v>
      </c>
      <c r="B59" t="s">
        <v>4428</v>
      </c>
      <c r="C59" t="s">
        <v>4256</v>
      </c>
      <c r="D59">
        <v>5</v>
      </c>
      <c r="E59" t="s">
        <v>4445</v>
      </c>
      <c r="F59" t="s">
        <v>4468</v>
      </c>
      <c r="G59" t="s">
        <v>5572</v>
      </c>
      <c r="H59" t="s">
        <v>4957</v>
      </c>
    </row>
    <row r="60" spans="1:8" x14ac:dyDescent="0.25">
      <c r="A60">
        <v>616020420</v>
      </c>
      <c r="B60" t="s">
        <v>764</v>
      </c>
      <c r="C60" t="s">
        <v>4469</v>
      </c>
      <c r="D60">
        <v>5</v>
      </c>
      <c r="E60" t="s">
        <v>4445</v>
      </c>
      <c r="F60" t="s">
        <v>1375</v>
      </c>
      <c r="G60" t="s">
        <v>5572</v>
      </c>
      <c r="H60" t="s">
        <v>4957</v>
      </c>
    </row>
    <row r="61" spans="1:8" x14ac:dyDescent="0.25">
      <c r="A61">
        <v>616020544</v>
      </c>
      <c r="B61" t="s">
        <v>14</v>
      </c>
      <c r="C61" t="s">
        <v>4459</v>
      </c>
      <c r="D61">
        <v>5</v>
      </c>
      <c r="E61" t="s">
        <v>2372</v>
      </c>
      <c r="F61" t="s">
        <v>1785</v>
      </c>
      <c r="G61" t="s">
        <v>5572</v>
      </c>
      <c r="H61" t="s">
        <v>4957</v>
      </c>
    </row>
    <row r="62" spans="1:8" x14ac:dyDescent="0.25">
      <c r="A62">
        <v>616020579</v>
      </c>
      <c r="B62" t="s">
        <v>15</v>
      </c>
      <c r="C62" t="s">
        <v>4459</v>
      </c>
      <c r="D62">
        <v>5</v>
      </c>
      <c r="E62" t="s">
        <v>2372</v>
      </c>
      <c r="F62" t="s">
        <v>3727</v>
      </c>
      <c r="G62" t="s">
        <v>5572</v>
      </c>
      <c r="H62" t="s">
        <v>4957</v>
      </c>
    </row>
    <row r="63" spans="1:8" x14ac:dyDescent="0.25">
      <c r="A63">
        <v>616020676</v>
      </c>
      <c r="B63" t="s">
        <v>4104</v>
      </c>
      <c r="C63" t="s">
        <v>4193</v>
      </c>
      <c r="D63">
        <v>5</v>
      </c>
      <c r="E63" t="s">
        <v>4445</v>
      </c>
      <c r="F63" t="s">
        <v>4103</v>
      </c>
      <c r="G63" t="s">
        <v>5572</v>
      </c>
      <c r="H63" t="s">
        <v>4957</v>
      </c>
    </row>
    <row r="64" spans="1:8" x14ac:dyDescent="0.25">
      <c r="A64">
        <v>616021176</v>
      </c>
      <c r="B64" t="s">
        <v>16</v>
      </c>
      <c r="C64" t="s">
        <v>4470</v>
      </c>
      <c r="D64">
        <v>13</v>
      </c>
      <c r="E64" t="s">
        <v>4445</v>
      </c>
      <c r="F64" t="s">
        <v>1480</v>
      </c>
      <c r="G64" t="s">
        <v>5571</v>
      </c>
      <c r="H64" t="s">
        <v>4957</v>
      </c>
    </row>
    <row r="65" spans="1:8" x14ac:dyDescent="0.25">
      <c r="A65">
        <v>616021214</v>
      </c>
      <c r="B65" t="s">
        <v>172</v>
      </c>
      <c r="C65" t="s">
        <v>4194</v>
      </c>
      <c r="D65">
        <v>13</v>
      </c>
      <c r="E65" t="s">
        <v>4445</v>
      </c>
      <c r="F65" t="s">
        <v>2973</v>
      </c>
      <c r="G65" t="s">
        <v>5572</v>
      </c>
      <c r="H65" t="s">
        <v>4957</v>
      </c>
    </row>
    <row r="66" spans="1:8" x14ac:dyDescent="0.25">
      <c r="A66">
        <v>616021222</v>
      </c>
      <c r="B66" t="s">
        <v>173</v>
      </c>
      <c r="C66" t="s">
        <v>4196</v>
      </c>
      <c r="D66">
        <v>13</v>
      </c>
      <c r="E66" t="s">
        <v>4445</v>
      </c>
      <c r="F66" t="s">
        <v>2170</v>
      </c>
      <c r="G66" t="s">
        <v>5572</v>
      </c>
      <c r="H66" t="s">
        <v>4957</v>
      </c>
    </row>
    <row r="67" spans="1:8" x14ac:dyDescent="0.25">
      <c r="A67">
        <v>616021230</v>
      </c>
      <c r="B67" t="s">
        <v>17</v>
      </c>
      <c r="C67" t="s">
        <v>4197</v>
      </c>
      <c r="D67">
        <v>13</v>
      </c>
      <c r="E67" t="s">
        <v>4457</v>
      </c>
      <c r="F67" t="s">
        <v>4156</v>
      </c>
      <c r="G67" t="s">
        <v>5572</v>
      </c>
      <c r="H67" t="s">
        <v>4957</v>
      </c>
    </row>
    <row r="68" spans="1:8" x14ac:dyDescent="0.25">
      <c r="A68">
        <v>616021257</v>
      </c>
      <c r="B68" t="s">
        <v>2542</v>
      </c>
      <c r="C68" t="s">
        <v>4471</v>
      </c>
      <c r="D68">
        <v>13</v>
      </c>
      <c r="E68" t="s">
        <v>4445</v>
      </c>
      <c r="F68" t="s">
        <v>2541</v>
      </c>
      <c r="G68" t="s">
        <v>5572</v>
      </c>
      <c r="H68" t="s">
        <v>4957</v>
      </c>
    </row>
    <row r="69" spans="1:8" x14ac:dyDescent="0.25">
      <c r="A69">
        <v>616021265</v>
      </c>
      <c r="B69" t="s">
        <v>18</v>
      </c>
      <c r="C69" t="s">
        <v>4198</v>
      </c>
      <c r="D69">
        <v>5</v>
      </c>
      <c r="E69" t="s">
        <v>2372</v>
      </c>
      <c r="F69" t="s">
        <v>1940</v>
      </c>
      <c r="G69" t="s">
        <v>5572</v>
      </c>
      <c r="H69" t="s">
        <v>4957</v>
      </c>
    </row>
    <row r="70" spans="1:8" x14ac:dyDescent="0.25">
      <c r="A70" t="s">
        <v>626</v>
      </c>
      <c r="B70" t="s">
        <v>627</v>
      </c>
      <c r="C70" t="s">
        <v>4472</v>
      </c>
      <c r="D70">
        <v>6</v>
      </c>
      <c r="E70" t="s">
        <v>4445</v>
      </c>
      <c r="F70" t="s">
        <v>1465</v>
      </c>
      <c r="G70" t="s">
        <v>5572</v>
      </c>
      <c r="H70" t="s">
        <v>4957</v>
      </c>
    </row>
    <row r="71" spans="1:8" x14ac:dyDescent="0.25">
      <c r="A71">
        <v>616021346</v>
      </c>
      <c r="B71" t="s">
        <v>765</v>
      </c>
      <c r="C71" t="s">
        <v>4199</v>
      </c>
      <c r="D71">
        <v>6</v>
      </c>
      <c r="E71" t="s">
        <v>4445</v>
      </c>
      <c r="F71" t="s">
        <v>2145</v>
      </c>
      <c r="G71" t="s">
        <v>5572</v>
      </c>
      <c r="H71" t="s">
        <v>4957</v>
      </c>
    </row>
    <row r="72" spans="1:8" x14ac:dyDescent="0.25">
      <c r="A72">
        <v>616021389</v>
      </c>
      <c r="B72" t="s">
        <v>175</v>
      </c>
      <c r="C72" t="s">
        <v>4178</v>
      </c>
      <c r="D72">
        <v>6</v>
      </c>
      <c r="E72" t="s">
        <v>5729</v>
      </c>
      <c r="F72" t="s">
        <v>3938</v>
      </c>
      <c r="G72" t="s">
        <v>5572</v>
      </c>
      <c r="H72" t="s">
        <v>4957</v>
      </c>
    </row>
    <row r="73" spans="1:8" x14ac:dyDescent="0.25">
      <c r="A73">
        <v>616021400</v>
      </c>
      <c r="B73" t="s">
        <v>176</v>
      </c>
      <c r="C73" t="s">
        <v>4200</v>
      </c>
      <c r="D73">
        <v>6</v>
      </c>
      <c r="E73" t="s">
        <v>4445</v>
      </c>
      <c r="F73" t="s">
        <v>3763</v>
      </c>
      <c r="G73" t="s">
        <v>5572</v>
      </c>
      <c r="H73" t="s">
        <v>4957</v>
      </c>
    </row>
    <row r="74" spans="1:8" x14ac:dyDescent="0.25">
      <c r="A74">
        <v>616021419</v>
      </c>
      <c r="B74" t="s">
        <v>177</v>
      </c>
      <c r="C74" t="s">
        <v>4473</v>
      </c>
      <c r="D74">
        <v>6</v>
      </c>
      <c r="E74" t="s">
        <v>4445</v>
      </c>
      <c r="F74" t="s">
        <v>1818</v>
      </c>
      <c r="G74" t="s">
        <v>5572</v>
      </c>
      <c r="H74" t="s">
        <v>4957</v>
      </c>
    </row>
    <row r="75" spans="1:8" x14ac:dyDescent="0.25">
      <c r="A75">
        <v>616021427</v>
      </c>
      <c r="B75" t="s">
        <v>178</v>
      </c>
      <c r="C75" t="s">
        <v>4201</v>
      </c>
      <c r="D75">
        <v>6</v>
      </c>
      <c r="E75" t="s">
        <v>4445</v>
      </c>
      <c r="F75" t="s">
        <v>2441</v>
      </c>
      <c r="G75" t="s">
        <v>5572</v>
      </c>
      <c r="H75" t="s">
        <v>4957</v>
      </c>
    </row>
    <row r="76" spans="1:8" x14ac:dyDescent="0.25">
      <c r="A76">
        <v>616021435</v>
      </c>
      <c r="B76" t="s">
        <v>179</v>
      </c>
      <c r="C76" t="s">
        <v>4202</v>
      </c>
      <c r="D76">
        <v>6</v>
      </c>
      <c r="E76" t="s">
        <v>4445</v>
      </c>
      <c r="F76" t="s">
        <v>1449</v>
      </c>
      <c r="G76" t="s">
        <v>5572</v>
      </c>
      <c r="H76" t="s">
        <v>4957</v>
      </c>
    </row>
    <row r="77" spans="1:8" x14ac:dyDescent="0.25">
      <c r="A77">
        <v>616021451</v>
      </c>
      <c r="B77" t="s">
        <v>180</v>
      </c>
      <c r="C77" t="s">
        <v>4203</v>
      </c>
      <c r="D77">
        <v>6</v>
      </c>
      <c r="E77" t="s">
        <v>5729</v>
      </c>
      <c r="F77" t="s">
        <v>1584</v>
      </c>
      <c r="G77" t="s">
        <v>5572</v>
      </c>
      <c r="H77" t="s">
        <v>4957</v>
      </c>
    </row>
    <row r="78" spans="1:8" x14ac:dyDescent="0.25">
      <c r="A78" t="s">
        <v>628</v>
      </c>
      <c r="B78" t="s">
        <v>629</v>
      </c>
      <c r="C78" t="s">
        <v>4204</v>
      </c>
      <c r="D78">
        <v>6</v>
      </c>
      <c r="E78" t="s">
        <v>4445</v>
      </c>
      <c r="F78" t="s">
        <v>4128</v>
      </c>
      <c r="G78" t="s">
        <v>5572</v>
      </c>
      <c r="H78" t="s">
        <v>4957</v>
      </c>
    </row>
    <row r="79" spans="1:8" x14ac:dyDescent="0.25">
      <c r="A79">
        <v>616021478</v>
      </c>
      <c r="B79" t="s">
        <v>766</v>
      </c>
      <c r="C79" t="s">
        <v>4205</v>
      </c>
      <c r="D79">
        <v>6</v>
      </c>
      <c r="E79" t="s">
        <v>4445</v>
      </c>
      <c r="F79" t="s">
        <v>1306</v>
      </c>
      <c r="G79" t="s">
        <v>5572</v>
      </c>
      <c r="H79" t="s">
        <v>4957</v>
      </c>
    </row>
    <row r="80" spans="1:8" x14ac:dyDescent="0.25">
      <c r="A80">
        <v>616021486</v>
      </c>
      <c r="B80" t="s">
        <v>181</v>
      </c>
      <c r="C80" t="s">
        <v>4206</v>
      </c>
      <c r="D80">
        <v>6</v>
      </c>
      <c r="E80" t="s">
        <v>4445</v>
      </c>
      <c r="F80" t="s">
        <v>2362</v>
      </c>
      <c r="G80" t="s">
        <v>5572</v>
      </c>
      <c r="H80" t="s">
        <v>4957</v>
      </c>
    </row>
    <row r="81" spans="1:8" x14ac:dyDescent="0.25">
      <c r="A81">
        <v>616021508</v>
      </c>
      <c r="B81" t="s">
        <v>182</v>
      </c>
      <c r="C81" t="s">
        <v>4207</v>
      </c>
      <c r="D81">
        <v>6</v>
      </c>
      <c r="E81" t="s">
        <v>4445</v>
      </c>
      <c r="F81" t="s">
        <v>1604</v>
      </c>
      <c r="G81" t="s">
        <v>5572</v>
      </c>
      <c r="H81" t="s">
        <v>4957</v>
      </c>
    </row>
    <row r="82" spans="1:8" x14ac:dyDescent="0.25">
      <c r="A82">
        <v>616021516</v>
      </c>
      <c r="B82" t="s">
        <v>183</v>
      </c>
      <c r="C82" t="s">
        <v>4474</v>
      </c>
      <c r="D82">
        <v>6</v>
      </c>
      <c r="E82" t="s">
        <v>4445</v>
      </c>
      <c r="F82" t="s">
        <v>4137</v>
      </c>
      <c r="G82" t="s">
        <v>5572</v>
      </c>
      <c r="H82" t="s">
        <v>4957</v>
      </c>
    </row>
    <row r="83" spans="1:8" x14ac:dyDescent="0.25">
      <c r="A83">
        <v>616021524</v>
      </c>
      <c r="B83" t="s">
        <v>184</v>
      </c>
      <c r="C83" t="s">
        <v>4208</v>
      </c>
      <c r="D83">
        <v>6</v>
      </c>
      <c r="E83" t="s">
        <v>4445</v>
      </c>
      <c r="F83" t="s">
        <v>2786</v>
      </c>
      <c r="G83" t="s">
        <v>5572</v>
      </c>
      <c r="H83" t="s">
        <v>4957</v>
      </c>
    </row>
    <row r="84" spans="1:8" x14ac:dyDescent="0.25">
      <c r="A84">
        <v>616021532</v>
      </c>
      <c r="B84" t="s">
        <v>185</v>
      </c>
      <c r="C84" t="s">
        <v>4209</v>
      </c>
      <c r="D84">
        <v>6</v>
      </c>
      <c r="E84" t="s">
        <v>4445</v>
      </c>
      <c r="F84" t="s">
        <v>1385</v>
      </c>
      <c r="G84" t="s">
        <v>5572</v>
      </c>
      <c r="H84" t="s">
        <v>4957</v>
      </c>
    </row>
    <row r="85" spans="1:8" x14ac:dyDescent="0.25">
      <c r="A85">
        <v>616021893</v>
      </c>
      <c r="B85" t="s">
        <v>19</v>
      </c>
      <c r="C85" t="s">
        <v>4460</v>
      </c>
      <c r="D85">
        <v>8</v>
      </c>
      <c r="E85" t="s">
        <v>4464</v>
      </c>
      <c r="F85" t="s">
        <v>2243</v>
      </c>
      <c r="G85" t="s">
        <v>5572</v>
      </c>
      <c r="H85" t="s">
        <v>4957</v>
      </c>
    </row>
    <row r="86" spans="1:8" x14ac:dyDescent="0.25">
      <c r="A86" t="s">
        <v>630</v>
      </c>
      <c r="B86" t="s">
        <v>631</v>
      </c>
      <c r="C86" t="s">
        <v>4210</v>
      </c>
      <c r="D86">
        <v>16</v>
      </c>
      <c r="E86" t="s">
        <v>4445</v>
      </c>
      <c r="F86" t="s">
        <v>2356</v>
      </c>
      <c r="G86" t="s">
        <v>5572</v>
      </c>
      <c r="H86" t="s">
        <v>4957</v>
      </c>
    </row>
    <row r="87" spans="1:8" x14ac:dyDescent="0.25">
      <c r="A87">
        <v>616021982</v>
      </c>
      <c r="B87" t="s">
        <v>20</v>
      </c>
      <c r="C87" t="s">
        <v>4211</v>
      </c>
      <c r="D87">
        <v>8</v>
      </c>
      <c r="E87" t="s">
        <v>4464</v>
      </c>
      <c r="F87" t="s">
        <v>1888</v>
      </c>
      <c r="G87" t="s">
        <v>5572</v>
      </c>
      <c r="H87" t="s">
        <v>4957</v>
      </c>
    </row>
    <row r="88" spans="1:8" x14ac:dyDescent="0.25">
      <c r="A88">
        <v>616021990</v>
      </c>
      <c r="B88" t="s">
        <v>186</v>
      </c>
      <c r="C88" t="s">
        <v>4212</v>
      </c>
      <c r="D88">
        <v>8</v>
      </c>
      <c r="E88" t="s">
        <v>4445</v>
      </c>
      <c r="F88" t="s">
        <v>4147</v>
      </c>
      <c r="G88" t="s">
        <v>5572</v>
      </c>
      <c r="H88" t="s">
        <v>4957</v>
      </c>
    </row>
    <row r="89" spans="1:8" x14ac:dyDescent="0.25">
      <c r="A89">
        <v>616022016</v>
      </c>
      <c r="B89" t="s">
        <v>1669</v>
      </c>
      <c r="C89" t="s">
        <v>4352</v>
      </c>
      <c r="D89">
        <v>8</v>
      </c>
      <c r="E89" t="s">
        <v>4464</v>
      </c>
      <c r="F89" t="s">
        <v>1668</v>
      </c>
      <c r="G89" t="s">
        <v>5572</v>
      </c>
      <c r="H89" t="s">
        <v>4957</v>
      </c>
    </row>
    <row r="90" spans="1:8" x14ac:dyDescent="0.25">
      <c r="A90">
        <v>616022032</v>
      </c>
      <c r="B90" t="s">
        <v>21</v>
      </c>
      <c r="C90" t="s">
        <v>4377</v>
      </c>
      <c r="D90">
        <v>8</v>
      </c>
      <c r="E90" t="s">
        <v>4464</v>
      </c>
      <c r="F90" t="s">
        <v>1572</v>
      </c>
      <c r="G90" t="s">
        <v>5572</v>
      </c>
      <c r="H90" t="s">
        <v>4957</v>
      </c>
    </row>
    <row r="91" spans="1:8" x14ac:dyDescent="0.25">
      <c r="A91">
        <v>616022040</v>
      </c>
      <c r="B91" t="s">
        <v>187</v>
      </c>
      <c r="C91" t="s">
        <v>4213</v>
      </c>
      <c r="D91">
        <v>8</v>
      </c>
      <c r="E91" t="s">
        <v>4445</v>
      </c>
      <c r="F91" t="s">
        <v>3792</v>
      </c>
      <c r="G91" t="s">
        <v>5572</v>
      </c>
      <c r="H91" t="s">
        <v>4957</v>
      </c>
    </row>
    <row r="92" spans="1:8" x14ac:dyDescent="0.25">
      <c r="A92">
        <v>616022091</v>
      </c>
      <c r="B92" t="s">
        <v>22</v>
      </c>
      <c r="C92" t="s">
        <v>4214</v>
      </c>
      <c r="D92">
        <v>8</v>
      </c>
      <c r="E92" t="s">
        <v>4445</v>
      </c>
      <c r="F92" t="s">
        <v>1476</v>
      </c>
      <c r="G92" t="s">
        <v>5572</v>
      </c>
      <c r="H92" t="s">
        <v>4957</v>
      </c>
    </row>
    <row r="93" spans="1:8" x14ac:dyDescent="0.25">
      <c r="A93">
        <v>616022113</v>
      </c>
      <c r="B93" t="s">
        <v>744</v>
      </c>
      <c r="C93" t="s">
        <v>4215</v>
      </c>
      <c r="D93">
        <v>8</v>
      </c>
      <c r="E93" t="s">
        <v>4464</v>
      </c>
      <c r="F93" t="s">
        <v>1288</v>
      </c>
      <c r="G93" t="s">
        <v>5572</v>
      </c>
      <c r="H93" t="s">
        <v>4957</v>
      </c>
    </row>
    <row r="94" spans="1:8" x14ac:dyDescent="0.25">
      <c r="A94">
        <v>616022121</v>
      </c>
      <c r="B94" t="s">
        <v>188</v>
      </c>
      <c r="C94" t="s">
        <v>4289</v>
      </c>
      <c r="D94">
        <v>8</v>
      </c>
      <c r="E94" t="s">
        <v>4464</v>
      </c>
      <c r="F94" t="s">
        <v>3175</v>
      </c>
      <c r="G94" t="s">
        <v>5572</v>
      </c>
      <c r="H94" t="s">
        <v>4957</v>
      </c>
    </row>
    <row r="95" spans="1:8" x14ac:dyDescent="0.25">
      <c r="A95" t="s">
        <v>145</v>
      </c>
      <c r="B95" t="s">
        <v>146</v>
      </c>
      <c r="C95" t="s">
        <v>4354</v>
      </c>
      <c r="D95">
        <v>8</v>
      </c>
      <c r="E95" t="s">
        <v>4464</v>
      </c>
      <c r="F95" t="s">
        <v>3667</v>
      </c>
      <c r="G95" t="s">
        <v>5572</v>
      </c>
      <c r="H95" t="s">
        <v>4957</v>
      </c>
    </row>
    <row r="96" spans="1:8" x14ac:dyDescent="0.25">
      <c r="A96">
        <v>616022202</v>
      </c>
      <c r="B96" t="s">
        <v>189</v>
      </c>
      <c r="C96" t="s">
        <v>4216</v>
      </c>
      <c r="D96">
        <v>8</v>
      </c>
      <c r="E96" t="s">
        <v>4445</v>
      </c>
      <c r="F96" t="s">
        <v>2151</v>
      </c>
      <c r="G96" t="s">
        <v>5572</v>
      </c>
      <c r="H96" t="s">
        <v>4957</v>
      </c>
    </row>
    <row r="97" spans="1:8" x14ac:dyDescent="0.25">
      <c r="A97">
        <v>616022229</v>
      </c>
      <c r="B97" t="s">
        <v>23</v>
      </c>
      <c r="C97" t="s">
        <v>4389</v>
      </c>
      <c r="D97">
        <v>9</v>
      </c>
      <c r="E97" t="s">
        <v>4464</v>
      </c>
      <c r="F97" t="s">
        <v>3844</v>
      </c>
      <c r="G97" t="s">
        <v>5572</v>
      </c>
      <c r="H97" t="s">
        <v>4957</v>
      </c>
    </row>
    <row r="98" spans="1:8" x14ac:dyDescent="0.25">
      <c r="A98">
        <v>616022237</v>
      </c>
      <c r="B98" t="s">
        <v>190</v>
      </c>
      <c r="C98" t="s">
        <v>4217</v>
      </c>
      <c r="D98">
        <v>9</v>
      </c>
      <c r="E98" t="s">
        <v>4445</v>
      </c>
      <c r="F98" t="s">
        <v>1577</v>
      </c>
      <c r="G98" t="s">
        <v>5572</v>
      </c>
      <c r="H98" t="s">
        <v>4957</v>
      </c>
    </row>
    <row r="99" spans="1:8" x14ac:dyDescent="0.25">
      <c r="A99">
        <v>616022245</v>
      </c>
      <c r="B99" t="s">
        <v>886</v>
      </c>
      <c r="C99" t="s">
        <v>4476</v>
      </c>
      <c r="D99">
        <v>9</v>
      </c>
      <c r="E99" t="s">
        <v>4445</v>
      </c>
      <c r="F99" t="s">
        <v>1193</v>
      </c>
      <c r="G99" t="s">
        <v>5572</v>
      </c>
      <c r="H99" t="s">
        <v>4957</v>
      </c>
    </row>
    <row r="100" spans="1:8" x14ac:dyDescent="0.25">
      <c r="A100">
        <v>616022261</v>
      </c>
      <c r="B100" t="s">
        <v>1962</v>
      </c>
      <c r="C100" t="s">
        <v>4477</v>
      </c>
      <c r="D100">
        <v>9</v>
      </c>
      <c r="E100" t="s">
        <v>4445</v>
      </c>
      <c r="F100" t="s">
        <v>1961</v>
      </c>
      <c r="G100" t="s">
        <v>5572</v>
      </c>
      <c r="H100" t="s">
        <v>4957</v>
      </c>
    </row>
    <row r="101" spans="1:8" x14ac:dyDescent="0.25">
      <c r="A101">
        <v>616022296</v>
      </c>
      <c r="B101" t="s">
        <v>24</v>
      </c>
      <c r="C101" t="s">
        <v>4925</v>
      </c>
      <c r="D101">
        <v>9</v>
      </c>
      <c r="E101" t="s">
        <v>4454</v>
      </c>
      <c r="F101" t="s">
        <v>2573</v>
      </c>
      <c r="G101" t="s">
        <v>5572</v>
      </c>
      <c r="H101" t="s">
        <v>4957</v>
      </c>
    </row>
    <row r="102" spans="1:8" x14ac:dyDescent="0.25">
      <c r="A102">
        <v>616022326</v>
      </c>
      <c r="B102" t="s">
        <v>26</v>
      </c>
      <c r="C102" t="s">
        <v>4218</v>
      </c>
      <c r="D102">
        <v>9</v>
      </c>
      <c r="E102" t="s">
        <v>4454</v>
      </c>
      <c r="F102" t="s">
        <v>2654</v>
      </c>
      <c r="G102" t="s">
        <v>5572</v>
      </c>
      <c r="H102" t="s">
        <v>4957</v>
      </c>
    </row>
    <row r="103" spans="1:8" x14ac:dyDescent="0.25">
      <c r="A103">
        <v>616022369</v>
      </c>
      <c r="B103" t="s">
        <v>27</v>
      </c>
      <c r="C103" t="s">
        <v>4362</v>
      </c>
      <c r="D103">
        <v>9</v>
      </c>
      <c r="E103" t="s">
        <v>4454</v>
      </c>
      <c r="F103" t="s">
        <v>1793</v>
      </c>
      <c r="G103" t="s">
        <v>5572</v>
      </c>
      <c r="H103" t="s">
        <v>4957</v>
      </c>
    </row>
    <row r="104" spans="1:8" x14ac:dyDescent="0.25">
      <c r="A104">
        <v>616022385</v>
      </c>
      <c r="B104" t="s">
        <v>3028</v>
      </c>
      <c r="C104" t="s">
        <v>4478</v>
      </c>
      <c r="D104">
        <v>9</v>
      </c>
      <c r="E104" t="s">
        <v>4454</v>
      </c>
      <c r="F104" t="s">
        <v>3027</v>
      </c>
      <c r="G104" t="s">
        <v>5572</v>
      </c>
      <c r="H104" t="s">
        <v>4957</v>
      </c>
    </row>
    <row r="105" spans="1:8" x14ac:dyDescent="0.25">
      <c r="A105">
        <v>616022407</v>
      </c>
      <c r="B105" t="s">
        <v>191</v>
      </c>
      <c r="C105" t="s">
        <v>4219</v>
      </c>
      <c r="D105">
        <v>9</v>
      </c>
      <c r="E105" t="s">
        <v>4445</v>
      </c>
      <c r="F105" t="s">
        <v>1207</v>
      </c>
      <c r="G105" t="s">
        <v>5572</v>
      </c>
      <c r="H105" t="s">
        <v>4957</v>
      </c>
    </row>
    <row r="106" spans="1:8" x14ac:dyDescent="0.25">
      <c r="A106">
        <v>616022415</v>
      </c>
      <c r="B106" t="s">
        <v>192</v>
      </c>
      <c r="C106" t="s">
        <v>4479</v>
      </c>
      <c r="D106">
        <v>9</v>
      </c>
      <c r="E106" t="s">
        <v>4445</v>
      </c>
      <c r="F106" t="s">
        <v>2178</v>
      </c>
      <c r="G106" t="s">
        <v>5572</v>
      </c>
      <c r="H106" t="s">
        <v>4957</v>
      </c>
    </row>
    <row r="107" spans="1:8" x14ac:dyDescent="0.25">
      <c r="A107">
        <v>616022423</v>
      </c>
      <c r="B107" t="s">
        <v>193</v>
      </c>
      <c r="C107" t="s">
        <v>4480</v>
      </c>
      <c r="D107">
        <v>9</v>
      </c>
      <c r="E107" t="s">
        <v>4445</v>
      </c>
      <c r="F107" t="s">
        <v>1443</v>
      </c>
      <c r="G107" t="s">
        <v>5572</v>
      </c>
      <c r="H107" t="s">
        <v>4957</v>
      </c>
    </row>
    <row r="108" spans="1:8" x14ac:dyDescent="0.25">
      <c r="A108">
        <v>616022431</v>
      </c>
      <c r="B108" t="s">
        <v>1734</v>
      </c>
      <c r="C108" t="s">
        <v>4481</v>
      </c>
      <c r="D108">
        <v>9</v>
      </c>
      <c r="E108" t="s">
        <v>4445</v>
      </c>
      <c r="F108" t="s">
        <v>1733</v>
      </c>
      <c r="G108" t="s">
        <v>5572</v>
      </c>
      <c r="H108" t="s">
        <v>4957</v>
      </c>
    </row>
    <row r="109" spans="1:8" x14ac:dyDescent="0.25">
      <c r="A109" t="s">
        <v>632</v>
      </c>
      <c r="B109" t="s">
        <v>633</v>
      </c>
      <c r="C109" t="s">
        <v>4220</v>
      </c>
      <c r="D109">
        <v>9</v>
      </c>
      <c r="E109" t="s">
        <v>4445</v>
      </c>
      <c r="F109" t="s">
        <v>2062</v>
      </c>
      <c r="G109" t="s">
        <v>5572</v>
      </c>
      <c r="H109" t="s">
        <v>4957</v>
      </c>
    </row>
    <row r="110" spans="1:8" x14ac:dyDescent="0.25">
      <c r="A110">
        <v>616022458</v>
      </c>
      <c r="B110" t="s">
        <v>2314</v>
      </c>
      <c r="C110" t="s">
        <v>4221</v>
      </c>
      <c r="D110">
        <v>9</v>
      </c>
      <c r="E110" t="s">
        <v>4445</v>
      </c>
      <c r="F110" t="s">
        <v>2313</v>
      </c>
      <c r="G110" t="s">
        <v>5571</v>
      </c>
      <c r="H110" t="s">
        <v>4957</v>
      </c>
    </row>
    <row r="111" spans="1:8" x14ac:dyDescent="0.25">
      <c r="A111">
        <v>616022466</v>
      </c>
      <c r="B111" t="s">
        <v>195</v>
      </c>
      <c r="C111" t="s">
        <v>4222</v>
      </c>
      <c r="D111">
        <v>9</v>
      </c>
      <c r="E111" t="s">
        <v>4445</v>
      </c>
      <c r="F111" t="s">
        <v>1218</v>
      </c>
      <c r="G111" t="s">
        <v>5572</v>
      </c>
      <c r="H111" t="s">
        <v>4957</v>
      </c>
    </row>
    <row r="112" spans="1:8" x14ac:dyDescent="0.25">
      <c r="A112">
        <v>616022474</v>
      </c>
      <c r="B112" t="s">
        <v>196</v>
      </c>
      <c r="C112" t="s">
        <v>4366</v>
      </c>
      <c r="D112">
        <v>9</v>
      </c>
      <c r="E112" t="s">
        <v>4445</v>
      </c>
      <c r="F112" t="s">
        <v>1220</v>
      </c>
      <c r="G112" t="s">
        <v>5572</v>
      </c>
      <c r="H112" t="s">
        <v>4957</v>
      </c>
    </row>
    <row r="113" spans="1:8" x14ac:dyDescent="0.25">
      <c r="A113">
        <v>616022482</v>
      </c>
      <c r="B113" t="s">
        <v>745</v>
      </c>
      <c r="C113" t="s">
        <v>4223</v>
      </c>
      <c r="D113">
        <v>9</v>
      </c>
      <c r="E113" t="s">
        <v>4454</v>
      </c>
      <c r="F113" t="s">
        <v>1346</v>
      </c>
      <c r="G113" t="s">
        <v>5572</v>
      </c>
      <c r="H113" t="s">
        <v>4957</v>
      </c>
    </row>
    <row r="114" spans="1:8" x14ac:dyDescent="0.25">
      <c r="A114">
        <v>616022601</v>
      </c>
      <c r="B114" t="s">
        <v>29</v>
      </c>
      <c r="C114" t="s">
        <v>4224</v>
      </c>
      <c r="D114">
        <v>10</v>
      </c>
      <c r="E114" t="s">
        <v>4454</v>
      </c>
      <c r="F114" t="s">
        <v>3295</v>
      </c>
      <c r="G114" t="s">
        <v>5572</v>
      </c>
      <c r="H114" t="s">
        <v>4957</v>
      </c>
    </row>
    <row r="115" spans="1:8" x14ac:dyDescent="0.25">
      <c r="A115" t="s">
        <v>634</v>
      </c>
      <c r="B115" t="s">
        <v>635</v>
      </c>
      <c r="C115" t="s">
        <v>4225</v>
      </c>
      <c r="D115">
        <v>10</v>
      </c>
      <c r="E115" t="s">
        <v>4445</v>
      </c>
      <c r="F115" t="s">
        <v>1709</v>
      </c>
      <c r="G115" t="s">
        <v>5572</v>
      </c>
      <c r="H115" t="s">
        <v>4957</v>
      </c>
    </row>
    <row r="116" spans="1:8" x14ac:dyDescent="0.25">
      <c r="A116">
        <v>616022628</v>
      </c>
      <c r="B116" t="s">
        <v>197</v>
      </c>
      <c r="C116" t="s">
        <v>4482</v>
      </c>
      <c r="D116">
        <v>10</v>
      </c>
      <c r="E116" t="s">
        <v>4445</v>
      </c>
      <c r="F116" t="s">
        <v>1869</v>
      </c>
      <c r="G116" t="s">
        <v>5572</v>
      </c>
      <c r="H116" t="s">
        <v>4957</v>
      </c>
    </row>
    <row r="117" spans="1:8" x14ac:dyDescent="0.25">
      <c r="A117">
        <v>616022687</v>
      </c>
      <c r="B117" t="s">
        <v>198</v>
      </c>
      <c r="C117" t="s">
        <v>4226</v>
      </c>
      <c r="D117">
        <v>10</v>
      </c>
      <c r="E117" t="s">
        <v>4445</v>
      </c>
      <c r="F117" t="s">
        <v>1230</v>
      </c>
      <c r="G117" t="s">
        <v>5572</v>
      </c>
      <c r="H117" t="s">
        <v>4957</v>
      </c>
    </row>
    <row r="118" spans="1:8" x14ac:dyDescent="0.25">
      <c r="A118">
        <v>616022709</v>
      </c>
      <c r="B118" t="s">
        <v>199</v>
      </c>
      <c r="C118" t="s">
        <v>4227</v>
      </c>
      <c r="D118">
        <v>10</v>
      </c>
      <c r="E118" t="s">
        <v>4445</v>
      </c>
      <c r="F118" t="s">
        <v>3032</v>
      </c>
      <c r="G118" t="s">
        <v>5572</v>
      </c>
      <c r="H118" t="s">
        <v>4957</v>
      </c>
    </row>
    <row r="119" spans="1:8" x14ac:dyDescent="0.25">
      <c r="A119">
        <v>616022717</v>
      </c>
      <c r="B119" t="s">
        <v>200</v>
      </c>
      <c r="C119" t="s">
        <v>4228</v>
      </c>
      <c r="D119">
        <v>10</v>
      </c>
      <c r="E119" t="s">
        <v>4445</v>
      </c>
      <c r="F119" t="s">
        <v>1233</v>
      </c>
      <c r="G119" t="s">
        <v>5572</v>
      </c>
      <c r="H119" t="s">
        <v>4957</v>
      </c>
    </row>
    <row r="120" spans="1:8" x14ac:dyDescent="0.25">
      <c r="A120">
        <v>616022725</v>
      </c>
      <c r="B120" t="s">
        <v>201</v>
      </c>
      <c r="C120" t="s">
        <v>4483</v>
      </c>
      <c r="D120">
        <v>10</v>
      </c>
      <c r="E120" t="s">
        <v>4445</v>
      </c>
      <c r="F120" t="s">
        <v>1235</v>
      </c>
      <c r="G120" t="s">
        <v>5572</v>
      </c>
      <c r="H120" t="s">
        <v>4957</v>
      </c>
    </row>
    <row r="121" spans="1:8" x14ac:dyDescent="0.25">
      <c r="A121">
        <v>616022733</v>
      </c>
      <c r="B121" t="s">
        <v>30</v>
      </c>
      <c r="C121" t="s">
        <v>4229</v>
      </c>
      <c r="D121">
        <v>10</v>
      </c>
      <c r="E121" t="s">
        <v>4454</v>
      </c>
      <c r="F121" t="s">
        <v>2232</v>
      </c>
      <c r="G121" t="s">
        <v>5572</v>
      </c>
      <c r="H121" t="s">
        <v>4957</v>
      </c>
    </row>
    <row r="122" spans="1:8" x14ac:dyDescent="0.25">
      <c r="A122">
        <v>616022741</v>
      </c>
      <c r="B122" t="s">
        <v>887</v>
      </c>
      <c r="C122" t="s">
        <v>4826</v>
      </c>
      <c r="D122">
        <v>10</v>
      </c>
      <c r="E122" t="s">
        <v>4445</v>
      </c>
      <c r="F122" t="s">
        <v>1239</v>
      </c>
      <c r="G122" t="s">
        <v>5572</v>
      </c>
      <c r="H122" t="s">
        <v>4957</v>
      </c>
    </row>
    <row r="123" spans="1:8" x14ac:dyDescent="0.25">
      <c r="A123" t="s">
        <v>636</v>
      </c>
      <c r="B123" t="s">
        <v>637</v>
      </c>
      <c r="C123" t="s">
        <v>4230</v>
      </c>
      <c r="D123">
        <v>10</v>
      </c>
      <c r="E123" t="s">
        <v>4454</v>
      </c>
      <c r="F123" t="s">
        <v>1402</v>
      </c>
      <c r="G123" t="s">
        <v>5572</v>
      </c>
      <c r="H123" t="s">
        <v>4957</v>
      </c>
    </row>
    <row r="124" spans="1:8" x14ac:dyDescent="0.25">
      <c r="A124">
        <v>616022768</v>
      </c>
      <c r="B124" t="s">
        <v>1276</v>
      </c>
      <c r="C124" t="s">
        <v>4484</v>
      </c>
      <c r="D124">
        <v>10</v>
      </c>
      <c r="E124" t="s">
        <v>4445</v>
      </c>
      <c r="F124" t="s">
        <v>1275</v>
      </c>
      <c r="G124" t="s">
        <v>5572</v>
      </c>
      <c r="H124" t="s">
        <v>4957</v>
      </c>
    </row>
    <row r="125" spans="1:8" x14ac:dyDescent="0.25">
      <c r="A125">
        <v>616022784</v>
      </c>
      <c r="B125" t="s">
        <v>203</v>
      </c>
      <c r="C125" t="s">
        <v>4231</v>
      </c>
      <c r="D125">
        <v>10</v>
      </c>
      <c r="E125" t="s">
        <v>4445</v>
      </c>
      <c r="F125" t="s">
        <v>2656</v>
      </c>
      <c r="G125" t="s">
        <v>5572</v>
      </c>
      <c r="H125" t="s">
        <v>4957</v>
      </c>
    </row>
    <row r="126" spans="1:8" x14ac:dyDescent="0.25">
      <c r="A126">
        <v>616022792</v>
      </c>
      <c r="B126" t="s">
        <v>204</v>
      </c>
      <c r="C126" t="s">
        <v>4485</v>
      </c>
      <c r="D126">
        <v>11</v>
      </c>
      <c r="E126" t="s">
        <v>4445</v>
      </c>
      <c r="F126" t="s">
        <v>2351</v>
      </c>
      <c r="G126" t="s">
        <v>5572</v>
      </c>
      <c r="H126" t="s">
        <v>4957</v>
      </c>
    </row>
    <row r="127" spans="1:8" x14ac:dyDescent="0.25">
      <c r="A127">
        <v>616022806</v>
      </c>
      <c r="B127" t="s">
        <v>205</v>
      </c>
      <c r="C127" t="s">
        <v>4233</v>
      </c>
      <c r="D127">
        <v>11</v>
      </c>
      <c r="E127" t="s">
        <v>4445</v>
      </c>
      <c r="F127" t="s">
        <v>1512</v>
      </c>
      <c r="G127" t="s">
        <v>5572</v>
      </c>
      <c r="H127" t="s">
        <v>4957</v>
      </c>
    </row>
    <row r="128" spans="1:8" x14ac:dyDescent="0.25">
      <c r="A128">
        <v>616022814</v>
      </c>
      <c r="B128" t="s">
        <v>888</v>
      </c>
      <c r="C128" t="s">
        <v>4234</v>
      </c>
      <c r="D128">
        <v>11</v>
      </c>
      <c r="E128" t="s">
        <v>4445</v>
      </c>
      <c r="F128" t="s">
        <v>4139</v>
      </c>
      <c r="G128" t="s">
        <v>5572</v>
      </c>
      <c r="H128" t="s">
        <v>4957</v>
      </c>
    </row>
    <row r="129" spans="1:8" x14ac:dyDescent="0.25">
      <c r="A129" t="s">
        <v>638</v>
      </c>
      <c r="B129" t="s">
        <v>639</v>
      </c>
      <c r="C129" t="s">
        <v>4235</v>
      </c>
      <c r="D129">
        <v>11</v>
      </c>
      <c r="E129" t="s">
        <v>4445</v>
      </c>
      <c r="F129" t="s">
        <v>1226</v>
      </c>
      <c r="G129" t="s">
        <v>5572</v>
      </c>
      <c r="H129" t="s">
        <v>4957</v>
      </c>
    </row>
    <row r="130" spans="1:8" x14ac:dyDescent="0.25">
      <c r="A130">
        <v>616022938</v>
      </c>
      <c r="B130" t="s">
        <v>769</v>
      </c>
      <c r="C130" t="s">
        <v>4486</v>
      </c>
      <c r="D130">
        <v>11</v>
      </c>
      <c r="E130" t="s">
        <v>4445</v>
      </c>
      <c r="F130" t="s">
        <v>1455</v>
      </c>
      <c r="G130" t="s">
        <v>5572</v>
      </c>
      <c r="H130" t="s">
        <v>4957</v>
      </c>
    </row>
    <row r="131" spans="1:8" x14ac:dyDescent="0.25">
      <c r="A131">
        <v>616022954</v>
      </c>
      <c r="B131" t="s">
        <v>2083</v>
      </c>
      <c r="C131" t="s">
        <v>4460</v>
      </c>
      <c r="D131">
        <v>8</v>
      </c>
      <c r="E131" t="s">
        <v>4464</v>
      </c>
      <c r="F131" t="s">
        <v>2082</v>
      </c>
      <c r="G131" t="s">
        <v>5572</v>
      </c>
      <c r="H131" t="s">
        <v>4957</v>
      </c>
    </row>
    <row r="132" spans="1:8" x14ac:dyDescent="0.25">
      <c r="A132">
        <v>616022997</v>
      </c>
      <c r="B132" t="s">
        <v>206</v>
      </c>
      <c r="C132" t="s">
        <v>4487</v>
      </c>
      <c r="D132">
        <v>9</v>
      </c>
      <c r="E132" t="s">
        <v>4445</v>
      </c>
      <c r="F132" t="s">
        <v>1938</v>
      </c>
      <c r="G132" t="s">
        <v>5572</v>
      </c>
      <c r="H132" t="s">
        <v>4957</v>
      </c>
    </row>
    <row r="133" spans="1:8" x14ac:dyDescent="0.25">
      <c r="A133" t="s">
        <v>640</v>
      </c>
      <c r="B133" t="s">
        <v>641</v>
      </c>
      <c r="C133" t="s">
        <v>4488</v>
      </c>
      <c r="D133">
        <v>10</v>
      </c>
      <c r="E133" t="s">
        <v>4445</v>
      </c>
      <c r="F133" t="s">
        <v>1262</v>
      </c>
      <c r="G133" t="s">
        <v>5572</v>
      </c>
      <c r="H133" t="s">
        <v>4957</v>
      </c>
    </row>
    <row r="134" spans="1:8" x14ac:dyDescent="0.25">
      <c r="A134">
        <v>616023128</v>
      </c>
      <c r="B134" t="s">
        <v>889</v>
      </c>
      <c r="C134" t="s">
        <v>4236</v>
      </c>
      <c r="D134">
        <v>10</v>
      </c>
      <c r="E134" t="s">
        <v>4445</v>
      </c>
      <c r="F134" t="s">
        <v>1185</v>
      </c>
      <c r="G134" t="s">
        <v>5572</v>
      </c>
      <c r="H134" t="s">
        <v>4957</v>
      </c>
    </row>
    <row r="135" spans="1:8" x14ac:dyDescent="0.25">
      <c r="A135">
        <v>616060007</v>
      </c>
      <c r="B135" t="s">
        <v>5673</v>
      </c>
      <c r="C135" t="s">
        <v>4181</v>
      </c>
      <c r="D135">
        <v>15</v>
      </c>
      <c r="E135" t="s">
        <v>4445</v>
      </c>
      <c r="F135" t="s">
        <v>5183</v>
      </c>
      <c r="G135" t="s">
        <v>5571</v>
      </c>
      <c r="H135" t="s">
        <v>4957</v>
      </c>
    </row>
    <row r="136" spans="1:8" x14ac:dyDescent="0.25">
      <c r="A136">
        <v>616060015</v>
      </c>
      <c r="B136" t="s">
        <v>2467</v>
      </c>
      <c r="C136" t="s">
        <v>4181</v>
      </c>
      <c r="D136">
        <v>15</v>
      </c>
      <c r="E136" t="s">
        <v>4445</v>
      </c>
      <c r="F136" t="s">
        <v>2466</v>
      </c>
      <c r="G136" t="s">
        <v>5571</v>
      </c>
      <c r="H136" t="s">
        <v>4957</v>
      </c>
    </row>
    <row r="137" spans="1:8" x14ac:dyDescent="0.25">
      <c r="A137">
        <v>616061003</v>
      </c>
      <c r="B137" t="s">
        <v>771</v>
      </c>
      <c r="C137" t="s">
        <v>4186</v>
      </c>
      <c r="D137">
        <v>1</v>
      </c>
      <c r="E137" t="s">
        <v>4453</v>
      </c>
      <c r="F137" t="s">
        <v>2303</v>
      </c>
      <c r="G137" t="s">
        <v>5571</v>
      </c>
      <c r="H137" t="s">
        <v>4957</v>
      </c>
    </row>
    <row r="138" spans="1:8" x14ac:dyDescent="0.25">
      <c r="A138" t="s">
        <v>642</v>
      </c>
      <c r="B138" t="s">
        <v>2331</v>
      </c>
      <c r="C138" t="s">
        <v>4182</v>
      </c>
      <c r="D138">
        <v>2</v>
      </c>
      <c r="E138" t="s">
        <v>4445</v>
      </c>
      <c r="F138" t="s">
        <v>2330</v>
      </c>
      <c r="G138" t="s">
        <v>5571</v>
      </c>
      <c r="H138" t="s">
        <v>4957</v>
      </c>
    </row>
    <row r="139" spans="1:8" x14ac:dyDescent="0.25">
      <c r="A139">
        <v>616062018</v>
      </c>
      <c r="B139" t="s">
        <v>207</v>
      </c>
      <c r="C139" t="s">
        <v>4182</v>
      </c>
      <c r="D139">
        <v>2</v>
      </c>
      <c r="E139" t="s">
        <v>4445</v>
      </c>
      <c r="F139" t="s">
        <v>3875</v>
      </c>
      <c r="G139" t="s">
        <v>5572</v>
      </c>
      <c r="H139" t="s">
        <v>4957</v>
      </c>
    </row>
    <row r="140" spans="1:8" x14ac:dyDescent="0.25">
      <c r="A140">
        <v>616062026</v>
      </c>
      <c r="B140" t="s">
        <v>208</v>
      </c>
      <c r="C140" t="s">
        <v>4237</v>
      </c>
      <c r="D140">
        <v>2</v>
      </c>
      <c r="E140" t="s">
        <v>4445</v>
      </c>
      <c r="F140" t="s">
        <v>3731</v>
      </c>
      <c r="G140" t="s">
        <v>5572</v>
      </c>
      <c r="H140" t="s">
        <v>4957</v>
      </c>
    </row>
    <row r="141" spans="1:8" x14ac:dyDescent="0.25">
      <c r="A141">
        <v>616062034</v>
      </c>
      <c r="B141" t="s">
        <v>209</v>
      </c>
      <c r="C141" t="s">
        <v>4238</v>
      </c>
      <c r="D141">
        <v>2</v>
      </c>
      <c r="E141" t="s">
        <v>4445</v>
      </c>
      <c r="F141" t="s">
        <v>2512</v>
      </c>
      <c r="G141" t="s">
        <v>5572</v>
      </c>
      <c r="H141" t="s">
        <v>4957</v>
      </c>
    </row>
    <row r="142" spans="1:8" x14ac:dyDescent="0.25">
      <c r="A142">
        <v>616062042</v>
      </c>
      <c r="B142" t="s">
        <v>210</v>
      </c>
      <c r="C142" t="s">
        <v>4239</v>
      </c>
      <c r="D142">
        <v>2</v>
      </c>
      <c r="E142" t="s">
        <v>4445</v>
      </c>
      <c r="F142" t="s">
        <v>1950</v>
      </c>
      <c r="G142" t="s">
        <v>5572</v>
      </c>
      <c r="H142" t="s">
        <v>4957</v>
      </c>
    </row>
    <row r="143" spans="1:8" x14ac:dyDescent="0.25">
      <c r="A143">
        <v>616062050</v>
      </c>
      <c r="B143" t="s">
        <v>211</v>
      </c>
      <c r="C143" t="s">
        <v>4240</v>
      </c>
      <c r="D143">
        <v>2</v>
      </c>
      <c r="E143" t="s">
        <v>4445</v>
      </c>
      <c r="F143" t="s">
        <v>2443</v>
      </c>
      <c r="G143" t="s">
        <v>5572</v>
      </c>
      <c r="H143" t="s">
        <v>4957</v>
      </c>
    </row>
    <row r="144" spans="1:8" x14ac:dyDescent="0.25">
      <c r="A144">
        <v>616063006</v>
      </c>
      <c r="B144" t="s">
        <v>772</v>
      </c>
      <c r="C144" t="s">
        <v>4466</v>
      </c>
      <c r="D144">
        <v>3</v>
      </c>
      <c r="E144" t="s">
        <v>4445</v>
      </c>
      <c r="F144" t="s">
        <v>1282</v>
      </c>
      <c r="G144" t="s">
        <v>5571</v>
      </c>
      <c r="H144" t="s">
        <v>4957</v>
      </c>
    </row>
    <row r="145" spans="1:8" x14ac:dyDescent="0.25">
      <c r="A145">
        <v>616063030</v>
      </c>
      <c r="B145" t="s">
        <v>212</v>
      </c>
      <c r="C145" t="s">
        <v>4241</v>
      </c>
      <c r="D145">
        <v>3</v>
      </c>
      <c r="E145" t="s">
        <v>4445</v>
      </c>
      <c r="F145" t="s">
        <v>2158</v>
      </c>
      <c r="G145" t="s">
        <v>5572</v>
      </c>
      <c r="H145" t="s">
        <v>4957</v>
      </c>
    </row>
    <row r="146" spans="1:8" x14ac:dyDescent="0.25">
      <c r="A146">
        <v>616063057</v>
      </c>
      <c r="B146" t="s">
        <v>213</v>
      </c>
      <c r="C146" t="s">
        <v>4242</v>
      </c>
      <c r="D146">
        <v>3</v>
      </c>
      <c r="E146" t="s">
        <v>4445</v>
      </c>
      <c r="F146" t="s">
        <v>3068</v>
      </c>
      <c r="G146" t="s">
        <v>5572</v>
      </c>
      <c r="H146" t="s">
        <v>4957</v>
      </c>
    </row>
    <row r="147" spans="1:8" x14ac:dyDescent="0.25">
      <c r="A147">
        <v>616063065</v>
      </c>
      <c r="B147" t="s">
        <v>214</v>
      </c>
      <c r="C147" t="s">
        <v>4243</v>
      </c>
      <c r="D147">
        <v>3</v>
      </c>
      <c r="E147" t="s">
        <v>4445</v>
      </c>
      <c r="F147" t="s">
        <v>3199</v>
      </c>
      <c r="G147" t="s">
        <v>5572</v>
      </c>
      <c r="H147" t="s">
        <v>4957</v>
      </c>
    </row>
    <row r="148" spans="1:8" x14ac:dyDescent="0.25">
      <c r="A148">
        <v>616063073</v>
      </c>
      <c r="B148" t="s">
        <v>215</v>
      </c>
      <c r="C148" t="s">
        <v>4466</v>
      </c>
      <c r="D148">
        <v>3</v>
      </c>
      <c r="E148" t="s">
        <v>4445</v>
      </c>
      <c r="F148" t="s">
        <v>4158</v>
      </c>
      <c r="G148" t="s">
        <v>5572</v>
      </c>
      <c r="H148" t="s">
        <v>4957</v>
      </c>
    </row>
    <row r="149" spans="1:8" x14ac:dyDescent="0.25">
      <c r="A149" t="s">
        <v>643</v>
      </c>
      <c r="B149" t="s">
        <v>644</v>
      </c>
      <c r="C149" t="s">
        <v>4396</v>
      </c>
      <c r="D149">
        <v>3</v>
      </c>
      <c r="E149" t="s">
        <v>4445</v>
      </c>
      <c r="F149" t="s">
        <v>4155</v>
      </c>
      <c r="G149" t="s">
        <v>5572</v>
      </c>
      <c r="H149" t="s">
        <v>4957</v>
      </c>
    </row>
    <row r="150" spans="1:8" x14ac:dyDescent="0.25">
      <c r="A150">
        <v>616064002</v>
      </c>
      <c r="B150" t="s">
        <v>216</v>
      </c>
      <c r="C150" t="s">
        <v>4171</v>
      </c>
      <c r="D150">
        <v>4</v>
      </c>
      <c r="E150" t="s">
        <v>4445</v>
      </c>
      <c r="F150" t="s">
        <v>1316</v>
      </c>
      <c r="G150" t="s">
        <v>5571</v>
      </c>
      <c r="H150" t="s">
        <v>4957</v>
      </c>
    </row>
    <row r="151" spans="1:8" x14ac:dyDescent="0.25">
      <c r="A151">
        <v>616064010</v>
      </c>
      <c r="B151" t="s">
        <v>3071</v>
      </c>
      <c r="C151" t="s">
        <v>4244</v>
      </c>
      <c r="D151">
        <v>4</v>
      </c>
      <c r="E151" t="s">
        <v>4445</v>
      </c>
      <c r="F151" t="s">
        <v>3070</v>
      </c>
      <c r="G151" t="s">
        <v>5572</v>
      </c>
      <c r="H151" t="s">
        <v>4957</v>
      </c>
    </row>
    <row r="152" spans="1:8" x14ac:dyDescent="0.25">
      <c r="A152">
        <v>616064029</v>
      </c>
      <c r="B152" t="s">
        <v>32</v>
      </c>
      <c r="C152" t="s">
        <v>4171</v>
      </c>
      <c r="D152">
        <v>4</v>
      </c>
      <c r="E152" t="s">
        <v>2372</v>
      </c>
      <c r="F152" t="s">
        <v>1339</v>
      </c>
      <c r="G152" t="s">
        <v>5572</v>
      </c>
      <c r="H152" t="s">
        <v>4957</v>
      </c>
    </row>
    <row r="153" spans="1:8" x14ac:dyDescent="0.25">
      <c r="A153">
        <v>616064037</v>
      </c>
      <c r="B153" t="s">
        <v>33</v>
      </c>
      <c r="C153" t="s">
        <v>4245</v>
      </c>
      <c r="D153">
        <v>4</v>
      </c>
      <c r="E153" t="s">
        <v>2372</v>
      </c>
      <c r="F153" t="s">
        <v>4151</v>
      </c>
      <c r="G153" t="s">
        <v>5572</v>
      </c>
      <c r="H153" t="s">
        <v>4957</v>
      </c>
    </row>
    <row r="154" spans="1:8" x14ac:dyDescent="0.25">
      <c r="A154">
        <v>616064045</v>
      </c>
      <c r="B154" t="s">
        <v>34</v>
      </c>
      <c r="C154" t="s">
        <v>4397</v>
      </c>
      <c r="D154">
        <v>4</v>
      </c>
      <c r="E154" t="s">
        <v>2372</v>
      </c>
      <c r="F154" t="s">
        <v>1391</v>
      </c>
      <c r="G154" t="s">
        <v>5572</v>
      </c>
      <c r="H154" t="s">
        <v>4957</v>
      </c>
    </row>
    <row r="155" spans="1:8" x14ac:dyDescent="0.25">
      <c r="A155">
        <v>616064053</v>
      </c>
      <c r="B155" t="s">
        <v>218</v>
      </c>
      <c r="C155" t="s">
        <v>4246</v>
      </c>
      <c r="D155">
        <v>4</v>
      </c>
      <c r="E155" t="s">
        <v>4445</v>
      </c>
      <c r="F155" t="s">
        <v>1575</v>
      </c>
      <c r="G155" t="s">
        <v>5572</v>
      </c>
      <c r="H155" t="s">
        <v>4957</v>
      </c>
    </row>
    <row r="156" spans="1:8" x14ac:dyDescent="0.25">
      <c r="A156">
        <v>616064061</v>
      </c>
      <c r="B156" t="s">
        <v>219</v>
      </c>
      <c r="C156" t="s">
        <v>4489</v>
      </c>
      <c r="D156">
        <v>4</v>
      </c>
      <c r="E156" t="s">
        <v>4445</v>
      </c>
      <c r="F156" t="s">
        <v>1304</v>
      </c>
      <c r="G156" t="s">
        <v>5572</v>
      </c>
      <c r="H156" t="s">
        <v>4957</v>
      </c>
    </row>
    <row r="157" spans="1:8" x14ac:dyDescent="0.25">
      <c r="A157" t="s">
        <v>645</v>
      </c>
      <c r="B157" t="s">
        <v>646</v>
      </c>
      <c r="C157" t="s">
        <v>4398</v>
      </c>
      <c r="D157">
        <v>4</v>
      </c>
      <c r="E157" t="s">
        <v>4445</v>
      </c>
      <c r="F157" t="s">
        <v>1232</v>
      </c>
      <c r="G157" t="s">
        <v>5572</v>
      </c>
      <c r="H157" t="s">
        <v>4957</v>
      </c>
    </row>
    <row r="158" spans="1:8" x14ac:dyDescent="0.25">
      <c r="A158">
        <v>616064088</v>
      </c>
      <c r="B158" t="s">
        <v>220</v>
      </c>
      <c r="C158" t="s">
        <v>4247</v>
      </c>
      <c r="D158">
        <v>4</v>
      </c>
      <c r="E158" t="s">
        <v>4445</v>
      </c>
      <c r="F158" t="s">
        <v>3526</v>
      </c>
      <c r="G158" t="s">
        <v>5572</v>
      </c>
      <c r="H158" t="s">
        <v>4957</v>
      </c>
    </row>
    <row r="159" spans="1:8" x14ac:dyDescent="0.25">
      <c r="A159">
        <v>616064096</v>
      </c>
      <c r="B159" t="s">
        <v>221</v>
      </c>
      <c r="C159" t="s">
        <v>4248</v>
      </c>
      <c r="D159">
        <v>4</v>
      </c>
      <c r="E159" t="s">
        <v>4445</v>
      </c>
      <c r="F159" t="s">
        <v>4143</v>
      </c>
      <c r="G159" t="s">
        <v>5572</v>
      </c>
      <c r="H159" t="s">
        <v>4957</v>
      </c>
    </row>
    <row r="160" spans="1:8" x14ac:dyDescent="0.25">
      <c r="A160">
        <v>616065009</v>
      </c>
      <c r="B160" t="s">
        <v>35</v>
      </c>
      <c r="C160" t="s">
        <v>4459</v>
      </c>
      <c r="D160">
        <v>5</v>
      </c>
      <c r="E160" t="s">
        <v>2372</v>
      </c>
      <c r="F160" t="s">
        <v>2271</v>
      </c>
      <c r="G160" t="s">
        <v>5571</v>
      </c>
      <c r="H160" t="s">
        <v>4957</v>
      </c>
    </row>
    <row r="161" spans="1:8" x14ac:dyDescent="0.25">
      <c r="A161">
        <v>616066005</v>
      </c>
      <c r="B161" t="s">
        <v>222</v>
      </c>
      <c r="C161" t="s">
        <v>4175</v>
      </c>
      <c r="D161">
        <v>5</v>
      </c>
      <c r="E161" t="s">
        <v>2372</v>
      </c>
      <c r="F161" t="s">
        <v>3085</v>
      </c>
      <c r="G161" t="s">
        <v>5571</v>
      </c>
      <c r="H161" t="s">
        <v>4957</v>
      </c>
    </row>
    <row r="162" spans="1:8" x14ac:dyDescent="0.25">
      <c r="A162">
        <v>616066021</v>
      </c>
      <c r="B162" t="s">
        <v>36</v>
      </c>
      <c r="C162" t="s">
        <v>4175</v>
      </c>
      <c r="D162">
        <v>5</v>
      </c>
      <c r="E162" t="s">
        <v>2372</v>
      </c>
      <c r="F162" t="s">
        <v>2736</v>
      </c>
      <c r="G162" t="s">
        <v>5572</v>
      </c>
      <c r="H162" t="s">
        <v>4957</v>
      </c>
    </row>
    <row r="163" spans="1:8" x14ac:dyDescent="0.25">
      <c r="A163" t="s">
        <v>147</v>
      </c>
      <c r="B163" t="s">
        <v>760</v>
      </c>
      <c r="C163" t="s">
        <v>4313</v>
      </c>
      <c r="D163">
        <v>5</v>
      </c>
      <c r="E163" t="s">
        <v>4445</v>
      </c>
      <c r="F163" t="s">
        <v>3091</v>
      </c>
      <c r="G163" t="s">
        <v>5572</v>
      </c>
      <c r="H163" t="s">
        <v>4957</v>
      </c>
    </row>
    <row r="164" spans="1:8" x14ac:dyDescent="0.25">
      <c r="A164">
        <v>616066048</v>
      </c>
      <c r="B164" t="s">
        <v>37</v>
      </c>
      <c r="C164" t="s">
        <v>4490</v>
      </c>
      <c r="D164">
        <v>5</v>
      </c>
      <c r="E164" t="s">
        <v>2372</v>
      </c>
      <c r="F164" t="s">
        <v>1994</v>
      </c>
      <c r="G164" t="s">
        <v>5572</v>
      </c>
      <c r="H164" t="s">
        <v>4957</v>
      </c>
    </row>
    <row r="165" spans="1:8" x14ac:dyDescent="0.25">
      <c r="A165">
        <v>616066056</v>
      </c>
      <c r="B165" t="s">
        <v>38</v>
      </c>
      <c r="C165" t="s">
        <v>4250</v>
      </c>
      <c r="D165">
        <v>5</v>
      </c>
      <c r="E165" t="s">
        <v>4445</v>
      </c>
      <c r="F165" t="s">
        <v>3854</v>
      </c>
      <c r="G165" t="s">
        <v>5572</v>
      </c>
      <c r="H165" t="s">
        <v>4957</v>
      </c>
    </row>
    <row r="166" spans="1:8" x14ac:dyDescent="0.25">
      <c r="A166">
        <v>616066064</v>
      </c>
      <c r="B166" t="s">
        <v>39</v>
      </c>
      <c r="C166" t="s">
        <v>4249</v>
      </c>
      <c r="D166">
        <v>5</v>
      </c>
      <c r="E166" t="s">
        <v>4445</v>
      </c>
      <c r="F166" t="s">
        <v>3779</v>
      </c>
      <c r="G166" t="s">
        <v>5572</v>
      </c>
      <c r="H166" t="s">
        <v>4957</v>
      </c>
    </row>
    <row r="167" spans="1:8" x14ac:dyDescent="0.25">
      <c r="A167">
        <v>616066072</v>
      </c>
      <c r="B167" t="s">
        <v>890</v>
      </c>
      <c r="C167" t="s">
        <v>4249</v>
      </c>
      <c r="D167">
        <v>5</v>
      </c>
      <c r="E167" t="s">
        <v>4445</v>
      </c>
      <c r="F167" t="s">
        <v>1320</v>
      </c>
      <c r="G167" t="s">
        <v>5572</v>
      </c>
      <c r="H167" t="s">
        <v>4957</v>
      </c>
    </row>
    <row r="168" spans="1:8" x14ac:dyDescent="0.25">
      <c r="A168">
        <v>616066080</v>
      </c>
      <c r="B168" t="s">
        <v>40</v>
      </c>
      <c r="C168" t="s">
        <v>4251</v>
      </c>
      <c r="D168">
        <v>5</v>
      </c>
      <c r="E168" t="s">
        <v>2372</v>
      </c>
      <c r="F168" t="s">
        <v>2126</v>
      </c>
      <c r="G168" t="s">
        <v>5572</v>
      </c>
      <c r="H168" t="s">
        <v>4957</v>
      </c>
    </row>
    <row r="169" spans="1:8" x14ac:dyDescent="0.25">
      <c r="A169">
        <v>616066099</v>
      </c>
      <c r="B169" t="s">
        <v>41</v>
      </c>
      <c r="C169" t="s">
        <v>4252</v>
      </c>
      <c r="D169">
        <v>5</v>
      </c>
      <c r="E169" t="s">
        <v>4445</v>
      </c>
      <c r="F169" t="s">
        <v>1324</v>
      </c>
      <c r="G169" t="s">
        <v>5572</v>
      </c>
      <c r="H169" t="s">
        <v>4957</v>
      </c>
    </row>
    <row r="170" spans="1:8" x14ac:dyDescent="0.25">
      <c r="A170">
        <v>616066102</v>
      </c>
      <c r="B170" t="s">
        <v>223</v>
      </c>
      <c r="C170" t="s">
        <v>4253</v>
      </c>
      <c r="D170">
        <v>5</v>
      </c>
      <c r="E170" t="s">
        <v>4445</v>
      </c>
      <c r="F170" t="s">
        <v>3192</v>
      </c>
      <c r="G170" t="s">
        <v>5572</v>
      </c>
      <c r="H170" t="s">
        <v>4957</v>
      </c>
    </row>
    <row r="171" spans="1:8" x14ac:dyDescent="0.25">
      <c r="A171">
        <v>616066110</v>
      </c>
      <c r="B171" t="s">
        <v>42</v>
      </c>
      <c r="C171" t="s">
        <v>4305</v>
      </c>
      <c r="D171">
        <v>5</v>
      </c>
      <c r="E171" t="s">
        <v>4445</v>
      </c>
      <c r="F171" t="s">
        <v>1328</v>
      </c>
      <c r="G171" t="s">
        <v>5572</v>
      </c>
      <c r="H171" t="s">
        <v>4957</v>
      </c>
    </row>
    <row r="172" spans="1:8" x14ac:dyDescent="0.25">
      <c r="A172">
        <v>616066129</v>
      </c>
      <c r="B172" t="s">
        <v>773</v>
      </c>
      <c r="C172" t="s">
        <v>4255</v>
      </c>
      <c r="D172">
        <v>5</v>
      </c>
      <c r="E172" t="s">
        <v>4445</v>
      </c>
      <c r="F172" t="s">
        <v>1514</v>
      </c>
      <c r="G172" t="s">
        <v>5572</v>
      </c>
      <c r="H172" t="s">
        <v>4957</v>
      </c>
    </row>
    <row r="173" spans="1:8" x14ac:dyDescent="0.25">
      <c r="A173">
        <v>616067001</v>
      </c>
      <c r="B173" t="s">
        <v>1332</v>
      </c>
      <c r="C173" t="s">
        <v>4174</v>
      </c>
      <c r="D173">
        <v>5</v>
      </c>
      <c r="E173" t="s">
        <v>4445</v>
      </c>
      <c r="F173" t="s">
        <v>1331</v>
      </c>
      <c r="G173" t="s">
        <v>5571</v>
      </c>
      <c r="H173" t="s">
        <v>4957</v>
      </c>
    </row>
    <row r="174" spans="1:8" x14ac:dyDescent="0.25">
      <c r="A174">
        <v>616067036</v>
      </c>
      <c r="B174" t="s">
        <v>774</v>
      </c>
      <c r="C174" t="s">
        <v>4256</v>
      </c>
      <c r="D174">
        <v>5</v>
      </c>
      <c r="E174" t="s">
        <v>4445</v>
      </c>
      <c r="F174" t="s">
        <v>1731</v>
      </c>
      <c r="G174" t="s">
        <v>5572</v>
      </c>
      <c r="H174" t="s">
        <v>4957</v>
      </c>
    </row>
    <row r="175" spans="1:8" x14ac:dyDescent="0.25">
      <c r="A175">
        <v>616068008</v>
      </c>
      <c r="B175" t="s">
        <v>224</v>
      </c>
      <c r="C175" t="s">
        <v>4178</v>
      </c>
      <c r="D175">
        <v>6</v>
      </c>
      <c r="E175" t="s">
        <v>4445</v>
      </c>
      <c r="F175" t="s">
        <v>1335</v>
      </c>
      <c r="G175" t="s">
        <v>5571</v>
      </c>
      <c r="H175" t="s">
        <v>4957</v>
      </c>
    </row>
    <row r="176" spans="1:8" x14ac:dyDescent="0.25">
      <c r="A176">
        <v>616069004</v>
      </c>
      <c r="B176" t="s">
        <v>225</v>
      </c>
      <c r="C176" t="s">
        <v>4257</v>
      </c>
      <c r="D176">
        <v>7</v>
      </c>
      <c r="E176" t="s">
        <v>4445</v>
      </c>
      <c r="F176" t="s">
        <v>1337</v>
      </c>
      <c r="G176" t="s">
        <v>5571</v>
      </c>
      <c r="H176" t="s">
        <v>4957</v>
      </c>
    </row>
    <row r="177" spans="1:8" x14ac:dyDescent="0.25">
      <c r="A177">
        <v>616069012</v>
      </c>
      <c r="B177" t="s">
        <v>226</v>
      </c>
      <c r="C177" t="s">
        <v>4257</v>
      </c>
      <c r="D177">
        <v>7</v>
      </c>
      <c r="E177" t="s">
        <v>5729</v>
      </c>
      <c r="F177" t="s">
        <v>2255</v>
      </c>
      <c r="G177" t="s">
        <v>5572</v>
      </c>
      <c r="H177" t="s">
        <v>4957</v>
      </c>
    </row>
    <row r="178" spans="1:8" x14ac:dyDescent="0.25">
      <c r="A178">
        <v>616069039</v>
      </c>
      <c r="B178" t="s">
        <v>775</v>
      </c>
      <c r="C178" t="s">
        <v>4491</v>
      </c>
      <c r="D178">
        <v>7</v>
      </c>
      <c r="E178" t="s">
        <v>5729</v>
      </c>
      <c r="F178" t="s">
        <v>2206</v>
      </c>
      <c r="G178" t="s">
        <v>5572</v>
      </c>
      <c r="H178" t="s">
        <v>4957</v>
      </c>
    </row>
    <row r="179" spans="1:8" x14ac:dyDescent="0.25">
      <c r="A179">
        <v>616069055</v>
      </c>
      <c r="B179" t="s">
        <v>227</v>
      </c>
      <c r="C179" t="s">
        <v>4492</v>
      </c>
      <c r="D179">
        <v>7</v>
      </c>
      <c r="E179" t="s">
        <v>4445</v>
      </c>
      <c r="F179" t="s">
        <v>1344</v>
      </c>
      <c r="G179" t="s">
        <v>5572</v>
      </c>
      <c r="H179" t="s">
        <v>4957</v>
      </c>
    </row>
    <row r="180" spans="1:8" x14ac:dyDescent="0.25">
      <c r="A180">
        <v>616069063</v>
      </c>
      <c r="B180" t="s">
        <v>228</v>
      </c>
      <c r="C180" t="s">
        <v>4493</v>
      </c>
      <c r="D180">
        <v>7</v>
      </c>
      <c r="E180" t="s">
        <v>4445</v>
      </c>
      <c r="F180" t="s">
        <v>3897</v>
      </c>
      <c r="G180" t="s">
        <v>5572</v>
      </c>
      <c r="H180" t="s">
        <v>4957</v>
      </c>
    </row>
    <row r="181" spans="1:8" x14ac:dyDescent="0.25">
      <c r="A181">
        <v>616069071</v>
      </c>
      <c r="B181" t="s">
        <v>229</v>
      </c>
      <c r="C181" t="s">
        <v>4258</v>
      </c>
      <c r="D181">
        <v>7</v>
      </c>
      <c r="E181" t="s">
        <v>4445</v>
      </c>
      <c r="F181" t="s">
        <v>1875</v>
      </c>
      <c r="G181" t="s">
        <v>5572</v>
      </c>
      <c r="H181" t="s">
        <v>4957</v>
      </c>
    </row>
    <row r="182" spans="1:8" x14ac:dyDescent="0.25">
      <c r="A182" t="s">
        <v>647</v>
      </c>
      <c r="B182" t="s">
        <v>648</v>
      </c>
      <c r="C182" t="s">
        <v>4260</v>
      </c>
      <c r="D182">
        <v>7</v>
      </c>
      <c r="E182" t="s">
        <v>4445</v>
      </c>
      <c r="F182" t="s">
        <v>2376</v>
      </c>
      <c r="G182" t="s">
        <v>5572</v>
      </c>
      <c r="H182" t="s">
        <v>4957</v>
      </c>
    </row>
    <row r="183" spans="1:8" x14ac:dyDescent="0.25">
      <c r="A183">
        <v>616069101</v>
      </c>
      <c r="B183" t="s">
        <v>230</v>
      </c>
      <c r="C183" t="s">
        <v>4261</v>
      </c>
      <c r="D183">
        <v>7</v>
      </c>
      <c r="E183" t="s">
        <v>4445</v>
      </c>
      <c r="F183" t="s">
        <v>1623</v>
      </c>
      <c r="G183" t="s">
        <v>5572</v>
      </c>
      <c r="H183" t="s">
        <v>4957</v>
      </c>
    </row>
    <row r="184" spans="1:8" x14ac:dyDescent="0.25">
      <c r="A184" t="s">
        <v>649</v>
      </c>
      <c r="B184" t="s">
        <v>650</v>
      </c>
      <c r="C184" t="s">
        <v>4494</v>
      </c>
      <c r="D184">
        <v>7</v>
      </c>
      <c r="E184" t="s">
        <v>4445</v>
      </c>
      <c r="F184" t="s">
        <v>1350</v>
      </c>
      <c r="G184" t="s">
        <v>5572</v>
      </c>
      <c r="H184" t="s">
        <v>4957</v>
      </c>
    </row>
    <row r="185" spans="1:8" x14ac:dyDescent="0.25">
      <c r="A185">
        <v>616069128</v>
      </c>
      <c r="B185" t="s">
        <v>231</v>
      </c>
      <c r="C185" t="s">
        <v>4262</v>
      </c>
      <c r="D185">
        <v>7</v>
      </c>
      <c r="E185" t="s">
        <v>4445</v>
      </c>
      <c r="F185" t="s">
        <v>1729</v>
      </c>
      <c r="G185" t="s">
        <v>5572</v>
      </c>
      <c r="H185" t="s">
        <v>4957</v>
      </c>
    </row>
    <row r="186" spans="1:8" x14ac:dyDescent="0.25">
      <c r="A186">
        <v>616069136</v>
      </c>
      <c r="B186" t="s">
        <v>776</v>
      </c>
      <c r="C186" t="s">
        <v>4341</v>
      </c>
      <c r="D186">
        <v>7</v>
      </c>
      <c r="E186" t="s">
        <v>4445</v>
      </c>
      <c r="F186" t="s">
        <v>3800</v>
      </c>
      <c r="G186" t="s">
        <v>5572</v>
      </c>
      <c r="H186" t="s">
        <v>4957</v>
      </c>
    </row>
    <row r="187" spans="1:8" x14ac:dyDescent="0.25">
      <c r="A187">
        <v>616069152</v>
      </c>
      <c r="B187" t="s">
        <v>232</v>
      </c>
      <c r="C187" t="s">
        <v>4263</v>
      </c>
      <c r="D187">
        <v>7</v>
      </c>
      <c r="E187" t="s">
        <v>4445</v>
      </c>
      <c r="F187" t="s">
        <v>1355</v>
      </c>
      <c r="G187" t="s">
        <v>5572</v>
      </c>
      <c r="H187" t="s">
        <v>4957</v>
      </c>
    </row>
    <row r="188" spans="1:8" x14ac:dyDescent="0.25">
      <c r="A188">
        <v>616069179</v>
      </c>
      <c r="B188" t="s">
        <v>233</v>
      </c>
      <c r="C188" t="s">
        <v>4264</v>
      </c>
      <c r="D188">
        <v>7</v>
      </c>
      <c r="E188" t="s">
        <v>5729</v>
      </c>
      <c r="F188" t="s">
        <v>1946</v>
      </c>
      <c r="G188" t="s">
        <v>5572</v>
      </c>
      <c r="H188" t="s">
        <v>4957</v>
      </c>
    </row>
    <row r="189" spans="1:8" x14ac:dyDescent="0.25">
      <c r="A189">
        <v>616069187</v>
      </c>
      <c r="B189" t="s">
        <v>777</v>
      </c>
      <c r="C189" t="s">
        <v>4266</v>
      </c>
      <c r="D189">
        <v>7</v>
      </c>
      <c r="E189" t="s">
        <v>4445</v>
      </c>
      <c r="F189" t="s">
        <v>2504</v>
      </c>
      <c r="G189" t="s">
        <v>5572</v>
      </c>
      <c r="H189" t="s">
        <v>4957</v>
      </c>
    </row>
    <row r="190" spans="1:8" x14ac:dyDescent="0.25">
      <c r="A190">
        <v>616070002</v>
      </c>
      <c r="B190" t="s">
        <v>234</v>
      </c>
      <c r="C190" t="s">
        <v>4495</v>
      </c>
      <c r="D190">
        <v>16</v>
      </c>
      <c r="E190" t="s">
        <v>4445</v>
      </c>
      <c r="F190" t="s">
        <v>3107</v>
      </c>
      <c r="G190" t="s">
        <v>5571</v>
      </c>
      <c r="H190" t="s">
        <v>4957</v>
      </c>
    </row>
    <row r="191" spans="1:8" x14ac:dyDescent="0.25">
      <c r="A191">
        <v>616070010</v>
      </c>
      <c r="B191" t="s">
        <v>43</v>
      </c>
      <c r="C191" t="s">
        <v>4495</v>
      </c>
      <c r="D191">
        <v>16</v>
      </c>
      <c r="E191" t="s">
        <v>4464</v>
      </c>
      <c r="F191" t="s">
        <v>3856</v>
      </c>
      <c r="G191" t="s">
        <v>5572</v>
      </c>
      <c r="H191" t="s">
        <v>4957</v>
      </c>
    </row>
    <row r="192" spans="1:8" x14ac:dyDescent="0.25">
      <c r="A192">
        <v>616070029</v>
      </c>
      <c r="B192" t="s">
        <v>44</v>
      </c>
      <c r="C192" t="s">
        <v>4345</v>
      </c>
      <c r="D192">
        <v>16</v>
      </c>
      <c r="E192" t="s">
        <v>4464</v>
      </c>
      <c r="F192" t="s">
        <v>3753</v>
      </c>
      <c r="G192" t="s">
        <v>5572</v>
      </c>
      <c r="H192" t="s">
        <v>4957</v>
      </c>
    </row>
    <row r="193" spans="1:8" x14ac:dyDescent="0.25">
      <c r="A193">
        <v>616070037</v>
      </c>
      <c r="B193" t="s">
        <v>235</v>
      </c>
      <c r="C193" t="s">
        <v>4267</v>
      </c>
      <c r="D193">
        <v>16</v>
      </c>
      <c r="E193" t="s">
        <v>4445</v>
      </c>
      <c r="F193" t="s">
        <v>1972</v>
      </c>
      <c r="G193" t="s">
        <v>5572</v>
      </c>
      <c r="H193" t="s">
        <v>4957</v>
      </c>
    </row>
    <row r="194" spans="1:8" x14ac:dyDescent="0.25">
      <c r="A194">
        <v>616070045</v>
      </c>
      <c r="B194" t="s">
        <v>236</v>
      </c>
      <c r="C194" t="s">
        <v>4268</v>
      </c>
      <c r="D194">
        <v>16</v>
      </c>
      <c r="E194" t="s">
        <v>4445</v>
      </c>
      <c r="F194" t="s">
        <v>1639</v>
      </c>
      <c r="G194" t="s">
        <v>5572</v>
      </c>
      <c r="H194" t="s">
        <v>4957</v>
      </c>
    </row>
    <row r="195" spans="1:8" x14ac:dyDescent="0.25">
      <c r="A195">
        <v>616070053</v>
      </c>
      <c r="B195" t="s">
        <v>778</v>
      </c>
      <c r="C195" t="s">
        <v>4269</v>
      </c>
      <c r="D195">
        <v>16</v>
      </c>
      <c r="E195" t="s">
        <v>4445</v>
      </c>
      <c r="F195" t="s">
        <v>2250</v>
      </c>
      <c r="G195" t="s">
        <v>5572</v>
      </c>
      <c r="H195" t="s">
        <v>4957</v>
      </c>
    </row>
    <row r="196" spans="1:8" x14ac:dyDescent="0.25">
      <c r="A196">
        <v>616070061</v>
      </c>
      <c r="B196" t="s">
        <v>237</v>
      </c>
      <c r="C196" t="s">
        <v>4270</v>
      </c>
      <c r="D196">
        <v>16</v>
      </c>
      <c r="E196" t="s">
        <v>4445</v>
      </c>
      <c r="F196" t="s">
        <v>1373</v>
      </c>
      <c r="G196" t="s">
        <v>5571</v>
      </c>
      <c r="H196" t="s">
        <v>4957</v>
      </c>
    </row>
    <row r="197" spans="1:8" x14ac:dyDescent="0.25">
      <c r="A197">
        <v>616071009</v>
      </c>
      <c r="B197" t="s">
        <v>238</v>
      </c>
      <c r="C197" t="s">
        <v>4460</v>
      </c>
      <c r="D197">
        <v>8</v>
      </c>
      <c r="E197" t="s">
        <v>4445</v>
      </c>
      <c r="F197" t="s">
        <v>1377</v>
      </c>
      <c r="G197" t="s">
        <v>5571</v>
      </c>
      <c r="H197" t="s">
        <v>4957</v>
      </c>
    </row>
    <row r="198" spans="1:8" x14ac:dyDescent="0.25">
      <c r="A198">
        <v>616071033</v>
      </c>
      <c r="B198" t="s">
        <v>239</v>
      </c>
      <c r="C198" t="s">
        <v>4271</v>
      </c>
      <c r="D198">
        <v>8</v>
      </c>
      <c r="E198" t="s">
        <v>4445</v>
      </c>
      <c r="F198" t="s">
        <v>2195</v>
      </c>
      <c r="G198" t="s">
        <v>5572</v>
      </c>
      <c r="H198" t="s">
        <v>4957</v>
      </c>
    </row>
    <row r="199" spans="1:8" x14ac:dyDescent="0.25">
      <c r="A199">
        <v>616071041</v>
      </c>
      <c r="B199" t="s">
        <v>45</v>
      </c>
      <c r="C199" t="s">
        <v>4460</v>
      </c>
      <c r="D199">
        <v>8</v>
      </c>
      <c r="E199" t="s">
        <v>4464</v>
      </c>
      <c r="F199" t="s">
        <v>1381</v>
      </c>
      <c r="G199" t="s">
        <v>5572</v>
      </c>
      <c r="H199" t="s">
        <v>4957</v>
      </c>
    </row>
    <row r="200" spans="1:8" x14ac:dyDescent="0.25">
      <c r="A200">
        <v>616072005</v>
      </c>
      <c r="B200" t="s">
        <v>240</v>
      </c>
      <c r="C200" t="s">
        <v>4184</v>
      </c>
      <c r="D200">
        <v>8</v>
      </c>
      <c r="E200" t="s">
        <v>4445</v>
      </c>
      <c r="F200" t="s">
        <v>4162</v>
      </c>
      <c r="G200" t="s">
        <v>5571</v>
      </c>
      <c r="H200" t="s">
        <v>4957</v>
      </c>
    </row>
    <row r="201" spans="1:8" x14ac:dyDescent="0.25">
      <c r="A201">
        <v>616072013</v>
      </c>
      <c r="B201" t="s">
        <v>46</v>
      </c>
      <c r="C201" t="s">
        <v>4496</v>
      </c>
      <c r="D201">
        <v>8</v>
      </c>
      <c r="E201" t="s">
        <v>4464</v>
      </c>
      <c r="F201" t="s">
        <v>1672</v>
      </c>
      <c r="G201" t="s">
        <v>5572</v>
      </c>
      <c r="H201" t="s">
        <v>4957</v>
      </c>
    </row>
    <row r="202" spans="1:8" x14ac:dyDescent="0.25">
      <c r="A202">
        <v>616072021</v>
      </c>
      <c r="B202" t="s">
        <v>47</v>
      </c>
      <c r="C202" t="s">
        <v>4183</v>
      </c>
      <c r="D202">
        <v>8</v>
      </c>
      <c r="E202" t="s">
        <v>4464</v>
      </c>
      <c r="F202" t="s">
        <v>3902</v>
      </c>
      <c r="G202" t="s">
        <v>5572</v>
      </c>
      <c r="H202" t="s">
        <v>4957</v>
      </c>
    </row>
    <row r="203" spans="1:8" x14ac:dyDescent="0.25">
      <c r="A203" t="s">
        <v>148</v>
      </c>
      <c r="B203" t="s">
        <v>149</v>
      </c>
      <c r="C203" t="s">
        <v>4497</v>
      </c>
      <c r="D203">
        <v>8</v>
      </c>
      <c r="E203" t="s">
        <v>4464</v>
      </c>
      <c r="F203" t="s">
        <v>3880</v>
      </c>
      <c r="G203" t="s">
        <v>5572</v>
      </c>
      <c r="H203" t="s">
        <v>4957</v>
      </c>
    </row>
    <row r="204" spans="1:8" x14ac:dyDescent="0.25">
      <c r="A204">
        <v>616073028</v>
      </c>
      <c r="B204" t="s">
        <v>241</v>
      </c>
      <c r="C204" t="s">
        <v>4498</v>
      </c>
      <c r="D204">
        <v>8</v>
      </c>
      <c r="E204" t="s">
        <v>4445</v>
      </c>
      <c r="F204" t="s">
        <v>2102</v>
      </c>
      <c r="G204" t="s">
        <v>5572</v>
      </c>
      <c r="H204" t="s">
        <v>4957</v>
      </c>
    </row>
    <row r="205" spans="1:8" x14ac:dyDescent="0.25">
      <c r="A205">
        <v>616073044</v>
      </c>
      <c r="B205" t="s">
        <v>891</v>
      </c>
      <c r="C205" t="s">
        <v>4499</v>
      </c>
      <c r="D205">
        <v>8</v>
      </c>
      <c r="E205" t="s">
        <v>4445</v>
      </c>
      <c r="F205" t="s">
        <v>1392</v>
      </c>
      <c r="G205" t="s">
        <v>5572</v>
      </c>
      <c r="H205" t="s">
        <v>4957</v>
      </c>
    </row>
    <row r="206" spans="1:8" x14ac:dyDescent="0.25">
      <c r="A206">
        <v>616073052</v>
      </c>
      <c r="B206" t="s">
        <v>242</v>
      </c>
      <c r="C206" t="s">
        <v>4347</v>
      </c>
      <c r="D206">
        <v>8</v>
      </c>
      <c r="E206" t="s">
        <v>4445</v>
      </c>
      <c r="F206" t="s">
        <v>1394</v>
      </c>
      <c r="G206" t="s">
        <v>5572</v>
      </c>
      <c r="H206" t="s">
        <v>4957</v>
      </c>
    </row>
    <row r="207" spans="1:8" x14ac:dyDescent="0.25">
      <c r="A207">
        <v>616073060</v>
      </c>
      <c r="B207" t="s">
        <v>243</v>
      </c>
      <c r="C207" t="s">
        <v>4274</v>
      </c>
      <c r="D207">
        <v>8</v>
      </c>
      <c r="E207" t="s">
        <v>4445</v>
      </c>
      <c r="F207" t="s">
        <v>1389</v>
      </c>
      <c r="G207" t="s">
        <v>5572</v>
      </c>
      <c r="H207" t="s">
        <v>4957</v>
      </c>
    </row>
    <row r="208" spans="1:8" x14ac:dyDescent="0.25">
      <c r="A208">
        <v>616073079</v>
      </c>
      <c r="B208" t="s">
        <v>244</v>
      </c>
      <c r="C208" t="s">
        <v>4275</v>
      </c>
      <c r="D208">
        <v>8</v>
      </c>
      <c r="E208" t="s">
        <v>4445</v>
      </c>
      <c r="F208" t="s">
        <v>1544</v>
      </c>
      <c r="G208" t="s">
        <v>5572</v>
      </c>
      <c r="H208" t="s">
        <v>4957</v>
      </c>
    </row>
    <row r="209" spans="1:8" x14ac:dyDescent="0.25">
      <c r="A209">
        <v>616074016</v>
      </c>
      <c r="B209" t="s">
        <v>48</v>
      </c>
      <c r="C209" t="s">
        <v>4364</v>
      </c>
      <c r="D209">
        <v>9</v>
      </c>
      <c r="E209" t="s">
        <v>4454</v>
      </c>
      <c r="F209" t="s">
        <v>3754</v>
      </c>
      <c r="G209" t="s">
        <v>5572</v>
      </c>
      <c r="H209" t="s">
        <v>4957</v>
      </c>
    </row>
    <row r="210" spans="1:8" x14ac:dyDescent="0.25">
      <c r="A210">
        <v>616074024</v>
      </c>
      <c r="B210" t="s">
        <v>245</v>
      </c>
      <c r="C210" t="s">
        <v>4276</v>
      </c>
      <c r="D210">
        <v>9</v>
      </c>
      <c r="E210" t="s">
        <v>4445</v>
      </c>
      <c r="F210" t="s">
        <v>1398</v>
      </c>
      <c r="G210" t="s">
        <v>5572</v>
      </c>
      <c r="H210" t="s">
        <v>4957</v>
      </c>
    </row>
    <row r="211" spans="1:8" x14ac:dyDescent="0.25">
      <c r="A211">
        <v>616075004</v>
      </c>
      <c r="B211" t="s">
        <v>892</v>
      </c>
      <c r="C211" t="s">
        <v>4170</v>
      </c>
      <c r="D211">
        <v>14</v>
      </c>
      <c r="E211" t="s">
        <v>4445</v>
      </c>
      <c r="F211" t="s">
        <v>1400</v>
      </c>
      <c r="G211" t="s">
        <v>5571</v>
      </c>
      <c r="H211" t="s">
        <v>4957</v>
      </c>
    </row>
    <row r="212" spans="1:8" x14ac:dyDescent="0.25">
      <c r="A212">
        <v>616075020</v>
      </c>
      <c r="B212" t="s">
        <v>49</v>
      </c>
      <c r="C212" t="s">
        <v>4170</v>
      </c>
      <c r="D212">
        <v>14</v>
      </c>
      <c r="E212" t="s">
        <v>4454</v>
      </c>
      <c r="F212" t="s">
        <v>2643</v>
      </c>
      <c r="G212" t="s">
        <v>5572</v>
      </c>
      <c r="H212" t="s">
        <v>4957</v>
      </c>
    </row>
    <row r="213" spans="1:8" x14ac:dyDescent="0.25">
      <c r="A213">
        <v>616075039</v>
      </c>
      <c r="B213" t="s">
        <v>50</v>
      </c>
      <c r="C213" t="s">
        <v>4467</v>
      </c>
      <c r="D213">
        <v>14</v>
      </c>
      <c r="E213" t="s">
        <v>4454</v>
      </c>
      <c r="F213" t="s">
        <v>2526</v>
      </c>
      <c r="G213" t="s">
        <v>5572</v>
      </c>
      <c r="H213" t="s">
        <v>4957</v>
      </c>
    </row>
    <row r="214" spans="1:8" x14ac:dyDescent="0.25">
      <c r="A214">
        <v>616075047</v>
      </c>
      <c r="B214" t="s">
        <v>779</v>
      </c>
      <c r="C214" t="s">
        <v>4277</v>
      </c>
      <c r="D214">
        <v>14</v>
      </c>
      <c r="E214" t="s">
        <v>4445</v>
      </c>
      <c r="F214" t="s">
        <v>2319</v>
      </c>
      <c r="G214" t="s">
        <v>5572</v>
      </c>
      <c r="H214" t="s">
        <v>4957</v>
      </c>
    </row>
    <row r="215" spans="1:8" x14ac:dyDescent="0.25">
      <c r="A215">
        <v>616075055</v>
      </c>
      <c r="B215" t="s">
        <v>893</v>
      </c>
      <c r="C215" t="s">
        <v>4278</v>
      </c>
      <c r="D215">
        <v>14</v>
      </c>
      <c r="E215" t="s">
        <v>4445</v>
      </c>
      <c r="F215" t="s">
        <v>1807</v>
      </c>
      <c r="G215" t="s">
        <v>5572</v>
      </c>
      <c r="H215" t="s">
        <v>4957</v>
      </c>
    </row>
    <row r="216" spans="1:8" x14ac:dyDescent="0.25">
      <c r="A216">
        <v>616075071</v>
      </c>
      <c r="B216" t="s">
        <v>246</v>
      </c>
      <c r="C216" t="s">
        <v>4279</v>
      </c>
      <c r="D216">
        <v>14</v>
      </c>
      <c r="E216" t="s">
        <v>4445</v>
      </c>
      <c r="F216" t="s">
        <v>1410</v>
      </c>
      <c r="G216" t="s">
        <v>5572</v>
      </c>
      <c r="H216" t="s">
        <v>4957</v>
      </c>
    </row>
    <row r="217" spans="1:8" x14ac:dyDescent="0.25">
      <c r="A217" t="s">
        <v>651</v>
      </c>
      <c r="B217" t="s">
        <v>652</v>
      </c>
      <c r="C217" t="s">
        <v>4500</v>
      </c>
      <c r="D217">
        <v>14</v>
      </c>
      <c r="E217" t="s">
        <v>4445</v>
      </c>
      <c r="F217" t="s">
        <v>1886</v>
      </c>
      <c r="G217" t="s">
        <v>5572</v>
      </c>
      <c r="H217" t="s">
        <v>4957</v>
      </c>
    </row>
    <row r="218" spans="1:8" x14ac:dyDescent="0.25">
      <c r="A218">
        <v>616075098</v>
      </c>
      <c r="B218" t="s">
        <v>247</v>
      </c>
      <c r="C218" t="s">
        <v>4281</v>
      </c>
      <c r="D218">
        <v>14</v>
      </c>
      <c r="E218" t="s">
        <v>4445</v>
      </c>
      <c r="F218" t="s">
        <v>1414</v>
      </c>
      <c r="G218" t="s">
        <v>5572</v>
      </c>
      <c r="H218" t="s">
        <v>4957</v>
      </c>
    </row>
    <row r="219" spans="1:8" x14ac:dyDescent="0.25">
      <c r="A219">
        <v>616076000</v>
      </c>
      <c r="B219" t="s">
        <v>248</v>
      </c>
      <c r="C219" t="s">
        <v>4224</v>
      </c>
      <c r="D219">
        <v>10</v>
      </c>
      <c r="E219" t="s">
        <v>4445</v>
      </c>
      <c r="F219" t="s">
        <v>1416</v>
      </c>
      <c r="G219" t="s">
        <v>5571</v>
      </c>
      <c r="H219" t="s">
        <v>4957</v>
      </c>
    </row>
    <row r="220" spans="1:8" x14ac:dyDescent="0.25">
      <c r="A220">
        <v>616076027</v>
      </c>
      <c r="B220" t="s">
        <v>249</v>
      </c>
      <c r="C220" t="s">
        <v>4282</v>
      </c>
      <c r="D220">
        <v>10</v>
      </c>
      <c r="E220" t="s">
        <v>4445</v>
      </c>
      <c r="F220" t="s">
        <v>2369</v>
      </c>
      <c r="G220" t="s">
        <v>5572</v>
      </c>
      <c r="H220" t="s">
        <v>4957</v>
      </c>
    </row>
    <row r="221" spans="1:8" x14ac:dyDescent="0.25">
      <c r="A221">
        <v>616077007</v>
      </c>
      <c r="B221" t="s">
        <v>4502</v>
      </c>
      <c r="C221" t="s">
        <v>4292</v>
      </c>
      <c r="D221">
        <v>10</v>
      </c>
      <c r="E221" t="s">
        <v>4445</v>
      </c>
      <c r="F221" t="s">
        <v>4501</v>
      </c>
      <c r="G221" t="s">
        <v>5572</v>
      </c>
      <c r="H221" t="s">
        <v>4957</v>
      </c>
    </row>
    <row r="222" spans="1:8" x14ac:dyDescent="0.25">
      <c r="A222">
        <v>616078003</v>
      </c>
      <c r="B222" t="s">
        <v>958</v>
      </c>
      <c r="C222" t="s">
        <v>4232</v>
      </c>
      <c r="D222">
        <v>11</v>
      </c>
      <c r="E222" t="s">
        <v>4445</v>
      </c>
      <c r="F222" t="s">
        <v>1420</v>
      </c>
      <c r="G222" t="s">
        <v>5571</v>
      </c>
      <c r="H222" t="s">
        <v>4957</v>
      </c>
    </row>
    <row r="223" spans="1:8" x14ac:dyDescent="0.25">
      <c r="A223" t="s">
        <v>653</v>
      </c>
      <c r="B223" t="s">
        <v>654</v>
      </c>
      <c r="C223" t="s">
        <v>4185</v>
      </c>
      <c r="D223">
        <v>12</v>
      </c>
      <c r="E223" t="s">
        <v>4445</v>
      </c>
      <c r="F223" t="s">
        <v>1650</v>
      </c>
      <c r="G223" t="s">
        <v>5571</v>
      </c>
      <c r="H223" t="s">
        <v>4957</v>
      </c>
    </row>
    <row r="224" spans="1:8" x14ac:dyDescent="0.25">
      <c r="A224">
        <v>616079018</v>
      </c>
      <c r="B224" t="s">
        <v>250</v>
      </c>
      <c r="C224" t="s">
        <v>4185</v>
      </c>
      <c r="D224">
        <v>12</v>
      </c>
      <c r="E224" t="s">
        <v>4445</v>
      </c>
      <c r="F224" t="s">
        <v>3867</v>
      </c>
      <c r="G224" t="s">
        <v>5572</v>
      </c>
      <c r="H224" t="s">
        <v>4957</v>
      </c>
    </row>
    <row r="225" spans="1:8" x14ac:dyDescent="0.25">
      <c r="A225">
        <v>616079034</v>
      </c>
      <c r="B225" t="s">
        <v>251</v>
      </c>
      <c r="C225" t="s">
        <v>4283</v>
      </c>
      <c r="D225">
        <v>12</v>
      </c>
      <c r="E225" t="s">
        <v>4445</v>
      </c>
      <c r="F225" t="s">
        <v>1300</v>
      </c>
      <c r="G225" t="s">
        <v>5572</v>
      </c>
      <c r="H225" t="s">
        <v>4957</v>
      </c>
    </row>
    <row r="226" spans="1:8" x14ac:dyDescent="0.25">
      <c r="A226">
        <v>616079042</v>
      </c>
      <c r="B226" t="s">
        <v>252</v>
      </c>
      <c r="C226" t="s">
        <v>4503</v>
      </c>
      <c r="D226">
        <v>12</v>
      </c>
      <c r="E226" t="s">
        <v>4445</v>
      </c>
      <c r="F226" t="s">
        <v>2289</v>
      </c>
      <c r="G226" t="s">
        <v>5572</v>
      </c>
      <c r="H226" t="s">
        <v>4957</v>
      </c>
    </row>
    <row r="227" spans="1:8" x14ac:dyDescent="0.25">
      <c r="A227">
        <v>616080024</v>
      </c>
      <c r="B227" t="s">
        <v>51</v>
      </c>
      <c r="C227" t="s">
        <v>4458</v>
      </c>
      <c r="D227">
        <v>13</v>
      </c>
      <c r="E227" t="s">
        <v>4453</v>
      </c>
      <c r="F227" t="s">
        <v>2263</v>
      </c>
      <c r="G227" t="s">
        <v>5572</v>
      </c>
      <c r="H227" t="s">
        <v>4957</v>
      </c>
    </row>
    <row r="228" spans="1:8" x14ac:dyDescent="0.25">
      <c r="A228">
        <v>616080032</v>
      </c>
      <c r="B228" t="s">
        <v>3334</v>
      </c>
      <c r="C228" t="s">
        <v>4410</v>
      </c>
      <c r="D228">
        <v>13</v>
      </c>
      <c r="E228" t="s">
        <v>4453</v>
      </c>
      <c r="F228" t="s">
        <v>3333</v>
      </c>
      <c r="G228" t="s">
        <v>5571</v>
      </c>
      <c r="H228" t="s">
        <v>4957</v>
      </c>
    </row>
    <row r="229" spans="1:8" x14ac:dyDescent="0.25">
      <c r="A229">
        <v>616080040</v>
      </c>
      <c r="B229" t="s">
        <v>52</v>
      </c>
      <c r="C229" t="s">
        <v>4458</v>
      </c>
      <c r="D229">
        <v>13</v>
      </c>
      <c r="E229" t="s">
        <v>4453</v>
      </c>
      <c r="F229" t="s">
        <v>3143</v>
      </c>
      <c r="G229" t="s">
        <v>5572</v>
      </c>
      <c r="H229" t="s">
        <v>4957</v>
      </c>
    </row>
    <row r="230" spans="1:8" x14ac:dyDescent="0.25">
      <c r="A230">
        <v>616080067</v>
      </c>
      <c r="B230" t="s">
        <v>780</v>
      </c>
      <c r="C230" t="s">
        <v>4284</v>
      </c>
      <c r="D230">
        <v>13</v>
      </c>
      <c r="E230" t="s">
        <v>4445</v>
      </c>
      <c r="F230" t="s">
        <v>1842</v>
      </c>
      <c r="G230" t="s">
        <v>5572</v>
      </c>
      <c r="H230" t="s">
        <v>4957</v>
      </c>
    </row>
    <row r="231" spans="1:8" x14ac:dyDescent="0.25">
      <c r="A231">
        <v>616081012</v>
      </c>
      <c r="B231" t="s">
        <v>53</v>
      </c>
      <c r="C231" t="s">
        <v>4173</v>
      </c>
      <c r="D231">
        <v>13</v>
      </c>
      <c r="E231" t="s">
        <v>4453</v>
      </c>
      <c r="F231" t="s">
        <v>1264</v>
      </c>
      <c r="G231" t="s">
        <v>5572</v>
      </c>
      <c r="H231" t="s">
        <v>4957</v>
      </c>
    </row>
    <row r="232" spans="1:8" x14ac:dyDescent="0.25">
      <c r="A232">
        <v>616081020</v>
      </c>
      <c r="B232" t="s">
        <v>54</v>
      </c>
      <c r="C232" t="s">
        <v>4416</v>
      </c>
      <c r="D232">
        <v>13</v>
      </c>
      <c r="E232" t="s">
        <v>4453</v>
      </c>
      <c r="F232" t="s">
        <v>1310</v>
      </c>
      <c r="G232" t="s">
        <v>5572</v>
      </c>
      <c r="H232" t="s">
        <v>4957</v>
      </c>
    </row>
    <row r="233" spans="1:8" x14ac:dyDescent="0.25">
      <c r="A233">
        <v>616081047</v>
      </c>
      <c r="B233" t="s">
        <v>55</v>
      </c>
      <c r="C233" t="s">
        <v>4416</v>
      </c>
      <c r="D233">
        <v>13</v>
      </c>
      <c r="E233" t="s">
        <v>4453</v>
      </c>
      <c r="F233" t="s">
        <v>1441</v>
      </c>
      <c r="G233" t="s">
        <v>5571</v>
      </c>
      <c r="H233" t="s">
        <v>4957</v>
      </c>
    </row>
    <row r="234" spans="1:8" x14ac:dyDescent="0.25">
      <c r="A234">
        <v>616081055</v>
      </c>
      <c r="B234" t="s">
        <v>781</v>
      </c>
      <c r="C234" t="s">
        <v>4285</v>
      </c>
      <c r="D234">
        <v>13</v>
      </c>
      <c r="E234" t="s">
        <v>5729</v>
      </c>
      <c r="F234" t="s">
        <v>2323</v>
      </c>
      <c r="G234" t="s">
        <v>5572</v>
      </c>
      <c r="H234" t="s">
        <v>4957</v>
      </c>
    </row>
    <row r="235" spans="1:8" x14ac:dyDescent="0.25">
      <c r="A235">
        <v>616081063</v>
      </c>
      <c r="B235" t="s">
        <v>953</v>
      </c>
      <c r="C235" t="s">
        <v>4381</v>
      </c>
      <c r="D235">
        <v>13</v>
      </c>
      <c r="E235" t="s">
        <v>4445</v>
      </c>
      <c r="F235" t="s">
        <v>1445</v>
      </c>
      <c r="G235" t="s">
        <v>5571</v>
      </c>
      <c r="H235" t="s">
        <v>4957</v>
      </c>
    </row>
    <row r="236" spans="1:8" x14ac:dyDescent="0.25">
      <c r="A236">
        <v>616081071</v>
      </c>
      <c r="B236" t="s">
        <v>56</v>
      </c>
      <c r="C236" t="s">
        <v>4287</v>
      </c>
      <c r="D236">
        <v>13</v>
      </c>
      <c r="E236" t="s">
        <v>4457</v>
      </c>
      <c r="F236" t="s">
        <v>3377</v>
      </c>
      <c r="G236" t="s">
        <v>5572</v>
      </c>
      <c r="H236" t="s">
        <v>4957</v>
      </c>
    </row>
    <row r="237" spans="1:8" x14ac:dyDescent="0.25">
      <c r="A237" t="s">
        <v>655</v>
      </c>
      <c r="B237" t="s">
        <v>656</v>
      </c>
      <c r="C237" t="s">
        <v>4416</v>
      </c>
      <c r="D237">
        <v>13</v>
      </c>
      <c r="E237" t="s">
        <v>4445</v>
      </c>
      <c r="F237" t="s">
        <v>4097</v>
      </c>
      <c r="G237" t="s">
        <v>5571</v>
      </c>
      <c r="H237" t="s">
        <v>4957</v>
      </c>
    </row>
    <row r="238" spans="1:8" x14ac:dyDescent="0.25">
      <c r="A238">
        <v>616082000</v>
      </c>
      <c r="B238" t="s">
        <v>253</v>
      </c>
      <c r="C238" t="s">
        <v>4168</v>
      </c>
      <c r="D238">
        <v>13</v>
      </c>
      <c r="E238" t="s">
        <v>4445</v>
      </c>
      <c r="F238" t="s">
        <v>2382</v>
      </c>
      <c r="G238" t="s">
        <v>5572</v>
      </c>
      <c r="H238" t="s">
        <v>4957</v>
      </c>
    </row>
    <row r="239" spans="1:8" x14ac:dyDescent="0.25">
      <c r="A239">
        <v>616082035</v>
      </c>
      <c r="B239" t="s">
        <v>57</v>
      </c>
      <c r="C239" t="s">
        <v>4168</v>
      </c>
      <c r="D239">
        <v>13</v>
      </c>
      <c r="E239" t="s">
        <v>4453</v>
      </c>
      <c r="F239" t="s">
        <v>2222</v>
      </c>
      <c r="G239" t="s">
        <v>5571</v>
      </c>
      <c r="H239" t="s">
        <v>4957</v>
      </c>
    </row>
    <row r="240" spans="1:8" x14ac:dyDescent="0.25">
      <c r="A240">
        <v>616082043</v>
      </c>
      <c r="B240" t="s">
        <v>58</v>
      </c>
      <c r="C240" t="s">
        <v>4168</v>
      </c>
      <c r="D240">
        <v>13</v>
      </c>
      <c r="E240" t="s">
        <v>4457</v>
      </c>
      <c r="F240" t="s">
        <v>2138</v>
      </c>
      <c r="G240" t="s">
        <v>5572</v>
      </c>
      <c r="H240" t="s">
        <v>4957</v>
      </c>
    </row>
    <row r="241" spans="1:8" x14ac:dyDescent="0.25">
      <c r="A241">
        <v>616082051</v>
      </c>
      <c r="B241" t="s">
        <v>59</v>
      </c>
      <c r="C241" t="s">
        <v>4400</v>
      </c>
      <c r="D241">
        <v>13</v>
      </c>
      <c r="E241" t="s">
        <v>4457</v>
      </c>
      <c r="F241" t="s">
        <v>3237</v>
      </c>
      <c r="G241" t="s">
        <v>5572</v>
      </c>
      <c r="H241" t="s">
        <v>4957</v>
      </c>
    </row>
    <row r="242" spans="1:8" x14ac:dyDescent="0.25">
      <c r="A242">
        <v>616084003</v>
      </c>
      <c r="B242" t="s">
        <v>1460</v>
      </c>
      <c r="C242" t="s">
        <v>4391</v>
      </c>
      <c r="D242">
        <v>13</v>
      </c>
      <c r="E242" t="s">
        <v>4445</v>
      </c>
      <c r="F242" t="s">
        <v>1459</v>
      </c>
      <c r="G242" t="s">
        <v>5571</v>
      </c>
      <c r="H242" t="s">
        <v>4957</v>
      </c>
    </row>
    <row r="243" spans="1:8" x14ac:dyDescent="0.25">
      <c r="A243" t="s">
        <v>657</v>
      </c>
      <c r="B243" t="s">
        <v>658</v>
      </c>
      <c r="C243" t="s">
        <v>4391</v>
      </c>
      <c r="D243">
        <v>13</v>
      </c>
      <c r="E243" t="s">
        <v>5729</v>
      </c>
      <c r="F243" t="s">
        <v>3929</v>
      </c>
      <c r="G243" t="s">
        <v>5572</v>
      </c>
      <c r="H243" t="s">
        <v>4957</v>
      </c>
    </row>
    <row r="244" spans="1:8" x14ac:dyDescent="0.25">
      <c r="A244">
        <v>616084038</v>
      </c>
      <c r="B244" t="s">
        <v>2354</v>
      </c>
      <c r="C244" t="s">
        <v>4391</v>
      </c>
      <c r="D244">
        <v>13</v>
      </c>
      <c r="E244" t="s">
        <v>5729</v>
      </c>
      <c r="F244" t="s">
        <v>2353</v>
      </c>
      <c r="G244" t="s">
        <v>5572</v>
      </c>
      <c r="H244" t="s">
        <v>4957</v>
      </c>
    </row>
    <row r="245" spans="1:8" x14ac:dyDescent="0.25">
      <c r="A245">
        <v>616084046</v>
      </c>
      <c r="B245" t="s">
        <v>60</v>
      </c>
      <c r="C245" t="s">
        <v>4458</v>
      </c>
      <c r="D245">
        <v>13</v>
      </c>
      <c r="E245" t="s">
        <v>4453</v>
      </c>
      <c r="F245" t="s">
        <v>2092</v>
      </c>
      <c r="G245" t="s">
        <v>5572</v>
      </c>
      <c r="H245" t="s">
        <v>4957</v>
      </c>
    </row>
    <row r="246" spans="1:8" x14ac:dyDescent="0.25">
      <c r="A246">
        <v>616084062</v>
      </c>
      <c r="B246" t="s">
        <v>61</v>
      </c>
      <c r="C246" t="s">
        <v>4391</v>
      </c>
      <c r="D246">
        <v>13</v>
      </c>
      <c r="E246" t="s">
        <v>4453</v>
      </c>
      <c r="F246" t="s">
        <v>3707</v>
      </c>
      <c r="G246" t="s">
        <v>5572</v>
      </c>
      <c r="H246" t="s">
        <v>4957</v>
      </c>
    </row>
    <row r="247" spans="1:8" x14ac:dyDescent="0.25">
      <c r="A247">
        <v>616084070</v>
      </c>
      <c r="B247" t="s">
        <v>255</v>
      </c>
      <c r="C247" t="s">
        <v>4391</v>
      </c>
      <c r="D247">
        <v>13</v>
      </c>
      <c r="E247" t="s">
        <v>5729</v>
      </c>
      <c r="F247" t="s">
        <v>2815</v>
      </c>
      <c r="G247" t="s">
        <v>5572</v>
      </c>
      <c r="H247" t="s">
        <v>4957</v>
      </c>
    </row>
    <row r="248" spans="1:8" x14ac:dyDescent="0.25">
      <c r="A248">
        <v>616084089</v>
      </c>
      <c r="B248" t="s">
        <v>256</v>
      </c>
      <c r="C248" t="s">
        <v>4391</v>
      </c>
      <c r="D248">
        <v>13</v>
      </c>
      <c r="E248" t="s">
        <v>5729</v>
      </c>
      <c r="F248" t="s">
        <v>2482</v>
      </c>
      <c r="G248" t="s">
        <v>5572</v>
      </c>
      <c r="H248" t="s">
        <v>4957</v>
      </c>
    </row>
    <row r="249" spans="1:8" x14ac:dyDescent="0.25">
      <c r="A249" t="s">
        <v>659</v>
      </c>
      <c r="B249" t="s">
        <v>660</v>
      </c>
      <c r="C249" t="s">
        <v>4381</v>
      </c>
      <c r="D249">
        <v>13</v>
      </c>
      <c r="E249" t="s">
        <v>4445</v>
      </c>
      <c r="F249" t="s">
        <v>1474</v>
      </c>
      <c r="G249" t="s">
        <v>5571</v>
      </c>
      <c r="H249" t="s">
        <v>4957</v>
      </c>
    </row>
    <row r="250" spans="1:8" x14ac:dyDescent="0.25">
      <c r="A250">
        <v>616085026</v>
      </c>
      <c r="B250" t="s">
        <v>62</v>
      </c>
      <c r="C250" t="s">
        <v>4286</v>
      </c>
      <c r="D250">
        <v>13</v>
      </c>
      <c r="E250" t="s">
        <v>4457</v>
      </c>
      <c r="F250" t="s">
        <v>2628</v>
      </c>
      <c r="G250" t="s">
        <v>5572</v>
      </c>
      <c r="H250" t="s">
        <v>4957</v>
      </c>
    </row>
    <row r="251" spans="1:8" x14ac:dyDescent="0.25">
      <c r="A251">
        <v>616085034</v>
      </c>
      <c r="B251" t="s">
        <v>257</v>
      </c>
      <c r="C251" t="s">
        <v>4504</v>
      </c>
      <c r="D251">
        <v>13</v>
      </c>
      <c r="E251" t="s">
        <v>4445</v>
      </c>
      <c r="F251" t="s">
        <v>1478</v>
      </c>
      <c r="G251" t="s">
        <v>5572</v>
      </c>
      <c r="H251" t="s">
        <v>4957</v>
      </c>
    </row>
    <row r="252" spans="1:8" x14ac:dyDescent="0.25">
      <c r="A252">
        <v>616086022</v>
      </c>
      <c r="B252" t="s">
        <v>63</v>
      </c>
      <c r="C252" t="s">
        <v>4168</v>
      </c>
      <c r="D252">
        <v>13</v>
      </c>
      <c r="E252" t="s">
        <v>4457</v>
      </c>
      <c r="F252" t="s">
        <v>2064</v>
      </c>
      <c r="G252" t="s">
        <v>5572</v>
      </c>
      <c r="H252" t="s">
        <v>4957</v>
      </c>
    </row>
    <row r="253" spans="1:8" x14ac:dyDescent="0.25">
      <c r="A253">
        <v>616086049</v>
      </c>
      <c r="B253" t="s">
        <v>64</v>
      </c>
      <c r="C253" t="s">
        <v>4168</v>
      </c>
      <c r="D253">
        <v>13</v>
      </c>
      <c r="E253" t="s">
        <v>4453</v>
      </c>
      <c r="F253" t="s">
        <v>2136</v>
      </c>
      <c r="G253" t="s">
        <v>5572</v>
      </c>
      <c r="H253" t="s">
        <v>4957</v>
      </c>
    </row>
    <row r="254" spans="1:8" x14ac:dyDescent="0.25">
      <c r="A254">
        <v>616086057</v>
      </c>
      <c r="B254" t="s">
        <v>258</v>
      </c>
      <c r="C254" t="s">
        <v>4168</v>
      </c>
      <c r="D254">
        <v>13</v>
      </c>
      <c r="E254" t="s">
        <v>5729</v>
      </c>
      <c r="F254" t="s">
        <v>4101</v>
      </c>
      <c r="G254" t="s">
        <v>5571</v>
      </c>
      <c r="H254" t="s">
        <v>4957</v>
      </c>
    </row>
    <row r="255" spans="1:8" x14ac:dyDescent="0.25">
      <c r="A255">
        <v>616087002</v>
      </c>
      <c r="B255" t="s">
        <v>1056</v>
      </c>
      <c r="C255" t="s">
        <v>4395</v>
      </c>
      <c r="D255">
        <v>13</v>
      </c>
      <c r="E255" t="s">
        <v>4445</v>
      </c>
      <c r="F255" t="s">
        <v>1487</v>
      </c>
      <c r="G255" t="s">
        <v>5571</v>
      </c>
      <c r="H255" t="s">
        <v>4957</v>
      </c>
    </row>
    <row r="256" spans="1:8" x14ac:dyDescent="0.25">
      <c r="A256" t="s">
        <v>661</v>
      </c>
      <c r="B256" t="s">
        <v>662</v>
      </c>
      <c r="C256" t="s">
        <v>4212</v>
      </c>
      <c r="D256">
        <v>8</v>
      </c>
      <c r="E256" t="s">
        <v>4445</v>
      </c>
      <c r="F256" t="s">
        <v>1489</v>
      </c>
      <c r="G256" t="s">
        <v>5575</v>
      </c>
      <c r="H256" t="s">
        <v>4957</v>
      </c>
    </row>
    <row r="257" spans="1:8" x14ac:dyDescent="0.25">
      <c r="A257">
        <v>619292006</v>
      </c>
      <c r="B257" t="s">
        <v>5533</v>
      </c>
      <c r="C257" t="s">
        <v>4399</v>
      </c>
      <c r="D257">
        <v>13</v>
      </c>
      <c r="E257" t="s">
        <v>4445</v>
      </c>
      <c r="F257" t="s">
        <v>5534</v>
      </c>
      <c r="G257" t="s">
        <v>5572</v>
      </c>
      <c r="H257" t="s">
        <v>4957</v>
      </c>
    </row>
    <row r="258" spans="1:8" x14ac:dyDescent="0.25">
      <c r="A258">
        <v>619301005</v>
      </c>
      <c r="B258" t="s">
        <v>5449</v>
      </c>
      <c r="C258" t="s">
        <v>4175</v>
      </c>
      <c r="D258">
        <v>5</v>
      </c>
      <c r="E258" t="s">
        <v>4445</v>
      </c>
      <c r="F258" t="s">
        <v>5450</v>
      </c>
      <c r="G258" t="s">
        <v>5571</v>
      </c>
      <c r="H258" t="s">
        <v>4957</v>
      </c>
    </row>
    <row r="259" spans="1:8" x14ac:dyDescent="0.25">
      <c r="A259">
        <v>619318005</v>
      </c>
      <c r="B259" t="s">
        <v>747</v>
      </c>
      <c r="C259" t="s">
        <v>4495</v>
      </c>
      <c r="D259">
        <v>16</v>
      </c>
      <c r="E259" t="s">
        <v>4464</v>
      </c>
      <c r="F259" t="s">
        <v>4002</v>
      </c>
      <c r="G259" t="s">
        <v>5571</v>
      </c>
      <c r="H259" t="s">
        <v>4957</v>
      </c>
    </row>
    <row r="260" spans="1:8" x14ac:dyDescent="0.25">
      <c r="A260">
        <v>619322002</v>
      </c>
      <c r="B260" t="s">
        <v>259</v>
      </c>
      <c r="C260" t="s">
        <v>4505</v>
      </c>
      <c r="D260">
        <v>10</v>
      </c>
      <c r="E260" t="s">
        <v>4445</v>
      </c>
      <c r="F260" t="s">
        <v>1835</v>
      </c>
      <c r="G260" t="s">
        <v>5575</v>
      </c>
      <c r="H260" t="s">
        <v>4957</v>
      </c>
    </row>
    <row r="261" spans="1:8" x14ac:dyDescent="0.25">
      <c r="A261">
        <v>619334000</v>
      </c>
      <c r="B261" t="s">
        <v>260</v>
      </c>
      <c r="C261" t="s">
        <v>4456</v>
      </c>
      <c r="D261">
        <v>13</v>
      </c>
      <c r="E261" t="s">
        <v>4445</v>
      </c>
      <c r="F261" t="s">
        <v>1491</v>
      </c>
      <c r="G261" t="s">
        <v>5572</v>
      </c>
      <c r="H261" t="s">
        <v>4957</v>
      </c>
    </row>
    <row r="262" spans="1:8" x14ac:dyDescent="0.25">
      <c r="A262">
        <v>619385004</v>
      </c>
      <c r="B262" t="s">
        <v>261</v>
      </c>
      <c r="C262" t="s">
        <v>4452</v>
      </c>
      <c r="D262">
        <v>13</v>
      </c>
      <c r="E262" t="s">
        <v>4445</v>
      </c>
      <c r="F262" t="s">
        <v>1493</v>
      </c>
      <c r="G262" t="s">
        <v>5571</v>
      </c>
      <c r="H262" t="s">
        <v>4957</v>
      </c>
    </row>
    <row r="263" spans="1:8" x14ac:dyDescent="0.25">
      <c r="A263">
        <v>619394003</v>
      </c>
      <c r="B263" t="s">
        <v>956</v>
      </c>
      <c r="C263" t="s">
        <v>4168</v>
      </c>
      <c r="D263">
        <v>13</v>
      </c>
      <c r="E263" t="s">
        <v>4445</v>
      </c>
      <c r="F263" t="s">
        <v>1495</v>
      </c>
      <c r="G263" t="s">
        <v>5571</v>
      </c>
      <c r="H263" t="s">
        <v>4957</v>
      </c>
    </row>
    <row r="264" spans="1:8" x14ac:dyDescent="0.25">
      <c r="A264">
        <v>619523008</v>
      </c>
      <c r="B264" t="s">
        <v>262</v>
      </c>
      <c r="C264" t="s">
        <v>4186</v>
      </c>
      <c r="D264">
        <v>1</v>
      </c>
      <c r="E264" t="s">
        <v>4453</v>
      </c>
      <c r="F264" t="s">
        <v>1497</v>
      </c>
      <c r="G264" t="s">
        <v>5571</v>
      </c>
      <c r="H264" t="s">
        <v>4957</v>
      </c>
    </row>
    <row r="265" spans="1:8" x14ac:dyDescent="0.25">
      <c r="A265">
        <v>619532007</v>
      </c>
      <c r="B265" t="s">
        <v>748</v>
      </c>
      <c r="C265" t="s">
        <v>4470</v>
      </c>
      <c r="D265">
        <v>13</v>
      </c>
      <c r="E265" t="s">
        <v>4445</v>
      </c>
      <c r="F265" t="s">
        <v>3149</v>
      </c>
      <c r="G265" t="s">
        <v>5572</v>
      </c>
      <c r="H265" t="s">
        <v>4957</v>
      </c>
    </row>
    <row r="266" spans="1:8" x14ac:dyDescent="0.25">
      <c r="A266">
        <v>619545001</v>
      </c>
      <c r="B266" t="s">
        <v>263</v>
      </c>
      <c r="C266" t="s">
        <v>4289</v>
      </c>
      <c r="D266">
        <v>8</v>
      </c>
      <c r="E266" t="s">
        <v>4445</v>
      </c>
      <c r="F266" t="s">
        <v>1501</v>
      </c>
      <c r="G266" t="s">
        <v>5571</v>
      </c>
      <c r="H266" t="s">
        <v>4957</v>
      </c>
    </row>
    <row r="267" spans="1:8" x14ac:dyDescent="0.25">
      <c r="A267">
        <v>619550005</v>
      </c>
      <c r="B267" t="s">
        <v>65</v>
      </c>
      <c r="C267" t="s">
        <v>4290</v>
      </c>
      <c r="D267">
        <v>9</v>
      </c>
      <c r="E267" t="s">
        <v>4454</v>
      </c>
      <c r="F267" t="s">
        <v>1447</v>
      </c>
      <c r="G267" t="s">
        <v>5575</v>
      </c>
      <c r="H267" t="s">
        <v>4957</v>
      </c>
    </row>
    <row r="268" spans="1:8" x14ac:dyDescent="0.25">
      <c r="A268">
        <v>619585003</v>
      </c>
      <c r="B268" t="s">
        <v>66</v>
      </c>
      <c r="C268" t="s">
        <v>4506</v>
      </c>
      <c r="D268">
        <v>13</v>
      </c>
      <c r="E268" t="s">
        <v>4457</v>
      </c>
      <c r="F268" t="s">
        <v>2413</v>
      </c>
      <c r="G268" t="s">
        <v>5572</v>
      </c>
      <c r="H268" t="s">
        <v>4957</v>
      </c>
    </row>
    <row r="269" spans="1:8" x14ac:dyDescent="0.25">
      <c r="A269">
        <v>619598008</v>
      </c>
      <c r="B269" t="s">
        <v>67</v>
      </c>
      <c r="C269" t="s">
        <v>4470</v>
      </c>
      <c r="D269">
        <v>13</v>
      </c>
      <c r="E269" t="s">
        <v>4457</v>
      </c>
      <c r="F269" t="s">
        <v>3702</v>
      </c>
      <c r="G269" t="s">
        <v>5572</v>
      </c>
      <c r="H269" t="s">
        <v>4957</v>
      </c>
    </row>
    <row r="270" spans="1:8" x14ac:dyDescent="0.25">
      <c r="A270">
        <v>619728009</v>
      </c>
      <c r="B270" t="s">
        <v>264</v>
      </c>
      <c r="C270" t="s">
        <v>4507</v>
      </c>
      <c r="D270">
        <v>16</v>
      </c>
      <c r="E270" t="s">
        <v>4445</v>
      </c>
      <c r="F270" t="s">
        <v>1508</v>
      </c>
      <c r="G270" t="s">
        <v>5575</v>
      </c>
      <c r="H270" t="s">
        <v>4957</v>
      </c>
    </row>
    <row r="271" spans="1:8" x14ac:dyDescent="0.25">
      <c r="A271">
        <v>619742001</v>
      </c>
      <c r="B271" t="s">
        <v>5589</v>
      </c>
      <c r="C271" t="s">
        <v>4463</v>
      </c>
      <c r="D271">
        <v>13</v>
      </c>
      <c r="E271" t="s">
        <v>4445</v>
      </c>
      <c r="F271" t="s">
        <v>4890</v>
      </c>
      <c r="G271" t="s">
        <v>5571</v>
      </c>
      <c r="H271" t="s">
        <v>4957</v>
      </c>
    </row>
    <row r="272" spans="1:8" x14ac:dyDescent="0.25">
      <c r="A272">
        <v>619746007</v>
      </c>
      <c r="B272" t="s">
        <v>265</v>
      </c>
      <c r="C272" t="s">
        <v>4232</v>
      </c>
      <c r="D272">
        <v>11</v>
      </c>
      <c r="E272" t="s">
        <v>4445</v>
      </c>
      <c r="F272" t="s">
        <v>1292</v>
      </c>
      <c r="G272" t="s">
        <v>5571</v>
      </c>
      <c r="H272" t="s">
        <v>4957</v>
      </c>
    </row>
    <row r="273" spans="1:8" x14ac:dyDescent="0.25">
      <c r="A273">
        <v>619751000</v>
      </c>
      <c r="B273" t="s">
        <v>68</v>
      </c>
      <c r="C273" t="s">
        <v>4292</v>
      </c>
      <c r="D273">
        <v>10</v>
      </c>
      <c r="E273" t="s">
        <v>4454</v>
      </c>
      <c r="F273" t="s">
        <v>2149</v>
      </c>
      <c r="G273" t="s">
        <v>5572</v>
      </c>
      <c r="H273" t="s">
        <v>4957</v>
      </c>
    </row>
    <row r="274" spans="1:8" x14ac:dyDescent="0.25">
      <c r="A274">
        <v>619758005</v>
      </c>
      <c r="B274" t="s">
        <v>782</v>
      </c>
      <c r="C274" t="s">
        <v>4293</v>
      </c>
      <c r="D274">
        <v>10</v>
      </c>
      <c r="E274" t="s">
        <v>4454</v>
      </c>
      <c r="F274" t="s">
        <v>3568</v>
      </c>
      <c r="G274" t="s">
        <v>5572</v>
      </c>
      <c r="H274" t="s">
        <v>4957</v>
      </c>
    </row>
    <row r="275" spans="1:8" x14ac:dyDescent="0.25">
      <c r="A275" t="s">
        <v>1025</v>
      </c>
      <c r="B275" t="s">
        <v>3329</v>
      </c>
      <c r="C275" t="s">
        <v>4292</v>
      </c>
      <c r="D275">
        <v>10</v>
      </c>
      <c r="E275" t="s">
        <v>4445</v>
      </c>
      <c r="F275" t="s">
        <v>3328</v>
      </c>
      <c r="G275" t="s">
        <v>5572</v>
      </c>
      <c r="H275" t="s">
        <v>4957</v>
      </c>
    </row>
    <row r="276" spans="1:8" x14ac:dyDescent="0.25">
      <c r="A276" t="s">
        <v>4421</v>
      </c>
      <c r="B276" t="s">
        <v>4422</v>
      </c>
      <c r="C276" t="s">
        <v>4456</v>
      </c>
      <c r="D276">
        <v>13</v>
      </c>
      <c r="E276" t="s">
        <v>4445</v>
      </c>
      <c r="F276" t="s">
        <v>4508</v>
      </c>
      <c r="G276" t="s">
        <v>5571</v>
      </c>
      <c r="H276" t="s">
        <v>4957</v>
      </c>
    </row>
    <row r="277" spans="1:8" x14ac:dyDescent="0.25">
      <c r="A277">
        <v>619787307</v>
      </c>
      <c r="B277" t="s">
        <v>266</v>
      </c>
      <c r="C277" t="s">
        <v>4509</v>
      </c>
      <c r="D277">
        <v>10</v>
      </c>
      <c r="E277" t="s">
        <v>4445</v>
      </c>
      <c r="F277" t="s">
        <v>1518</v>
      </c>
      <c r="G277" t="s">
        <v>5572</v>
      </c>
      <c r="H277" t="s">
        <v>4957</v>
      </c>
    </row>
    <row r="278" spans="1:8" x14ac:dyDescent="0.25">
      <c r="A278">
        <v>619790200</v>
      </c>
      <c r="B278" t="s">
        <v>1030</v>
      </c>
      <c r="C278" t="s">
        <v>4181</v>
      </c>
      <c r="D278">
        <v>1</v>
      </c>
      <c r="E278" t="s">
        <v>4445</v>
      </c>
      <c r="F278" t="s">
        <v>1520</v>
      </c>
      <c r="G278" t="s">
        <v>5571</v>
      </c>
      <c r="H278" t="s">
        <v>4957</v>
      </c>
    </row>
    <row r="279" spans="1:8" x14ac:dyDescent="0.25">
      <c r="A279">
        <v>619792106</v>
      </c>
      <c r="B279" t="s">
        <v>894</v>
      </c>
      <c r="C279" t="s">
        <v>4230</v>
      </c>
      <c r="D279">
        <v>10</v>
      </c>
      <c r="E279" t="s">
        <v>4445</v>
      </c>
      <c r="F279" t="s">
        <v>1522</v>
      </c>
      <c r="G279" t="s">
        <v>5571</v>
      </c>
      <c r="H279" t="s">
        <v>4957</v>
      </c>
    </row>
    <row r="280" spans="1:8" x14ac:dyDescent="0.25">
      <c r="A280" t="s">
        <v>663</v>
      </c>
      <c r="B280" t="s">
        <v>876</v>
      </c>
      <c r="C280" t="s">
        <v>4402</v>
      </c>
      <c r="D280">
        <v>13</v>
      </c>
      <c r="E280" t="s">
        <v>4445</v>
      </c>
      <c r="F280" t="s">
        <v>2184</v>
      </c>
      <c r="G280" t="s">
        <v>5572</v>
      </c>
      <c r="H280" t="s">
        <v>4957</v>
      </c>
    </row>
    <row r="281" spans="1:8" x14ac:dyDescent="0.25">
      <c r="A281">
        <v>619794508</v>
      </c>
      <c r="B281" t="s">
        <v>267</v>
      </c>
      <c r="C281" t="s">
        <v>4391</v>
      </c>
      <c r="D281">
        <v>13</v>
      </c>
      <c r="E281" t="s">
        <v>5729</v>
      </c>
      <c r="F281" t="s">
        <v>2164</v>
      </c>
      <c r="G281" t="s">
        <v>5572</v>
      </c>
      <c r="H281" t="s">
        <v>4957</v>
      </c>
    </row>
    <row r="282" spans="1:8" x14ac:dyDescent="0.25">
      <c r="A282">
        <v>619799100</v>
      </c>
      <c r="B282" t="s">
        <v>35</v>
      </c>
      <c r="C282" t="s">
        <v>4459</v>
      </c>
      <c r="D282">
        <v>5</v>
      </c>
      <c r="E282" t="s">
        <v>4445</v>
      </c>
      <c r="F282" t="s">
        <v>1529</v>
      </c>
      <c r="G282" t="s">
        <v>5571</v>
      </c>
      <c r="H282" t="s">
        <v>4957</v>
      </c>
    </row>
    <row r="283" spans="1:8" x14ac:dyDescent="0.25">
      <c r="A283">
        <v>619800702</v>
      </c>
      <c r="B283" t="s">
        <v>268</v>
      </c>
      <c r="C283" t="s">
        <v>4294</v>
      </c>
      <c r="D283">
        <v>10</v>
      </c>
      <c r="E283" t="s">
        <v>4445</v>
      </c>
      <c r="F283" t="s">
        <v>1531</v>
      </c>
      <c r="G283" t="s">
        <v>5572</v>
      </c>
      <c r="H283" t="s">
        <v>4957</v>
      </c>
    </row>
    <row r="284" spans="1:8" x14ac:dyDescent="0.25">
      <c r="A284" t="s">
        <v>664</v>
      </c>
      <c r="B284" t="s">
        <v>665</v>
      </c>
      <c r="C284" t="s">
        <v>4295</v>
      </c>
      <c r="D284">
        <v>10</v>
      </c>
      <c r="E284" t="s">
        <v>4445</v>
      </c>
      <c r="F284" t="s">
        <v>1533</v>
      </c>
      <c r="G284" t="s">
        <v>5572</v>
      </c>
      <c r="H284" t="s">
        <v>4957</v>
      </c>
    </row>
    <row r="285" spans="1:8" x14ac:dyDescent="0.25">
      <c r="A285">
        <v>619803205</v>
      </c>
      <c r="B285" t="s">
        <v>69</v>
      </c>
      <c r="C285" t="s">
        <v>4510</v>
      </c>
      <c r="D285">
        <v>13</v>
      </c>
      <c r="E285" t="s">
        <v>4457</v>
      </c>
      <c r="F285" t="s">
        <v>2288</v>
      </c>
      <c r="G285" t="s">
        <v>5572</v>
      </c>
      <c r="H285" t="s">
        <v>4957</v>
      </c>
    </row>
    <row r="286" spans="1:8" x14ac:dyDescent="0.25">
      <c r="A286">
        <v>619803701</v>
      </c>
      <c r="B286" t="s">
        <v>269</v>
      </c>
      <c r="C286" t="s">
        <v>4211</v>
      </c>
      <c r="D286">
        <v>8</v>
      </c>
      <c r="E286" t="s">
        <v>4445</v>
      </c>
      <c r="F286" t="s">
        <v>1538</v>
      </c>
      <c r="G286" t="s">
        <v>5571</v>
      </c>
      <c r="H286" t="s">
        <v>4957</v>
      </c>
    </row>
    <row r="287" spans="1:8" x14ac:dyDescent="0.25">
      <c r="A287">
        <v>619804201</v>
      </c>
      <c r="B287" t="s">
        <v>270</v>
      </c>
      <c r="C287" t="s">
        <v>4175</v>
      </c>
      <c r="D287">
        <v>5</v>
      </c>
      <c r="E287" t="s">
        <v>4445</v>
      </c>
      <c r="F287" t="s">
        <v>3448</v>
      </c>
      <c r="G287" t="s">
        <v>5571</v>
      </c>
      <c r="H287" t="s">
        <v>4957</v>
      </c>
    </row>
    <row r="288" spans="1:8" x14ac:dyDescent="0.25">
      <c r="A288">
        <v>619805208</v>
      </c>
      <c r="B288" t="s">
        <v>5600</v>
      </c>
      <c r="C288" t="s">
        <v>4232</v>
      </c>
      <c r="D288">
        <v>11</v>
      </c>
      <c r="E288" t="s">
        <v>4445</v>
      </c>
      <c r="F288" t="s">
        <v>5601</v>
      </c>
      <c r="G288" t="s">
        <v>5573</v>
      </c>
      <c r="H288" t="s">
        <v>4915</v>
      </c>
    </row>
    <row r="289" spans="1:8" x14ac:dyDescent="0.25">
      <c r="A289">
        <v>619805305</v>
      </c>
      <c r="B289" t="s">
        <v>998</v>
      </c>
      <c r="C289" t="s">
        <v>4178</v>
      </c>
      <c r="D289">
        <v>6</v>
      </c>
      <c r="E289" t="s">
        <v>4445</v>
      </c>
      <c r="F289" t="s">
        <v>1542</v>
      </c>
      <c r="G289" t="s">
        <v>5573</v>
      </c>
      <c r="H289" t="s">
        <v>4957</v>
      </c>
    </row>
    <row r="290" spans="1:8" x14ac:dyDescent="0.25">
      <c r="A290">
        <v>619806204</v>
      </c>
      <c r="B290" t="s">
        <v>70</v>
      </c>
      <c r="C290" t="s">
        <v>4381</v>
      </c>
      <c r="D290">
        <v>13</v>
      </c>
      <c r="E290" t="s">
        <v>4457</v>
      </c>
      <c r="F290" t="s">
        <v>4160</v>
      </c>
      <c r="G290" t="s">
        <v>5572</v>
      </c>
      <c r="H290" t="s">
        <v>4957</v>
      </c>
    </row>
    <row r="291" spans="1:8" x14ac:dyDescent="0.25">
      <c r="A291">
        <v>619806700</v>
      </c>
      <c r="B291" t="s">
        <v>271</v>
      </c>
      <c r="C291" t="s">
        <v>4296</v>
      </c>
      <c r="D291">
        <v>14</v>
      </c>
      <c r="E291" t="s">
        <v>4445</v>
      </c>
      <c r="F291" t="s">
        <v>1546</v>
      </c>
      <c r="G291" t="s">
        <v>5572</v>
      </c>
      <c r="H291" t="s">
        <v>4957</v>
      </c>
    </row>
    <row r="292" spans="1:8" x14ac:dyDescent="0.25">
      <c r="A292">
        <v>619807200</v>
      </c>
      <c r="B292" t="s">
        <v>272</v>
      </c>
      <c r="C292" t="s">
        <v>4297</v>
      </c>
      <c r="D292">
        <v>12</v>
      </c>
      <c r="E292" t="s">
        <v>4445</v>
      </c>
      <c r="F292" t="s">
        <v>4118</v>
      </c>
      <c r="G292" t="s">
        <v>5572</v>
      </c>
      <c r="H292" t="s">
        <v>4957</v>
      </c>
    </row>
    <row r="293" spans="1:8" x14ac:dyDescent="0.25">
      <c r="A293">
        <v>619807405</v>
      </c>
      <c r="B293" t="s">
        <v>273</v>
      </c>
      <c r="C293" t="s">
        <v>4830</v>
      </c>
      <c r="D293">
        <v>10</v>
      </c>
      <c r="E293" t="s">
        <v>4445</v>
      </c>
      <c r="F293" t="s">
        <v>1254</v>
      </c>
      <c r="G293" t="s">
        <v>5571</v>
      </c>
      <c r="H293" t="s">
        <v>4957</v>
      </c>
    </row>
    <row r="294" spans="1:8" x14ac:dyDescent="0.25">
      <c r="A294">
        <v>619990307</v>
      </c>
      <c r="B294" t="s">
        <v>1554</v>
      </c>
      <c r="C294" t="s">
        <v>4168</v>
      </c>
      <c r="D294">
        <v>13</v>
      </c>
      <c r="E294" t="s">
        <v>4445</v>
      </c>
      <c r="F294" t="s">
        <v>1553</v>
      </c>
      <c r="G294" t="s">
        <v>5572</v>
      </c>
      <c r="H294" t="s">
        <v>4957</v>
      </c>
    </row>
    <row r="295" spans="1:8" x14ac:dyDescent="0.25">
      <c r="A295">
        <v>619991907</v>
      </c>
      <c r="B295" t="s">
        <v>274</v>
      </c>
      <c r="C295" t="s">
        <v>4460</v>
      </c>
      <c r="D295">
        <v>8</v>
      </c>
      <c r="E295" t="s">
        <v>4445</v>
      </c>
      <c r="F295" t="s">
        <v>2078</v>
      </c>
      <c r="G295" t="s">
        <v>5571</v>
      </c>
      <c r="H295" t="s">
        <v>4957</v>
      </c>
    </row>
    <row r="296" spans="1:8" x14ac:dyDescent="0.25">
      <c r="A296">
        <v>619992601</v>
      </c>
      <c r="B296" t="s">
        <v>1560</v>
      </c>
      <c r="C296" t="s">
        <v>4497</v>
      </c>
      <c r="D296">
        <v>8</v>
      </c>
      <c r="E296" t="s">
        <v>4445</v>
      </c>
      <c r="F296" t="s">
        <v>1559</v>
      </c>
      <c r="G296" t="s">
        <v>5572</v>
      </c>
      <c r="H296" t="s">
        <v>4957</v>
      </c>
    </row>
    <row r="297" spans="1:8" x14ac:dyDescent="0.25">
      <c r="A297">
        <v>620003808</v>
      </c>
      <c r="B297" t="s">
        <v>1425</v>
      </c>
      <c r="C297" t="s">
        <v>4182</v>
      </c>
      <c r="D297">
        <v>2</v>
      </c>
      <c r="E297" t="s">
        <v>4445</v>
      </c>
      <c r="F297" t="s">
        <v>1424</v>
      </c>
      <c r="G297" t="s">
        <v>5572</v>
      </c>
      <c r="H297" t="s">
        <v>4957</v>
      </c>
    </row>
    <row r="298" spans="1:8" x14ac:dyDescent="0.25">
      <c r="A298">
        <v>620005304</v>
      </c>
      <c r="B298" t="s">
        <v>277</v>
      </c>
      <c r="C298" t="s">
        <v>4186</v>
      </c>
      <c r="D298">
        <v>1</v>
      </c>
      <c r="E298" t="s">
        <v>4453</v>
      </c>
      <c r="F298" t="s">
        <v>1738</v>
      </c>
      <c r="G298" t="s">
        <v>5572</v>
      </c>
      <c r="H298" t="s">
        <v>4957</v>
      </c>
    </row>
    <row r="299" spans="1:8" x14ac:dyDescent="0.25">
      <c r="A299">
        <v>620005703</v>
      </c>
      <c r="B299" t="s">
        <v>1033</v>
      </c>
      <c r="C299" t="s">
        <v>4495</v>
      </c>
      <c r="D299">
        <v>16</v>
      </c>
      <c r="E299" t="s">
        <v>4445</v>
      </c>
      <c r="F299" t="s">
        <v>3284</v>
      </c>
      <c r="G299" t="s">
        <v>5571</v>
      </c>
      <c r="H299" t="s">
        <v>4957</v>
      </c>
    </row>
    <row r="300" spans="1:8" x14ac:dyDescent="0.25">
      <c r="A300">
        <v>620006203</v>
      </c>
      <c r="B300" t="s">
        <v>895</v>
      </c>
      <c r="C300" t="s">
        <v>4469</v>
      </c>
      <c r="D300">
        <v>5</v>
      </c>
      <c r="E300" t="s">
        <v>4445</v>
      </c>
      <c r="F300" t="s">
        <v>1644</v>
      </c>
      <c r="G300" t="s">
        <v>5571</v>
      </c>
      <c r="H300" t="s">
        <v>4957</v>
      </c>
    </row>
    <row r="301" spans="1:8" x14ac:dyDescent="0.25">
      <c r="A301">
        <v>620007609</v>
      </c>
      <c r="B301" t="s">
        <v>4512</v>
      </c>
      <c r="C301" t="s">
        <v>4283</v>
      </c>
      <c r="D301">
        <v>12</v>
      </c>
      <c r="E301" t="s">
        <v>4445</v>
      </c>
      <c r="F301" t="s">
        <v>4511</v>
      </c>
      <c r="G301" t="s">
        <v>5571</v>
      </c>
      <c r="H301" t="s">
        <v>4957</v>
      </c>
    </row>
    <row r="302" spans="1:8" x14ac:dyDescent="0.25">
      <c r="A302">
        <v>620008303</v>
      </c>
      <c r="B302" t="s">
        <v>71</v>
      </c>
      <c r="C302" t="s">
        <v>4291</v>
      </c>
      <c r="D302">
        <v>9</v>
      </c>
      <c r="E302" t="s">
        <v>4454</v>
      </c>
      <c r="F302" t="s">
        <v>3546</v>
      </c>
      <c r="G302" t="s">
        <v>5572</v>
      </c>
      <c r="H302" t="s">
        <v>4957</v>
      </c>
    </row>
    <row r="303" spans="1:8" x14ac:dyDescent="0.25">
      <c r="A303">
        <v>620009407</v>
      </c>
      <c r="B303" t="s">
        <v>278</v>
      </c>
      <c r="C303" t="s">
        <v>4485</v>
      </c>
      <c r="D303">
        <v>11</v>
      </c>
      <c r="E303" t="s">
        <v>4445</v>
      </c>
      <c r="F303" t="s">
        <v>1861</v>
      </c>
      <c r="G303" t="s">
        <v>5571</v>
      </c>
      <c r="H303" t="s">
        <v>4957</v>
      </c>
    </row>
    <row r="304" spans="1:8" x14ac:dyDescent="0.25">
      <c r="A304">
        <v>620009709</v>
      </c>
      <c r="B304" t="s">
        <v>5753</v>
      </c>
      <c r="C304" t="s">
        <v>4182</v>
      </c>
      <c r="D304">
        <v>2</v>
      </c>
      <c r="E304" t="s">
        <v>4445</v>
      </c>
      <c r="F304" t="s">
        <v>5754</v>
      </c>
      <c r="G304" t="s">
        <v>5574</v>
      </c>
      <c r="H304" t="s">
        <v>4957</v>
      </c>
    </row>
    <row r="305" spans="1:8" x14ac:dyDescent="0.25">
      <c r="A305" t="s">
        <v>666</v>
      </c>
      <c r="B305" t="s">
        <v>667</v>
      </c>
      <c r="C305" t="s">
        <v>4391</v>
      </c>
      <c r="D305">
        <v>13</v>
      </c>
      <c r="E305" t="s">
        <v>4445</v>
      </c>
      <c r="F305" t="s">
        <v>4135</v>
      </c>
      <c r="G305" t="s">
        <v>5571</v>
      </c>
      <c r="H305" t="s">
        <v>4957</v>
      </c>
    </row>
    <row r="306" spans="1:8" x14ac:dyDescent="0.25">
      <c r="A306" t="s">
        <v>668</v>
      </c>
      <c r="B306" t="s">
        <v>669</v>
      </c>
      <c r="C306" t="s">
        <v>4510</v>
      </c>
      <c r="D306">
        <v>13</v>
      </c>
      <c r="E306" t="s">
        <v>4445</v>
      </c>
      <c r="F306" t="s">
        <v>1579</v>
      </c>
      <c r="G306" t="s">
        <v>5572</v>
      </c>
      <c r="H306" t="s">
        <v>4957</v>
      </c>
    </row>
    <row r="307" spans="1:8" x14ac:dyDescent="0.25">
      <c r="A307">
        <v>650628438</v>
      </c>
      <c r="B307" t="s">
        <v>896</v>
      </c>
      <c r="C307" t="s">
        <v>4292</v>
      </c>
      <c r="D307">
        <v>10</v>
      </c>
      <c r="E307" t="s">
        <v>4445</v>
      </c>
      <c r="F307" t="s">
        <v>2021</v>
      </c>
      <c r="G307" t="s">
        <v>5571</v>
      </c>
      <c r="H307" t="s">
        <v>4957</v>
      </c>
    </row>
    <row r="308" spans="1:8" x14ac:dyDescent="0.25">
      <c r="A308" t="s">
        <v>5735</v>
      </c>
      <c r="B308" t="s">
        <v>5736</v>
      </c>
      <c r="C308" t="s">
        <v>4364</v>
      </c>
      <c r="D308">
        <v>9</v>
      </c>
      <c r="E308" t="s">
        <v>4445</v>
      </c>
      <c r="F308" t="s">
        <v>5737</v>
      </c>
      <c r="G308" t="s">
        <v>5574</v>
      </c>
      <c r="H308" t="s">
        <v>4957</v>
      </c>
    </row>
    <row r="309" spans="1:8" x14ac:dyDescent="0.25">
      <c r="A309">
        <v>650754859</v>
      </c>
      <c r="B309" t="s">
        <v>72</v>
      </c>
      <c r="C309" t="s">
        <v>4394</v>
      </c>
      <c r="D309">
        <v>13</v>
      </c>
      <c r="E309" t="s">
        <v>4453</v>
      </c>
      <c r="F309" t="s">
        <v>3651</v>
      </c>
      <c r="G309" t="s">
        <v>5572</v>
      </c>
      <c r="H309" t="s">
        <v>4957</v>
      </c>
    </row>
    <row r="310" spans="1:8" x14ac:dyDescent="0.25">
      <c r="A310">
        <v>650842200</v>
      </c>
      <c r="B310" t="s">
        <v>5453</v>
      </c>
      <c r="C310" t="s">
        <v>4470</v>
      </c>
      <c r="D310">
        <v>13</v>
      </c>
      <c r="E310" t="s">
        <v>4445</v>
      </c>
      <c r="F310" t="s">
        <v>5454</v>
      </c>
      <c r="G310" t="s">
        <v>5571</v>
      </c>
      <c r="H310" t="s">
        <v>4957</v>
      </c>
    </row>
    <row r="311" spans="1:8" x14ac:dyDescent="0.25">
      <c r="A311">
        <v>651278236</v>
      </c>
      <c r="B311" t="s">
        <v>5812</v>
      </c>
      <c r="C311" t="s">
        <v>4170</v>
      </c>
      <c r="D311">
        <v>14</v>
      </c>
      <c r="E311" t="s">
        <v>4445</v>
      </c>
      <c r="F311" t="s">
        <v>5813</v>
      </c>
      <c r="H311" t="s">
        <v>4957</v>
      </c>
    </row>
    <row r="312" spans="1:8" x14ac:dyDescent="0.25">
      <c r="A312">
        <v>651389259</v>
      </c>
      <c r="B312" t="s">
        <v>1582</v>
      </c>
      <c r="C312" t="s">
        <v>4287</v>
      </c>
      <c r="D312">
        <v>13</v>
      </c>
      <c r="E312" t="s">
        <v>4445</v>
      </c>
      <c r="F312" t="s">
        <v>1581</v>
      </c>
      <c r="G312" t="s">
        <v>5570</v>
      </c>
      <c r="H312" t="s">
        <v>4915</v>
      </c>
    </row>
    <row r="313" spans="1:8" x14ac:dyDescent="0.25">
      <c r="A313">
        <v>651442796</v>
      </c>
      <c r="B313" t="s">
        <v>5509</v>
      </c>
      <c r="C313" t="s">
        <v>4170</v>
      </c>
      <c r="D313">
        <v>14</v>
      </c>
      <c r="E313" t="s">
        <v>4445</v>
      </c>
      <c r="F313" t="s">
        <v>5510</v>
      </c>
      <c r="G313" t="s">
        <v>5571</v>
      </c>
      <c r="H313" t="s">
        <v>4957</v>
      </c>
    </row>
    <row r="314" spans="1:8" x14ac:dyDescent="0.25">
      <c r="A314">
        <v>651911257</v>
      </c>
      <c r="B314" t="s">
        <v>4916</v>
      </c>
      <c r="C314" t="s">
        <v>4552</v>
      </c>
      <c r="D314">
        <v>13</v>
      </c>
      <c r="E314" t="s">
        <v>4445</v>
      </c>
      <c r="F314" t="s">
        <v>4926</v>
      </c>
      <c r="G314" t="s">
        <v>5568</v>
      </c>
      <c r="H314" t="s">
        <v>4915</v>
      </c>
    </row>
    <row r="315" spans="1:8" x14ac:dyDescent="0.25">
      <c r="A315">
        <v>652243002</v>
      </c>
      <c r="B315" t="s">
        <v>1096</v>
      </c>
      <c r="C315" t="s">
        <v>4232</v>
      </c>
      <c r="D315">
        <v>11</v>
      </c>
      <c r="E315" t="s">
        <v>4445</v>
      </c>
      <c r="F315" t="s">
        <v>1294</v>
      </c>
      <c r="G315" t="s">
        <v>5572</v>
      </c>
      <c r="H315" t="s">
        <v>4957</v>
      </c>
    </row>
    <row r="316" spans="1:8" x14ac:dyDescent="0.25">
      <c r="A316">
        <v>652286941</v>
      </c>
      <c r="B316" t="s">
        <v>4432</v>
      </c>
      <c r="C316" t="s">
        <v>4414</v>
      </c>
      <c r="D316">
        <v>1</v>
      </c>
      <c r="E316" t="s">
        <v>4453</v>
      </c>
      <c r="F316" t="s">
        <v>4513</v>
      </c>
      <c r="G316" t="s">
        <v>5572</v>
      </c>
      <c r="H316" t="s">
        <v>4957</v>
      </c>
    </row>
    <row r="317" spans="1:8" x14ac:dyDescent="0.25">
      <c r="A317">
        <v>652569307</v>
      </c>
      <c r="B317" t="s">
        <v>5721</v>
      </c>
      <c r="C317" t="s">
        <v>4395</v>
      </c>
      <c r="D317">
        <v>13</v>
      </c>
      <c r="E317" t="s">
        <v>4445</v>
      </c>
      <c r="F317" t="s">
        <v>5722</v>
      </c>
      <c r="G317" t="s">
        <v>5571</v>
      </c>
      <c r="H317" t="s">
        <v>4957</v>
      </c>
    </row>
    <row r="318" spans="1:8" x14ac:dyDescent="0.25">
      <c r="A318">
        <v>652730205</v>
      </c>
      <c r="B318" t="s">
        <v>996</v>
      </c>
      <c r="C318" t="s">
        <v>4170</v>
      </c>
      <c r="D318">
        <v>14</v>
      </c>
      <c r="E318" t="s">
        <v>4445</v>
      </c>
      <c r="F318" t="s">
        <v>1586</v>
      </c>
      <c r="G318" t="s">
        <v>5572</v>
      </c>
      <c r="H318" t="s">
        <v>4957</v>
      </c>
    </row>
    <row r="319" spans="1:8" x14ac:dyDescent="0.25">
      <c r="A319" t="s">
        <v>670</v>
      </c>
      <c r="B319" t="s">
        <v>671</v>
      </c>
      <c r="C319" t="s">
        <v>4460</v>
      </c>
      <c r="D319">
        <v>8</v>
      </c>
      <c r="E319" t="s">
        <v>4445</v>
      </c>
      <c r="F319" t="s">
        <v>1357</v>
      </c>
      <c r="G319" t="s">
        <v>5571</v>
      </c>
      <c r="H319" t="s">
        <v>4957</v>
      </c>
    </row>
    <row r="320" spans="1:8" x14ac:dyDescent="0.25">
      <c r="A320">
        <v>653218907</v>
      </c>
      <c r="B320" t="s">
        <v>73</v>
      </c>
      <c r="C320" t="s">
        <v>4229</v>
      </c>
      <c r="D320">
        <v>10</v>
      </c>
      <c r="E320" t="s">
        <v>4454</v>
      </c>
      <c r="F320" t="s">
        <v>1675</v>
      </c>
      <c r="G320" t="s">
        <v>5575</v>
      </c>
      <c r="H320" t="s">
        <v>4957</v>
      </c>
    </row>
    <row r="321" spans="1:8" x14ac:dyDescent="0.25">
      <c r="A321">
        <v>654536201</v>
      </c>
      <c r="B321" t="s">
        <v>74</v>
      </c>
      <c r="C321" t="s">
        <v>4459</v>
      </c>
      <c r="D321">
        <v>5</v>
      </c>
      <c r="E321" t="s">
        <v>2372</v>
      </c>
      <c r="F321" t="s">
        <v>1592</v>
      </c>
      <c r="G321" t="s">
        <v>5571</v>
      </c>
      <c r="H321" t="s">
        <v>4957</v>
      </c>
    </row>
    <row r="322" spans="1:8" x14ac:dyDescent="0.25">
      <c r="A322">
        <v>654787603</v>
      </c>
      <c r="B322" t="s">
        <v>4434</v>
      </c>
      <c r="C322" t="s">
        <v>4515</v>
      </c>
      <c r="D322">
        <v>8</v>
      </c>
      <c r="E322" t="s">
        <v>4445</v>
      </c>
      <c r="F322" t="s">
        <v>4514</v>
      </c>
      <c r="G322" t="s">
        <v>5575</v>
      </c>
      <c r="H322" t="s">
        <v>4957</v>
      </c>
    </row>
    <row r="323" spans="1:8" x14ac:dyDescent="0.25">
      <c r="A323">
        <v>65624508</v>
      </c>
      <c r="B323" t="s">
        <v>5429</v>
      </c>
      <c r="C323" t="s">
        <v>4170</v>
      </c>
      <c r="D323">
        <v>14</v>
      </c>
      <c r="E323" t="s">
        <v>4445</v>
      </c>
      <c r="F323" t="s">
        <v>5430</v>
      </c>
      <c r="G323" t="s">
        <v>5568</v>
      </c>
      <c r="H323" t="s">
        <v>4915</v>
      </c>
    </row>
    <row r="324" spans="1:8" x14ac:dyDescent="0.25">
      <c r="A324">
        <v>656371900</v>
      </c>
      <c r="B324" t="s">
        <v>279</v>
      </c>
      <c r="C324" t="s">
        <v>4409</v>
      </c>
      <c r="D324">
        <v>13</v>
      </c>
      <c r="E324" t="s">
        <v>4445</v>
      </c>
      <c r="F324" t="s">
        <v>1312</v>
      </c>
      <c r="G324" t="s">
        <v>5573</v>
      </c>
      <c r="H324" t="s">
        <v>4915</v>
      </c>
    </row>
    <row r="325" spans="1:8" x14ac:dyDescent="0.25">
      <c r="A325">
        <v>658811509</v>
      </c>
      <c r="B325" t="s">
        <v>5590</v>
      </c>
      <c r="C325" t="s">
        <v>4465</v>
      </c>
      <c r="D325">
        <v>13</v>
      </c>
      <c r="E325" t="s">
        <v>4445</v>
      </c>
      <c r="F325" t="s">
        <v>5591</v>
      </c>
      <c r="G325" t="s">
        <v>5570</v>
      </c>
      <c r="H325" t="s">
        <v>4915</v>
      </c>
    </row>
    <row r="326" spans="1:8" x14ac:dyDescent="0.25">
      <c r="A326">
        <v>676078003</v>
      </c>
      <c r="B326" t="s">
        <v>958</v>
      </c>
      <c r="C326" t="s">
        <v>4233</v>
      </c>
      <c r="D326">
        <v>11</v>
      </c>
      <c r="E326" t="s">
        <v>4445</v>
      </c>
      <c r="F326" t="s">
        <v>1596</v>
      </c>
      <c r="G326" t="s">
        <v>5571</v>
      </c>
      <c r="H326" t="s">
        <v>4957</v>
      </c>
    </row>
    <row r="327" spans="1:8" x14ac:dyDescent="0.25">
      <c r="A327">
        <v>690101009</v>
      </c>
      <c r="B327" t="s">
        <v>280</v>
      </c>
      <c r="C327" t="s">
        <v>4181</v>
      </c>
      <c r="D327">
        <v>15</v>
      </c>
      <c r="E327" t="s">
        <v>4445</v>
      </c>
      <c r="F327" t="s">
        <v>1977</v>
      </c>
      <c r="G327" t="s">
        <v>5575</v>
      </c>
      <c r="H327" t="s">
        <v>4957</v>
      </c>
    </row>
    <row r="328" spans="1:8" x14ac:dyDescent="0.25">
      <c r="A328">
        <v>690102005</v>
      </c>
      <c r="B328" t="s">
        <v>281</v>
      </c>
      <c r="C328" t="s">
        <v>4298</v>
      </c>
      <c r="D328">
        <v>1</v>
      </c>
      <c r="E328" t="s">
        <v>4445</v>
      </c>
      <c r="F328" t="s">
        <v>1600</v>
      </c>
      <c r="G328" t="s">
        <v>5575</v>
      </c>
      <c r="H328" t="s">
        <v>4957</v>
      </c>
    </row>
    <row r="329" spans="1:8" x14ac:dyDescent="0.25">
      <c r="A329">
        <v>690103001</v>
      </c>
      <c r="B329" t="s">
        <v>1037</v>
      </c>
      <c r="C329" t="s">
        <v>4186</v>
      </c>
      <c r="D329">
        <v>1</v>
      </c>
      <c r="E329" t="s">
        <v>4453</v>
      </c>
      <c r="F329" t="s">
        <v>2199</v>
      </c>
      <c r="G329" t="s">
        <v>5575</v>
      </c>
      <c r="H329" t="s">
        <v>4957</v>
      </c>
    </row>
    <row r="330" spans="1:8" x14ac:dyDescent="0.25">
      <c r="A330">
        <v>690104008</v>
      </c>
      <c r="B330" t="s">
        <v>982</v>
      </c>
      <c r="C330" t="s">
        <v>4403</v>
      </c>
      <c r="D330">
        <v>1</v>
      </c>
      <c r="E330" t="s">
        <v>4445</v>
      </c>
      <c r="F330" t="s">
        <v>1819</v>
      </c>
      <c r="G330" t="s">
        <v>5575</v>
      </c>
      <c r="H330" t="s">
        <v>4957</v>
      </c>
    </row>
    <row r="331" spans="1:8" x14ac:dyDescent="0.25">
      <c r="A331" t="s">
        <v>997</v>
      </c>
      <c r="B331" t="s">
        <v>993</v>
      </c>
      <c r="C331" t="s">
        <v>4237</v>
      </c>
      <c r="D331">
        <v>2</v>
      </c>
      <c r="E331" t="s">
        <v>4445</v>
      </c>
      <c r="F331" t="s">
        <v>1606</v>
      </c>
      <c r="G331" t="s">
        <v>5575</v>
      </c>
      <c r="H331" t="s">
        <v>4957</v>
      </c>
    </row>
    <row r="332" spans="1:8" x14ac:dyDescent="0.25">
      <c r="A332">
        <v>690301008</v>
      </c>
      <c r="B332" t="s">
        <v>282</v>
      </c>
      <c r="C332" t="s">
        <v>4182</v>
      </c>
      <c r="D332">
        <v>2</v>
      </c>
      <c r="E332" t="s">
        <v>4445</v>
      </c>
      <c r="F332" t="s">
        <v>1608</v>
      </c>
      <c r="G332" t="s">
        <v>5575</v>
      </c>
      <c r="H332" t="s">
        <v>4957</v>
      </c>
    </row>
    <row r="333" spans="1:8" x14ac:dyDescent="0.25">
      <c r="A333">
        <v>690302004</v>
      </c>
      <c r="B333" t="s">
        <v>283</v>
      </c>
      <c r="C333" t="s">
        <v>4466</v>
      </c>
      <c r="D333">
        <v>3</v>
      </c>
      <c r="E333" t="s">
        <v>4445</v>
      </c>
      <c r="F333" t="s">
        <v>1470</v>
      </c>
      <c r="G333" t="s">
        <v>5575</v>
      </c>
      <c r="H333" t="s">
        <v>4957</v>
      </c>
    </row>
    <row r="334" spans="1:8" x14ac:dyDescent="0.25">
      <c r="A334">
        <v>690303000</v>
      </c>
      <c r="B334" t="s">
        <v>284</v>
      </c>
      <c r="C334" t="s">
        <v>4299</v>
      </c>
      <c r="D334">
        <v>3</v>
      </c>
      <c r="E334" t="s">
        <v>4445</v>
      </c>
      <c r="F334" t="s">
        <v>1895</v>
      </c>
      <c r="G334" t="s">
        <v>5575</v>
      </c>
      <c r="H334" t="s">
        <v>4957</v>
      </c>
    </row>
    <row r="335" spans="1:8" x14ac:dyDescent="0.25">
      <c r="A335">
        <v>690304007</v>
      </c>
      <c r="B335" t="s">
        <v>285</v>
      </c>
      <c r="C335" t="s">
        <v>4300</v>
      </c>
      <c r="D335">
        <v>3</v>
      </c>
      <c r="E335" t="s">
        <v>4445</v>
      </c>
      <c r="F335" t="s">
        <v>1614</v>
      </c>
      <c r="G335" t="s">
        <v>5575</v>
      </c>
      <c r="H335" t="s">
        <v>4957</v>
      </c>
    </row>
    <row r="336" spans="1:8" x14ac:dyDescent="0.25">
      <c r="A336">
        <v>690305003</v>
      </c>
      <c r="B336" t="s">
        <v>286</v>
      </c>
      <c r="C336" t="s">
        <v>4241</v>
      </c>
      <c r="D336">
        <v>3</v>
      </c>
      <c r="E336" t="s">
        <v>4445</v>
      </c>
      <c r="F336" t="s">
        <v>1803</v>
      </c>
      <c r="G336" t="s">
        <v>5575</v>
      </c>
      <c r="H336" t="s">
        <v>4957</v>
      </c>
    </row>
    <row r="337" spans="1:8" x14ac:dyDescent="0.25">
      <c r="A337" t="s">
        <v>672</v>
      </c>
      <c r="B337" t="s">
        <v>673</v>
      </c>
      <c r="C337" t="s">
        <v>4301</v>
      </c>
      <c r="D337">
        <v>3</v>
      </c>
      <c r="E337" t="s">
        <v>4445</v>
      </c>
      <c r="F337" t="s">
        <v>1618</v>
      </c>
      <c r="G337" t="s">
        <v>5575</v>
      </c>
      <c r="H337" t="s">
        <v>4957</v>
      </c>
    </row>
    <row r="338" spans="1:8" x14ac:dyDescent="0.25">
      <c r="A338">
        <v>690307006</v>
      </c>
      <c r="B338" t="s">
        <v>5627</v>
      </c>
      <c r="C338" t="s">
        <v>4396</v>
      </c>
      <c r="D338">
        <v>3</v>
      </c>
      <c r="E338" t="s">
        <v>4445</v>
      </c>
      <c r="F338" t="s">
        <v>5628</v>
      </c>
      <c r="G338" t="s">
        <v>5575</v>
      </c>
      <c r="H338" t="s">
        <v>4957</v>
      </c>
    </row>
    <row r="339" spans="1:8" x14ac:dyDescent="0.25">
      <c r="A339">
        <v>690401002</v>
      </c>
      <c r="B339" t="s">
        <v>1621</v>
      </c>
      <c r="C339" t="s">
        <v>4171</v>
      </c>
      <c r="D339">
        <v>4</v>
      </c>
      <c r="E339" t="s">
        <v>4445</v>
      </c>
      <c r="F339" t="s">
        <v>1620</v>
      </c>
      <c r="G339" t="s">
        <v>5575</v>
      </c>
      <c r="H339" t="s">
        <v>4915</v>
      </c>
    </row>
    <row r="340" spans="1:8" x14ac:dyDescent="0.25">
      <c r="A340">
        <v>690402009</v>
      </c>
      <c r="B340" t="s">
        <v>4517</v>
      </c>
      <c r="C340" t="s">
        <v>4518</v>
      </c>
      <c r="D340">
        <v>4</v>
      </c>
      <c r="E340" t="s">
        <v>4445</v>
      </c>
      <c r="F340" t="s">
        <v>4516</v>
      </c>
      <c r="G340" t="s">
        <v>5575</v>
      </c>
      <c r="H340" t="s">
        <v>4957</v>
      </c>
    </row>
    <row r="341" spans="1:8" x14ac:dyDescent="0.25">
      <c r="A341">
        <v>690403005</v>
      </c>
      <c r="B341" t="s">
        <v>75</v>
      </c>
      <c r="C341" t="s">
        <v>4245</v>
      </c>
      <c r="D341">
        <v>4</v>
      </c>
      <c r="E341" t="s">
        <v>2372</v>
      </c>
      <c r="F341" t="s">
        <v>1612</v>
      </c>
      <c r="G341" t="s">
        <v>5575</v>
      </c>
      <c r="H341" t="s">
        <v>4957</v>
      </c>
    </row>
    <row r="342" spans="1:8" x14ac:dyDescent="0.25">
      <c r="A342">
        <v>690405008</v>
      </c>
      <c r="B342" t="s">
        <v>1031</v>
      </c>
      <c r="C342" t="s">
        <v>4244</v>
      </c>
      <c r="D342">
        <v>4</v>
      </c>
      <c r="E342" t="s">
        <v>4445</v>
      </c>
      <c r="F342" t="s">
        <v>1625</v>
      </c>
      <c r="G342" t="s">
        <v>5575</v>
      </c>
      <c r="H342" t="s">
        <v>4957</v>
      </c>
    </row>
    <row r="343" spans="1:8" x14ac:dyDescent="0.25">
      <c r="A343">
        <v>690406004</v>
      </c>
      <c r="B343" t="s">
        <v>897</v>
      </c>
      <c r="C343" t="s">
        <v>4302</v>
      </c>
      <c r="D343">
        <v>4</v>
      </c>
      <c r="E343" t="s">
        <v>4445</v>
      </c>
      <c r="F343" t="s">
        <v>1588</v>
      </c>
      <c r="G343" t="s">
        <v>5575</v>
      </c>
      <c r="H343" t="s">
        <v>4957</v>
      </c>
    </row>
    <row r="344" spans="1:8" x14ac:dyDescent="0.25">
      <c r="A344">
        <v>690407000</v>
      </c>
      <c r="B344" t="s">
        <v>76</v>
      </c>
      <c r="C344" t="s">
        <v>4397</v>
      </c>
      <c r="D344">
        <v>4</v>
      </c>
      <c r="E344" t="s">
        <v>2372</v>
      </c>
      <c r="F344" t="s">
        <v>3077</v>
      </c>
      <c r="G344" t="s">
        <v>5575</v>
      </c>
      <c r="H344" t="s">
        <v>4957</v>
      </c>
    </row>
    <row r="345" spans="1:8" x14ac:dyDescent="0.25">
      <c r="A345">
        <v>690408007</v>
      </c>
      <c r="B345" t="s">
        <v>287</v>
      </c>
      <c r="C345" t="s">
        <v>4303</v>
      </c>
      <c r="D345">
        <v>4</v>
      </c>
      <c r="E345" t="s">
        <v>4445</v>
      </c>
      <c r="F345" t="s">
        <v>1631</v>
      </c>
      <c r="G345" t="s">
        <v>5575</v>
      </c>
      <c r="H345" t="s">
        <v>4957</v>
      </c>
    </row>
    <row r="346" spans="1:8" x14ac:dyDescent="0.25">
      <c r="A346">
        <v>690409003</v>
      </c>
      <c r="B346" t="s">
        <v>288</v>
      </c>
      <c r="C346" t="s">
        <v>4304</v>
      </c>
      <c r="D346">
        <v>4</v>
      </c>
      <c r="E346" t="s">
        <v>4445</v>
      </c>
      <c r="F346" t="s">
        <v>1633</v>
      </c>
      <c r="G346" t="s">
        <v>5575</v>
      </c>
      <c r="H346" t="s">
        <v>4957</v>
      </c>
    </row>
    <row r="347" spans="1:8" x14ac:dyDescent="0.25">
      <c r="A347">
        <v>690410001</v>
      </c>
      <c r="B347" t="s">
        <v>784</v>
      </c>
      <c r="C347" t="s">
        <v>4519</v>
      </c>
      <c r="D347">
        <v>4</v>
      </c>
      <c r="E347" t="s">
        <v>4445</v>
      </c>
      <c r="F347" t="s">
        <v>1635</v>
      </c>
      <c r="G347" t="s">
        <v>5575</v>
      </c>
      <c r="H347" t="s">
        <v>4957</v>
      </c>
    </row>
    <row r="348" spans="1:8" x14ac:dyDescent="0.25">
      <c r="A348">
        <v>690411008</v>
      </c>
      <c r="B348" t="s">
        <v>289</v>
      </c>
      <c r="C348" t="s">
        <v>4489</v>
      </c>
      <c r="D348">
        <v>4</v>
      </c>
      <c r="E348" t="s">
        <v>4445</v>
      </c>
      <c r="F348" t="s">
        <v>1213</v>
      </c>
      <c r="G348" t="s">
        <v>5575</v>
      </c>
      <c r="H348" t="s">
        <v>4957</v>
      </c>
    </row>
    <row r="349" spans="1:8" x14ac:dyDescent="0.25">
      <c r="A349">
        <v>690412004</v>
      </c>
      <c r="B349" t="s">
        <v>290</v>
      </c>
      <c r="C349" t="s">
        <v>4398</v>
      </c>
      <c r="D349">
        <v>4</v>
      </c>
      <c r="E349" t="s">
        <v>4445</v>
      </c>
      <c r="F349" t="s">
        <v>3618</v>
      </c>
      <c r="G349" t="s">
        <v>5575</v>
      </c>
      <c r="H349" t="s">
        <v>4957</v>
      </c>
    </row>
    <row r="350" spans="1:8" x14ac:dyDescent="0.25">
      <c r="A350">
        <v>690413000</v>
      </c>
      <c r="B350" t="s">
        <v>4420</v>
      </c>
      <c r="C350" t="s">
        <v>4521</v>
      </c>
      <c r="D350">
        <v>4</v>
      </c>
      <c r="E350" t="s">
        <v>4445</v>
      </c>
      <c r="F350" t="s">
        <v>4520</v>
      </c>
      <c r="G350" t="s">
        <v>5575</v>
      </c>
      <c r="H350" t="s">
        <v>4957</v>
      </c>
    </row>
    <row r="351" spans="1:8" x14ac:dyDescent="0.25">
      <c r="A351">
        <v>690414007</v>
      </c>
      <c r="B351" t="s">
        <v>898</v>
      </c>
      <c r="C351" t="s">
        <v>4247</v>
      </c>
      <c r="D351">
        <v>4</v>
      </c>
      <c r="E351" t="s">
        <v>4445</v>
      </c>
      <c r="F351" t="s">
        <v>1270</v>
      </c>
      <c r="G351" t="s">
        <v>5575</v>
      </c>
      <c r="H351" t="s">
        <v>4957</v>
      </c>
    </row>
    <row r="352" spans="1:8" x14ac:dyDescent="0.25">
      <c r="A352">
        <v>690415003</v>
      </c>
      <c r="B352" t="s">
        <v>899</v>
      </c>
      <c r="C352" t="s">
        <v>4248</v>
      </c>
      <c r="D352">
        <v>4</v>
      </c>
      <c r="E352" t="s">
        <v>4445</v>
      </c>
      <c r="F352" t="s">
        <v>1642</v>
      </c>
      <c r="G352" t="s">
        <v>5575</v>
      </c>
      <c r="H352" t="s">
        <v>4957</v>
      </c>
    </row>
    <row r="353" spans="1:8" x14ac:dyDescent="0.25">
      <c r="A353">
        <v>690501007</v>
      </c>
      <c r="B353" t="s">
        <v>77</v>
      </c>
      <c r="C353" t="s">
        <v>4305</v>
      </c>
      <c r="D353">
        <v>5</v>
      </c>
      <c r="E353" t="s">
        <v>4445</v>
      </c>
      <c r="F353" t="s">
        <v>1540</v>
      </c>
      <c r="G353" t="s">
        <v>5575</v>
      </c>
      <c r="H353" t="s">
        <v>4957</v>
      </c>
    </row>
    <row r="354" spans="1:8" x14ac:dyDescent="0.25">
      <c r="A354">
        <v>690502003</v>
      </c>
      <c r="B354" t="s">
        <v>5431</v>
      </c>
      <c r="C354" t="s">
        <v>4253</v>
      </c>
      <c r="D354">
        <v>5</v>
      </c>
      <c r="E354" t="s">
        <v>4445</v>
      </c>
      <c r="F354" t="s">
        <v>5432</v>
      </c>
      <c r="G354" t="s">
        <v>5575</v>
      </c>
      <c r="H354" t="s">
        <v>4957</v>
      </c>
    </row>
    <row r="355" spans="1:8" x14ac:dyDescent="0.25">
      <c r="A355" t="s">
        <v>674</v>
      </c>
      <c r="B355" t="s">
        <v>675</v>
      </c>
      <c r="C355" t="s">
        <v>4306</v>
      </c>
      <c r="D355">
        <v>5</v>
      </c>
      <c r="E355" t="s">
        <v>4445</v>
      </c>
      <c r="F355" t="s">
        <v>2794</v>
      </c>
      <c r="G355" t="s">
        <v>5575</v>
      </c>
      <c r="H355" t="s">
        <v>4957</v>
      </c>
    </row>
    <row r="356" spans="1:8" x14ac:dyDescent="0.25">
      <c r="A356">
        <v>690504006</v>
      </c>
      <c r="B356" t="s">
        <v>785</v>
      </c>
      <c r="C356" t="s">
        <v>4307</v>
      </c>
      <c r="D356">
        <v>5</v>
      </c>
      <c r="E356" t="s">
        <v>4445</v>
      </c>
      <c r="F356" t="s">
        <v>1648</v>
      </c>
      <c r="G356" t="s">
        <v>5575</v>
      </c>
      <c r="H356" t="s">
        <v>4957</v>
      </c>
    </row>
    <row r="357" spans="1:8" x14ac:dyDescent="0.25">
      <c r="A357">
        <v>690505002</v>
      </c>
      <c r="B357" t="s">
        <v>291</v>
      </c>
      <c r="C357" t="s">
        <v>4255</v>
      </c>
      <c r="D357">
        <v>5</v>
      </c>
      <c r="E357" t="s">
        <v>4445</v>
      </c>
      <c r="F357" t="s">
        <v>1664</v>
      </c>
      <c r="G357" t="s">
        <v>5575</v>
      </c>
      <c r="H357" t="s">
        <v>4957</v>
      </c>
    </row>
    <row r="358" spans="1:8" x14ac:dyDescent="0.25">
      <c r="A358">
        <v>690506009</v>
      </c>
      <c r="B358" t="s">
        <v>292</v>
      </c>
      <c r="C358" t="s">
        <v>4174</v>
      </c>
      <c r="D358">
        <v>5</v>
      </c>
      <c r="E358" t="s">
        <v>4445</v>
      </c>
      <c r="F358" t="s">
        <v>1652</v>
      </c>
      <c r="G358" t="s">
        <v>5575</v>
      </c>
      <c r="H358" t="s">
        <v>4957</v>
      </c>
    </row>
    <row r="359" spans="1:8" x14ac:dyDescent="0.25">
      <c r="A359">
        <v>690507005</v>
      </c>
      <c r="B359" t="s">
        <v>900</v>
      </c>
      <c r="C359" t="s">
        <v>4256</v>
      </c>
      <c r="D359">
        <v>5</v>
      </c>
      <c r="E359" t="s">
        <v>4445</v>
      </c>
      <c r="F359" t="s">
        <v>1654</v>
      </c>
      <c r="G359" t="s">
        <v>5575</v>
      </c>
      <c r="H359" t="s">
        <v>4957</v>
      </c>
    </row>
    <row r="360" spans="1:8" x14ac:dyDescent="0.25">
      <c r="A360">
        <v>690508001</v>
      </c>
      <c r="B360" t="s">
        <v>901</v>
      </c>
      <c r="C360" t="s">
        <v>4522</v>
      </c>
      <c r="D360">
        <v>5</v>
      </c>
      <c r="E360" t="s">
        <v>4445</v>
      </c>
      <c r="F360" t="s">
        <v>1198</v>
      </c>
      <c r="G360" t="s">
        <v>5575</v>
      </c>
      <c r="H360" t="s">
        <v>4957</v>
      </c>
    </row>
    <row r="361" spans="1:8" x14ac:dyDescent="0.25">
      <c r="A361">
        <v>690509008</v>
      </c>
      <c r="B361" t="s">
        <v>786</v>
      </c>
      <c r="C361" t="s">
        <v>4308</v>
      </c>
      <c r="D361">
        <v>5</v>
      </c>
      <c r="E361" t="s">
        <v>4445</v>
      </c>
      <c r="F361" t="s">
        <v>1659</v>
      </c>
      <c r="G361" t="s">
        <v>5575</v>
      </c>
      <c r="H361" t="s">
        <v>4957</v>
      </c>
    </row>
    <row r="362" spans="1:8" x14ac:dyDescent="0.25">
      <c r="A362">
        <v>690510006</v>
      </c>
      <c r="B362" t="s">
        <v>293</v>
      </c>
      <c r="C362" t="s">
        <v>4523</v>
      </c>
      <c r="D362">
        <v>5</v>
      </c>
      <c r="E362" t="s">
        <v>4445</v>
      </c>
      <c r="F362" t="s">
        <v>1179</v>
      </c>
      <c r="G362" t="s">
        <v>5575</v>
      </c>
      <c r="H362" t="s">
        <v>4957</v>
      </c>
    </row>
    <row r="363" spans="1:8" x14ac:dyDescent="0.25">
      <c r="A363">
        <v>690511002</v>
      </c>
      <c r="B363" t="s">
        <v>294</v>
      </c>
      <c r="C363" t="s">
        <v>4192</v>
      </c>
      <c r="D363">
        <v>5</v>
      </c>
      <c r="E363" t="s">
        <v>4445</v>
      </c>
      <c r="F363" t="s">
        <v>1677</v>
      </c>
      <c r="G363" t="s">
        <v>5575</v>
      </c>
      <c r="H363" t="s">
        <v>4957</v>
      </c>
    </row>
    <row r="364" spans="1:8" x14ac:dyDescent="0.25">
      <c r="A364">
        <v>690512009</v>
      </c>
      <c r="B364" t="s">
        <v>295</v>
      </c>
      <c r="C364" t="s">
        <v>4524</v>
      </c>
      <c r="D364">
        <v>5</v>
      </c>
      <c r="E364" t="s">
        <v>4445</v>
      </c>
      <c r="F364" t="s">
        <v>1246</v>
      </c>
      <c r="G364" t="s">
        <v>5575</v>
      </c>
      <c r="H364" t="s">
        <v>4957</v>
      </c>
    </row>
    <row r="365" spans="1:8" x14ac:dyDescent="0.25">
      <c r="A365">
        <v>690513005</v>
      </c>
      <c r="B365" t="s">
        <v>296</v>
      </c>
      <c r="C365" t="s">
        <v>4309</v>
      </c>
      <c r="D365">
        <v>5</v>
      </c>
      <c r="E365" t="s">
        <v>4445</v>
      </c>
      <c r="F365" t="s">
        <v>4126</v>
      </c>
      <c r="G365" t="s">
        <v>5575</v>
      </c>
      <c r="H365" t="s">
        <v>4957</v>
      </c>
    </row>
    <row r="366" spans="1:8" x14ac:dyDescent="0.25">
      <c r="A366">
        <v>690514001</v>
      </c>
      <c r="B366" t="s">
        <v>78</v>
      </c>
      <c r="C366" t="s">
        <v>4310</v>
      </c>
      <c r="D366">
        <v>5</v>
      </c>
      <c r="E366" t="s">
        <v>4445</v>
      </c>
      <c r="F366" t="s">
        <v>1670</v>
      </c>
      <c r="G366" t="s">
        <v>5575</v>
      </c>
      <c r="H366" t="s">
        <v>4957</v>
      </c>
    </row>
    <row r="367" spans="1:8" x14ac:dyDescent="0.25">
      <c r="A367">
        <v>690602008</v>
      </c>
      <c r="B367" t="s">
        <v>297</v>
      </c>
      <c r="C367" t="s">
        <v>4311</v>
      </c>
      <c r="D367">
        <v>5</v>
      </c>
      <c r="E367" t="s">
        <v>4445</v>
      </c>
      <c r="F367" t="s">
        <v>1353</v>
      </c>
      <c r="G367" t="s">
        <v>5575</v>
      </c>
      <c r="H367" t="s">
        <v>4957</v>
      </c>
    </row>
    <row r="368" spans="1:8" x14ac:dyDescent="0.25">
      <c r="A368">
        <v>690603004</v>
      </c>
      <c r="B368" t="s">
        <v>298</v>
      </c>
      <c r="C368" t="s">
        <v>4252</v>
      </c>
      <c r="D368">
        <v>5</v>
      </c>
      <c r="E368" t="s">
        <v>4445</v>
      </c>
      <c r="F368" t="s">
        <v>2349</v>
      </c>
      <c r="G368" t="s">
        <v>5575</v>
      </c>
      <c r="H368" t="s">
        <v>4957</v>
      </c>
    </row>
    <row r="369" spans="1:8" x14ac:dyDescent="0.25">
      <c r="A369">
        <v>690605007</v>
      </c>
      <c r="B369" t="s">
        <v>79</v>
      </c>
      <c r="C369" t="s">
        <v>4312</v>
      </c>
      <c r="D369">
        <v>5</v>
      </c>
      <c r="E369" t="s">
        <v>4445</v>
      </c>
      <c r="F369" t="s">
        <v>2107</v>
      </c>
      <c r="G369" t="s">
        <v>5575</v>
      </c>
      <c r="H369" t="s">
        <v>4957</v>
      </c>
    </row>
    <row r="370" spans="1:8" x14ac:dyDescent="0.25">
      <c r="A370">
        <v>690606003</v>
      </c>
      <c r="B370" t="s">
        <v>299</v>
      </c>
      <c r="C370" t="s">
        <v>4404</v>
      </c>
      <c r="D370">
        <v>5</v>
      </c>
      <c r="E370" t="s">
        <v>4445</v>
      </c>
      <c r="F370" t="s">
        <v>1831</v>
      </c>
      <c r="G370" t="s">
        <v>5575</v>
      </c>
      <c r="H370" t="s">
        <v>4957</v>
      </c>
    </row>
    <row r="371" spans="1:8" x14ac:dyDescent="0.25">
      <c r="A371" t="s">
        <v>4764</v>
      </c>
      <c r="B371" t="s">
        <v>1680</v>
      </c>
      <c r="C371" t="s">
        <v>4313</v>
      </c>
      <c r="D371">
        <v>5</v>
      </c>
      <c r="E371" t="s">
        <v>4445</v>
      </c>
      <c r="F371" t="s">
        <v>1679</v>
      </c>
      <c r="G371" t="s">
        <v>5575</v>
      </c>
      <c r="H371" t="s">
        <v>4957</v>
      </c>
    </row>
    <row r="372" spans="1:8" x14ac:dyDescent="0.25">
      <c r="A372">
        <v>690608006</v>
      </c>
      <c r="B372" t="s">
        <v>80</v>
      </c>
      <c r="C372" t="s">
        <v>4525</v>
      </c>
      <c r="D372">
        <v>5</v>
      </c>
      <c r="E372" t="s">
        <v>4445</v>
      </c>
      <c r="F372" t="s">
        <v>2031</v>
      </c>
      <c r="G372" t="s">
        <v>5575</v>
      </c>
      <c r="H372" t="s">
        <v>4957</v>
      </c>
    </row>
    <row r="373" spans="1:8" x14ac:dyDescent="0.25">
      <c r="A373">
        <v>690611007</v>
      </c>
      <c r="B373" t="s">
        <v>1683</v>
      </c>
      <c r="C373" t="s">
        <v>4249</v>
      </c>
      <c r="D373">
        <v>5</v>
      </c>
      <c r="E373" t="s">
        <v>4445</v>
      </c>
      <c r="F373" t="s">
        <v>1682</v>
      </c>
      <c r="G373" t="s">
        <v>5575</v>
      </c>
      <c r="H373" t="s">
        <v>4957</v>
      </c>
    </row>
    <row r="374" spans="1:8" x14ac:dyDescent="0.25">
      <c r="A374">
        <v>690612003</v>
      </c>
      <c r="B374" t="s">
        <v>300</v>
      </c>
      <c r="C374" t="s">
        <v>4526</v>
      </c>
      <c r="D374">
        <v>5</v>
      </c>
      <c r="E374" t="s">
        <v>4445</v>
      </c>
      <c r="F374" t="s">
        <v>1685</v>
      </c>
      <c r="G374" t="s">
        <v>5575</v>
      </c>
      <c r="H374" t="s">
        <v>4957</v>
      </c>
    </row>
    <row r="375" spans="1:8" x14ac:dyDescent="0.25">
      <c r="A375">
        <v>690614006</v>
      </c>
      <c r="B375" t="s">
        <v>301</v>
      </c>
      <c r="C375" t="s">
        <v>4193</v>
      </c>
      <c r="D375">
        <v>5</v>
      </c>
      <c r="E375" t="s">
        <v>4445</v>
      </c>
      <c r="F375" t="s">
        <v>1687</v>
      </c>
      <c r="G375" t="s">
        <v>5575</v>
      </c>
      <c r="H375" t="s">
        <v>4957</v>
      </c>
    </row>
    <row r="376" spans="1:8" x14ac:dyDescent="0.25">
      <c r="A376">
        <v>690616009</v>
      </c>
      <c r="B376" t="s">
        <v>81</v>
      </c>
      <c r="C376" t="s">
        <v>4314</v>
      </c>
      <c r="D376">
        <v>5</v>
      </c>
      <c r="E376" t="s">
        <v>4445</v>
      </c>
      <c r="F376" t="s">
        <v>1418</v>
      </c>
      <c r="G376" t="s">
        <v>5575</v>
      </c>
      <c r="H376" t="s">
        <v>4957</v>
      </c>
    </row>
    <row r="377" spans="1:8" x14ac:dyDescent="0.25">
      <c r="A377">
        <v>690617005</v>
      </c>
      <c r="B377" t="s">
        <v>749</v>
      </c>
      <c r="C377" t="s">
        <v>4527</v>
      </c>
      <c r="D377">
        <v>5</v>
      </c>
      <c r="E377" t="s">
        <v>4445</v>
      </c>
      <c r="F377" t="s">
        <v>1691</v>
      </c>
      <c r="G377" t="s">
        <v>5575</v>
      </c>
      <c r="H377" t="s">
        <v>4957</v>
      </c>
    </row>
    <row r="378" spans="1:8" x14ac:dyDescent="0.25">
      <c r="A378">
        <v>690701006</v>
      </c>
      <c r="B378" t="s">
        <v>302</v>
      </c>
      <c r="C378" t="s">
        <v>4168</v>
      </c>
      <c r="D378">
        <v>13</v>
      </c>
      <c r="E378" t="s">
        <v>4445</v>
      </c>
      <c r="F378" t="s">
        <v>1562</v>
      </c>
      <c r="G378" t="s">
        <v>5575</v>
      </c>
      <c r="H378" t="s">
        <v>4957</v>
      </c>
    </row>
    <row r="379" spans="1:8" x14ac:dyDescent="0.25">
      <c r="A379">
        <v>690703017</v>
      </c>
      <c r="B379" t="s">
        <v>303</v>
      </c>
      <c r="C379" t="s">
        <v>4391</v>
      </c>
      <c r="D379">
        <v>13</v>
      </c>
      <c r="E379" t="s">
        <v>4445</v>
      </c>
      <c r="F379" t="s">
        <v>3576</v>
      </c>
      <c r="G379" t="s">
        <v>5574</v>
      </c>
      <c r="H379" t="s">
        <v>4957</v>
      </c>
    </row>
    <row r="380" spans="1:8" x14ac:dyDescent="0.25">
      <c r="A380">
        <v>690707004</v>
      </c>
      <c r="B380" t="s">
        <v>5490</v>
      </c>
      <c r="C380" t="s">
        <v>4394</v>
      </c>
      <c r="D380">
        <v>13</v>
      </c>
      <c r="E380" t="s">
        <v>4445</v>
      </c>
      <c r="F380" t="s">
        <v>5491</v>
      </c>
      <c r="G380" t="s">
        <v>5575</v>
      </c>
      <c r="H380" t="s">
        <v>4957</v>
      </c>
    </row>
    <row r="381" spans="1:8" x14ac:dyDescent="0.25">
      <c r="A381">
        <v>690709007</v>
      </c>
      <c r="B381" t="s">
        <v>304</v>
      </c>
      <c r="C381" t="s">
        <v>4510</v>
      </c>
      <c r="D381">
        <v>13</v>
      </c>
      <c r="E381" t="s">
        <v>4445</v>
      </c>
      <c r="F381" t="s">
        <v>2169</v>
      </c>
      <c r="G381" t="s">
        <v>5575</v>
      </c>
      <c r="H381" t="s">
        <v>4957</v>
      </c>
    </row>
    <row r="382" spans="1:8" x14ac:dyDescent="0.25">
      <c r="A382">
        <v>690713004</v>
      </c>
      <c r="B382" t="s">
        <v>305</v>
      </c>
      <c r="C382" t="s">
        <v>4528</v>
      </c>
      <c r="D382">
        <v>13</v>
      </c>
      <c r="E382" t="s">
        <v>4445</v>
      </c>
      <c r="F382" t="s">
        <v>3996</v>
      </c>
      <c r="G382" t="s">
        <v>5575</v>
      </c>
      <c r="H382" t="s">
        <v>4957</v>
      </c>
    </row>
    <row r="383" spans="1:8" x14ac:dyDescent="0.25">
      <c r="A383">
        <v>690713012</v>
      </c>
      <c r="B383" t="s">
        <v>305</v>
      </c>
      <c r="C383" t="s">
        <v>4315</v>
      </c>
      <c r="D383">
        <v>13</v>
      </c>
      <c r="E383" t="s">
        <v>4445</v>
      </c>
      <c r="F383" t="s">
        <v>1689</v>
      </c>
      <c r="G383" t="s">
        <v>5575</v>
      </c>
      <c r="H383" t="s">
        <v>4957</v>
      </c>
    </row>
    <row r="384" spans="1:8" x14ac:dyDescent="0.25">
      <c r="A384" t="s">
        <v>676</v>
      </c>
      <c r="B384" t="s">
        <v>677</v>
      </c>
      <c r="C384" t="s">
        <v>4194</v>
      </c>
      <c r="D384">
        <v>13</v>
      </c>
      <c r="E384" t="s">
        <v>4445</v>
      </c>
      <c r="F384" t="s">
        <v>2070</v>
      </c>
      <c r="G384" t="s">
        <v>5575</v>
      </c>
      <c r="H384" t="s">
        <v>4957</v>
      </c>
    </row>
    <row r="385" spans="1:8" x14ac:dyDescent="0.25">
      <c r="A385">
        <v>690718006</v>
      </c>
      <c r="B385" t="s">
        <v>306</v>
      </c>
      <c r="C385" t="s">
        <v>4196</v>
      </c>
      <c r="D385">
        <v>13</v>
      </c>
      <c r="E385" t="s">
        <v>4445</v>
      </c>
      <c r="F385" t="s">
        <v>2306</v>
      </c>
      <c r="G385" t="s">
        <v>5575</v>
      </c>
      <c r="H385" t="s">
        <v>4957</v>
      </c>
    </row>
    <row r="386" spans="1:8" x14ac:dyDescent="0.25">
      <c r="A386">
        <v>690720000</v>
      </c>
      <c r="B386" t="s">
        <v>307</v>
      </c>
      <c r="C386" t="s">
        <v>4529</v>
      </c>
      <c r="D386">
        <v>13</v>
      </c>
      <c r="E386" t="s">
        <v>4445</v>
      </c>
      <c r="F386" t="s">
        <v>2477</v>
      </c>
      <c r="G386" t="s">
        <v>5575</v>
      </c>
      <c r="H386" t="s">
        <v>4957</v>
      </c>
    </row>
    <row r="387" spans="1:8" x14ac:dyDescent="0.25">
      <c r="A387">
        <v>690724006</v>
      </c>
      <c r="B387" t="s">
        <v>308</v>
      </c>
      <c r="C387" t="s">
        <v>4530</v>
      </c>
      <c r="D387">
        <v>13</v>
      </c>
      <c r="E387" t="s">
        <v>4445</v>
      </c>
      <c r="F387" t="s">
        <v>1899</v>
      </c>
      <c r="G387" t="s">
        <v>5575</v>
      </c>
      <c r="H387" t="s">
        <v>4957</v>
      </c>
    </row>
    <row r="388" spans="1:8" x14ac:dyDescent="0.25">
      <c r="A388">
        <v>690726009</v>
      </c>
      <c r="B388" t="s">
        <v>309</v>
      </c>
      <c r="C388" t="s">
        <v>4316</v>
      </c>
      <c r="D388">
        <v>13</v>
      </c>
      <c r="E388" t="s">
        <v>4445</v>
      </c>
      <c r="F388" t="s">
        <v>3425</v>
      </c>
      <c r="G388" t="s">
        <v>5575</v>
      </c>
      <c r="H388" t="s">
        <v>4957</v>
      </c>
    </row>
    <row r="389" spans="1:8" x14ac:dyDescent="0.25">
      <c r="A389">
        <v>690728001</v>
      </c>
      <c r="B389" t="s">
        <v>4065</v>
      </c>
      <c r="C389" t="s">
        <v>4490</v>
      </c>
      <c r="D389">
        <v>5</v>
      </c>
      <c r="E389" t="s">
        <v>4445</v>
      </c>
      <c r="F389" t="s">
        <v>4064</v>
      </c>
      <c r="G389" t="s">
        <v>5575</v>
      </c>
      <c r="H389" t="s">
        <v>4957</v>
      </c>
    </row>
    <row r="390" spans="1:8" x14ac:dyDescent="0.25">
      <c r="A390">
        <v>690730006</v>
      </c>
      <c r="B390" t="s">
        <v>310</v>
      </c>
      <c r="C390" t="s">
        <v>4317</v>
      </c>
      <c r="D390">
        <v>13</v>
      </c>
      <c r="E390" t="s">
        <v>4445</v>
      </c>
      <c r="F390" t="s">
        <v>1594</v>
      </c>
      <c r="G390" t="s">
        <v>5575</v>
      </c>
      <c r="H390" t="s">
        <v>4957</v>
      </c>
    </row>
    <row r="391" spans="1:8" x14ac:dyDescent="0.25">
      <c r="A391">
        <v>690731002</v>
      </c>
      <c r="B391" t="s">
        <v>311</v>
      </c>
      <c r="C391" t="s">
        <v>4318</v>
      </c>
      <c r="D391">
        <v>13</v>
      </c>
      <c r="E391" t="s">
        <v>4445</v>
      </c>
      <c r="F391" t="s">
        <v>4067</v>
      </c>
      <c r="G391" t="s">
        <v>5575</v>
      </c>
      <c r="H391" t="s">
        <v>4957</v>
      </c>
    </row>
    <row r="392" spans="1:8" x14ac:dyDescent="0.25">
      <c r="A392">
        <v>690732009</v>
      </c>
      <c r="B392" t="s">
        <v>950</v>
      </c>
      <c r="C392" t="s">
        <v>4814</v>
      </c>
      <c r="D392">
        <v>13</v>
      </c>
      <c r="E392" t="s">
        <v>4445</v>
      </c>
      <c r="F392" t="s">
        <v>2487</v>
      </c>
      <c r="G392" t="s">
        <v>5575</v>
      </c>
      <c r="H392" t="s">
        <v>4957</v>
      </c>
    </row>
    <row r="393" spans="1:8" x14ac:dyDescent="0.25">
      <c r="A393">
        <v>690734001</v>
      </c>
      <c r="B393" t="s">
        <v>82</v>
      </c>
      <c r="C393" t="s">
        <v>4198</v>
      </c>
      <c r="D393">
        <v>5</v>
      </c>
      <c r="E393" t="s">
        <v>4445</v>
      </c>
      <c r="F393" t="s">
        <v>1722</v>
      </c>
      <c r="G393" t="s">
        <v>5575</v>
      </c>
      <c r="H393" t="s">
        <v>4957</v>
      </c>
    </row>
    <row r="394" spans="1:8" x14ac:dyDescent="0.25">
      <c r="A394">
        <v>690735008</v>
      </c>
      <c r="B394" t="s">
        <v>787</v>
      </c>
      <c r="C394" t="s">
        <v>4319</v>
      </c>
      <c r="D394">
        <v>5</v>
      </c>
      <c r="E394" t="s">
        <v>4445</v>
      </c>
      <c r="F394" t="s">
        <v>1704</v>
      </c>
      <c r="G394" t="s">
        <v>5575</v>
      </c>
      <c r="H394" t="s">
        <v>4957</v>
      </c>
    </row>
    <row r="395" spans="1:8" x14ac:dyDescent="0.25">
      <c r="A395">
        <v>690736004</v>
      </c>
      <c r="B395" t="s">
        <v>312</v>
      </c>
      <c r="C395" t="s">
        <v>4320</v>
      </c>
      <c r="D395">
        <v>5</v>
      </c>
      <c r="E395" t="s">
        <v>4445</v>
      </c>
      <c r="F395" t="s">
        <v>1727</v>
      </c>
      <c r="G395" t="s">
        <v>5575</v>
      </c>
      <c r="H395" t="s">
        <v>4957</v>
      </c>
    </row>
    <row r="396" spans="1:8" x14ac:dyDescent="0.25">
      <c r="A396">
        <v>690737000</v>
      </c>
      <c r="B396" t="s">
        <v>313</v>
      </c>
      <c r="C396" t="s">
        <v>4321</v>
      </c>
      <c r="D396">
        <v>5</v>
      </c>
      <c r="E396" t="s">
        <v>4445</v>
      </c>
      <c r="F396" t="s">
        <v>1326</v>
      </c>
      <c r="G396" t="s">
        <v>5575</v>
      </c>
      <c r="H396" t="s">
        <v>4957</v>
      </c>
    </row>
    <row r="397" spans="1:8" x14ac:dyDescent="0.25">
      <c r="A397">
        <v>690738007</v>
      </c>
      <c r="B397" t="s">
        <v>314</v>
      </c>
      <c r="C397" t="s">
        <v>4322</v>
      </c>
      <c r="D397">
        <v>6</v>
      </c>
      <c r="E397" t="s">
        <v>4445</v>
      </c>
      <c r="F397" t="s">
        <v>1627</v>
      </c>
      <c r="G397" t="s">
        <v>5575</v>
      </c>
      <c r="H397" t="s">
        <v>4957</v>
      </c>
    </row>
    <row r="398" spans="1:8" x14ac:dyDescent="0.25">
      <c r="A398">
        <v>690802007</v>
      </c>
      <c r="B398" t="s">
        <v>315</v>
      </c>
      <c r="C398" t="s">
        <v>4531</v>
      </c>
      <c r="D398">
        <v>6</v>
      </c>
      <c r="E398" t="s">
        <v>4445</v>
      </c>
      <c r="F398" t="s">
        <v>1407</v>
      </c>
      <c r="G398" t="s">
        <v>5575</v>
      </c>
      <c r="H398" t="s">
        <v>4957</v>
      </c>
    </row>
    <row r="399" spans="1:8" x14ac:dyDescent="0.25">
      <c r="A399" t="s">
        <v>678</v>
      </c>
      <c r="B399" t="s">
        <v>877</v>
      </c>
      <c r="C399" t="s">
        <v>4323</v>
      </c>
      <c r="D399">
        <v>6</v>
      </c>
      <c r="E399" t="s">
        <v>4445</v>
      </c>
      <c r="F399" t="s">
        <v>1893</v>
      </c>
      <c r="G399" t="s">
        <v>5575</v>
      </c>
      <c r="H399" t="s">
        <v>4957</v>
      </c>
    </row>
    <row r="400" spans="1:8" x14ac:dyDescent="0.25">
      <c r="A400">
        <v>690805006</v>
      </c>
      <c r="B400" t="s">
        <v>316</v>
      </c>
      <c r="C400" t="s">
        <v>4324</v>
      </c>
      <c r="D400">
        <v>6</v>
      </c>
      <c r="E400" t="s">
        <v>4445</v>
      </c>
      <c r="F400" t="s">
        <v>1769</v>
      </c>
      <c r="G400" t="s">
        <v>5575</v>
      </c>
      <c r="H400" t="s">
        <v>4957</v>
      </c>
    </row>
    <row r="401" spans="1:8" x14ac:dyDescent="0.25">
      <c r="A401">
        <v>690806002</v>
      </c>
      <c r="B401" t="s">
        <v>317</v>
      </c>
      <c r="C401" t="s">
        <v>4325</v>
      </c>
      <c r="D401">
        <v>6</v>
      </c>
      <c r="E401" t="s">
        <v>4445</v>
      </c>
      <c r="F401" t="s">
        <v>1510</v>
      </c>
      <c r="G401" t="s">
        <v>5575</v>
      </c>
      <c r="H401" t="s">
        <v>4957</v>
      </c>
    </row>
    <row r="402" spans="1:8" x14ac:dyDescent="0.25">
      <c r="A402">
        <v>690807009</v>
      </c>
      <c r="B402" t="s">
        <v>318</v>
      </c>
      <c r="C402" t="s">
        <v>4326</v>
      </c>
      <c r="D402">
        <v>6</v>
      </c>
      <c r="E402" t="s">
        <v>4445</v>
      </c>
      <c r="F402" t="s">
        <v>2345</v>
      </c>
      <c r="G402" t="s">
        <v>5575</v>
      </c>
      <c r="H402" t="s">
        <v>4957</v>
      </c>
    </row>
    <row r="403" spans="1:8" x14ac:dyDescent="0.25">
      <c r="A403">
        <v>690808005</v>
      </c>
      <c r="B403" t="s">
        <v>902</v>
      </c>
      <c r="C403" t="s">
        <v>4327</v>
      </c>
      <c r="D403">
        <v>6</v>
      </c>
      <c r="E403" t="s">
        <v>4445</v>
      </c>
      <c r="F403" t="s">
        <v>1429</v>
      </c>
      <c r="G403" t="s">
        <v>5575</v>
      </c>
      <c r="H403" t="s">
        <v>4957</v>
      </c>
    </row>
    <row r="404" spans="1:8" x14ac:dyDescent="0.25">
      <c r="A404">
        <v>690809001</v>
      </c>
      <c r="B404" t="s">
        <v>1747</v>
      </c>
      <c r="C404" t="s">
        <v>4201</v>
      </c>
      <c r="D404">
        <v>6</v>
      </c>
      <c r="E404" t="s">
        <v>4445</v>
      </c>
      <c r="F404" t="s">
        <v>1746</v>
      </c>
      <c r="G404" t="s">
        <v>5575</v>
      </c>
      <c r="H404" t="s">
        <v>4957</v>
      </c>
    </row>
    <row r="405" spans="1:8" x14ac:dyDescent="0.25">
      <c r="A405" t="s">
        <v>679</v>
      </c>
      <c r="B405" t="s">
        <v>878</v>
      </c>
      <c r="C405" t="s">
        <v>4473</v>
      </c>
      <c r="D405">
        <v>6</v>
      </c>
      <c r="E405" t="s">
        <v>4445</v>
      </c>
      <c r="F405" t="s">
        <v>2360</v>
      </c>
      <c r="G405" t="s">
        <v>5575</v>
      </c>
      <c r="H405" t="s">
        <v>4957</v>
      </c>
    </row>
    <row r="406" spans="1:8" x14ac:dyDescent="0.25">
      <c r="A406">
        <v>690811006</v>
      </c>
      <c r="B406" t="s">
        <v>788</v>
      </c>
      <c r="C406" t="s">
        <v>4202</v>
      </c>
      <c r="D406">
        <v>6</v>
      </c>
      <c r="E406" t="s">
        <v>4445</v>
      </c>
      <c r="F406" t="s">
        <v>4149</v>
      </c>
      <c r="G406" t="s">
        <v>5575</v>
      </c>
      <c r="H406" t="s">
        <v>4957</v>
      </c>
    </row>
    <row r="407" spans="1:8" x14ac:dyDescent="0.25">
      <c r="A407">
        <v>690812002</v>
      </c>
      <c r="B407" t="s">
        <v>319</v>
      </c>
      <c r="C407" t="s">
        <v>4200</v>
      </c>
      <c r="D407">
        <v>6</v>
      </c>
      <c r="E407" t="s">
        <v>4445</v>
      </c>
      <c r="F407" t="s">
        <v>1396</v>
      </c>
      <c r="G407" t="s">
        <v>5575</v>
      </c>
      <c r="H407" t="s">
        <v>4957</v>
      </c>
    </row>
    <row r="408" spans="1:8" x14ac:dyDescent="0.25">
      <c r="A408">
        <v>690813009</v>
      </c>
      <c r="B408" t="s">
        <v>320</v>
      </c>
      <c r="C408" t="s">
        <v>4532</v>
      </c>
      <c r="D408">
        <v>6</v>
      </c>
      <c r="E408" t="s">
        <v>4445</v>
      </c>
      <c r="F408" t="s">
        <v>1387</v>
      </c>
      <c r="G408" t="s">
        <v>5575</v>
      </c>
      <c r="H408" t="s">
        <v>4957</v>
      </c>
    </row>
    <row r="409" spans="1:8" x14ac:dyDescent="0.25">
      <c r="A409">
        <v>690814005</v>
      </c>
      <c r="B409" t="s">
        <v>903</v>
      </c>
      <c r="C409" t="s">
        <v>4533</v>
      </c>
      <c r="D409">
        <v>6</v>
      </c>
      <c r="E409" t="s">
        <v>4445</v>
      </c>
      <c r="F409" t="s">
        <v>1756</v>
      </c>
      <c r="G409" t="s">
        <v>5575</v>
      </c>
      <c r="H409" t="s">
        <v>4957</v>
      </c>
    </row>
    <row r="410" spans="1:8" x14ac:dyDescent="0.25">
      <c r="A410">
        <v>690815001</v>
      </c>
      <c r="B410" t="s">
        <v>789</v>
      </c>
      <c r="C410" t="s">
        <v>4328</v>
      </c>
      <c r="D410">
        <v>6</v>
      </c>
      <c r="E410" t="s">
        <v>4445</v>
      </c>
      <c r="F410" t="s">
        <v>2626</v>
      </c>
      <c r="G410" t="s">
        <v>5575</v>
      </c>
      <c r="H410" t="s">
        <v>4957</v>
      </c>
    </row>
    <row r="411" spans="1:8" x14ac:dyDescent="0.25">
      <c r="A411">
        <v>690817004</v>
      </c>
      <c r="B411" t="s">
        <v>321</v>
      </c>
      <c r="C411" t="s">
        <v>4329</v>
      </c>
      <c r="D411">
        <v>6</v>
      </c>
      <c r="E411" t="s">
        <v>4445</v>
      </c>
      <c r="F411" t="s">
        <v>1761</v>
      </c>
      <c r="G411" t="s">
        <v>5575</v>
      </c>
      <c r="H411" t="s">
        <v>4957</v>
      </c>
    </row>
    <row r="412" spans="1:8" x14ac:dyDescent="0.25">
      <c r="A412">
        <v>690902001</v>
      </c>
      <c r="B412" t="s">
        <v>790</v>
      </c>
      <c r="C412" t="s">
        <v>4330</v>
      </c>
      <c r="D412">
        <v>6</v>
      </c>
      <c r="E412" t="s">
        <v>4445</v>
      </c>
      <c r="F412" t="s">
        <v>1763</v>
      </c>
      <c r="G412" t="s">
        <v>5575</v>
      </c>
      <c r="H412" t="s">
        <v>4957</v>
      </c>
    </row>
    <row r="413" spans="1:8" x14ac:dyDescent="0.25">
      <c r="A413">
        <v>690903008</v>
      </c>
      <c r="B413" t="s">
        <v>322</v>
      </c>
      <c r="C413" t="s">
        <v>4204</v>
      </c>
      <c r="D413">
        <v>6</v>
      </c>
      <c r="E413" t="s">
        <v>4445</v>
      </c>
      <c r="F413" t="s">
        <v>1765</v>
      </c>
      <c r="G413" t="s">
        <v>5575</v>
      </c>
      <c r="H413" t="s">
        <v>4957</v>
      </c>
    </row>
    <row r="414" spans="1:8" x14ac:dyDescent="0.25">
      <c r="A414">
        <v>690904004</v>
      </c>
      <c r="B414" t="s">
        <v>323</v>
      </c>
      <c r="C414" t="s">
        <v>4205</v>
      </c>
      <c r="D414">
        <v>6</v>
      </c>
      <c r="E414" t="s">
        <v>4445</v>
      </c>
      <c r="F414" t="s">
        <v>1767</v>
      </c>
      <c r="G414" t="s">
        <v>5575</v>
      </c>
      <c r="H414" t="s">
        <v>4957</v>
      </c>
    </row>
    <row r="415" spans="1:8" x14ac:dyDescent="0.25">
      <c r="A415">
        <v>690905000</v>
      </c>
      <c r="B415" t="s">
        <v>904</v>
      </c>
      <c r="C415" t="s">
        <v>4207</v>
      </c>
      <c r="D415">
        <v>6</v>
      </c>
      <c r="E415" t="s">
        <v>4445</v>
      </c>
      <c r="F415" t="s">
        <v>1298</v>
      </c>
      <c r="G415" t="s">
        <v>5575</v>
      </c>
      <c r="H415" t="s">
        <v>4957</v>
      </c>
    </row>
    <row r="416" spans="1:8" x14ac:dyDescent="0.25">
      <c r="A416">
        <v>690906007</v>
      </c>
      <c r="B416" t="s">
        <v>324</v>
      </c>
      <c r="C416" t="s">
        <v>4206</v>
      </c>
      <c r="D416">
        <v>6</v>
      </c>
      <c r="E416" t="s">
        <v>4445</v>
      </c>
      <c r="F416" t="s">
        <v>1976</v>
      </c>
      <c r="G416" t="s">
        <v>5575</v>
      </c>
      <c r="H416" t="s">
        <v>4957</v>
      </c>
    </row>
    <row r="417" spans="1:8" x14ac:dyDescent="0.25">
      <c r="A417">
        <v>690907003</v>
      </c>
      <c r="B417" t="s">
        <v>325</v>
      </c>
      <c r="C417" t="s">
        <v>4534</v>
      </c>
      <c r="D417">
        <v>6</v>
      </c>
      <c r="E417" t="s">
        <v>4445</v>
      </c>
      <c r="F417" t="s">
        <v>1774</v>
      </c>
      <c r="G417" t="s">
        <v>5575</v>
      </c>
      <c r="H417" t="s">
        <v>4957</v>
      </c>
    </row>
    <row r="418" spans="1:8" x14ac:dyDescent="0.25">
      <c r="A418" t="s">
        <v>680</v>
      </c>
      <c r="B418" t="s">
        <v>681</v>
      </c>
      <c r="C418" t="s">
        <v>4331</v>
      </c>
      <c r="D418">
        <v>6</v>
      </c>
      <c r="E418" t="s">
        <v>4445</v>
      </c>
      <c r="F418" t="s">
        <v>1296</v>
      </c>
      <c r="G418" t="s">
        <v>5575</v>
      </c>
      <c r="H418" t="s">
        <v>4957</v>
      </c>
    </row>
    <row r="419" spans="1:8" x14ac:dyDescent="0.25">
      <c r="A419">
        <v>690909006</v>
      </c>
      <c r="B419" t="s">
        <v>326</v>
      </c>
      <c r="C419" t="s">
        <v>4332</v>
      </c>
      <c r="D419">
        <v>6</v>
      </c>
      <c r="E419" t="s">
        <v>4445</v>
      </c>
      <c r="F419" t="s">
        <v>1778</v>
      </c>
      <c r="G419" t="s">
        <v>5575</v>
      </c>
      <c r="H419" t="s">
        <v>4957</v>
      </c>
    </row>
    <row r="420" spans="1:8" x14ac:dyDescent="0.25">
      <c r="A420">
        <v>690910004</v>
      </c>
      <c r="B420" t="s">
        <v>905</v>
      </c>
      <c r="C420" t="s">
        <v>4254</v>
      </c>
      <c r="D420">
        <v>6</v>
      </c>
      <c r="E420" t="s">
        <v>4445</v>
      </c>
      <c r="F420" t="s">
        <v>4057</v>
      </c>
      <c r="G420" t="s">
        <v>5575</v>
      </c>
      <c r="H420" t="s">
        <v>4957</v>
      </c>
    </row>
    <row r="421" spans="1:8" x14ac:dyDescent="0.25">
      <c r="A421">
        <v>690911000</v>
      </c>
      <c r="B421" t="s">
        <v>1783</v>
      </c>
      <c r="C421" t="s">
        <v>4208</v>
      </c>
      <c r="D421">
        <v>6</v>
      </c>
      <c r="E421" t="s">
        <v>4445</v>
      </c>
      <c r="F421" t="s">
        <v>1782</v>
      </c>
      <c r="G421" t="s">
        <v>5575</v>
      </c>
      <c r="H421" t="s">
        <v>4957</v>
      </c>
    </row>
    <row r="422" spans="1:8" x14ac:dyDescent="0.25">
      <c r="A422">
        <v>690912007</v>
      </c>
      <c r="B422" t="s">
        <v>327</v>
      </c>
      <c r="C422" t="s">
        <v>4209</v>
      </c>
      <c r="D422">
        <v>6</v>
      </c>
      <c r="E422" t="s">
        <v>4445</v>
      </c>
      <c r="F422" t="s">
        <v>1221</v>
      </c>
      <c r="G422" t="s">
        <v>5575</v>
      </c>
      <c r="H422" t="s">
        <v>4957</v>
      </c>
    </row>
    <row r="423" spans="1:8" x14ac:dyDescent="0.25">
      <c r="A423">
        <v>690913003</v>
      </c>
      <c r="B423" t="s">
        <v>4417</v>
      </c>
      <c r="C423" t="s">
        <v>4474</v>
      </c>
      <c r="D423">
        <v>6</v>
      </c>
      <c r="E423" t="s">
        <v>4445</v>
      </c>
      <c r="F423" t="s">
        <v>4535</v>
      </c>
      <c r="G423" t="s">
        <v>5575</v>
      </c>
      <c r="H423" t="s">
        <v>4957</v>
      </c>
    </row>
    <row r="424" spans="1:8" x14ac:dyDescent="0.25">
      <c r="A424" t="s">
        <v>682</v>
      </c>
      <c r="B424" t="s">
        <v>683</v>
      </c>
      <c r="C424" t="s">
        <v>4333</v>
      </c>
      <c r="D424">
        <v>6</v>
      </c>
      <c r="E424" t="s">
        <v>4445</v>
      </c>
      <c r="F424" t="s">
        <v>1736</v>
      </c>
      <c r="G424" t="s">
        <v>5575</v>
      </c>
      <c r="H424" t="s">
        <v>4957</v>
      </c>
    </row>
    <row r="425" spans="1:8" x14ac:dyDescent="0.25">
      <c r="A425">
        <v>690915006</v>
      </c>
      <c r="B425" t="s">
        <v>328</v>
      </c>
      <c r="C425" t="s">
        <v>4334</v>
      </c>
      <c r="D425">
        <v>6</v>
      </c>
      <c r="E425" t="s">
        <v>4445</v>
      </c>
      <c r="F425" t="s">
        <v>1787</v>
      </c>
      <c r="G425" t="s">
        <v>5575</v>
      </c>
      <c r="H425" t="s">
        <v>4957</v>
      </c>
    </row>
    <row r="426" spans="1:8" x14ac:dyDescent="0.25">
      <c r="A426">
        <v>691001008</v>
      </c>
      <c r="B426" t="s">
        <v>329</v>
      </c>
      <c r="C426" t="s">
        <v>4491</v>
      </c>
      <c r="D426">
        <v>7</v>
      </c>
      <c r="E426" t="s">
        <v>5729</v>
      </c>
      <c r="F426" t="s">
        <v>1789</v>
      </c>
      <c r="G426" t="s">
        <v>5575</v>
      </c>
      <c r="H426" t="s">
        <v>4957</v>
      </c>
    </row>
    <row r="427" spans="1:8" x14ac:dyDescent="0.25">
      <c r="A427">
        <v>691002004</v>
      </c>
      <c r="B427" t="s">
        <v>330</v>
      </c>
      <c r="C427" t="s">
        <v>4335</v>
      </c>
      <c r="D427">
        <v>7</v>
      </c>
      <c r="E427" t="s">
        <v>4445</v>
      </c>
      <c r="F427" t="s">
        <v>1183</v>
      </c>
      <c r="G427" t="s">
        <v>5575</v>
      </c>
      <c r="H427" t="s">
        <v>4957</v>
      </c>
    </row>
    <row r="428" spans="1:8" x14ac:dyDescent="0.25">
      <c r="A428">
        <v>691003000</v>
      </c>
      <c r="B428" t="s">
        <v>331</v>
      </c>
      <c r="C428" t="s">
        <v>4258</v>
      </c>
      <c r="D428">
        <v>7</v>
      </c>
      <c r="E428" t="s">
        <v>4445</v>
      </c>
      <c r="F428" t="s">
        <v>1791</v>
      </c>
      <c r="G428" t="s">
        <v>5575</v>
      </c>
      <c r="H428" t="s">
        <v>4957</v>
      </c>
    </row>
    <row r="429" spans="1:8" x14ac:dyDescent="0.25">
      <c r="A429">
        <v>691004007</v>
      </c>
      <c r="B429" t="s">
        <v>332</v>
      </c>
      <c r="C429" t="s">
        <v>4336</v>
      </c>
      <c r="D429">
        <v>7</v>
      </c>
      <c r="E429" t="s">
        <v>4445</v>
      </c>
      <c r="F429" t="s">
        <v>1794</v>
      </c>
      <c r="G429" t="s">
        <v>5575</v>
      </c>
      <c r="H429" t="s">
        <v>4957</v>
      </c>
    </row>
    <row r="430" spans="1:8" x14ac:dyDescent="0.25">
      <c r="A430">
        <v>691005003</v>
      </c>
      <c r="B430" t="s">
        <v>333</v>
      </c>
      <c r="C430" t="s">
        <v>4492</v>
      </c>
      <c r="D430">
        <v>7</v>
      </c>
      <c r="E430" t="s">
        <v>4445</v>
      </c>
      <c r="F430" t="s">
        <v>1796</v>
      </c>
      <c r="G430" t="s">
        <v>5575</v>
      </c>
      <c r="H430" t="s">
        <v>4957</v>
      </c>
    </row>
    <row r="431" spans="1:8" x14ac:dyDescent="0.25">
      <c r="A431">
        <v>691007006</v>
      </c>
      <c r="B431" t="s">
        <v>4537</v>
      </c>
      <c r="C431" t="s">
        <v>4538</v>
      </c>
      <c r="D431">
        <v>7</v>
      </c>
      <c r="E431" t="s">
        <v>4445</v>
      </c>
      <c r="F431" t="s">
        <v>4536</v>
      </c>
      <c r="G431" t="s">
        <v>5575</v>
      </c>
      <c r="H431" t="s">
        <v>4957</v>
      </c>
    </row>
    <row r="432" spans="1:8" x14ac:dyDescent="0.25">
      <c r="A432">
        <v>691101002</v>
      </c>
      <c r="B432" t="s">
        <v>334</v>
      </c>
      <c r="C432" t="s">
        <v>4259</v>
      </c>
      <c r="D432">
        <v>7</v>
      </c>
      <c r="E432" t="s">
        <v>4445</v>
      </c>
      <c r="F432" t="s">
        <v>1798</v>
      </c>
      <c r="G432" t="s">
        <v>5575</v>
      </c>
      <c r="H432" t="s">
        <v>4957</v>
      </c>
    </row>
    <row r="433" spans="1:8" x14ac:dyDescent="0.25">
      <c r="A433">
        <v>691102009</v>
      </c>
      <c r="B433" t="s">
        <v>335</v>
      </c>
      <c r="C433" t="s">
        <v>4337</v>
      </c>
      <c r="D433">
        <v>7</v>
      </c>
      <c r="E433" t="s">
        <v>4445</v>
      </c>
      <c r="F433" t="s">
        <v>1799</v>
      </c>
      <c r="G433" t="s">
        <v>5575</v>
      </c>
      <c r="H433" t="s">
        <v>4957</v>
      </c>
    </row>
    <row r="434" spans="1:8" x14ac:dyDescent="0.25">
      <c r="A434">
        <v>691103005</v>
      </c>
      <c r="B434" t="s">
        <v>336</v>
      </c>
      <c r="C434" t="s">
        <v>4261</v>
      </c>
      <c r="D434">
        <v>7</v>
      </c>
      <c r="E434" t="s">
        <v>4445</v>
      </c>
      <c r="F434" t="s">
        <v>1801</v>
      </c>
      <c r="G434" t="s">
        <v>5575</v>
      </c>
      <c r="H434" t="s">
        <v>4957</v>
      </c>
    </row>
    <row r="435" spans="1:8" x14ac:dyDescent="0.25">
      <c r="A435">
        <v>691104001</v>
      </c>
      <c r="B435" t="s">
        <v>337</v>
      </c>
      <c r="C435" t="s">
        <v>4257</v>
      </c>
      <c r="D435">
        <v>7</v>
      </c>
      <c r="E435" t="s">
        <v>5729</v>
      </c>
      <c r="F435" t="s">
        <v>1177</v>
      </c>
      <c r="G435" t="s">
        <v>5575</v>
      </c>
      <c r="H435" t="s">
        <v>4957</v>
      </c>
    </row>
    <row r="436" spans="1:8" x14ac:dyDescent="0.25">
      <c r="A436">
        <v>691105008</v>
      </c>
      <c r="B436" t="s">
        <v>338</v>
      </c>
      <c r="C436" t="s">
        <v>4405</v>
      </c>
      <c r="D436">
        <v>7</v>
      </c>
      <c r="E436" t="s">
        <v>4445</v>
      </c>
      <c r="F436" t="s">
        <v>3523</v>
      </c>
      <c r="G436" t="s">
        <v>5575</v>
      </c>
      <c r="H436" t="s">
        <v>4957</v>
      </c>
    </row>
    <row r="437" spans="1:8" x14ac:dyDescent="0.25">
      <c r="A437">
        <v>691106004</v>
      </c>
      <c r="B437" t="s">
        <v>339</v>
      </c>
      <c r="C437" t="s">
        <v>4338</v>
      </c>
      <c r="D437">
        <v>7</v>
      </c>
      <c r="E437" t="s">
        <v>4445</v>
      </c>
      <c r="F437" t="s">
        <v>1453</v>
      </c>
      <c r="G437" t="s">
        <v>5575</v>
      </c>
      <c r="H437" t="s">
        <v>4957</v>
      </c>
    </row>
    <row r="438" spans="1:8" x14ac:dyDescent="0.25">
      <c r="A438">
        <v>691107000</v>
      </c>
      <c r="B438" t="s">
        <v>1192</v>
      </c>
      <c r="C438" t="s">
        <v>4539</v>
      </c>
      <c r="D438">
        <v>7</v>
      </c>
      <c r="E438" t="s">
        <v>4445</v>
      </c>
      <c r="F438" t="s">
        <v>1191</v>
      </c>
      <c r="G438" t="s">
        <v>5575</v>
      </c>
      <c r="H438" t="s">
        <v>4957</v>
      </c>
    </row>
    <row r="439" spans="1:8" x14ac:dyDescent="0.25">
      <c r="A439">
        <v>691108007</v>
      </c>
      <c r="B439" t="s">
        <v>951</v>
      </c>
      <c r="C439" t="s">
        <v>4339</v>
      </c>
      <c r="D439">
        <v>7</v>
      </c>
      <c r="E439" t="s">
        <v>4445</v>
      </c>
      <c r="F439" t="s">
        <v>1811</v>
      </c>
      <c r="G439" t="s">
        <v>5575</v>
      </c>
      <c r="H439" t="s">
        <v>4957</v>
      </c>
    </row>
    <row r="440" spans="1:8" x14ac:dyDescent="0.25">
      <c r="A440">
        <v>691201007</v>
      </c>
      <c r="B440" t="s">
        <v>1814</v>
      </c>
      <c r="C440" t="s">
        <v>4494</v>
      </c>
      <c r="D440">
        <v>7</v>
      </c>
      <c r="E440" t="s">
        <v>4445</v>
      </c>
      <c r="F440" t="s">
        <v>1813</v>
      </c>
      <c r="G440" t="s">
        <v>5575</v>
      </c>
      <c r="H440" t="s">
        <v>4957</v>
      </c>
    </row>
    <row r="441" spans="1:8" x14ac:dyDescent="0.25">
      <c r="A441">
        <v>691202003</v>
      </c>
      <c r="B441" t="s">
        <v>906</v>
      </c>
      <c r="C441" t="s">
        <v>4340</v>
      </c>
      <c r="D441">
        <v>7</v>
      </c>
      <c r="E441" t="s">
        <v>4445</v>
      </c>
      <c r="F441" t="s">
        <v>1816</v>
      </c>
      <c r="G441" t="s">
        <v>5575</v>
      </c>
      <c r="H441" t="s">
        <v>4957</v>
      </c>
    </row>
    <row r="442" spans="1:8" x14ac:dyDescent="0.25">
      <c r="A442" t="s">
        <v>4748</v>
      </c>
      <c r="B442" t="s">
        <v>4749</v>
      </c>
      <c r="C442" t="s">
        <v>4263</v>
      </c>
      <c r="D442">
        <v>7</v>
      </c>
      <c r="E442" t="s">
        <v>4445</v>
      </c>
      <c r="F442" t="s">
        <v>4907</v>
      </c>
      <c r="G442" t="s">
        <v>5575</v>
      </c>
      <c r="H442" t="s">
        <v>4957</v>
      </c>
    </row>
    <row r="443" spans="1:8" x14ac:dyDescent="0.25">
      <c r="A443">
        <v>691204006</v>
      </c>
      <c r="B443" t="s">
        <v>341</v>
      </c>
      <c r="C443" t="s">
        <v>4341</v>
      </c>
      <c r="D443">
        <v>7</v>
      </c>
      <c r="E443" t="s">
        <v>4445</v>
      </c>
      <c r="F443" t="s">
        <v>3387</v>
      </c>
      <c r="G443" t="s">
        <v>5575</v>
      </c>
      <c r="H443" t="s">
        <v>4957</v>
      </c>
    </row>
    <row r="444" spans="1:8" x14ac:dyDescent="0.25">
      <c r="A444">
        <v>691301001</v>
      </c>
      <c r="B444" t="s">
        <v>342</v>
      </c>
      <c r="C444" t="s">
        <v>4262</v>
      </c>
      <c r="D444">
        <v>7</v>
      </c>
      <c r="E444" t="s">
        <v>4445</v>
      </c>
      <c r="F444" t="s">
        <v>3839</v>
      </c>
      <c r="G444" t="s">
        <v>5575</v>
      </c>
      <c r="H444" t="s">
        <v>4957</v>
      </c>
    </row>
    <row r="445" spans="1:8" x14ac:dyDescent="0.25">
      <c r="A445">
        <v>691302008</v>
      </c>
      <c r="B445" t="s">
        <v>792</v>
      </c>
      <c r="C445" t="s">
        <v>4342</v>
      </c>
      <c r="D445">
        <v>7</v>
      </c>
      <c r="E445" t="s">
        <v>4445</v>
      </c>
      <c r="F445" t="s">
        <v>1820</v>
      </c>
      <c r="G445" t="s">
        <v>5575</v>
      </c>
      <c r="H445" t="s">
        <v>4957</v>
      </c>
    </row>
    <row r="446" spans="1:8" x14ac:dyDescent="0.25">
      <c r="A446">
        <v>691303012</v>
      </c>
      <c r="B446" t="s">
        <v>343</v>
      </c>
      <c r="C446" t="s">
        <v>4264</v>
      </c>
      <c r="D446">
        <v>7</v>
      </c>
      <c r="E446" t="s">
        <v>5729</v>
      </c>
      <c r="F446" t="s">
        <v>3987</v>
      </c>
      <c r="G446" t="s">
        <v>5575</v>
      </c>
      <c r="H446" t="s">
        <v>4957</v>
      </c>
    </row>
    <row r="447" spans="1:8" x14ac:dyDescent="0.25">
      <c r="A447">
        <v>691304027</v>
      </c>
      <c r="B447" t="s">
        <v>793</v>
      </c>
      <c r="C447" t="s">
        <v>4343</v>
      </c>
      <c r="D447">
        <v>7</v>
      </c>
      <c r="E447" t="s">
        <v>4445</v>
      </c>
      <c r="F447" t="s">
        <v>1824</v>
      </c>
      <c r="G447" t="s">
        <v>5575</v>
      </c>
      <c r="H447" t="s">
        <v>4957</v>
      </c>
    </row>
    <row r="448" spans="1:8" x14ac:dyDescent="0.25">
      <c r="A448">
        <v>691305007</v>
      </c>
      <c r="B448" t="s">
        <v>344</v>
      </c>
      <c r="C448" t="s">
        <v>4836</v>
      </c>
      <c r="D448">
        <v>7</v>
      </c>
      <c r="E448" t="s">
        <v>4445</v>
      </c>
      <c r="F448" t="s">
        <v>1826</v>
      </c>
      <c r="G448" t="s">
        <v>5575</v>
      </c>
      <c r="H448" t="s">
        <v>4957</v>
      </c>
    </row>
    <row r="449" spans="1:8" x14ac:dyDescent="0.25">
      <c r="A449" t="s">
        <v>5110</v>
      </c>
      <c r="B449" t="s">
        <v>5798</v>
      </c>
      <c r="C449" t="s">
        <v>5799</v>
      </c>
      <c r="D449">
        <v>7</v>
      </c>
      <c r="E449" t="s">
        <v>4445</v>
      </c>
      <c r="F449" t="s">
        <v>5332</v>
      </c>
      <c r="H449" t="s">
        <v>4957</v>
      </c>
    </row>
    <row r="450" spans="1:8" x14ac:dyDescent="0.25">
      <c r="A450" t="s">
        <v>4765</v>
      </c>
      <c r="B450" t="s">
        <v>1829</v>
      </c>
      <c r="C450" t="s">
        <v>4265</v>
      </c>
      <c r="D450">
        <v>7</v>
      </c>
      <c r="E450" t="s">
        <v>4445</v>
      </c>
      <c r="F450" t="s">
        <v>1828</v>
      </c>
      <c r="G450" t="s">
        <v>5575</v>
      </c>
      <c r="H450" t="s">
        <v>4957</v>
      </c>
    </row>
    <row r="451" spans="1:8" x14ac:dyDescent="0.25">
      <c r="A451">
        <v>691308006</v>
      </c>
      <c r="B451" t="s">
        <v>5481</v>
      </c>
      <c r="C451" t="s">
        <v>5482</v>
      </c>
      <c r="D451">
        <v>7</v>
      </c>
      <c r="E451" t="s">
        <v>4445</v>
      </c>
      <c r="F451" t="s">
        <v>5483</v>
      </c>
      <c r="G451" t="s">
        <v>5575</v>
      </c>
      <c r="H451" t="s">
        <v>4957</v>
      </c>
    </row>
    <row r="452" spans="1:8" x14ac:dyDescent="0.25">
      <c r="A452">
        <v>691401006</v>
      </c>
      <c r="B452" t="s">
        <v>5645</v>
      </c>
      <c r="C452" t="s">
        <v>4269</v>
      </c>
      <c r="D452">
        <v>16</v>
      </c>
      <c r="E452" t="s">
        <v>4445</v>
      </c>
      <c r="F452" t="s">
        <v>5646</v>
      </c>
      <c r="G452" t="s">
        <v>5575</v>
      </c>
      <c r="H452" t="s">
        <v>4957</v>
      </c>
    </row>
    <row r="453" spans="1:8" x14ac:dyDescent="0.25">
      <c r="A453">
        <v>691402010</v>
      </c>
      <c r="B453" t="s">
        <v>907</v>
      </c>
      <c r="C453" t="s">
        <v>4344</v>
      </c>
      <c r="D453">
        <v>16</v>
      </c>
      <c r="E453" t="s">
        <v>4445</v>
      </c>
      <c r="F453" t="s">
        <v>1209</v>
      </c>
      <c r="G453" t="s">
        <v>5575</v>
      </c>
      <c r="H453" t="s">
        <v>4957</v>
      </c>
    </row>
    <row r="454" spans="1:8" x14ac:dyDescent="0.25">
      <c r="A454">
        <v>691403025</v>
      </c>
      <c r="B454" t="s">
        <v>794</v>
      </c>
      <c r="C454" t="s">
        <v>4406</v>
      </c>
      <c r="D454">
        <v>16</v>
      </c>
      <c r="E454" t="s">
        <v>4445</v>
      </c>
      <c r="F454" t="s">
        <v>1217</v>
      </c>
      <c r="G454" t="s">
        <v>5575</v>
      </c>
      <c r="H454" t="s">
        <v>4957</v>
      </c>
    </row>
    <row r="455" spans="1:8" x14ac:dyDescent="0.25">
      <c r="A455">
        <v>691404005</v>
      </c>
      <c r="B455" t="s">
        <v>345</v>
      </c>
      <c r="C455" t="s">
        <v>4191</v>
      </c>
      <c r="D455">
        <v>14</v>
      </c>
      <c r="E455" t="s">
        <v>4445</v>
      </c>
      <c r="F455" t="s">
        <v>1268</v>
      </c>
      <c r="G455" t="s">
        <v>5575</v>
      </c>
      <c r="H455" t="s">
        <v>4957</v>
      </c>
    </row>
    <row r="456" spans="1:8" x14ac:dyDescent="0.25">
      <c r="A456">
        <v>691405001</v>
      </c>
      <c r="B456" t="s">
        <v>346</v>
      </c>
      <c r="C456" t="s">
        <v>4345</v>
      </c>
      <c r="D456">
        <v>16</v>
      </c>
      <c r="E456" t="s">
        <v>4445</v>
      </c>
      <c r="F456" t="s">
        <v>1551</v>
      </c>
      <c r="G456" t="s">
        <v>5575</v>
      </c>
      <c r="H456" t="s">
        <v>4957</v>
      </c>
    </row>
    <row r="457" spans="1:8" x14ac:dyDescent="0.25">
      <c r="A457">
        <v>691406008</v>
      </c>
      <c r="B457" t="s">
        <v>347</v>
      </c>
      <c r="C457" t="s">
        <v>4540</v>
      </c>
      <c r="D457">
        <v>16</v>
      </c>
      <c r="E457" t="s">
        <v>4445</v>
      </c>
      <c r="F457" t="s">
        <v>1840</v>
      </c>
      <c r="G457" t="s">
        <v>5575</v>
      </c>
      <c r="H457" t="s">
        <v>4957</v>
      </c>
    </row>
    <row r="458" spans="1:8" x14ac:dyDescent="0.25">
      <c r="A458">
        <v>691408027</v>
      </c>
      <c r="B458" t="s">
        <v>348</v>
      </c>
      <c r="C458" t="s">
        <v>4811</v>
      </c>
      <c r="D458">
        <v>16</v>
      </c>
      <c r="E458" t="s">
        <v>4445</v>
      </c>
      <c r="F458" t="s">
        <v>2341</v>
      </c>
      <c r="G458" t="s">
        <v>5575</v>
      </c>
      <c r="H458" t="s">
        <v>4957</v>
      </c>
    </row>
    <row r="459" spans="1:8" x14ac:dyDescent="0.25">
      <c r="A459">
        <v>691411028</v>
      </c>
      <c r="B459" t="s">
        <v>349</v>
      </c>
      <c r="C459" t="s">
        <v>4346</v>
      </c>
      <c r="D459">
        <v>16</v>
      </c>
      <c r="E459" t="s">
        <v>4445</v>
      </c>
      <c r="F459" t="s">
        <v>1844</v>
      </c>
      <c r="G459" t="s">
        <v>5575</v>
      </c>
      <c r="H459" t="s">
        <v>4957</v>
      </c>
    </row>
    <row r="460" spans="1:8" x14ac:dyDescent="0.25">
      <c r="A460">
        <v>691412008</v>
      </c>
      <c r="B460" t="s">
        <v>350</v>
      </c>
      <c r="C460" t="s">
        <v>4267</v>
      </c>
      <c r="D460">
        <v>16</v>
      </c>
      <c r="E460" t="s">
        <v>4445</v>
      </c>
      <c r="F460" t="s">
        <v>1846</v>
      </c>
      <c r="G460" t="s">
        <v>5575</v>
      </c>
      <c r="H460" t="s">
        <v>4957</v>
      </c>
    </row>
    <row r="461" spans="1:8" x14ac:dyDescent="0.25">
      <c r="A461">
        <v>691413004</v>
      </c>
      <c r="B461" t="s">
        <v>351</v>
      </c>
      <c r="C461" t="s">
        <v>4407</v>
      </c>
      <c r="D461">
        <v>16</v>
      </c>
      <c r="E461" t="s">
        <v>4445</v>
      </c>
      <c r="F461" t="s">
        <v>1695</v>
      </c>
      <c r="G461" t="s">
        <v>5575</v>
      </c>
      <c r="H461" t="s">
        <v>4957</v>
      </c>
    </row>
    <row r="462" spans="1:8" x14ac:dyDescent="0.25">
      <c r="A462">
        <v>691415007</v>
      </c>
      <c r="B462" t="s">
        <v>4115</v>
      </c>
      <c r="C462" t="s">
        <v>4268</v>
      </c>
      <c r="D462">
        <v>16</v>
      </c>
      <c r="E462" t="s">
        <v>4445</v>
      </c>
      <c r="F462" t="s">
        <v>4114</v>
      </c>
      <c r="G462" t="s">
        <v>5575</v>
      </c>
      <c r="H462" t="s">
        <v>4957</v>
      </c>
    </row>
    <row r="463" spans="1:8" x14ac:dyDescent="0.25">
      <c r="A463" t="s">
        <v>5606</v>
      </c>
      <c r="B463" t="s">
        <v>5607</v>
      </c>
      <c r="C463" t="s">
        <v>4270</v>
      </c>
      <c r="D463">
        <v>16</v>
      </c>
      <c r="E463" t="s">
        <v>4445</v>
      </c>
      <c r="F463" t="s">
        <v>5608</v>
      </c>
      <c r="G463" t="s">
        <v>5575</v>
      </c>
      <c r="H463" t="s">
        <v>4957</v>
      </c>
    </row>
    <row r="464" spans="1:8" x14ac:dyDescent="0.25">
      <c r="A464">
        <v>691418022</v>
      </c>
      <c r="B464" t="s">
        <v>352</v>
      </c>
      <c r="C464" t="s">
        <v>4347</v>
      </c>
      <c r="D464">
        <v>8</v>
      </c>
      <c r="E464" t="s">
        <v>4445</v>
      </c>
      <c r="F464" t="s">
        <v>1852</v>
      </c>
      <c r="G464" t="s">
        <v>5575</v>
      </c>
      <c r="H464" t="s">
        <v>4957</v>
      </c>
    </row>
    <row r="465" spans="1:8" x14ac:dyDescent="0.25">
      <c r="A465">
        <v>691501019</v>
      </c>
      <c r="B465" t="s">
        <v>1855</v>
      </c>
      <c r="C465" t="s">
        <v>4496</v>
      </c>
      <c r="D465">
        <v>8</v>
      </c>
      <c r="E465" t="s">
        <v>4445</v>
      </c>
      <c r="F465" t="s">
        <v>1854</v>
      </c>
      <c r="G465" t="s">
        <v>5575</v>
      </c>
      <c r="H465" t="s">
        <v>4957</v>
      </c>
    </row>
    <row r="466" spans="1:8" x14ac:dyDescent="0.25">
      <c r="A466">
        <v>691501027</v>
      </c>
      <c r="B466" t="s">
        <v>5433</v>
      </c>
      <c r="C466" t="s">
        <v>4496</v>
      </c>
      <c r="D466">
        <v>8</v>
      </c>
      <c r="E466" t="s">
        <v>4464</v>
      </c>
      <c r="F466" t="s">
        <v>1472</v>
      </c>
      <c r="G466" t="s">
        <v>5575</v>
      </c>
      <c r="H466" t="s">
        <v>4957</v>
      </c>
    </row>
    <row r="467" spans="1:8" x14ac:dyDescent="0.25">
      <c r="A467">
        <v>691502007</v>
      </c>
      <c r="B467" t="s">
        <v>353</v>
      </c>
      <c r="C467" t="s">
        <v>4210</v>
      </c>
      <c r="D467">
        <v>16</v>
      </c>
      <c r="E467" t="s">
        <v>4445</v>
      </c>
      <c r="F467" t="s">
        <v>1859</v>
      </c>
      <c r="G467" t="s">
        <v>5575</v>
      </c>
      <c r="H467" t="s">
        <v>4957</v>
      </c>
    </row>
    <row r="468" spans="1:8" x14ac:dyDescent="0.25">
      <c r="A468">
        <v>691503003</v>
      </c>
      <c r="B468" t="s">
        <v>354</v>
      </c>
      <c r="C468" t="s">
        <v>4541</v>
      </c>
      <c r="D468">
        <v>16</v>
      </c>
      <c r="E468" t="s">
        <v>4445</v>
      </c>
      <c r="F468" t="s">
        <v>1805</v>
      </c>
      <c r="G468" t="s">
        <v>5575</v>
      </c>
      <c r="H468" t="s">
        <v>4957</v>
      </c>
    </row>
    <row r="469" spans="1:8" x14ac:dyDescent="0.25">
      <c r="A469">
        <v>691505022</v>
      </c>
      <c r="B469" t="s">
        <v>355</v>
      </c>
      <c r="C469" t="s">
        <v>4211</v>
      </c>
      <c r="D469">
        <v>8</v>
      </c>
      <c r="E469" t="s">
        <v>4445</v>
      </c>
      <c r="F469" t="s">
        <v>3262</v>
      </c>
      <c r="G469" t="s">
        <v>5575</v>
      </c>
      <c r="H469" t="s">
        <v>4957</v>
      </c>
    </row>
    <row r="470" spans="1:8" x14ac:dyDescent="0.25">
      <c r="A470">
        <v>691506010</v>
      </c>
      <c r="B470" t="s">
        <v>795</v>
      </c>
      <c r="C470" t="s">
        <v>4349</v>
      </c>
      <c r="D470">
        <v>8</v>
      </c>
      <c r="E470" t="s">
        <v>4445</v>
      </c>
      <c r="F470" t="s">
        <v>1863</v>
      </c>
      <c r="G470" t="s">
        <v>5575</v>
      </c>
      <c r="H470" t="s">
        <v>4957</v>
      </c>
    </row>
    <row r="471" spans="1:8" x14ac:dyDescent="0.25">
      <c r="A471">
        <v>691508005</v>
      </c>
      <c r="B471" t="s">
        <v>84</v>
      </c>
      <c r="C471" t="s">
        <v>4183</v>
      </c>
      <c r="D471">
        <v>8</v>
      </c>
      <c r="E471" t="s">
        <v>4464</v>
      </c>
      <c r="F471" t="s">
        <v>1308</v>
      </c>
      <c r="G471" t="s">
        <v>5575</v>
      </c>
      <c r="H471" t="s">
        <v>4957</v>
      </c>
    </row>
    <row r="472" spans="1:8" x14ac:dyDescent="0.25">
      <c r="A472" t="s">
        <v>908</v>
      </c>
      <c r="B472" t="s">
        <v>909</v>
      </c>
      <c r="C472" t="s">
        <v>4275</v>
      </c>
      <c r="D472">
        <v>8</v>
      </c>
      <c r="E472" t="s">
        <v>4445</v>
      </c>
      <c r="F472" t="s">
        <v>1616</v>
      </c>
      <c r="G472" t="s">
        <v>5575</v>
      </c>
      <c r="H472" t="s">
        <v>4957</v>
      </c>
    </row>
    <row r="473" spans="1:8" x14ac:dyDescent="0.25">
      <c r="A473" t="s">
        <v>1023</v>
      </c>
      <c r="B473" t="s">
        <v>1024</v>
      </c>
      <c r="C473" t="s">
        <v>4350</v>
      </c>
      <c r="D473">
        <v>8</v>
      </c>
      <c r="E473" t="s">
        <v>4445</v>
      </c>
      <c r="F473" t="s">
        <v>2197</v>
      </c>
      <c r="G473" t="s">
        <v>5575</v>
      </c>
      <c r="H473" t="s">
        <v>4957</v>
      </c>
    </row>
    <row r="474" spans="1:8" x14ac:dyDescent="0.25">
      <c r="A474">
        <v>691510026</v>
      </c>
      <c r="B474" t="s">
        <v>85</v>
      </c>
      <c r="C474" t="s">
        <v>4350</v>
      </c>
      <c r="D474">
        <v>8</v>
      </c>
      <c r="E474" t="s">
        <v>4464</v>
      </c>
      <c r="F474" t="s">
        <v>2182</v>
      </c>
      <c r="G474" t="s">
        <v>5575</v>
      </c>
      <c r="H474" t="s">
        <v>4957</v>
      </c>
    </row>
    <row r="475" spans="1:8" x14ac:dyDescent="0.25">
      <c r="A475">
        <v>691511006</v>
      </c>
      <c r="B475" t="s">
        <v>356</v>
      </c>
      <c r="C475" t="s">
        <v>4351</v>
      </c>
      <c r="D475">
        <v>8</v>
      </c>
      <c r="E475" t="s">
        <v>4445</v>
      </c>
      <c r="F475" t="s">
        <v>1873</v>
      </c>
      <c r="G475" t="s">
        <v>5575</v>
      </c>
      <c r="H475" t="s">
        <v>4957</v>
      </c>
    </row>
    <row r="476" spans="1:8" x14ac:dyDescent="0.25">
      <c r="A476">
        <v>691512029</v>
      </c>
      <c r="B476" t="s">
        <v>86</v>
      </c>
      <c r="C476" t="s">
        <v>4352</v>
      </c>
      <c r="D476">
        <v>8</v>
      </c>
      <c r="E476" t="s">
        <v>4464</v>
      </c>
      <c r="F476" t="s">
        <v>1884</v>
      </c>
      <c r="G476" t="s">
        <v>5575</v>
      </c>
      <c r="H476" t="s">
        <v>4957</v>
      </c>
    </row>
    <row r="477" spans="1:8" x14ac:dyDescent="0.25">
      <c r="A477">
        <v>691514005</v>
      </c>
      <c r="B477" t="s">
        <v>910</v>
      </c>
      <c r="C477" t="s">
        <v>4213</v>
      </c>
      <c r="D477">
        <v>8</v>
      </c>
      <c r="E477" t="s">
        <v>4445</v>
      </c>
      <c r="F477" t="s">
        <v>1877</v>
      </c>
      <c r="G477" t="s">
        <v>5575</v>
      </c>
      <c r="H477" t="s">
        <v>4957</v>
      </c>
    </row>
    <row r="478" spans="1:8" x14ac:dyDescent="0.25">
      <c r="A478">
        <v>691601005</v>
      </c>
      <c r="B478" t="s">
        <v>357</v>
      </c>
      <c r="C478" t="s">
        <v>4214</v>
      </c>
      <c r="D478">
        <v>8</v>
      </c>
      <c r="E478" t="s">
        <v>4445</v>
      </c>
      <c r="F478" t="s">
        <v>4110</v>
      </c>
      <c r="G478" t="s">
        <v>5575</v>
      </c>
      <c r="H478" t="s">
        <v>4957</v>
      </c>
    </row>
    <row r="479" spans="1:8" x14ac:dyDescent="0.25">
      <c r="A479" t="s">
        <v>5689</v>
      </c>
      <c r="B479" t="s">
        <v>5690</v>
      </c>
      <c r="C479" t="s">
        <v>4215</v>
      </c>
      <c r="D479">
        <v>8</v>
      </c>
      <c r="E479" t="s">
        <v>4445</v>
      </c>
      <c r="F479" t="s">
        <v>5691</v>
      </c>
      <c r="G479" t="s">
        <v>5575</v>
      </c>
      <c r="H479" t="s">
        <v>4957</v>
      </c>
    </row>
    <row r="480" spans="1:8" x14ac:dyDescent="0.25">
      <c r="A480">
        <v>691602028</v>
      </c>
      <c r="B480" t="s">
        <v>796</v>
      </c>
      <c r="C480" t="s">
        <v>4215</v>
      </c>
      <c r="D480">
        <v>8</v>
      </c>
      <c r="E480" t="s">
        <v>4445</v>
      </c>
      <c r="F480" t="s">
        <v>2516</v>
      </c>
      <c r="G480" t="s">
        <v>5575</v>
      </c>
      <c r="H480" t="s">
        <v>4957</v>
      </c>
    </row>
    <row r="481" spans="1:8" x14ac:dyDescent="0.25">
      <c r="A481">
        <v>691603008</v>
      </c>
      <c r="B481" t="s">
        <v>358</v>
      </c>
      <c r="C481" t="s">
        <v>4289</v>
      </c>
      <c r="D481">
        <v>8</v>
      </c>
      <c r="E481" t="s">
        <v>4445</v>
      </c>
      <c r="F481" t="s">
        <v>1215</v>
      </c>
      <c r="G481" t="s">
        <v>5575</v>
      </c>
      <c r="H481" t="s">
        <v>4957</v>
      </c>
    </row>
    <row r="482" spans="1:8" x14ac:dyDescent="0.25">
      <c r="A482">
        <v>691604020</v>
      </c>
      <c r="B482" t="s">
        <v>359</v>
      </c>
      <c r="C482" t="s">
        <v>4927</v>
      </c>
      <c r="D482">
        <v>8</v>
      </c>
      <c r="E482" t="s">
        <v>4445</v>
      </c>
      <c r="F482" t="s">
        <v>1848</v>
      </c>
      <c r="G482" t="s">
        <v>5575</v>
      </c>
      <c r="H482" t="s">
        <v>4957</v>
      </c>
    </row>
    <row r="483" spans="1:8" x14ac:dyDescent="0.25">
      <c r="A483">
        <v>691605000</v>
      </c>
      <c r="B483" t="s">
        <v>911</v>
      </c>
      <c r="C483" t="s">
        <v>4353</v>
      </c>
      <c r="D483">
        <v>8</v>
      </c>
      <c r="E483" t="s">
        <v>4445</v>
      </c>
      <c r="F483" t="s">
        <v>3180</v>
      </c>
      <c r="G483" t="s">
        <v>5575</v>
      </c>
      <c r="H483" t="s">
        <v>4957</v>
      </c>
    </row>
    <row r="484" spans="1:8" x14ac:dyDescent="0.25">
      <c r="A484">
        <v>691607003</v>
      </c>
      <c r="B484" t="s">
        <v>3927</v>
      </c>
      <c r="C484" t="s">
        <v>4542</v>
      </c>
      <c r="D484">
        <v>8</v>
      </c>
      <c r="E484" t="s">
        <v>4445</v>
      </c>
      <c r="F484" t="s">
        <v>3926</v>
      </c>
      <c r="G484" t="s">
        <v>5575</v>
      </c>
      <c r="H484" t="s">
        <v>4957</v>
      </c>
    </row>
    <row r="485" spans="1:8" x14ac:dyDescent="0.25">
      <c r="A485">
        <v>691701026</v>
      </c>
      <c r="B485" t="s">
        <v>87</v>
      </c>
      <c r="C485" t="s">
        <v>4497</v>
      </c>
      <c r="D485">
        <v>8</v>
      </c>
      <c r="E485" t="s">
        <v>4464</v>
      </c>
      <c r="F485" t="s">
        <v>3832</v>
      </c>
      <c r="G485" t="s">
        <v>5575</v>
      </c>
      <c r="H485" t="s">
        <v>4957</v>
      </c>
    </row>
    <row r="486" spans="1:8" x14ac:dyDescent="0.25">
      <c r="A486">
        <v>691702022</v>
      </c>
      <c r="B486" t="s">
        <v>360</v>
      </c>
      <c r="C486" t="s">
        <v>4499</v>
      </c>
      <c r="D486">
        <v>8</v>
      </c>
      <c r="E486" t="s">
        <v>4445</v>
      </c>
      <c r="F486" t="s">
        <v>1696</v>
      </c>
      <c r="G486" t="s">
        <v>5571</v>
      </c>
      <c r="H486" t="s">
        <v>4957</v>
      </c>
    </row>
    <row r="487" spans="1:8" x14ac:dyDescent="0.25">
      <c r="A487">
        <v>691703002</v>
      </c>
      <c r="B487" t="s">
        <v>912</v>
      </c>
      <c r="C487" t="s">
        <v>4273</v>
      </c>
      <c r="D487">
        <v>8</v>
      </c>
      <c r="E487" t="s">
        <v>4445</v>
      </c>
      <c r="F487" t="s">
        <v>1897</v>
      </c>
      <c r="G487" t="s">
        <v>5575</v>
      </c>
      <c r="H487" t="s">
        <v>4957</v>
      </c>
    </row>
    <row r="488" spans="1:8" x14ac:dyDescent="0.25">
      <c r="A488">
        <v>691704025</v>
      </c>
      <c r="B488" t="s">
        <v>361</v>
      </c>
      <c r="C488" t="s">
        <v>4355</v>
      </c>
      <c r="D488">
        <v>8</v>
      </c>
      <c r="E488" t="s">
        <v>4445</v>
      </c>
      <c r="F488" t="s">
        <v>1189</v>
      </c>
      <c r="G488" t="s">
        <v>5575</v>
      </c>
      <c r="H488" t="s">
        <v>4957</v>
      </c>
    </row>
    <row r="489" spans="1:8" x14ac:dyDescent="0.25">
      <c r="A489">
        <v>691707008</v>
      </c>
      <c r="B489" t="s">
        <v>362</v>
      </c>
      <c r="C489" t="s">
        <v>4216</v>
      </c>
      <c r="D489">
        <v>8</v>
      </c>
      <c r="E489" t="s">
        <v>4445</v>
      </c>
      <c r="F489" t="s">
        <v>1901</v>
      </c>
      <c r="G489" t="s">
        <v>5575</v>
      </c>
      <c r="H489" t="s">
        <v>4957</v>
      </c>
    </row>
    <row r="490" spans="1:8" x14ac:dyDescent="0.25">
      <c r="A490">
        <v>691708004</v>
      </c>
      <c r="B490" t="s">
        <v>363</v>
      </c>
      <c r="C490" t="s">
        <v>4356</v>
      </c>
      <c r="D490">
        <v>8</v>
      </c>
      <c r="E490" t="s">
        <v>4445</v>
      </c>
      <c r="F490" t="s">
        <v>1903</v>
      </c>
      <c r="G490" t="s">
        <v>5575</v>
      </c>
      <c r="H490" t="s">
        <v>4957</v>
      </c>
    </row>
    <row r="491" spans="1:8" x14ac:dyDescent="0.25">
      <c r="A491">
        <v>691726002</v>
      </c>
      <c r="B491" t="s">
        <v>364</v>
      </c>
      <c r="C491" t="s">
        <v>4408</v>
      </c>
      <c r="D491">
        <v>8</v>
      </c>
      <c r="E491" t="s">
        <v>4445</v>
      </c>
      <c r="F491" t="s">
        <v>4117</v>
      </c>
      <c r="G491" t="s">
        <v>5575</v>
      </c>
      <c r="H491" t="s">
        <v>4957</v>
      </c>
    </row>
    <row r="492" spans="1:8" x14ac:dyDescent="0.25">
      <c r="A492">
        <v>691801004</v>
      </c>
      <c r="B492" t="s">
        <v>88</v>
      </c>
      <c r="C492" t="s">
        <v>4389</v>
      </c>
      <c r="D492">
        <v>9</v>
      </c>
      <c r="E492" t="s">
        <v>4464</v>
      </c>
      <c r="F492" t="s">
        <v>2185</v>
      </c>
      <c r="G492" t="s">
        <v>5575</v>
      </c>
      <c r="H492" t="s">
        <v>4957</v>
      </c>
    </row>
    <row r="493" spans="1:8" x14ac:dyDescent="0.25">
      <c r="A493">
        <v>691803007</v>
      </c>
      <c r="B493" t="s">
        <v>365</v>
      </c>
      <c r="C493" t="s">
        <v>4357</v>
      </c>
      <c r="D493">
        <v>9</v>
      </c>
      <c r="E493" t="s">
        <v>4445</v>
      </c>
      <c r="F493" t="s">
        <v>1908</v>
      </c>
      <c r="G493" t="s">
        <v>5575</v>
      </c>
      <c r="H493" t="s">
        <v>4957</v>
      </c>
    </row>
    <row r="494" spans="1:8" x14ac:dyDescent="0.25">
      <c r="A494">
        <v>691804003</v>
      </c>
      <c r="B494" t="s">
        <v>977</v>
      </c>
      <c r="C494" t="s">
        <v>4358</v>
      </c>
      <c r="D494">
        <v>9</v>
      </c>
      <c r="E494" t="s">
        <v>4445</v>
      </c>
      <c r="F494" t="s">
        <v>4041</v>
      </c>
      <c r="G494" t="s">
        <v>5575</v>
      </c>
      <c r="H494" t="s">
        <v>4957</v>
      </c>
    </row>
    <row r="495" spans="1:8" x14ac:dyDescent="0.25">
      <c r="A495" t="s">
        <v>684</v>
      </c>
      <c r="B495" t="s">
        <v>685</v>
      </c>
      <c r="C495" t="s">
        <v>4217</v>
      </c>
      <c r="D495">
        <v>9</v>
      </c>
      <c r="E495" t="s">
        <v>4445</v>
      </c>
      <c r="F495" t="s">
        <v>1910</v>
      </c>
      <c r="G495" t="s">
        <v>5575</v>
      </c>
      <c r="H495" t="s">
        <v>4957</v>
      </c>
    </row>
    <row r="496" spans="1:8" x14ac:dyDescent="0.25">
      <c r="A496">
        <v>691806006</v>
      </c>
      <c r="B496" t="s">
        <v>366</v>
      </c>
      <c r="C496" t="s">
        <v>4359</v>
      </c>
      <c r="D496">
        <v>9</v>
      </c>
      <c r="E496" t="s">
        <v>4445</v>
      </c>
      <c r="F496" t="s">
        <v>2754</v>
      </c>
      <c r="G496" t="s">
        <v>5575</v>
      </c>
      <c r="H496" t="s">
        <v>4957</v>
      </c>
    </row>
    <row r="497" spans="1:8" x14ac:dyDescent="0.25">
      <c r="A497">
        <v>691807002</v>
      </c>
      <c r="B497" t="s">
        <v>913</v>
      </c>
      <c r="C497" t="s">
        <v>4477</v>
      </c>
      <c r="D497">
        <v>9</v>
      </c>
      <c r="E497" t="s">
        <v>4445</v>
      </c>
      <c r="F497" t="s">
        <v>1914</v>
      </c>
      <c r="G497" t="s">
        <v>5575</v>
      </c>
      <c r="H497" t="s">
        <v>4957</v>
      </c>
    </row>
    <row r="498" spans="1:8" x14ac:dyDescent="0.25">
      <c r="A498">
        <v>691808009</v>
      </c>
      <c r="B498" t="s">
        <v>367</v>
      </c>
      <c r="C498" t="s">
        <v>4360</v>
      </c>
      <c r="D498">
        <v>9</v>
      </c>
      <c r="E498" t="s">
        <v>4445</v>
      </c>
      <c r="F498" t="s">
        <v>2333</v>
      </c>
      <c r="G498" t="s">
        <v>5575</v>
      </c>
      <c r="H498" t="s">
        <v>4957</v>
      </c>
    </row>
    <row r="499" spans="1:8" x14ac:dyDescent="0.25">
      <c r="A499">
        <v>691809005</v>
      </c>
      <c r="B499" t="s">
        <v>89</v>
      </c>
      <c r="C499" t="s">
        <v>4361</v>
      </c>
      <c r="D499">
        <v>9</v>
      </c>
      <c r="E499" t="s">
        <v>4454</v>
      </c>
      <c r="F499" t="s">
        <v>1919</v>
      </c>
      <c r="G499" t="s">
        <v>5575</v>
      </c>
      <c r="H499" t="s">
        <v>4957</v>
      </c>
    </row>
    <row r="500" spans="1:8" x14ac:dyDescent="0.25">
      <c r="A500">
        <v>691810003</v>
      </c>
      <c r="B500" t="s">
        <v>368</v>
      </c>
      <c r="C500" t="s">
        <v>4479</v>
      </c>
      <c r="D500">
        <v>9</v>
      </c>
      <c r="E500" t="s">
        <v>4445</v>
      </c>
      <c r="F500" t="s">
        <v>1921</v>
      </c>
      <c r="G500" t="s">
        <v>5575</v>
      </c>
      <c r="H500" t="s">
        <v>4957</v>
      </c>
    </row>
    <row r="501" spans="1:8" x14ac:dyDescent="0.25">
      <c r="A501" t="s">
        <v>914</v>
      </c>
      <c r="B501" t="s">
        <v>915</v>
      </c>
      <c r="C501" t="s">
        <v>4276</v>
      </c>
      <c r="D501">
        <v>9</v>
      </c>
      <c r="E501" t="s">
        <v>4445</v>
      </c>
      <c r="F501" t="s">
        <v>1485</v>
      </c>
      <c r="G501" t="s">
        <v>5575</v>
      </c>
      <c r="H501" t="s">
        <v>4957</v>
      </c>
    </row>
    <row r="502" spans="1:8" x14ac:dyDescent="0.25">
      <c r="A502">
        <v>691901009</v>
      </c>
      <c r="B502" t="s">
        <v>90</v>
      </c>
      <c r="C502" t="s">
        <v>4362</v>
      </c>
      <c r="D502">
        <v>9</v>
      </c>
      <c r="E502" t="s">
        <v>4454</v>
      </c>
      <c r="F502" t="s">
        <v>3372</v>
      </c>
      <c r="G502" t="s">
        <v>5575</v>
      </c>
      <c r="H502" t="s">
        <v>4957</v>
      </c>
    </row>
    <row r="503" spans="1:8" x14ac:dyDescent="0.25">
      <c r="A503">
        <v>691902005</v>
      </c>
      <c r="B503" t="s">
        <v>916</v>
      </c>
      <c r="C503" t="s">
        <v>4219</v>
      </c>
      <c r="D503">
        <v>9</v>
      </c>
      <c r="E503" t="s">
        <v>4445</v>
      </c>
      <c r="F503" t="s">
        <v>2087</v>
      </c>
      <c r="G503" t="s">
        <v>5575</v>
      </c>
      <c r="H503" t="s">
        <v>4957</v>
      </c>
    </row>
    <row r="504" spans="1:8" x14ac:dyDescent="0.25">
      <c r="A504">
        <v>691903001</v>
      </c>
      <c r="B504" t="s">
        <v>369</v>
      </c>
      <c r="C504" t="s">
        <v>4363</v>
      </c>
      <c r="D504">
        <v>9</v>
      </c>
      <c r="E504" t="s">
        <v>4445</v>
      </c>
      <c r="F504" t="s">
        <v>1314</v>
      </c>
      <c r="G504" t="s">
        <v>5575</v>
      </c>
      <c r="H504" t="s">
        <v>4957</v>
      </c>
    </row>
    <row r="505" spans="1:8" x14ac:dyDescent="0.25">
      <c r="A505">
        <v>691904008</v>
      </c>
      <c r="B505" t="s">
        <v>91</v>
      </c>
      <c r="C505" t="s">
        <v>4364</v>
      </c>
      <c r="D505">
        <v>9</v>
      </c>
      <c r="E505" t="s">
        <v>4454</v>
      </c>
      <c r="F505" t="s">
        <v>1930</v>
      </c>
      <c r="G505" t="s">
        <v>5575</v>
      </c>
      <c r="H505" t="s">
        <v>4957</v>
      </c>
    </row>
    <row r="506" spans="1:8" x14ac:dyDescent="0.25">
      <c r="A506">
        <v>691905004</v>
      </c>
      <c r="B506" t="s">
        <v>370</v>
      </c>
      <c r="C506" t="s">
        <v>4222</v>
      </c>
      <c r="D506">
        <v>9</v>
      </c>
      <c r="E506" t="s">
        <v>4445</v>
      </c>
      <c r="F506" t="s">
        <v>1932</v>
      </c>
      <c r="G506" t="s">
        <v>5575</v>
      </c>
      <c r="H506" t="s">
        <v>4957</v>
      </c>
    </row>
    <row r="507" spans="1:8" x14ac:dyDescent="0.25">
      <c r="A507">
        <v>691906000</v>
      </c>
      <c r="B507" t="s">
        <v>371</v>
      </c>
      <c r="C507" t="s">
        <v>4487</v>
      </c>
      <c r="D507">
        <v>9</v>
      </c>
      <c r="E507" t="s">
        <v>4445</v>
      </c>
      <c r="F507" t="s">
        <v>1934</v>
      </c>
      <c r="G507" t="s">
        <v>5575</v>
      </c>
      <c r="H507" t="s">
        <v>4957</v>
      </c>
    </row>
    <row r="508" spans="1:8" x14ac:dyDescent="0.25">
      <c r="A508">
        <v>691907007</v>
      </c>
      <c r="B508" t="s">
        <v>92</v>
      </c>
      <c r="C508" t="s">
        <v>4218</v>
      </c>
      <c r="D508">
        <v>9</v>
      </c>
      <c r="E508" t="s">
        <v>4454</v>
      </c>
      <c r="F508" t="s">
        <v>1879</v>
      </c>
      <c r="G508" t="s">
        <v>5575</v>
      </c>
      <c r="H508" t="s">
        <v>4957</v>
      </c>
    </row>
    <row r="509" spans="1:8" x14ac:dyDescent="0.25">
      <c r="A509">
        <v>691908003</v>
      </c>
      <c r="B509" t="s">
        <v>372</v>
      </c>
      <c r="C509" t="s">
        <v>4480</v>
      </c>
      <c r="D509">
        <v>9</v>
      </c>
      <c r="E509" t="s">
        <v>4445</v>
      </c>
      <c r="F509" t="s">
        <v>3471</v>
      </c>
      <c r="G509" t="s">
        <v>5575</v>
      </c>
      <c r="H509" t="s">
        <v>4957</v>
      </c>
    </row>
    <row r="510" spans="1:8" x14ac:dyDescent="0.25">
      <c r="A510" s="135" t="s">
        <v>686</v>
      </c>
      <c r="B510" t="s">
        <v>687</v>
      </c>
      <c r="C510" t="s">
        <v>4365</v>
      </c>
      <c r="D510">
        <v>9</v>
      </c>
      <c r="E510" t="s">
        <v>4445</v>
      </c>
      <c r="F510" t="s">
        <v>1809</v>
      </c>
      <c r="G510" t="s">
        <v>5575</v>
      </c>
      <c r="H510" t="s">
        <v>4957</v>
      </c>
    </row>
    <row r="511" spans="1:8" x14ac:dyDescent="0.25">
      <c r="A511" s="135">
        <v>691910008</v>
      </c>
      <c r="B511" t="s">
        <v>373</v>
      </c>
      <c r="C511" t="s">
        <v>4220</v>
      </c>
      <c r="D511">
        <v>9</v>
      </c>
      <c r="E511" t="s">
        <v>4445</v>
      </c>
      <c r="F511" t="s">
        <v>1712</v>
      </c>
      <c r="G511" t="s">
        <v>5575</v>
      </c>
      <c r="H511" t="s">
        <v>4957</v>
      </c>
    </row>
    <row r="512" spans="1:8" x14ac:dyDescent="0.25">
      <c r="A512">
        <v>691911004</v>
      </c>
      <c r="B512" t="s">
        <v>374</v>
      </c>
      <c r="C512" t="s">
        <v>4366</v>
      </c>
      <c r="D512">
        <v>9</v>
      </c>
      <c r="E512" t="s">
        <v>4445</v>
      </c>
      <c r="F512" t="s">
        <v>1944</v>
      </c>
      <c r="G512" t="s">
        <v>5575</v>
      </c>
      <c r="H512" t="s">
        <v>4957</v>
      </c>
    </row>
    <row r="513" spans="1:8" x14ac:dyDescent="0.25">
      <c r="A513">
        <v>691912000</v>
      </c>
      <c r="B513" t="s">
        <v>375</v>
      </c>
      <c r="C513" t="s">
        <v>4221</v>
      </c>
      <c r="D513">
        <v>9</v>
      </c>
      <c r="E513" t="s">
        <v>4445</v>
      </c>
      <c r="F513" t="s">
        <v>1348</v>
      </c>
      <c r="G513" t="s">
        <v>5575</v>
      </c>
      <c r="H513" t="s">
        <v>4957</v>
      </c>
    </row>
    <row r="514" spans="1:8" x14ac:dyDescent="0.25">
      <c r="A514">
        <v>691913007</v>
      </c>
      <c r="B514" t="s">
        <v>93</v>
      </c>
      <c r="C514" t="s">
        <v>4478</v>
      </c>
      <c r="D514">
        <v>9</v>
      </c>
      <c r="E514" t="s">
        <v>4454</v>
      </c>
      <c r="F514" t="s">
        <v>1948</v>
      </c>
      <c r="G514" t="s">
        <v>5575</v>
      </c>
      <c r="H514" t="s">
        <v>4957</v>
      </c>
    </row>
    <row r="515" spans="1:8" x14ac:dyDescent="0.25">
      <c r="A515">
        <v>691914003</v>
      </c>
      <c r="B515" t="s">
        <v>987</v>
      </c>
      <c r="C515" t="s">
        <v>4481</v>
      </c>
      <c r="D515">
        <v>9</v>
      </c>
      <c r="E515" t="s">
        <v>4445</v>
      </c>
      <c r="F515" t="s">
        <v>4543</v>
      </c>
      <c r="G515" t="s">
        <v>5575</v>
      </c>
      <c r="H515" t="s">
        <v>4957</v>
      </c>
    </row>
    <row r="516" spans="1:8" x14ac:dyDescent="0.25">
      <c r="A516" t="s">
        <v>150</v>
      </c>
      <c r="B516" t="s">
        <v>151</v>
      </c>
      <c r="C516" t="s">
        <v>4223</v>
      </c>
      <c r="D516">
        <v>9</v>
      </c>
      <c r="E516" t="s">
        <v>4454</v>
      </c>
      <c r="F516" t="s">
        <v>2030</v>
      </c>
      <c r="G516" t="s">
        <v>5575</v>
      </c>
      <c r="H516" t="s">
        <v>4957</v>
      </c>
    </row>
    <row r="517" spans="1:8" x14ac:dyDescent="0.25">
      <c r="A517">
        <v>691916006</v>
      </c>
      <c r="B517" t="s">
        <v>94</v>
      </c>
      <c r="C517" t="s">
        <v>4544</v>
      </c>
      <c r="D517">
        <v>9</v>
      </c>
      <c r="E517" t="s">
        <v>4454</v>
      </c>
      <c r="F517" t="s">
        <v>1637</v>
      </c>
      <c r="G517" t="s">
        <v>5575</v>
      </c>
      <c r="H517" t="s">
        <v>4957</v>
      </c>
    </row>
    <row r="518" spans="1:8" x14ac:dyDescent="0.25">
      <c r="A518">
        <v>692001001</v>
      </c>
      <c r="B518" t="s">
        <v>95</v>
      </c>
      <c r="C518" t="s">
        <v>4170</v>
      </c>
      <c r="D518">
        <v>14</v>
      </c>
      <c r="E518" t="s">
        <v>4454</v>
      </c>
      <c r="F518" t="s">
        <v>1954</v>
      </c>
      <c r="G518" t="s">
        <v>5575</v>
      </c>
      <c r="H518" t="s">
        <v>4957</v>
      </c>
    </row>
    <row r="519" spans="1:8" x14ac:dyDescent="0.25">
      <c r="A519">
        <v>692003004</v>
      </c>
      <c r="B519" t="s">
        <v>376</v>
      </c>
      <c r="C519" t="s">
        <v>4277</v>
      </c>
      <c r="D519">
        <v>14</v>
      </c>
      <c r="E519" t="s">
        <v>4445</v>
      </c>
      <c r="F519" t="s">
        <v>1351</v>
      </c>
      <c r="G519" t="s">
        <v>5575</v>
      </c>
      <c r="H519" t="s">
        <v>4957</v>
      </c>
    </row>
    <row r="520" spans="1:8" x14ac:dyDescent="0.25">
      <c r="A520">
        <v>692004000</v>
      </c>
      <c r="B520" t="s">
        <v>5050</v>
      </c>
      <c r="C520" t="s">
        <v>4296</v>
      </c>
      <c r="D520">
        <v>14</v>
      </c>
      <c r="E520" t="s">
        <v>4445</v>
      </c>
      <c r="F520" t="s">
        <v>5220</v>
      </c>
      <c r="G520" t="s">
        <v>5575</v>
      </c>
      <c r="H520" t="s">
        <v>4957</v>
      </c>
    </row>
    <row r="521" spans="1:8" x14ac:dyDescent="0.25">
      <c r="A521">
        <v>692005007</v>
      </c>
      <c r="B521" t="s">
        <v>377</v>
      </c>
      <c r="C521" t="s">
        <v>4545</v>
      </c>
      <c r="D521">
        <v>14</v>
      </c>
      <c r="E521" t="s">
        <v>4445</v>
      </c>
      <c r="F521" t="s">
        <v>1957</v>
      </c>
      <c r="G521" t="s">
        <v>5575</v>
      </c>
      <c r="H521" t="s">
        <v>4957</v>
      </c>
    </row>
    <row r="522" spans="1:8" x14ac:dyDescent="0.25">
      <c r="A522">
        <v>692006003</v>
      </c>
      <c r="B522" t="s">
        <v>378</v>
      </c>
      <c r="C522" t="s">
        <v>4281</v>
      </c>
      <c r="D522">
        <v>14</v>
      </c>
      <c r="E522" t="s">
        <v>4445</v>
      </c>
      <c r="F522" t="s">
        <v>1959</v>
      </c>
      <c r="G522" t="s">
        <v>5575</v>
      </c>
      <c r="H522" t="s">
        <v>4957</v>
      </c>
    </row>
    <row r="523" spans="1:8" x14ac:dyDescent="0.25">
      <c r="A523" t="s">
        <v>688</v>
      </c>
      <c r="B523" t="s">
        <v>689</v>
      </c>
      <c r="C523" t="s">
        <v>4367</v>
      </c>
      <c r="D523">
        <v>14</v>
      </c>
      <c r="E523" t="s">
        <v>4445</v>
      </c>
      <c r="F523" t="s">
        <v>1749</v>
      </c>
      <c r="G523" t="s">
        <v>5575</v>
      </c>
      <c r="H523" t="s">
        <v>4957</v>
      </c>
    </row>
    <row r="524" spans="1:8" x14ac:dyDescent="0.25">
      <c r="A524">
        <v>692008006</v>
      </c>
      <c r="B524" t="s">
        <v>3320</v>
      </c>
      <c r="C524" t="s">
        <v>4467</v>
      </c>
      <c r="D524">
        <v>14</v>
      </c>
      <c r="E524" t="s">
        <v>4454</v>
      </c>
      <c r="F524" t="s">
        <v>3319</v>
      </c>
      <c r="G524" t="s">
        <v>5575</v>
      </c>
      <c r="H524" t="s">
        <v>4957</v>
      </c>
    </row>
    <row r="525" spans="1:8" x14ac:dyDescent="0.25">
      <c r="A525">
        <v>692009002</v>
      </c>
      <c r="B525" t="s">
        <v>798</v>
      </c>
      <c r="C525" t="s">
        <v>4279</v>
      </c>
      <c r="D525">
        <v>14</v>
      </c>
      <c r="E525" t="s">
        <v>4445</v>
      </c>
      <c r="F525" t="s">
        <v>2174</v>
      </c>
      <c r="G525" t="s">
        <v>5575</v>
      </c>
      <c r="H525" t="s">
        <v>4957</v>
      </c>
    </row>
    <row r="526" spans="1:8" x14ac:dyDescent="0.25">
      <c r="A526">
        <v>692010000</v>
      </c>
      <c r="B526" t="s">
        <v>379</v>
      </c>
      <c r="C526" t="s">
        <v>4500</v>
      </c>
      <c r="D526">
        <v>14</v>
      </c>
      <c r="E526" t="s">
        <v>4445</v>
      </c>
      <c r="F526" t="s">
        <v>3962</v>
      </c>
      <c r="G526" t="s">
        <v>5575</v>
      </c>
      <c r="H526" t="s">
        <v>4957</v>
      </c>
    </row>
    <row r="527" spans="1:8" x14ac:dyDescent="0.25">
      <c r="A527">
        <v>692011007</v>
      </c>
      <c r="B527" t="s">
        <v>380</v>
      </c>
      <c r="C527" t="s">
        <v>4368</v>
      </c>
      <c r="D527">
        <v>14</v>
      </c>
      <c r="E527" t="s">
        <v>4445</v>
      </c>
      <c r="F527" t="s">
        <v>2009</v>
      </c>
      <c r="G527" t="s">
        <v>5571</v>
      </c>
      <c r="H527" t="s">
        <v>4957</v>
      </c>
    </row>
    <row r="528" spans="1:8" x14ac:dyDescent="0.25">
      <c r="A528">
        <v>692101006</v>
      </c>
      <c r="B528" t="s">
        <v>96</v>
      </c>
      <c r="C528" t="s">
        <v>4224</v>
      </c>
      <c r="D528">
        <v>10</v>
      </c>
      <c r="E528" t="s">
        <v>4454</v>
      </c>
      <c r="F528" t="s">
        <v>1290</v>
      </c>
      <c r="G528" t="s">
        <v>5575</v>
      </c>
      <c r="H528" t="s">
        <v>4957</v>
      </c>
    </row>
    <row r="529" spans="1:8" x14ac:dyDescent="0.25">
      <c r="A529">
        <v>692102029</v>
      </c>
      <c r="B529" t="s">
        <v>381</v>
      </c>
      <c r="C529" t="s">
        <v>4295</v>
      </c>
      <c r="D529">
        <v>10</v>
      </c>
      <c r="E529" t="s">
        <v>4445</v>
      </c>
      <c r="F529" t="s">
        <v>1273</v>
      </c>
      <c r="G529" t="s">
        <v>5571</v>
      </c>
      <c r="H529" t="s">
        <v>4957</v>
      </c>
    </row>
    <row r="530" spans="1:8" x14ac:dyDescent="0.25">
      <c r="A530" s="135">
        <v>692103025</v>
      </c>
      <c r="B530" t="s">
        <v>382</v>
      </c>
      <c r="C530" t="s">
        <v>4482</v>
      </c>
      <c r="D530">
        <v>10</v>
      </c>
      <c r="E530" t="s">
        <v>4445</v>
      </c>
      <c r="F530" t="s">
        <v>2011</v>
      </c>
      <c r="G530" t="s">
        <v>5575</v>
      </c>
      <c r="H530" t="s">
        <v>4957</v>
      </c>
    </row>
    <row r="531" spans="1:8" x14ac:dyDescent="0.25">
      <c r="A531" s="135">
        <v>692104005</v>
      </c>
      <c r="B531" t="s">
        <v>5807</v>
      </c>
      <c r="C531" t="s">
        <v>4225</v>
      </c>
      <c r="D531">
        <v>10</v>
      </c>
      <c r="E531" t="s">
        <v>5808</v>
      </c>
      <c r="F531" t="s">
        <v>5809</v>
      </c>
      <c r="H531" t="s">
        <v>4957</v>
      </c>
    </row>
    <row r="532" spans="1:8" x14ac:dyDescent="0.25">
      <c r="A532">
        <v>692105001</v>
      </c>
      <c r="B532" t="s">
        <v>799</v>
      </c>
      <c r="C532" t="s">
        <v>4282</v>
      </c>
      <c r="D532">
        <v>10</v>
      </c>
      <c r="E532" t="s">
        <v>4445</v>
      </c>
      <c r="F532" t="s">
        <v>1516</v>
      </c>
      <c r="G532" t="s">
        <v>5575</v>
      </c>
      <c r="H532" t="s">
        <v>4957</v>
      </c>
    </row>
    <row r="533" spans="1:8" x14ac:dyDescent="0.25">
      <c r="A533">
        <v>692106008</v>
      </c>
      <c r="B533" t="s">
        <v>383</v>
      </c>
      <c r="C533" t="s">
        <v>4369</v>
      </c>
      <c r="D533">
        <v>10</v>
      </c>
      <c r="E533" t="s">
        <v>4445</v>
      </c>
      <c r="F533" t="s">
        <v>3922</v>
      </c>
      <c r="G533" t="s">
        <v>5575</v>
      </c>
      <c r="H533" t="s">
        <v>4957</v>
      </c>
    </row>
    <row r="534" spans="1:8" x14ac:dyDescent="0.25">
      <c r="A534">
        <v>692201000</v>
      </c>
      <c r="B534" t="s">
        <v>97</v>
      </c>
      <c r="C534" t="s">
        <v>4292</v>
      </c>
      <c r="D534">
        <v>10</v>
      </c>
      <c r="E534" t="s">
        <v>4454</v>
      </c>
      <c r="F534" t="s">
        <v>2038</v>
      </c>
      <c r="G534" t="s">
        <v>5575</v>
      </c>
      <c r="H534" t="s">
        <v>4957</v>
      </c>
    </row>
    <row r="535" spans="1:8" x14ac:dyDescent="0.25">
      <c r="A535">
        <v>692202007</v>
      </c>
      <c r="B535" t="s">
        <v>1981</v>
      </c>
      <c r="C535" t="s">
        <v>4190</v>
      </c>
      <c r="D535">
        <v>10</v>
      </c>
      <c r="E535" t="s">
        <v>4445</v>
      </c>
      <c r="F535" t="s">
        <v>1980</v>
      </c>
      <c r="G535" t="s">
        <v>5575</v>
      </c>
      <c r="H535" t="s">
        <v>4957</v>
      </c>
    </row>
    <row r="536" spans="1:8" x14ac:dyDescent="0.25">
      <c r="A536" t="s">
        <v>917</v>
      </c>
      <c r="B536" t="s">
        <v>918</v>
      </c>
      <c r="C536" t="s">
        <v>4226</v>
      </c>
      <c r="D536">
        <v>10</v>
      </c>
      <c r="E536" t="s">
        <v>4445</v>
      </c>
      <c r="F536" t="s">
        <v>1982</v>
      </c>
      <c r="G536" t="s">
        <v>5575</v>
      </c>
      <c r="H536" t="s">
        <v>4957</v>
      </c>
    </row>
    <row r="537" spans="1:8" x14ac:dyDescent="0.25">
      <c r="A537">
        <v>692204026</v>
      </c>
      <c r="B537" t="s">
        <v>800</v>
      </c>
      <c r="C537" t="s">
        <v>4228</v>
      </c>
      <c r="D537">
        <v>10</v>
      </c>
      <c r="E537" t="s">
        <v>4445</v>
      </c>
      <c r="F537" t="s">
        <v>1984</v>
      </c>
      <c r="G537" t="s">
        <v>5575</v>
      </c>
      <c r="H537" t="s">
        <v>4957</v>
      </c>
    </row>
    <row r="538" spans="1:8" x14ac:dyDescent="0.25">
      <c r="A538">
        <v>692205006</v>
      </c>
      <c r="B538" t="s">
        <v>919</v>
      </c>
      <c r="C538" t="s">
        <v>4483</v>
      </c>
      <c r="D538">
        <v>10</v>
      </c>
      <c r="E538" t="s">
        <v>4445</v>
      </c>
      <c r="F538" t="s">
        <v>2023</v>
      </c>
      <c r="G538" t="s">
        <v>5575</v>
      </c>
      <c r="H538" t="s">
        <v>4957</v>
      </c>
    </row>
    <row r="539" spans="1:8" x14ac:dyDescent="0.25">
      <c r="A539">
        <v>692207025</v>
      </c>
      <c r="B539" t="s">
        <v>801</v>
      </c>
      <c r="C539" t="s">
        <v>4227</v>
      </c>
      <c r="D539">
        <v>10</v>
      </c>
      <c r="E539" t="s">
        <v>4445</v>
      </c>
      <c r="F539" t="s">
        <v>2347</v>
      </c>
      <c r="G539" t="s">
        <v>5575</v>
      </c>
      <c r="H539" t="s">
        <v>4957</v>
      </c>
    </row>
    <row r="540" spans="1:8" x14ac:dyDescent="0.25">
      <c r="A540">
        <v>692208005</v>
      </c>
      <c r="B540" t="s">
        <v>802</v>
      </c>
      <c r="C540" t="s">
        <v>4370</v>
      </c>
      <c r="D540">
        <v>10</v>
      </c>
      <c r="E540" t="s">
        <v>4445</v>
      </c>
      <c r="F540" t="s">
        <v>1187</v>
      </c>
      <c r="G540" t="s">
        <v>5575</v>
      </c>
      <c r="H540" t="s">
        <v>4957</v>
      </c>
    </row>
    <row r="541" spans="1:8" x14ac:dyDescent="0.25">
      <c r="A541">
        <v>692302001</v>
      </c>
      <c r="B541" t="s">
        <v>384</v>
      </c>
      <c r="C541" t="s">
        <v>4371</v>
      </c>
      <c r="D541">
        <v>10</v>
      </c>
      <c r="E541" t="s">
        <v>4445</v>
      </c>
      <c r="F541" t="s">
        <v>2047</v>
      </c>
      <c r="G541" t="s">
        <v>5575</v>
      </c>
      <c r="H541" t="s">
        <v>4957</v>
      </c>
    </row>
    <row r="542" spans="1:8" x14ac:dyDescent="0.25">
      <c r="A542">
        <v>692311000</v>
      </c>
      <c r="B542" t="s">
        <v>920</v>
      </c>
      <c r="C542" t="s">
        <v>4488</v>
      </c>
      <c r="D542">
        <v>10</v>
      </c>
      <c r="E542" t="s">
        <v>4445</v>
      </c>
      <c r="F542" t="s">
        <v>1280</v>
      </c>
      <c r="G542" t="s">
        <v>5575</v>
      </c>
      <c r="H542" t="s">
        <v>4957</v>
      </c>
    </row>
    <row r="543" spans="1:8" x14ac:dyDescent="0.25">
      <c r="A543">
        <v>692312007</v>
      </c>
      <c r="B543" t="s">
        <v>4751</v>
      </c>
      <c r="C543" t="s">
        <v>4826</v>
      </c>
      <c r="D543">
        <v>10</v>
      </c>
      <c r="E543" t="s">
        <v>4445</v>
      </c>
      <c r="F543" t="s">
        <v>4908</v>
      </c>
      <c r="G543" t="s">
        <v>5575</v>
      </c>
      <c r="H543" t="s">
        <v>4957</v>
      </c>
    </row>
    <row r="544" spans="1:8" x14ac:dyDescent="0.25">
      <c r="A544">
        <v>692404009</v>
      </c>
      <c r="B544" t="s">
        <v>1086</v>
      </c>
      <c r="C544" t="s">
        <v>4234</v>
      </c>
      <c r="D544">
        <v>11</v>
      </c>
      <c r="E544" t="s">
        <v>4445</v>
      </c>
      <c r="F544" t="s">
        <v>1573</v>
      </c>
      <c r="G544" t="s">
        <v>5575</v>
      </c>
      <c r="H544" t="s">
        <v>4915</v>
      </c>
    </row>
    <row r="545" spans="1:8" x14ac:dyDescent="0.25">
      <c r="A545">
        <v>692502000</v>
      </c>
      <c r="B545" t="s">
        <v>385</v>
      </c>
      <c r="C545" t="s">
        <v>4185</v>
      </c>
      <c r="D545">
        <v>12</v>
      </c>
      <c r="E545" t="s">
        <v>4445</v>
      </c>
      <c r="F545" t="s">
        <v>1998</v>
      </c>
      <c r="G545" t="s">
        <v>5575</v>
      </c>
      <c r="H545" t="s">
        <v>4957</v>
      </c>
    </row>
    <row r="546" spans="1:8" x14ac:dyDescent="0.25">
      <c r="A546" t="s">
        <v>4766</v>
      </c>
      <c r="B546" t="s">
        <v>2001</v>
      </c>
      <c r="C546" t="s">
        <v>4243</v>
      </c>
      <c r="D546">
        <v>3</v>
      </c>
      <c r="E546" t="s">
        <v>4445</v>
      </c>
      <c r="F546" t="s">
        <v>2000</v>
      </c>
      <c r="G546" t="s">
        <v>5575</v>
      </c>
      <c r="H546" t="s">
        <v>4957</v>
      </c>
    </row>
    <row r="547" spans="1:8" x14ac:dyDescent="0.25">
      <c r="A547">
        <v>692508009</v>
      </c>
      <c r="B547" t="s">
        <v>921</v>
      </c>
      <c r="C547" t="s">
        <v>4372</v>
      </c>
      <c r="D547">
        <v>15</v>
      </c>
      <c r="E547" t="s">
        <v>4445</v>
      </c>
      <c r="F547" t="s">
        <v>1503</v>
      </c>
      <c r="G547" t="s">
        <v>5575</v>
      </c>
      <c r="H547" t="s">
        <v>4957</v>
      </c>
    </row>
    <row r="548" spans="1:8" x14ac:dyDescent="0.25">
      <c r="A548">
        <v>692510003</v>
      </c>
      <c r="B548" t="s">
        <v>4962</v>
      </c>
      <c r="C548" t="s">
        <v>4963</v>
      </c>
      <c r="D548">
        <v>15</v>
      </c>
      <c r="E548" t="s">
        <v>4445</v>
      </c>
      <c r="F548" t="s">
        <v>4964</v>
      </c>
      <c r="G548" t="s">
        <v>5575</v>
      </c>
      <c r="H548" t="s">
        <v>4957</v>
      </c>
    </row>
    <row r="549" spans="1:8" x14ac:dyDescent="0.25">
      <c r="A549">
        <v>692515005</v>
      </c>
      <c r="B549" t="s">
        <v>922</v>
      </c>
      <c r="C549" t="s">
        <v>4546</v>
      </c>
      <c r="D549">
        <v>12</v>
      </c>
      <c r="E549" t="s">
        <v>4445</v>
      </c>
      <c r="F549" t="s">
        <v>4141</v>
      </c>
      <c r="G549" t="s">
        <v>5575</v>
      </c>
      <c r="H549" t="s">
        <v>4957</v>
      </c>
    </row>
    <row r="550" spans="1:8" x14ac:dyDescent="0.25">
      <c r="A550">
        <v>692516001</v>
      </c>
      <c r="B550" t="s">
        <v>386</v>
      </c>
      <c r="C550" t="s">
        <v>4373</v>
      </c>
      <c r="D550">
        <v>12</v>
      </c>
      <c r="E550" t="s">
        <v>4445</v>
      </c>
      <c r="F550" t="s">
        <v>2005</v>
      </c>
      <c r="G550" t="s">
        <v>5575</v>
      </c>
      <c r="H550" t="s">
        <v>4957</v>
      </c>
    </row>
    <row r="551" spans="1:8" x14ac:dyDescent="0.25">
      <c r="A551">
        <v>692518004</v>
      </c>
      <c r="B551" t="s">
        <v>387</v>
      </c>
      <c r="C551" t="s">
        <v>4294</v>
      </c>
      <c r="D551">
        <v>10</v>
      </c>
      <c r="E551" t="s">
        <v>4445</v>
      </c>
      <c r="F551" t="s">
        <v>1711</v>
      </c>
      <c r="G551" t="s">
        <v>5575</v>
      </c>
      <c r="H551" t="s">
        <v>4957</v>
      </c>
    </row>
    <row r="552" spans="1:8" x14ac:dyDescent="0.25">
      <c r="A552">
        <v>692519000</v>
      </c>
      <c r="B552" t="s">
        <v>949</v>
      </c>
      <c r="C552" t="s">
        <v>4547</v>
      </c>
      <c r="D552">
        <v>3</v>
      </c>
      <c r="E552" t="s">
        <v>4445</v>
      </c>
      <c r="F552" t="s">
        <v>1367</v>
      </c>
      <c r="G552" t="s">
        <v>5575</v>
      </c>
      <c r="H552" t="s">
        <v>4957</v>
      </c>
    </row>
    <row r="553" spans="1:8" x14ac:dyDescent="0.25">
      <c r="A553">
        <v>692521005</v>
      </c>
      <c r="B553" t="s">
        <v>388</v>
      </c>
      <c r="C553" t="s">
        <v>4374</v>
      </c>
      <c r="D553">
        <v>9</v>
      </c>
      <c r="E553" t="s">
        <v>4445</v>
      </c>
      <c r="F553" t="s">
        <v>3265</v>
      </c>
      <c r="G553" t="s">
        <v>5575</v>
      </c>
      <c r="H553" t="s">
        <v>4957</v>
      </c>
    </row>
    <row r="554" spans="1:8" x14ac:dyDescent="0.25">
      <c r="A554">
        <v>692523008</v>
      </c>
      <c r="B554" t="s">
        <v>389</v>
      </c>
      <c r="C554" t="s">
        <v>4548</v>
      </c>
      <c r="D554">
        <v>5</v>
      </c>
      <c r="E554" t="s">
        <v>4445</v>
      </c>
      <c r="F554" t="s">
        <v>2012</v>
      </c>
      <c r="G554" t="s">
        <v>5575</v>
      </c>
      <c r="H554" t="s">
        <v>4957</v>
      </c>
    </row>
    <row r="555" spans="1:8" x14ac:dyDescent="0.25">
      <c r="A555">
        <v>692525000</v>
      </c>
      <c r="B555" t="s">
        <v>923</v>
      </c>
      <c r="C555" t="s">
        <v>4375</v>
      </c>
      <c r="D555">
        <v>2</v>
      </c>
      <c r="E555" t="s">
        <v>4445</v>
      </c>
      <c r="F555" t="s">
        <v>2085</v>
      </c>
      <c r="G555" t="s">
        <v>5575</v>
      </c>
      <c r="H555" t="s">
        <v>4957</v>
      </c>
    </row>
    <row r="556" spans="1:8" x14ac:dyDescent="0.25">
      <c r="A556">
        <v>692527003</v>
      </c>
      <c r="B556" t="s">
        <v>390</v>
      </c>
      <c r="C556" t="s">
        <v>4376</v>
      </c>
      <c r="D556">
        <v>7</v>
      </c>
      <c r="E556" t="s">
        <v>4445</v>
      </c>
      <c r="F556" t="s">
        <v>4112</v>
      </c>
      <c r="G556" t="s">
        <v>5575</v>
      </c>
      <c r="H556" t="s">
        <v>4957</v>
      </c>
    </row>
    <row r="557" spans="1:8" x14ac:dyDescent="0.25">
      <c r="A557">
        <v>692536002</v>
      </c>
      <c r="B557" t="s">
        <v>957</v>
      </c>
      <c r="C557" t="s">
        <v>4549</v>
      </c>
      <c r="D557">
        <v>2</v>
      </c>
      <c r="E557" t="s">
        <v>4445</v>
      </c>
      <c r="F557" t="s">
        <v>2017</v>
      </c>
      <c r="G557" t="s">
        <v>5575</v>
      </c>
      <c r="H557" t="s">
        <v>4957</v>
      </c>
    </row>
    <row r="558" spans="1:8" x14ac:dyDescent="0.25">
      <c r="A558">
        <v>692538005</v>
      </c>
      <c r="B558" t="s">
        <v>924</v>
      </c>
      <c r="C558" t="s">
        <v>4409</v>
      </c>
      <c r="D558">
        <v>13</v>
      </c>
      <c r="E558" t="s">
        <v>4445</v>
      </c>
      <c r="F558" t="s">
        <v>1409</v>
      </c>
      <c r="G558" t="s">
        <v>5575</v>
      </c>
      <c r="H558" t="s">
        <v>4957</v>
      </c>
    </row>
    <row r="559" spans="1:8" x14ac:dyDescent="0.25">
      <c r="A559">
        <v>692539001</v>
      </c>
      <c r="B559" t="s">
        <v>391</v>
      </c>
      <c r="C559" t="s">
        <v>4506</v>
      </c>
      <c r="D559">
        <v>13</v>
      </c>
      <c r="E559" t="s">
        <v>4445</v>
      </c>
      <c r="F559" t="s">
        <v>1252</v>
      </c>
      <c r="G559" t="s">
        <v>5575</v>
      </c>
      <c r="H559" t="s">
        <v>4957</v>
      </c>
    </row>
    <row r="560" spans="1:8" x14ac:dyDescent="0.25">
      <c r="A560">
        <v>692542002</v>
      </c>
      <c r="B560" t="s">
        <v>392</v>
      </c>
      <c r="C560" t="s">
        <v>4400</v>
      </c>
      <c r="D560">
        <v>13</v>
      </c>
      <c r="E560" t="s">
        <v>4445</v>
      </c>
      <c r="F560" t="s">
        <v>2215</v>
      </c>
      <c r="G560" t="s">
        <v>5575</v>
      </c>
      <c r="H560" t="s">
        <v>4957</v>
      </c>
    </row>
    <row r="561" spans="1:8" x14ac:dyDescent="0.25">
      <c r="A561">
        <v>692543009</v>
      </c>
      <c r="B561" t="s">
        <v>925</v>
      </c>
      <c r="C561" t="s">
        <v>4452</v>
      </c>
      <c r="D561">
        <v>13</v>
      </c>
      <c r="E561" t="s">
        <v>4445</v>
      </c>
      <c r="F561" t="s">
        <v>2025</v>
      </c>
      <c r="G561" t="s">
        <v>5575</v>
      </c>
      <c r="H561" t="s">
        <v>4957</v>
      </c>
    </row>
    <row r="562" spans="1:8" x14ac:dyDescent="0.25">
      <c r="A562">
        <v>692548000</v>
      </c>
      <c r="B562" t="s">
        <v>393</v>
      </c>
      <c r="C562" t="s">
        <v>4410</v>
      </c>
      <c r="D562">
        <v>13</v>
      </c>
      <c r="E562" t="s">
        <v>4445</v>
      </c>
      <c r="F562" t="s">
        <v>3998</v>
      </c>
      <c r="G562" t="s">
        <v>5575</v>
      </c>
      <c r="H562" t="s">
        <v>4957</v>
      </c>
    </row>
    <row r="563" spans="1:8" x14ac:dyDescent="0.25">
      <c r="A563">
        <v>692549007</v>
      </c>
      <c r="B563" t="s">
        <v>394</v>
      </c>
      <c r="C563" t="s">
        <v>4449</v>
      </c>
      <c r="D563">
        <v>13</v>
      </c>
      <c r="E563" t="s">
        <v>4445</v>
      </c>
      <c r="F563" t="s">
        <v>1181</v>
      </c>
      <c r="G563" t="s">
        <v>5575</v>
      </c>
      <c r="H563" t="s">
        <v>4957</v>
      </c>
    </row>
    <row r="564" spans="1:8" x14ac:dyDescent="0.25">
      <c r="A564">
        <v>692551001</v>
      </c>
      <c r="B564" t="s">
        <v>395</v>
      </c>
      <c r="C564" t="s">
        <v>4550</v>
      </c>
      <c r="D564">
        <v>13</v>
      </c>
      <c r="E564" t="s">
        <v>4445</v>
      </c>
      <c r="F564" t="s">
        <v>1499</v>
      </c>
      <c r="G564" t="s">
        <v>5575</v>
      </c>
      <c r="H564" t="s">
        <v>4957</v>
      </c>
    </row>
    <row r="565" spans="1:8" x14ac:dyDescent="0.25">
      <c r="A565">
        <v>692552008</v>
      </c>
      <c r="B565" t="s">
        <v>803</v>
      </c>
      <c r="C565" t="s">
        <v>4551</v>
      </c>
      <c r="D565">
        <v>13</v>
      </c>
      <c r="E565" t="s">
        <v>4445</v>
      </c>
      <c r="F565" t="s">
        <v>2033</v>
      </c>
      <c r="G565" t="s">
        <v>5575</v>
      </c>
      <c r="H565" t="s">
        <v>4957</v>
      </c>
    </row>
    <row r="566" spans="1:8" x14ac:dyDescent="0.25">
      <c r="A566">
        <v>692553004</v>
      </c>
      <c r="B566" t="s">
        <v>396</v>
      </c>
      <c r="C566" t="s">
        <v>4411</v>
      </c>
      <c r="D566">
        <v>13</v>
      </c>
      <c r="E566" t="s">
        <v>4445</v>
      </c>
      <c r="F566" t="s">
        <v>2609</v>
      </c>
      <c r="G566" t="s">
        <v>5575</v>
      </c>
      <c r="H566" t="s">
        <v>4957</v>
      </c>
    </row>
    <row r="567" spans="1:8" x14ac:dyDescent="0.25">
      <c r="A567">
        <v>692554000</v>
      </c>
      <c r="B567" t="s">
        <v>397</v>
      </c>
      <c r="C567" t="s">
        <v>4393</v>
      </c>
      <c r="D567">
        <v>13</v>
      </c>
      <c r="E567" t="s">
        <v>4445</v>
      </c>
      <c r="F567" t="s">
        <v>1211</v>
      </c>
      <c r="G567" t="s">
        <v>5575</v>
      </c>
      <c r="H567" t="s">
        <v>4957</v>
      </c>
    </row>
    <row r="568" spans="1:8" x14ac:dyDescent="0.25">
      <c r="A568">
        <v>692555007</v>
      </c>
      <c r="B568" t="s">
        <v>398</v>
      </c>
      <c r="C568" t="s">
        <v>4458</v>
      </c>
      <c r="D568">
        <v>13</v>
      </c>
      <c r="E568" t="s">
        <v>4445</v>
      </c>
      <c r="F568" t="s">
        <v>2524</v>
      </c>
      <c r="G568" t="s">
        <v>5575</v>
      </c>
      <c r="H568" t="s">
        <v>4957</v>
      </c>
    </row>
    <row r="569" spans="1:8" x14ac:dyDescent="0.25">
      <c r="A569">
        <v>692556003</v>
      </c>
      <c r="B569" t="s">
        <v>804</v>
      </c>
      <c r="C569" t="s">
        <v>4552</v>
      </c>
      <c r="D569">
        <v>13</v>
      </c>
      <c r="E569" t="s">
        <v>4445</v>
      </c>
      <c r="F569" t="s">
        <v>2043</v>
      </c>
      <c r="G569" t="s">
        <v>5575</v>
      </c>
      <c r="H569" t="s">
        <v>4957</v>
      </c>
    </row>
    <row r="570" spans="1:8" x14ac:dyDescent="0.25">
      <c r="A570">
        <v>692569008</v>
      </c>
      <c r="B570" t="s">
        <v>98</v>
      </c>
      <c r="C570" t="s">
        <v>4460</v>
      </c>
      <c r="D570">
        <v>8</v>
      </c>
      <c r="E570" t="s">
        <v>4464</v>
      </c>
      <c r="F570" t="s">
        <v>3895</v>
      </c>
      <c r="G570" t="s">
        <v>5575</v>
      </c>
      <c r="H570" t="s">
        <v>4957</v>
      </c>
    </row>
    <row r="571" spans="1:8" x14ac:dyDescent="0.25">
      <c r="A571">
        <v>692599004</v>
      </c>
      <c r="B571" t="s">
        <v>99</v>
      </c>
      <c r="C571" t="s">
        <v>4377</v>
      </c>
      <c r="D571">
        <v>8</v>
      </c>
      <c r="E571" t="s">
        <v>4464</v>
      </c>
      <c r="F571" t="s">
        <v>1369</v>
      </c>
      <c r="G571" t="s">
        <v>5575</v>
      </c>
      <c r="H571" t="s">
        <v>4957</v>
      </c>
    </row>
    <row r="572" spans="1:8" x14ac:dyDescent="0.25">
      <c r="A572">
        <v>692604008</v>
      </c>
      <c r="B572" t="s">
        <v>399</v>
      </c>
      <c r="C572" t="s">
        <v>4251</v>
      </c>
      <c r="D572">
        <v>5</v>
      </c>
      <c r="E572" t="s">
        <v>2372</v>
      </c>
      <c r="F572" t="s">
        <v>1341</v>
      </c>
      <c r="G572" t="s">
        <v>5575</v>
      </c>
      <c r="H572" t="s">
        <v>4957</v>
      </c>
    </row>
    <row r="573" spans="1:8" x14ac:dyDescent="0.25">
      <c r="A573">
        <v>692614003</v>
      </c>
      <c r="B573" t="s">
        <v>400</v>
      </c>
      <c r="C573" t="s">
        <v>4412</v>
      </c>
      <c r="D573">
        <v>13</v>
      </c>
      <c r="E573" t="s">
        <v>4445</v>
      </c>
      <c r="F573" t="s">
        <v>3981</v>
      </c>
      <c r="G573" t="s">
        <v>5575</v>
      </c>
      <c r="H573" t="s">
        <v>4957</v>
      </c>
    </row>
    <row r="574" spans="1:8" x14ac:dyDescent="0.25">
      <c r="A574">
        <v>692628004</v>
      </c>
      <c r="B574" t="s">
        <v>2055</v>
      </c>
      <c r="C574" t="s">
        <v>4378</v>
      </c>
      <c r="D574">
        <v>8</v>
      </c>
      <c r="E574" t="s">
        <v>4445</v>
      </c>
      <c r="F574" t="s">
        <v>2054</v>
      </c>
      <c r="G574" t="s">
        <v>5575</v>
      </c>
      <c r="H574" t="s">
        <v>4957</v>
      </c>
    </row>
    <row r="575" spans="1:8" x14ac:dyDescent="0.25">
      <c r="A575" t="s">
        <v>152</v>
      </c>
      <c r="B575" t="s">
        <v>153</v>
      </c>
      <c r="C575" t="s">
        <v>4475</v>
      </c>
      <c r="D575">
        <v>8</v>
      </c>
      <c r="E575" t="s">
        <v>4464</v>
      </c>
      <c r="F575" t="s">
        <v>2057</v>
      </c>
      <c r="G575" t="s">
        <v>5575</v>
      </c>
      <c r="H575" t="s">
        <v>4957</v>
      </c>
    </row>
    <row r="576" spans="1:8" x14ac:dyDescent="0.25">
      <c r="A576">
        <v>692645006</v>
      </c>
      <c r="B576" t="s">
        <v>401</v>
      </c>
      <c r="C576" t="s">
        <v>4379</v>
      </c>
      <c r="D576">
        <v>7</v>
      </c>
      <c r="E576" t="s">
        <v>4445</v>
      </c>
      <c r="F576" t="s">
        <v>3178</v>
      </c>
      <c r="G576" t="s">
        <v>5575</v>
      </c>
      <c r="H576" t="s">
        <v>4957</v>
      </c>
    </row>
    <row r="577" spans="1:8" x14ac:dyDescent="0.25">
      <c r="A577">
        <v>692646002</v>
      </c>
      <c r="B577" t="s">
        <v>402</v>
      </c>
      <c r="C577" t="s">
        <v>4515</v>
      </c>
      <c r="D577">
        <v>8</v>
      </c>
      <c r="E577" t="s">
        <v>4445</v>
      </c>
      <c r="F577" t="s">
        <v>1237</v>
      </c>
      <c r="G577" t="s">
        <v>5575</v>
      </c>
      <c r="H577" t="s">
        <v>4957</v>
      </c>
    </row>
    <row r="578" spans="1:8" x14ac:dyDescent="0.25">
      <c r="A578">
        <v>692647009</v>
      </c>
      <c r="B578" t="s">
        <v>403</v>
      </c>
      <c r="C578" t="s">
        <v>4392</v>
      </c>
      <c r="D578">
        <v>8</v>
      </c>
      <c r="E578" t="s">
        <v>4464</v>
      </c>
      <c r="F578" t="s">
        <v>2191</v>
      </c>
      <c r="G578" t="s">
        <v>5575</v>
      </c>
      <c r="H578" t="s">
        <v>4957</v>
      </c>
    </row>
    <row r="579" spans="1:8" x14ac:dyDescent="0.25">
      <c r="A579">
        <v>692648005</v>
      </c>
      <c r="B579" t="s">
        <v>404</v>
      </c>
      <c r="C579" t="s">
        <v>4380</v>
      </c>
      <c r="D579">
        <v>8</v>
      </c>
      <c r="E579" t="s">
        <v>4445</v>
      </c>
      <c r="F579" t="s">
        <v>2066</v>
      </c>
      <c r="G579" t="s">
        <v>5575</v>
      </c>
      <c r="H579" t="s">
        <v>4957</v>
      </c>
    </row>
    <row r="580" spans="1:8" x14ac:dyDescent="0.25">
      <c r="A580" t="s">
        <v>690</v>
      </c>
      <c r="B580" t="s">
        <v>691</v>
      </c>
      <c r="C580" t="s">
        <v>4413</v>
      </c>
      <c r="D580">
        <v>9</v>
      </c>
      <c r="E580" t="s">
        <v>4445</v>
      </c>
      <c r="F580" t="s">
        <v>1907</v>
      </c>
      <c r="G580" t="s">
        <v>5575</v>
      </c>
      <c r="H580" t="s">
        <v>4957</v>
      </c>
    </row>
    <row r="581" spans="1:8" x14ac:dyDescent="0.25">
      <c r="A581">
        <v>692651006</v>
      </c>
      <c r="B581" t="s">
        <v>405</v>
      </c>
      <c r="C581" t="s">
        <v>4414</v>
      </c>
      <c r="D581">
        <v>1</v>
      </c>
      <c r="E581" t="s">
        <v>4453</v>
      </c>
      <c r="F581" t="s">
        <v>1641</v>
      </c>
      <c r="G581" t="s">
        <v>5575</v>
      </c>
      <c r="H581" t="s">
        <v>4957</v>
      </c>
    </row>
    <row r="582" spans="1:8" x14ac:dyDescent="0.25">
      <c r="A582">
        <v>692664000</v>
      </c>
      <c r="B582" t="s">
        <v>805</v>
      </c>
      <c r="C582" t="s">
        <v>4553</v>
      </c>
      <c r="D582">
        <v>16</v>
      </c>
      <c r="E582" t="s">
        <v>4445</v>
      </c>
      <c r="F582" t="s">
        <v>2071</v>
      </c>
      <c r="G582" t="s">
        <v>5575</v>
      </c>
      <c r="H582" t="s">
        <v>4957</v>
      </c>
    </row>
    <row r="583" spans="1:8" x14ac:dyDescent="0.25">
      <c r="A583">
        <v>692665007</v>
      </c>
      <c r="B583" t="s">
        <v>751</v>
      </c>
      <c r="C583" t="s">
        <v>4554</v>
      </c>
      <c r="D583">
        <v>16</v>
      </c>
      <c r="E583" t="s">
        <v>4464</v>
      </c>
      <c r="F583" t="s">
        <v>4008</v>
      </c>
      <c r="G583" t="s">
        <v>5575</v>
      </c>
      <c r="H583" t="s">
        <v>4957</v>
      </c>
    </row>
    <row r="584" spans="1:8" x14ac:dyDescent="0.25">
      <c r="A584" t="s">
        <v>154</v>
      </c>
      <c r="B584" t="s">
        <v>155</v>
      </c>
      <c r="C584" t="s">
        <v>4495</v>
      </c>
      <c r="D584">
        <v>16</v>
      </c>
      <c r="E584" t="s">
        <v>4464</v>
      </c>
      <c r="F584" t="s">
        <v>1602</v>
      </c>
      <c r="G584" t="s">
        <v>5575</v>
      </c>
      <c r="H584" t="s">
        <v>4957</v>
      </c>
    </row>
    <row r="585" spans="1:8" x14ac:dyDescent="0.25">
      <c r="A585">
        <v>692875605</v>
      </c>
      <c r="B585" t="s">
        <v>406</v>
      </c>
      <c r="C585" t="s">
        <v>4174</v>
      </c>
      <c r="D585">
        <v>5</v>
      </c>
      <c r="E585" t="s">
        <v>4445</v>
      </c>
      <c r="F585" t="s">
        <v>1250</v>
      </c>
      <c r="G585" t="s">
        <v>5571</v>
      </c>
      <c r="H585" t="s">
        <v>4957</v>
      </c>
    </row>
    <row r="586" spans="1:8" x14ac:dyDescent="0.25">
      <c r="A586">
        <v>692875702</v>
      </c>
      <c r="B586" t="s">
        <v>1657</v>
      </c>
      <c r="C586" t="s">
        <v>4192</v>
      </c>
      <c r="D586">
        <v>5</v>
      </c>
      <c r="E586" t="s">
        <v>4445</v>
      </c>
      <c r="F586" t="s">
        <v>1656</v>
      </c>
      <c r="G586" t="s">
        <v>5571</v>
      </c>
      <c r="H586" t="s">
        <v>4957</v>
      </c>
    </row>
    <row r="587" spans="1:8" x14ac:dyDescent="0.25">
      <c r="A587">
        <v>700126005</v>
      </c>
      <c r="B587" t="s">
        <v>408</v>
      </c>
      <c r="C587" t="s">
        <v>4168</v>
      </c>
      <c r="D587">
        <v>13</v>
      </c>
      <c r="E587" t="s">
        <v>4445</v>
      </c>
      <c r="F587" t="s">
        <v>2278</v>
      </c>
      <c r="G587" t="s">
        <v>5570</v>
      </c>
      <c r="H587" t="s">
        <v>4915</v>
      </c>
    </row>
    <row r="588" spans="1:8" x14ac:dyDescent="0.25">
      <c r="A588">
        <v>700126013</v>
      </c>
      <c r="B588" t="s">
        <v>2281</v>
      </c>
      <c r="C588" t="s">
        <v>4381</v>
      </c>
      <c r="D588">
        <v>13</v>
      </c>
      <c r="E588" t="s">
        <v>4445</v>
      </c>
      <c r="F588" t="s">
        <v>2280</v>
      </c>
      <c r="G588" t="s">
        <v>5572</v>
      </c>
      <c r="H588" t="s">
        <v>4957</v>
      </c>
    </row>
    <row r="589" spans="1:8" x14ac:dyDescent="0.25">
      <c r="A589">
        <v>700155803</v>
      </c>
      <c r="B589" t="s">
        <v>100</v>
      </c>
      <c r="C589" t="s">
        <v>4175</v>
      </c>
      <c r="D589">
        <v>5</v>
      </c>
      <c r="E589" t="s">
        <v>2372</v>
      </c>
      <c r="F589" t="s">
        <v>2530</v>
      </c>
      <c r="G589" t="s">
        <v>5570</v>
      </c>
      <c r="H589" t="s">
        <v>4915</v>
      </c>
    </row>
    <row r="590" spans="1:8" x14ac:dyDescent="0.25">
      <c r="A590">
        <v>700726002</v>
      </c>
      <c r="B590" t="s">
        <v>1104</v>
      </c>
      <c r="C590" t="s">
        <v>4178</v>
      </c>
      <c r="D590">
        <v>6</v>
      </c>
      <c r="E590" t="s">
        <v>4445</v>
      </c>
      <c r="F590" t="s">
        <v>3547</v>
      </c>
      <c r="G590" t="s">
        <v>5571</v>
      </c>
      <c r="H590" t="s">
        <v>4957</v>
      </c>
    </row>
    <row r="591" spans="1:8" x14ac:dyDescent="0.25">
      <c r="A591">
        <v>700836002</v>
      </c>
      <c r="B591" t="s">
        <v>409</v>
      </c>
      <c r="C591" t="s">
        <v>4411</v>
      </c>
      <c r="D591">
        <v>13</v>
      </c>
      <c r="E591" t="s">
        <v>4445</v>
      </c>
      <c r="F591" t="s">
        <v>4106</v>
      </c>
      <c r="G591" t="s">
        <v>5570</v>
      </c>
      <c r="H591" t="s">
        <v>4915</v>
      </c>
    </row>
    <row r="592" spans="1:8" x14ac:dyDescent="0.25">
      <c r="A592">
        <v>702851009</v>
      </c>
      <c r="B592" t="s">
        <v>101</v>
      </c>
      <c r="C592" t="s">
        <v>4452</v>
      </c>
      <c r="D592">
        <v>13</v>
      </c>
      <c r="E592" t="s">
        <v>4453</v>
      </c>
      <c r="F592" t="s">
        <v>3552</v>
      </c>
      <c r="G592" t="s">
        <v>5570</v>
      </c>
      <c r="H592" t="s">
        <v>4915</v>
      </c>
    </row>
    <row r="593" spans="1:8" x14ac:dyDescent="0.25">
      <c r="A593">
        <v>703601006</v>
      </c>
      <c r="B593" t="s">
        <v>102</v>
      </c>
      <c r="C593" t="s">
        <v>4391</v>
      </c>
      <c r="D593">
        <v>13</v>
      </c>
      <c r="E593" t="s">
        <v>4445</v>
      </c>
      <c r="F593" t="s">
        <v>2321</v>
      </c>
      <c r="G593" t="s">
        <v>5570</v>
      </c>
      <c r="H593" t="s">
        <v>4915</v>
      </c>
    </row>
    <row r="594" spans="1:8" x14ac:dyDescent="0.25">
      <c r="A594">
        <v>703620000</v>
      </c>
      <c r="B594" t="s">
        <v>410</v>
      </c>
      <c r="C594" t="s">
        <v>4391</v>
      </c>
      <c r="D594">
        <v>13</v>
      </c>
      <c r="E594" t="s">
        <v>4445</v>
      </c>
      <c r="F594" t="s">
        <v>2291</v>
      </c>
      <c r="G594" t="s">
        <v>5570</v>
      </c>
      <c r="H594" t="s">
        <v>4915</v>
      </c>
    </row>
    <row r="595" spans="1:8" x14ac:dyDescent="0.25">
      <c r="A595">
        <v>703774008</v>
      </c>
      <c r="B595" t="s">
        <v>411</v>
      </c>
      <c r="C595" t="s">
        <v>4391</v>
      </c>
      <c r="D595">
        <v>13</v>
      </c>
      <c r="E595" t="s">
        <v>5729</v>
      </c>
      <c r="F595" t="s">
        <v>3739</v>
      </c>
      <c r="G595" t="s">
        <v>5570</v>
      </c>
      <c r="H595" t="s">
        <v>4915</v>
      </c>
    </row>
    <row r="596" spans="1:8" x14ac:dyDescent="0.25">
      <c r="A596">
        <v>705749000</v>
      </c>
      <c r="B596" t="s">
        <v>4958</v>
      </c>
      <c r="C596" t="s">
        <v>4168</v>
      </c>
      <c r="D596">
        <v>13</v>
      </c>
      <c r="E596" t="s">
        <v>4445</v>
      </c>
      <c r="F596" t="s">
        <v>4959</v>
      </c>
      <c r="G596" t="s">
        <v>5683</v>
      </c>
      <c r="H596" t="s">
        <v>4957</v>
      </c>
    </row>
    <row r="597" spans="1:8" x14ac:dyDescent="0.25">
      <c r="A597">
        <v>707447001</v>
      </c>
      <c r="B597" t="s">
        <v>412</v>
      </c>
      <c r="C597" t="s">
        <v>4218</v>
      </c>
      <c r="D597">
        <v>9</v>
      </c>
      <c r="E597" t="s">
        <v>4445</v>
      </c>
      <c r="F597" t="s">
        <v>2295</v>
      </c>
      <c r="G597" t="s">
        <v>5571</v>
      </c>
      <c r="H597" t="s">
        <v>4957</v>
      </c>
    </row>
    <row r="598" spans="1:8" x14ac:dyDescent="0.25">
      <c r="A598">
        <v>707547006</v>
      </c>
      <c r="B598" t="s">
        <v>1027</v>
      </c>
      <c r="C598" t="s">
        <v>4459</v>
      </c>
      <c r="D598">
        <v>5</v>
      </c>
      <c r="E598" t="s">
        <v>4445</v>
      </c>
      <c r="F598" t="s">
        <v>2297</v>
      </c>
      <c r="G598" t="s">
        <v>5573</v>
      </c>
      <c r="H598" t="s">
        <v>4957</v>
      </c>
    </row>
    <row r="599" spans="1:8" x14ac:dyDescent="0.25">
      <c r="A599">
        <v>707665009</v>
      </c>
      <c r="B599" t="s">
        <v>413</v>
      </c>
      <c r="C599" t="s">
        <v>4382</v>
      </c>
      <c r="D599">
        <v>9</v>
      </c>
      <c r="E599" t="s">
        <v>4445</v>
      </c>
      <c r="F599" t="s">
        <v>2299</v>
      </c>
      <c r="G599" t="s">
        <v>5575</v>
      </c>
      <c r="H599" t="s">
        <v>4957</v>
      </c>
    </row>
    <row r="600" spans="1:8" x14ac:dyDescent="0.25">
      <c r="A600" t="s">
        <v>692</v>
      </c>
      <c r="B600" t="s">
        <v>693</v>
      </c>
      <c r="C600" t="s">
        <v>4181</v>
      </c>
      <c r="D600">
        <v>15</v>
      </c>
      <c r="E600" t="s">
        <v>4445</v>
      </c>
      <c r="F600" t="s">
        <v>2301</v>
      </c>
      <c r="G600" t="s">
        <v>5573</v>
      </c>
      <c r="H600" t="s">
        <v>4957</v>
      </c>
    </row>
    <row r="601" spans="1:8" x14ac:dyDescent="0.25">
      <c r="A601">
        <v>707775009</v>
      </c>
      <c r="B601" t="s">
        <v>4091</v>
      </c>
      <c r="C601" t="s">
        <v>4361</v>
      </c>
      <c r="D601">
        <v>9</v>
      </c>
      <c r="E601" t="s">
        <v>4445</v>
      </c>
      <c r="F601" t="s">
        <v>4090</v>
      </c>
      <c r="G601" t="s">
        <v>5573</v>
      </c>
      <c r="H601" t="s">
        <v>4915</v>
      </c>
    </row>
    <row r="602" spans="1:8" x14ac:dyDescent="0.25">
      <c r="A602">
        <v>707831006</v>
      </c>
      <c r="B602" t="s">
        <v>414</v>
      </c>
      <c r="C602" t="s">
        <v>4171</v>
      </c>
      <c r="D602">
        <v>4</v>
      </c>
      <c r="E602" t="s">
        <v>2372</v>
      </c>
      <c r="F602" t="s">
        <v>2304</v>
      </c>
      <c r="G602" t="s">
        <v>5573</v>
      </c>
      <c r="H602" t="s">
        <v>4957</v>
      </c>
    </row>
    <row r="603" spans="1:8" x14ac:dyDescent="0.25">
      <c r="A603">
        <v>707918004</v>
      </c>
      <c r="B603" t="s">
        <v>1002</v>
      </c>
      <c r="C603" t="s">
        <v>4182</v>
      </c>
      <c r="D603">
        <v>2</v>
      </c>
      <c r="E603" t="s">
        <v>4445</v>
      </c>
      <c r="F603" t="s">
        <v>1248</v>
      </c>
      <c r="G603" t="s">
        <v>5573</v>
      </c>
      <c r="H603" t="s">
        <v>4957</v>
      </c>
    </row>
    <row r="604" spans="1:8" x14ac:dyDescent="0.25">
      <c r="A604">
        <v>708352004</v>
      </c>
      <c r="B604" t="s">
        <v>926</v>
      </c>
      <c r="C604" t="s">
        <v>4456</v>
      </c>
      <c r="D604">
        <v>13</v>
      </c>
      <c r="E604" t="s">
        <v>5729</v>
      </c>
      <c r="F604" t="s">
        <v>2211</v>
      </c>
      <c r="G604" t="s">
        <v>5574</v>
      </c>
      <c r="H604" t="s">
        <v>4957</v>
      </c>
    </row>
    <row r="605" spans="1:8" x14ac:dyDescent="0.25">
      <c r="A605">
        <v>708564001</v>
      </c>
      <c r="B605" t="s">
        <v>415</v>
      </c>
      <c r="C605" t="s">
        <v>4381</v>
      </c>
      <c r="D605">
        <v>13</v>
      </c>
      <c r="E605" t="s">
        <v>4445</v>
      </c>
      <c r="F605" t="s">
        <v>2073</v>
      </c>
      <c r="G605" t="s">
        <v>5574</v>
      </c>
      <c r="H605" t="s">
        <v>4957</v>
      </c>
    </row>
    <row r="606" spans="1:8" x14ac:dyDescent="0.25">
      <c r="A606">
        <v>708594008</v>
      </c>
      <c r="B606" t="s">
        <v>103</v>
      </c>
      <c r="C606" t="s">
        <v>4459</v>
      </c>
      <c r="D606">
        <v>5</v>
      </c>
      <c r="E606" t="s">
        <v>2372</v>
      </c>
      <c r="F606" t="s">
        <v>1955</v>
      </c>
      <c r="G606" t="s">
        <v>5574</v>
      </c>
      <c r="H606" t="s">
        <v>4957</v>
      </c>
    </row>
    <row r="607" spans="1:8" x14ac:dyDescent="0.25">
      <c r="A607">
        <v>708723002</v>
      </c>
      <c r="B607" t="s">
        <v>104</v>
      </c>
      <c r="C607" t="s">
        <v>4175</v>
      </c>
      <c r="D607">
        <v>5</v>
      </c>
      <c r="E607" t="s">
        <v>4445</v>
      </c>
      <c r="F607" t="s">
        <v>3194</v>
      </c>
      <c r="G607" t="s">
        <v>5574</v>
      </c>
      <c r="H607" t="s">
        <v>4957</v>
      </c>
    </row>
    <row r="608" spans="1:8" x14ac:dyDescent="0.25">
      <c r="A608">
        <v>708781002</v>
      </c>
      <c r="B608" t="s">
        <v>416</v>
      </c>
      <c r="C608" t="s">
        <v>4410</v>
      </c>
      <c r="D608">
        <v>13</v>
      </c>
      <c r="E608" t="s">
        <v>4445</v>
      </c>
      <c r="F608" t="s">
        <v>2293</v>
      </c>
      <c r="G608" t="s">
        <v>5574</v>
      </c>
      <c r="H608" t="s">
        <v>4957</v>
      </c>
    </row>
    <row r="609" spans="1:8" x14ac:dyDescent="0.25">
      <c r="A609">
        <v>708789003</v>
      </c>
      <c r="B609" t="s">
        <v>417</v>
      </c>
      <c r="C609" t="s">
        <v>4490</v>
      </c>
      <c r="D609">
        <v>5</v>
      </c>
      <c r="E609" t="s">
        <v>4445</v>
      </c>
      <c r="F609" t="s">
        <v>1334</v>
      </c>
      <c r="G609" t="s">
        <v>5574</v>
      </c>
      <c r="H609" t="s">
        <v>4957</v>
      </c>
    </row>
    <row r="610" spans="1:8" x14ac:dyDescent="0.25">
      <c r="A610">
        <v>708803006</v>
      </c>
      <c r="B610" t="s">
        <v>418</v>
      </c>
      <c r="C610" t="s">
        <v>4415</v>
      </c>
      <c r="D610">
        <v>13</v>
      </c>
      <c r="E610" t="s">
        <v>4445</v>
      </c>
      <c r="F610" t="s">
        <v>3952</v>
      </c>
      <c r="G610" t="s">
        <v>5574</v>
      </c>
      <c r="H610" t="s">
        <v>4957</v>
      </c>
    </row>
    <row r="611" spans="1:8" x14ac:dyDescent="0.25">
      <c r="A611">
        <v>708821004</v>
      </c>
      <c r="B611" t="s">
        <v>419</v>
      </c>
      <c r="C611" t="s">
        <v>4556</v>
      </c>
      <c r="D611">
        <v>13</v>
      </c>
      <c r="E611" t="s">
        <v>4445</v>
      </c>
      <c r="F611" t="s">
        <v>1379</v>
      </c>
      <c r="G611" t="s">
        <v>5574</v>
      </c>
      <c r="H611" t="s">
        <v>4957</v>
      </c>
    </row>
    <row r="612" spans="1:8" x14ac:dyDescent="0.25">
      <c r="A612">
        <v>708855006</v>
      </c>
      <c r="B612" t="s">
        <v>420</v>
      </c>
      <c r="C612" t="s">
        <v>4257</v>
      </c>
      <c r="D612">
        <v>7</v>
      </c>
      <c r="E612" t="s">
        <v>4445</v>
      </c>
      <c r="F612" t="s">
        <v>2325</v>
      </c>
      <c r="G612" t="s">
        <v>5573</v>
      </c>
      <c r="H612" t="s">
        <v>4957</v>
      </c>
    </row>
    <row r="613" spans="1:8" x14ac:dyDescent="0.25">
      <c r="A613">
        <v>708921009</v>
      </c>
      <c r="B613" t="s">
        <v>421</v>
      </c>
      <c r="C613" t="s">
        <v>4171</v>
      </c>
      <c r="D613">
        <v>4</v>
      </c>
      <c r="E613" t="s">
        <v>4445</v>
      </c>
      <c r="F613" t="s">
        <v>2217</v>
      </c>
      <c r="G613" t="s">
        <v>5574</v>
      </c>
      <c r="H613" t="s">
        <v>4957</v>
      </c>
    </row>
    <row r="614" spans="1:8" x14ac:dyDescent="0.25">
      <c r="A614">
        <v>709020005</v>
      </c>
      <c r="B614" t="s">
        <v>5484</v>
      </c>
      <c r="C614" t="s">
        <v>4465</v>
      </c>
      <c r="D614">
        <v>13</v>
      </c>
      <c r="E614" t="s">
        <v>4445</v>
      </c>
      <c r="F614" t="s">
        <v>5485</v>
      </c>
      <c r="G614" t="s">
        <v>5574</v>
      </c>
      <c r="H614" t="s">
        <v>4957</v>
      </c>
    </row>
    <row r="615" spans="1:8" x14ac:dyDescent="0.25">
      <c r="A615">
        <v>709024000</v>
      </c>
      <c r="B615" t="s">
        <v>422</v>
      </c>
      <c r="C615" t="s">
        <v>4504</v>
      </c>
      <c r="D615">
        <v>13</v>
      </c>
      <c r="E615" t="s">
        <v>4445</v>
      </c>
      <c r="F615" t="s">
        <v>1266</v>
      </c>
      <c r="G615" t="s">
        <v>5574</v>
      </c>
      <c r="H615" t="s">
        <v>4957</v>
      </c>
    </row>
    <row r="616" spans="1:8" x14ac:dyDescent="0.25">
      <c r="A616">
        <v>709057006</v>
      </c>
      <c r="B616" t="s">
        <v>423</v>
      </c>
      <c r="C616" t="s">
        <v>4178</v>
      </c>
      <c r="D616">
        <v>6</v>
      </c>
      <c r="E616" t="s">
        <v>5729</v>
      </c>
      <c r="F616" t="s">
        <v>2241</v>
      </c>
      <c r="G616" t="s">
        <v>5570</v>
      </c>
      <c r="H616" t="s">
        <v>4915</v>
      </c>
    </row>
    <row r="617" spans="1:8" x14ac:dyDescent="0.25">
      <c r="A617">
        <v>709131001</v>
      </c>
      <c r="B617" t="s">
        <v>424</v>
      </c>
      <c r="C617" t="s">
        <v>4399</v>
      </c>
      <c r="D617">
        <v>13</v>
      </c>
      <c r="E617" t="s">
        <v>4445</v>
      </c>
      <c r="F617" t="s">
        <v>1260</v>
      </c>
      <c r="G617" t="s">
        <v>5574</v>
      </c>
      <c r="H617" t="s">
        <v>4957</v>
      </c>
    </row>
    <row r="618" spans="1:8" x14ac:dyDescent="0.25">
      <c r="A618">
        <v>709255002</v>
      </c>
      <c r="B618" t="s">
        <v>425</v>
      </c>
      <c r="C618" t="s">
        <v>4287</v>
      </c>
      <c r="D618">
        <v>13</v>
      </c>
      <c r="E618" t="s">
        <v>4445</v>
      </c>
      <c r="F618" t="s">
        <v>1912</v>
      </c>
      <c r="G618" t="s">
        <v>5574</v>
      </c>
      <c r="H618" t="s">
        <v>4957</v>
      </c>
    </row>
    <row r="619" spans="1:8" x14ac:dyDescent="0.25">
      <c r="A619" t="s">
        <v>694</v>
      </c>
      <c r="B619" t="s">
        <v>695</v>
      </c>
      <c r="C619" t="s">
        <v>4401</v>
      </c>
      <c r="D619">
        <v>13</v>
      </c>
      <c r="E619" t="s">
        <v>4445</v>
      </c>
      <c r="F619" t="s">
        <v>1383</v>
      </c>
      <c r="G619" t="s">
        <v>5574</v>
      </c>
      <c r="H619" t="s">
        <v>4957</v>
      </c>
    </row>
    <row r="620" spans="1:8" x14ac:dyDescent="0.25">
      <c r="A620">
        <v>709319000</v>
      </c>
      <c r="B620" t="s">
        <v>426</v>
      </c>
      <c r="C620" t="s">
        <v>4185</v>
      </c>
      <c r="D620">
        <v>12</v>
      </c>
      <c r="E620" t="s">
        <v>4445</v>
      </c>
      <c r="F620" t="s">
        <v>2343</v>
      </c>
      <c r="G620" t="s">
        <v>5574</v>
      </c>
      <c r="H620" t="s">
        <v>4957</v>
      </c>
    </row>
    <row r="621" spans="1:8" x14ac:dyDescent="0.25">
      <c r="A621" t="s">
        <v>696</v>
      </c>
      <c r="B621" t="s">
        <v>3209</v>
      </c>
      <c r="C621" t="s">
        <v>4395</v>
      </c>
      <c r="D621">
        <v>13</v>
      </c>
      <c r="E621" t="s">
        <v>4445</v>
      </c>
      <c r="F621" t="s">
        <v>3208</v>
      </c>
      <c r="G621" t="s">
        <v>5574</v>
      </c>
      <c r="H621" t="s">
        <v>4957</v>
      </c>
    </row>
    <row r="622" spans="1:8" x14ac:dyDescent="0.25">
      <c r="A622">
        <v>709337009</v>
      </c>
      <c r="B622" t="s">
        <v>1882</v>
      </c>
      <c r="C622" t="s">
        <v>4394</v>
      </c>
      <c r="D622">
        <v>13</v>
      </c>
      <c r="E622" t="s">
        <v>4445</v>
      </c>
      <c r="F622" t="s">
        <v>1881</v>
      </c>
      <c r="G622" t="s">
        <v>5574</v>
      </c>
      <c r="H622" t="s">
        <v>4957</v>
      </c>
    </row>
    <row r="623" spans="1:8" x14ac:dyDescent="0.25">
      <c r="A623">
        <v>709349007</v>
      </c>
      <c r="B623" t="s">
        <v>428</v>
      </c>
      <c r="C623" t="s">
        <v>4285</v>
      </c>
      <c r="D623">
        <v>13</v>
      </c>
      <c r="E623" t="s">
        <v>4445</v>
      </c>
      <c r="F623" t="s">
        <v>4006</v>
      </c>
      <c r="G623" t="s">
        <v>5574</v>
      </c>
      <c r="H623" t="s">
        <v>4957</v>
      </c>
    </row>
    <row r="624" spans="1:8" x14ac:dyDescent="0.25">
      <c r="A624">
        <v>709372009</v>
      </c>
      <c r="B624" t="s">
        <v>429</v>
      </c>
      <c r="C624" t="s">
        <v>4383</v>
      </c>
      <c r="D624">
        <v>13</v>
      </c>
      <c r="E624" t="s">
        <v>4445</v>
      </c>
      <c r="F624" t="s">
        <v>4145</v>
      </c>
      <c r="G624" t="s">
        <v>5574</v>
      </c>
      <c r="H624" t="s">
        <v>4957</v>
      </c>
    </row>
    <row r="625" spans="1:8" x14ac:dyDescent="0.25">
      <c r="A625">
        <v>709388002</v>
      </c>
      <c r="B625" t="s">
        <v>430</v>
      </c>
      <c r="C625" t="s">
        <v>4186</v>
      </c>
      <c r="D625">
        <v>1</v>
      </c>
      <c r="E625" t="s">
        <v>4453</v>
      </c>
      <c r="F625" t="s">
        <v>1971</v>
      </c>
      <c r="G625" t="s">
        <v>5574</v>
      </c>
      <c r="H625" t="s">
        <v>4957</v>
      </c>
    </row>
    <row r="626" spans="1:8" x14ac:dyDescent="0.25">
      <c r="A626">
        <v>709419005</v>
      </c>
      <c r="B626" t="s">
        <v>5470</v>
      </c>
      <c r="C626" t="s">
        <v>4449</v>
      </c>
      <c r="D626">
        <v>13</v>
      </c>
      <c r="E626" t="s">
        <v>4445</v>
      </c>
      <c r="F626" t="s">
        <v>5471</v>
      </c>
      <c r="G626" t="s">
        <v>5575</v>
      </c>
      <c r="H626" t="s">
        <v>4957</v>
      </c>
    </row>
    <row r="627" spans="1:8" x14ac:dyDescent="0.25">
      <c r="A627">
        <v>709542001</v>
      </c>
      <c r="B627" t="s">
        <v>431</v>
      </c>
      <c r="C627" t="s">
        <v>4557</v>
      </c>
      <c r="D627">
        <v>13</v>
      </c>
      <c r="E627" t="s">
        <v>4445</v>
      </c>
      <c r="F627" t="s">
        <v>2388</v>
      </c>
      <c r="G627" t="s">
        <v>5574</v>
      </c>
      <c r="H627" t="s">
        <v>4957</v>
      </c>
    </row>
    <row r="628" spans="1:8" x14ac:dyDescent="0.25">
      <c r="A628">
        <v>709549006</v>
      </c>
      <c r="B628" t="s">
        <v>5003</v>
      </c>
      <c r="C628" t="s">
        <v>4237</v>
      </c>
      <c r="D628">
        <v>2</v>
      </c>
      <c r="E628" t="s">
        <v>4445</v>
      </c>
      <c r="F628" t="s">
        <v>5004</v>
      </c>
      <c r="G628" t="s">
        <v>5575</v>
      </c>
      <c r="H628" t="s">
        <v>4957</v>
      </c>
    </row>
    <row r="629" spans="1:8" x14ac:dyDescent="0.25">
      <c r="A629">
        <v>709625004</v>
      </c>
      <c r="B629" t="s">
        <v>105</v>
      </c>
      <c r="C629" t="s">
        <v>4416</v>
      </c>
      <c r="D629">
        <v>13</v>
      </c>
      <c r="E629" t="s">
        <v>4445</v>
      </c>
      <c r="F629" t="s">
        <v>1674</v>
      </c>
      <c r="G629" t="s">
        <v>5574</v>
      </c>
      <c r="H629" t="s">
        <v>4957</v>
      </c>
    </row>
    <row r="630" spans="1:8" x14ac:dyDescent="0.25">
      <c r="A630">
        <v>709817000</v>
      </c>
      <c r="B630" t="s">
        <v>5641</v>
      </c>
      <c r="C630" t="s">
        <v>4284</v>
      </c>
      <c r="D630">
        <v>13</v>
      </c>
      <c r="E630" t="s">
        <v>4445</v>
      </c>
      <c r="F630" t="s">
        <v>5642</v>
      </c>
      <c r="G630" t="s">
        <v>5574</v>
      </c>
      <c r="H630" t="s">
        <v>4957</v>
      </c>
    </row>
    <row r="631" spans="1:8" x14ac:dyDescent="0.25">
      <c r="A631">
        <v>709836005</v>
      </c>
      <c r="B631" t="s">
        <v>432</v>
      </c>
      <c r="C631" t="s">
        <v>4250</v>
      </c>
      <c r="D631">
        <v>5</v>
      </c>
      <c r="E631" t="s">
        <v>4445</v>
      </c>
      <c r="F631" t="s">
        <v>1342</v>
      </c>
      <c r="G631" t="s">
        <v>5574</v>
      </c>
      <c r="H631" t="s">
        <v>4957</v>
      </c>
    </row>
    <row r="632" spans="1:8" x14ac:dyDescent="0.25">
      <c r="A632" t="s">
        <v>4755</v>
      </c>
      <c r="B632" t="s">
        <v>4756</v>
      </c>
      <c r="C632" t="s">
        <v>4168</v>
      </c>
      <c r="D632">
        <v>13</v>
      </c>
      <c r="E632" t="s">
        <v>4445</v>
      </c>
      <c r="F632" t="s">
        <v>4912</v>
      </c>
      <c r="G632" t="s">
        <v>5573</v>
      </c>
      <c r="H632" t="s">
        <v>4915</v>
      </c>
    </row>
    <row r="633" spans="1:8" x14ac:dyDescent="0.25">
      <c r="A633">
        <v>709932004</v>
      </c>
      <c r="B633" t="s">
        <v>433</v>
      </c>
      <c r="C633" t="s">
        <v>4444</v>
      </c>
      <c r="D633">
        <v>13</v>
      </c>
      <c r="E633" t="s">
        <v>4445</v>
      </c>
      <c r="F633" t="s">
        <v>3994</v>
      </c>
      <c r="G633" t="s">
        <v>5574</v>
      </c>
      <c r="H633" t="s">
        <v>4957</v>
      </c>
    </row>
    <row r="634" spans="1:8" x14ac:dyDescent="0.25">
      <c r="A634">
        <v>710142009</v>
      </c>
      <c r="B634" t="s">
        <v>2202</v>
      </c>
      <c r="C634" t="s">
        <v>4178</v>
      </c>
      <c r="D634">
        <v>6</v>
      </c>
      <c r="E634" t="s">
        <v>5729</v>
      </c>
      <c r="F634" t="s">
        <v>2201</v>
      </c>
      <c r="G634" t="s">
        <v>5571</v>
      </c>
      <c r="H634" t="s">
        <v>4957</v>
      </c>
    </row>
    <row r="635" spans="1:8" x14ac:dyDescent="0.25">
      <c r="A635">
        <v>710163006</v>
      </c>
      <c r="B635" t="s">
        <v>435</v>
      </c>
      <c r="C635" t="s">
        <v>4384</v>
      </c>
      <c r="D635">
        <v>14</v>
      </c>
      <c r="E635" t="s">
        <v>4445</v>
      </c>
      <c r="F635" t="s">
        <v>2052</v>
      </c>
      <c r="G635" t="s">
        <v>5574</v>
      </c>
      <c r="H635" t="s">
        <v>4957</v>
      </c>
    </row>
    <row r="636" spans="1:8" x14ac:dyDescent="0.25">
      <c r="A636">
        <v>711026002</v>
      </c>
      <c r="B636" t="s">
        <v>436</v>
      </c>
      <c r="C636" t="s">
        <v>4182</v>
      </c>
      <c r="D636">
        <v>2</v>
      </c>
      <c r="E636" t="s">
        <v>4445</v>
      </c>
      <c r="F636" t="s">
        <v>2367</v>
      </c>
      <c r="G636" t="s">
        <v>5574</v>
      </c>
      <c r="H636" t="s">
        <v>4957</v>
      </c>
    </row>
    <row r="637" spans="1:8" x14ac:dyDescent="0.25">
      <c r="A637">
        <v>711272003</v>
      </c>
      <c r="B637" t="s">
        <v>437</v>
      </c>
      <c r="C637" t="s">
        <v>4509</v>
      </c>
      <c r="D637">
        <v>10</v>
      </c>
      <c r="E637" t="s">
        <v>4445</v>
      </c>
      <c r="F637" t="s">
        <v>4120</v>
      </c>
      <c r="G637" t="s">
        <v>5571</v>
      </c>
      <c r="H637" t="s">
        <v>4957</v>
      </c>
    </row>
    <row r="638" spans="1:8" x14ac:dyDescent="0.25">
      <c r="A638">
        <v>711460004</v>
      </c>
      <c r="B638" t="s">
        <v>438</v>
      </c>
      <c r="C638" t="s">
        <v>4385</v>
      </c>
      <c r="D638">
        <v>10</v>
      </c>
      <c r="E638" t="s">
        <v>4445</v>
      </c>
      <c r="F638" t="s">
        <v>2019</v>
      </c>
      <c r="G638" t="s">
        <v>5574</v>
      </c>
      <c r="H638" t="s">
        <v>4957</v>
      </c>
    </row>
    <row r="639" spans="1:8" x14ac:dyDescent="0.25">
      <c r="A639">
        <v>711497005</v>
      </c>
      <c r="B639" t="s">
        <v>439</v>
      </c>
      <c r="C639" t="s">
        <v>4230</v>
      </c>
      <c r="D639">
        <v>10</v>
      </c>
      <c r="E639" t="s">
        <v>4445</v>
      </c>
      <c r="F639" t="s">
        <v>1850</v>
      </c>
      <c r="G639" t="s">
        <v>5574</v>
      </c>
      <c r="H639" t="s">
        <v>4957</v>
      </c>
    </row>
    <row r="640" spans="1:8" x14ac:dyDescent="0.25">
      <c r="A640">
        <v>711609008</v>
      </c>
      <c r="B640" t="s">
        <v>440</v>
      </c>
      <c r="C640" t="s">
        <v>4558</v>
      </c>
      <c r="D640">
        <v>10</v>
      </c>
      <c r="E640" t="s">
        <v>4445</v>
      </c>
      <c r="F640" t="s">
        <v>1776</v>
      </c>
      <c r="G640" t="s">
        <v>5574</v>
      </c>
      <c r="H640" t="s">
        <v>4957</v>
      </c>
    </row>
    <row r="641" spans="1:8" x14ac:dyDescent="0.25">
      <c r="A641">
        <v>711643001</v>
      </c>
      <c r="B641" t="s">
        <v>441</v>
      </c>
      <c r="C641" t="s">
        <v>4231</v>
      </c>
      <c r="D641">
        <v>10</v>
      </c>
      <c r="E641" t="s">
        <v>4445</v>
      </c>
      <c r="F641" t="s">
        <v>2378</v>
      </c>
      <c r="G641" t="s">
        <v>5574</v>
      </c>
      <c r="H641" t="s">
        <v>4957</v>
      </c>
    </row>
    <row r="642" spans="1:8" x14ac:dyDescent="0.25">
      <c r="A642">
        <v>711658009</v>
      </c>
      <c r="B642" t="s">
        <v>442</v>
      </c>
      <c r="C642" t="s">
        <v>4503</v>
      </c>
      <c r="D642">
        <v>12</v>
      </c>
      <c r="E642" t="s">
        <v>4445</v>
      </c>
      <c r="F642" t="s">
        <v>1744</v>
      </c>
      <c r="G642" t="s">
        <v>5574</v>
      </c>
      <c r="H642" t="s">
        <v>4957</v>
      </c>
    </row>
    <row r="643" spans="1:8" x14ac:dyDescent="0.25">
      <c r="A643">
        <v>711731008</v>
      </c>
      <c r="B643" t="s">
        <v>443</v>
      </c>
      <c r="C643" t="s">
        <v>4484</v>
      </c>
      <c r="D643">
        <v>10</v>
      </c>
      <c r="E643" t="s">
        <v>4445</v>
      </c>
      <c r="F643" t="s">
        <v>3600</v>
      </c>
      <c r="G643" t="s">
        <v>5574</v>
      </c>
      <c r="H643" t="s">
        <v>4957</v>
      </c>
    </row>
    <row r="644" spans="1:8" x14ac:dyDescent="0.25">
      <c r="A644">
        <v>712341009</v>
      </c>
      <c r="B644" t="s">
        <v>806</v>
      </c>
      <c r="C644" t="s">
        <v>4470</v>
      </c>
      <c r="D644">
        <v>13</v>
      </c>
      <c r="E644" t="s">
        <v>4445</v>
      </c>
      <c r="F644" t="s">
        <v>3223</v>
      </c>
      <c r="G644" t="s">
        <v>5574</v>
      </c>
      <c r="H644" t="s">
        <v>4957</v>
      </c>
    </row>
    <row r="645" spans="1:8" x14ac:dyDescent="0.25">
      <c r="A645">
        <v>712652004</v>
      </c>
      <c r="B645" t="s">
        <v>999</v>
      </c>
      <c r="C645" t="s">
        <v>4559</v>
      </c>
      <c r="D645">
        <v>13</v>
      </c>
      <c r="E645" t="s">
        <v>4445</v>
      </c>
      <c r="F645" t="s">
        <v>2386</v>
      </c>
      <c r="G645" t="s">
        <v>5574</v>
      </c>
      <c r="H645" t="s">
        <v>4957</v>
      </c>
    </row>
    <row r="646" spans="1:8" x14ac:dyDescent="0.25">
      <c r="A646">
        <v>712815000</v>
      </c>
      <c r="B646" t="s">
        <v>444</v>
      </c>
      <c r="C646" t="s">
        <v>4560</v>
      </c>
      <c r="D646">
        <v>10</v>
      </c>
      <c r="E646" t="s">
        <v>4445</v>
      </c>
      <c r="F646" t="s">
        <v>2124</v>
      </c>
      <c r="G646" t="s">
        <v>5574</v>
      </c>
      <c r="H646" t="s">
        <v>4957</v>
      </c>
    </row>
    <row r="647" spans="1:8" x14ac:dyDescent="0.25">
      <c r="A647">
        <v>712939001</v>
      </c>
      <c r="B647" t="s">
        <v>445</v>
      </c>
      <c r="C647" t="s">
        <v>4197</v>
      </c>
      <c r="D647">
        <v>13</v>
      </c>
      <c r="E647" t="s">
        <v>4445</v>
      </c>
      <c r="F647" t="s">
        <v>2994</v>
      </c>
      <c r="G647" t="s">
        <v>5574</v>
      </c>
      <c r="H647" t="s">
        <v>4957</v>
      </c>
    </row>
    <row r="648" spans="1:8" x14ac:dyDescent="0.25">
      <c r="A648">
        <v>712990007</v>
      </c>
      <c r="B648" t="s">
        <v>446</v>
      </c>
      <c r="C648" t="s">
        <v>4386</v>
      </c>
      <c r="D648">
        <v>10</v>
      </c>
      <c r="E648" t="s">
        <v>4445</v>
      </c>
      <c r="F648" t="s">
        <v>2392</v>
      </c>
      <c r="G648" t="s">
        <v>5574</v>
      </c>
      <c r="H648" t="s">
        <v>4957</v>
      </c>
    </row>
    <row r="649" spans="1:8" x14ac:dyDescent="0.25">
      <c r="A649">
        <v>713286001</v>
      </c>
      <c r="B649" t="s">
        <v>447</v>
      </c>
      <c r="C649" t="s">
        <v>4203</v>
      </c>
      <c r="D649">
        <v>6</v>
      </c>
      <c r="E649" t="s">
        <v>5729</v>
      </c>
      <c r="F649" t="s">
        <v>1258</v>
      </c>
      <c r="G649" t="s">
        <v>5574</v>
      </c>
      <c r="H649" t="s">
        <v>4957</v>
      </c>
    </row>
    <row r="650" spans="1:8" x14ac:dyDescent="0.25">
      <c r="A650">
        <v>713699004</v>
      </c>
      <c r="B650" t="s">
        <v>448</v>
      </c>
      <c r="C650" t="s">
        <v>4448</v>
      </c>
      <c r="D650">
        <v>13</v>
      </c>
      <c r="E650" t="s">
        <v>4445</v>
      </c>
      <c r="F650" t="s">
        <v>1412</v>
      </c>
      <c r="G650" t="s">
        <v>5574</v>
      </c>
      <c r="H650" t="s">
        <v>4957</v>
      </c>
    </row>
    <row r="651" spans="1:8" x14ac:dyDescent="0.25">
      <c r="A651">
        <v>713780006</v>
      </c>
      <c r="B651" t="s">
        <v>106</v>
      </c>
      <c r="C651" t="s">
        <v>4463</v>
      </c>
      <c r="D651">
        <v>13</v>
      </c>
      <c r="E651" t="s">
        <v>4445</v>
      </c>
      <c r="F651" t="s">
        <v>2400</v>
      </c>
      <c r="G651" t="s">
        <v>5574</v>
      </c>
      <c r="H651" t="s">
        <v>4957</v>
      </c>
    </row>
    <row r="652" spans="1:8" x14ac:dyDescent="0.25">
      <c r="A652">
        <v>714207008</v>
      </c>
      <c r="B652" t="s">
        <v>449</v>
      </c>
      <c r="C652" t="s">
        <v>4293</v>
      </c>
      <c r="D652">
        <v>10</v>
      </c>
      <c r="E652" t="s">
        <v>4445</v>
      </c>
      <c r="F652" t="s">
        <v>1278</v>
      </c>
      <c r="G652" t="s">
        <v>5574</v>
      </c>
      <c r="H652" t="s">
        <v>4957</v>
      </c>
    </row>
    <row r="653" spans="1:8" x14ac:dyDescent="0.25">
      <c r="A653">
        <v>714555006</v>
      </c>
      <c r="B653" t="s">
        <v>450</v>
      </c>
      <c r="C653" t="s">
        <v>4561</v>
      </c>
      <c r="D653">
        <v>13</v>
      </c>
      <c r="E653" t="s">
        <v>4445</v>
      </c>
      <c r="F653" t="s">
        <v>1427</v>
      </c>
      <c r="G653" t="s">
        <v>5574</v>
      </c>
      <c r="H653" t="s">
        <v>4957</v>
      </c>
    </row>
    <row r="654" spans="1:8" x14ac:dyDescent="0.25">
      <c r="A654">
        <v>714579002</v>
      </c>
      <c r="B654" t="s">
        <v>5740</v>
      </c>
      <c r="C654" t="s">
        <v>4168</v>
      </c>
      <c r="E654" t="s">
        <v>4445</v>
      </c>
      <c r="F654" t="s">
        <v>5741</v>
      </c>
      <c r="G654" t="s">
        <v>5683</v>
      </c>
      <c r="H654" t="s">
        <v>4915</v>
      </c>
    </row>
    <row r="655" spans="1:8" x14ac:dyDescent="0.25">
      <c r="A655">
        <v>714974009</v>
      </c>
      <c r="B655" t="s">
        <v>451</v>
      </c>
      <c r="C655" t="s">
        <v>4387</v>
      </c>
      <c r="D655">
        <v>1</v>
      </c>
      <c r="E655" t="s">
        <v>4445</v>
      </c>
      <c r="F655" t="s">
        <v>2407</v>
      </c>
      <c r="G655" t="s">
        <v>5574</v>
      </c>
      <c r="H655" t="s">
        <v>4957</v>
      </c>
    </row>
    <row r="656" spans="1:8" x14ac:dyDescent="0.25">
      <c r="A656" s="135" t="s">
        <v>697</v>
      </c>
      <c r="B656" t="s">
        <v>698</v>
      </c>
      <c r="C656" t="s">
        <v>4391</v>
      </c>
      <c r="D656">
        <v>13</v>
      </c>
      <c r="E656" t="s">
        <v>4445</v>
      </c>
      <c r="F656" t="s">
        <v>2409</v>
      </c>
      <c r="G656" t="s">
        <v>5573</v>
      </c>
      <c r="H656" t="s">
        <v>4915</v>
      </c>
    </row>
    <row r="657" spans="1:8" x14ac:dyDescent="0.25">
      <c r="A657" s="135">
        <v>715401002</v>
      </c>
      <c r="B657" t="s">
        <v>927</v>
      </c>
      <c r="C657" t="s">
        <v>4168</v>
      </c>
      <c r="D657">
        <v>13</v>
      </c>
      <c r="E657" t="s">
        <v>4445</v>
      </c>
      <c r="F657" t="s">
        <v>2411</v>
      </c>
      <c r="G657" t="s">
        <v>5573</v>
      </c>
      <c r="H657" t="s">
        <v>4915</v>
      </c>
    </row>
    <row r="658" spans="1:8" x14ac:dyDescent="0.25">
      <c r="A658" s="135">
        <v>716140008</v>
      </c>
      <c r="B658" t="s">
        <v>107</v>
      </c>
      <c r="C658" t="s">
        <v>4465</v>
      </c>
      <c r="D658">
        <v>13</v>
      </c>
      <c r="E658" t="s">
        <v>4457</v>
      </c>
      <c r="F658" t="s">
        <v>2160</v>
      </c>
      <c r="G658" t="s">
        <v>5570</v>
      </c>
      <c r="H658" t="s">
        <v>4915</v>
      </c>
    </row>
    <row r="659" spans="1:8" x14ac:dyDescent="0.25">
      <c r="A659">
        <v>716186008</v>
      </c>
      <c r="B659" t="s">
        <v>983</v>
      </c>
      <c r="C659" t="s">
        <v>4391</v>
      </c>
      <c r="D659">
        <v>13</v>
      </c>
      <c r="E659" t="s">
        <v>4445</v>
      </c>
      <c r="F659" t="s">
        <v>2415</v>
      </c>
      <c r="G659" t="s">
        <v>5573</v>
      </c>
      <c r="H659" t="s">
        <v>4915</v>
      </c>
    </row>
    <row r="660" spans="1:8" x14ac:dyDescent="0.25">
      <c r="A660">
        <v>716294005</v>
      </c>
      <c r="B660" t="s">
        <v>5707</v>
      </c>
      <c r="C660" t="s">
        <v>4175</v>
      </c>
      <c r="D660">
        <v>5</v>
      </c>
      <c r="E660" t="s">
        <v>4445</v>
      </c>
      <c r="F660" t="s">
        <v>5708</v>
      </c>
      <c r="G660" t="s">
        <v>5573</v>
      </c>
      <c r="H660" t="s">
        <v>4915</v>
      </c>
    </row>
    <row r="661" spans="1:8" x14ac:dyDescent="0.25">
      <c r="A661">
        <v>716333000</v>
      </c>
      <c r="B661" t="s">
        <v>452</v>
      </c>
      <c r="C661" t="s">
        <v>4218</v>
      </c>
      <c r="D661">
        <v>9</v>
      </c>
      <c r="E661" t="s">
        <v>4445</v>
      </c>
      <c r="F661" t="s">
        <v>2417</v>
      </c>
      <c r="G661" t="s">
        <v>5573</v>
      </c>
      <c r="H661" t="s">
        <v>4915</v>
      </c>
    </row>
    <row r="662" spans="1:8" x14ac:dyDescent="0.25">
      <c r="A662">
        <v>716443000</v>
      </c>
      <c r="B662" t="s">
        <v>2420</v>
      </c>
      <c r="C662" t="s">
        <v>4551</v>
      </c>
      <c r="D662">
        <v>13</v>
      </c>
      <c r="E662" t="s">
        <v>4445</v>
      </c>
      <c r="F662" t="s">
        <v>2419</v>
      </c>
      <c r="G662" t="s">
        <v>5573</v>
      </c>
      <c r="H662" t="s">
        <v>4915</v>
      </c>
    </row>
    <row r="663" spans="1:8" x14ac:dyDescent="0.25">
      <c r="A663">
        <v>719158005</v>
      </c>
      <c r="B663" t="s">
        <v>2425</v>
      </c>
      <c r="C663" t="s">
        <v>4460</v>
      </c>
      <c r="D663">
        <v>8</v>
      </c>
      <c r="E663" t="s">
        <v>4445</v>
      </c>
      <c r="F663" t="s">
        <v>2424</v>
      </c>
      <c r="G663" t="s">
        <v>5573</v>
      </c>
      <c r="H663" t="s">
        <v>4915</v>
      </c>
    </row>
    <row r="664" spans="1:8" x14ac:dyDescent="0.25">
      <c r="A664" t="s">
        <v>699</v>
      </c>
      <c r="B664" t="s">
        <v>700</v>
      </c>
      <c r="C664" t="s">
        <v>4257</v>
      </c>
      <c r="D664">
        <v>7</v>
      </c>
      <c r="E664" t="s">
        <v>4445</v>
      </c>
      <c r="F664" t="s">
        <v>2427</v>
      </c>
      <c r="G664" t="s">
        <v>5573</v>
      </c>
      <c r="H664" t="s">
        <v>4915</v>
      </c>
    </row>
    <row r="665" spans="1:8" x14ac:dyDescent="0.25">
      <c r="A665">
        <v>723684005</v>
      </c>
      <c r="B665" t="s">
        <v>928</v>
      </c>
      <c r="C665" t="s">
        <v>4460</v>
      </c>
      <c r="D665">
        <v>8</v>
      </c>
      <c r="E665" t="s">
        <v>4445</v>
      </c>
      <c r="F665" t="s">
        <v>2429</v>
      </c>
      <c r="G665" t="s">
        <v>5574</v>
      </c>
      <c r="H665" t="s">
        <v>4957</v>
      </c>
    </row>
    <row r="666" spans="1:8" x14ac:dyDescent="0.25">
      <c r="A666">
        <v>725295006</v>
      </c>
      <c r="B666" t="s">
        <v>453</v>
      </c>
      <c r="C666" t="s">
        <v>4388</v>
      </c>
      <c r="D666">
        <v>16</v>
      </c>
      <c r="E666" t="s">
        <v>4445</v>
      </c>
      <c r="F666" t="s">
        <v>1570</v>
      </c>
      <c r="G666" t="s">
        <v>5574</v>
      </c>
      <c r="H666" t="s">
        <v>4957</v>
      </c>
    </row>
    <row r="667" spans="1:8" x14ac:dyDescent="0.25">
      <c r="A667">
        <v>726321000</v>
      </c>
      <c r="B667" t="s">
        <v>2090</v>
      </c>
      <c r="C667" t="s">
        <v>4562</v>
      </c>
      <c r="D667">
        <v>16</v>
      </c>
      <c r="E667" t="s">
        <v>4445</v>
      </c>
      <c r="F667" t="s">
        <v>2089</v>
      </c>
      <c r="G667" t="s">
        <v>5575</v>
      </c>
      <c r="H667" t="s">
        <v>4957</v>
      </c>
    </row>
    <row r="668" spans="1:8" x14ac:dyDescent="0.25">
      <c r="A668">
        <v>727625003</v>
      </c>
      <c r="B668" t="s">
        <v>454</v>
      </c>
      <c r="C668" t="s">
        <v>4271</v>
      </c>
      <c r="D668">
        <v>8</v>
      </c>
      <c r="E668" t="s">
        <v>4445</v>
      </c>
      <c r="F668" t="s">
        <v>4004</v>
      </c>
      <c r="G668" t="s">
        <v>5575</v>
      </c>
      <c r="H668" t="s">
        <v>4957</v>
      </c>
    </row>
    <row r="669" spans="1:8" x14ac:dyDescent="0.25">
      <c r="A669">
        <v>735686003</v>
      </c>
      <c r="B669" t="s">
        <v>455</v>
      </c>
      <c r="C669" t="s">
        <v>4563</v>
      </c>
      <c r="D669">
        <v>5</v>
      </c>
      <c r="E669" t="s">
        <v>4445</v>
      </c>
      <c r="F669" t="s">
        <v>2437</v>
      </c>
      <c r="G669" t="s">
        <v>5575</v>
      </c>
      <c r="H669" t="s">
        <v>4957</v>
      </c>
    </row>
    <row r="670" spans="1:8" x14ac:dyDescent="0.25">
      <c r="A670">
        <v>740695002</v>
      </c>
      <c r="B670" t="s">
        <v>929</v>
      </c>
      <c r="C670" t="s">
        <v>4188</v>
      </c>
      <c r="D670">
        <v>13</v>
      </c>
      <c r="E670" t="s">
        <v>4445</v>
      </c>
      <c r="F670" t="s">
        <v>2439</v>
      </c>
      <c r="G670" t="s">
        <v>5571</v>
      </c>
      <c r="H670" t="s">
        <v>4957</v>
      </c>
    </row>
    <row r="671" spans="1:8" x14ac:dyDescent="0.25">
      <c r="A671">
        <v>742696006</v>
      </c>
      <c r="B671" t="s">
        <v>752</v>
      </c>
      <c r="C671" t="s">
        <v>4380</v>
      </c>
      <c r="D671">
        <v>8</v>
      </c>
      <c r="E671" t="s">
        <v>4464</v>
      </c>
      <c r="F671" t="s">
        <v>1646</v>
      </c>
      <c r="G671" t="s">
        <v>5571</v>
      </c>
      <c r="H671" t="s">
        <v>4957</v>
      </c>
    </row>
    <row r="672" spans="1:8" x14ac:dyDescent="0.25">
      <c r="A672">
        <v>748622004</v>
      </c>
      <c r="B672" t="s">
        <v>5530</v>
      </c>
      <c r="C672" t="s">
        <v>4218</v>
      </c>
      <c r="D672">
        <v>9</v>
      </c>
      <c r="E672" t="s">
        <v>4445</v>
      </c>
      <c r="F672" t="s">
        <v>4076</v>
      </c>
      <c r="G672" t="s">
        <v>5570</v>
      </c>
      <c r="H672" t="s">
        <v>4915</v>
      </c>
    </row>
    <row r="673" spans="1:8" x14ac:dyDescent="0.25">
      <c r="A673">
        <v>760006165</v>
      </c>
      <c r="B673" t="s">
        <v>456</v>
      </c>
      <c r="C673" t="s">
        <v>4179</v>
      </c>
      <c r="D673">
        <v>6</v>
      </c>
      <c r="E673" t="s">
        <v>4445</v>
      </c>
      <c r="F673" t="s">
        <v>2422</v>
      </c>
      <c r="G673" t="s">
        <v>5570</v>
      </c>
      <c r="H673" t="s">
        <v>4915</v>
      </c>
    </row>
    <row r="674" spans="1:8" x14ac:dyDescent="0.25">
      <c r="A674">
        <v>760122769</v>
      </c>
      <c r="B674" t="s">
        <v>5542</v>
      </c>
      <c r="C674" t="s">
        <v>4232</v>
      </c>
      <c r="D674">
        <v>11</v>
      </c>
      <c r="E674" t="s">
        <v>4445</v>
      </c>
      <c r="F674" t="s">
        <v>5543</v>
      </c>
      <c r="G674" t="s">
        <v>5568</v>
      </c>
      <c r="H674" t="s">
        <v>4915</v>
      </c>
    </row>
    <row r="675" spans="1:8" x14ac:dyDescent="0.25">
      <c r="A675">
        <v>760125512</v>
      </c>
      <c r="B675" t="s">
        <v>457</v>
      </c>
      <c r="C675" t="s">
        <v>4168</v>
      </c>
      <c r="D675">
        <v>13</v>
      </c>
      <c r="E675" t="s">
        <v>4445</v>
      </c>
      <c r="F675" t="s">
        <v>2445</v>
      </c>
      <c r="G675" t="s">
        <v>5568</v>
      </c>
      <c r="H675" t="s">
        <v>4915</v>
      </c>
    </row>
    <row r="676" spans="1:8" x14ac:dyDescent="0.25">
      <c r="A676">
        <v>760181188</v>
      </c>
      <c r="B676" t="s">
        <v>959</v>
      </c>
      <c r="C676" t="s">
        <v>4410</v>
      </c>
      <c r="D676">
        <v>13</v>
      </c>
      <c r="E676" t="s">
        <v>4445</v>
      </c>
      <c r="F676" t="s">
        <v>2447</v>
      </c>
      <c r="G676" t="s">
        <v>5570</v>
      </c>
      <c r="H676" t="s">
        <v>4915</v>
      </c>
    </row>
    <row r="677" spans="1:8" x14ac:dyDescent="0.25">
      <c r="A677">
        <v>760189928</v>
      </c>
      <c r="B677" t="s">
        <v>1926</v>
      </c>
      <c r="C677" t="s">
        <v>4475</v>
      </c>
      <c r="D677">
        <v>8</v>
      </c>
      <c r="E677" t="s">
        <v>4464</v>
      </c>
      <c r="F677" t="s">
        <v>1925</v>
      </c>
      <c r="G677" t="s">
        <v>5570</v>
      </c>
      <c r="H677" t="s">
        <v>4915</v>
      </c>
    </row>
    <row r="678" spans="1:8" x14ac:dyDescent="0.25">
      <c r="A678">
        <v>760243876</v>
      </c>
      <c r="B678" t="s">
        <v>1069</v>
      </c>
      <c r="C678" t="s">
        <v>4465</v>
      </c>
      <c r="D678">
        <v>13</v>
      </c>
      <c r="E678" t="s">
        <v>4445</v>
      </c>
      <c r="F678" t="s">
        <v>2455</v>
      </c>
      <c r="G678" t="s">
        <v>5570</v>
      </c>
      <c r="H678" t="s">
        <v>4915</v>
      </c>
    </row>
    <row r="679" spans="1:8" x14ac:dyDescent="0.25">
      <c r="A679">
        <v>760262536</v>
      </c>
      <c r="B679" t="s">
        <v>458</v>
      </c>
      <c r="C679" t="s">
        <v>4391</v>
      </c>
      <c r="D679">
        <v>13</v>
      </c>
      <c r="E679" t="s">
        <v>4445</v>
      </c>
      <c r="F679" t="s">
        <v>2457</v>
      </c>
      <c r="G679" t="s">
        <v>5570</v>
      </c>
      <c r="H679" t="s">
        <v>4915</v>
      </c>
    </row>
    <row r="680" spans="1:8" x14ac:dyDescent="0.25">
      <c r="A680">
        <v>760329800</v>
      </c>
      <c r="B680" t="s">
        <v>459</v>
      </c>
      <c r="C680" t="s">
        <v>4416</v>
      </c>
      <c r="D680">
        <v>13</v>
      </c>
      <c r="E680" t="s">
        <v>4445</v>
      </c>
      <c r="F680" t="s">
        <v>3578</v>
      </c>
      <c r="G680" t="s">
        <v>5568</v>
      </c>
      <c r="H680" t="s">
        <v>4915</v>
      </c>
    </row>
    <row r="681" spans="1:8" x14ac:dyDescent="0.25">
      <c r="A681" t="s">
        <v>5800</v>
      </c>
      <c r="B681" t="s">
        <v>5801</v>
      </c>
      <c r="C681" t="s">
        <v>4198</v>
      </c>
      <c r="D681">
        <v>5</v>
      </c>
      <c r="E681" t="s">
        <v>4445</v>
      </c>
      <c r="F681" t="s">
        <v>5802</v>
      </c>
      <c r="H681" t="s">
        <v>4915</v>
      </c>
    </row>
    <row r="682" spans="1:8" x14ac:dyDescent="0.25">
      <c r="A682" t="s">
        <v>701</v>
      </c>
      <c r="B682" t="s">
        <v>702</v>
      </c>
      <c r="C682" t="s">
        <v>4182</v>
      </c>
      <c r="D682">
        <v>2</v>
      </c>
      <c r="E682" t="s">
        <v>4445</v>
      </c>
      <c r="F682" t="s">
        <v>2462</v>
      </c>
      <c r="G682" t="s">
        <v>5570</v>
      </c>
      <c r="H682" t="s">
        <v>4915</v>
      </c>
    </row>
    <row r="683" spans="1:8" x14ac:dyDescent="0.25">
      <c r="A683" t="s">
        <v>703</v>
      </c>
      <c r="B683" t="s">
        <v>704</v>
      </c>
      <c r="C683" t="s">
        <v>4470</v>
      </c>
      <c r="D683">
        <v>13</v>
      </c>
      <c r="E683" t="s">
        <v>4445</v>
      </c>
      <c r="F683" t="s">
        <v>2464</v>
      </c>
      <c r="G683" t="s">
        <v>5570</v>
      </c>
      <c r="H683" t="s">
        <v>4915</v>
      </c>
    </row>
    <row r="684" spans="1:8" x14ac:dyDescent="0.25">
      <c r="A684">
        <v>760465631</v>
      </c>
      <c r="B684" t="s">
        <v>807</v>
      </c>
      <c r="C684" t="s">
        <v>4391</v>
      </c>
      <c r="D684">
        <v>13</v>
      </c>
      <c r="E684" t="s">
        <v>4445</v>
      </c>
      <c r="F684" t="s">
        <v>3722</v>
      </c>
      <c r="G684" t="s">
        <v>5570</v>
      </c>
      <c r="H684" t="s">
        <v>4915</v>
      </c>
    </row>
    <row r="685" spans="1:8" x14ac:dyDescent="0.25">
      <c r="A685">
        <v>760477001</v>
      </c>
      <c r="B685" t="s">
        <v>460</v>
      </c>
      <c r="C685" t="s">
        <v>4561</v>
      </c>
      <c r="D685">
        <v>13</v>
      </c>
      <c r="E685" t="s">
        <v>4445</v>
      </c>
      <c r="F685" t="s">
        <v>1928</v>
      </c>
      <c r="G685" t="s">
        <v>5568</v>
      </c>
      <c r="H685" t="s">
        <v>4915</v>
      </c>
    </row>
    <row r="686" spans="1:8" x14ac:dyDescent="0.25">
      <c r="A686">
        <v>760534870</v>
      </c>
      <c r="B686" t="s">
        <v>2472</v>
      </c>
      <c r="C686" t="s">
        <v>4391</v>
      </c>
      <c r="D686">
        <v>13</v>
      </c>
      <c r="E686" t="s">
        <v>4445</v>
      </c>
      <c r="F686" t="s">
        <v>2471</v>
      </c>
      <c r="G686" t="s">
        <v>5570</v>
      </c>
      <c r="H686" t="s">
        <v>4915</v>
      </c>
    </row>
    <row r="687" spans="1:8" x14ac:dyDescent="0.25">
      <c r="A687">
        <v>760542377</v>
      </c>
      <c r="B687" t="s">
        <v>2475</v>
      </c>
      <c r="C687" t="s">
        <v>4465</v>
      </c>
      <c r="D687">
        <v>13</v>
      </c>
      <c r="E687" t="s">
        <v>4445</v>
      </c>
      <c r="F687" t="s">
        <v>2474</v>
      </c>
      <c r="G687" t="s">
        <v>5568</v>
      </c>
      <c r="H687" t="s">
        <v>4915</v>
      </c>
    </row>
    <row r="688" spans="1:8" x14ac:dyDescent="0.25">
      <c r="A688" t="s">
        <v>4425</v>
      </c>
      <c r="B688" t="s">
        <v>2453</v>
      </c>
      <c r="C688" t="s">
        <v>4180</v>
      </c>
      <c r="D688">
        <v>8</v>
      </c>
      <c r="E688" t="s">
        <v>4445</v>
      </c>
      <c r="F688" t="s">
        <v>2452</v>
      </c>
      <c r="G688" t="s">
        <v>5570</v>
      </c>
      <c r="H688" t="s">
        <v>4915</v>
      </c>
    </row>
    <row r="689" spans="1:8" x14ac:dyDescent="0.25">
      <c r="A689">
        <v>760579041</v>
      </c>
      <c r="B689" t="s">
        <v>108</v>
      </c>
      <c r="C689" t="s">
        <v>4460</v>
      </c>
      <c r="D689">
        <v>8</v>
      </c>
      <c r="E689" t="s">
        <v>4464</v>
      </c>
      <c r="F689" t="s">
        <v>3359</v>
      </c>
      <c r="G689" t="s">
        <v>5570</v>
      </c>
      <c r="H689" t="s">
        <v>4915</v>
      </c>
    </row>
    <row r="690" spans="1:8" x14ac:dyDescent="0.25">
      <c r="A690">
        <v>760649511</v>
      </c>
      <c r="B690" t="s">
        <v>2480</v>
      </c>
      <c r="C690" t="s">
        <v>4394</v>
      </c>
      <c r="D690">
        <v>13</v>
      </c>
      <c r="E690" t="s">
        <v>4445</v>
      </c>
      <c r="F690" t="s">
        <v>2479</v>
      </c>
      <c r="G690" t="s">
        <v>5570</v>
      </c>
      <c r="H690" t="s">
        <v>4915</v>
      </c>
    </row>
    <row r="691" spans="1:8" x14ac:dyDescent="0.25">
      <c r="A691">
        <v>760709115</v>
      </c>
      <c r="B691" t="s">
        <v>461</v>
      </c>
      <c r="C691" t="s">
        <v>4391</v>
      </c>
      <c r="D691">
        <v>13</v>
      </c>
      <c r="E691" t="s">
        <v>4445</v>
      </c>
      <c r="F691" t="s">
        <v>4124</v>
      </c>
      <c r="G691" t="s">
        <v>5570</v>
      </c>
      <c r="H691" t="s">
        <v>4915</v>
      </c>
    </row>
    <row r="692" spans="1:8" x14ac:dyDescent="0.25">
      <c r="A692">
        <v>760738980</v>
      </c>
      <c r="B692" t="s">
        <v>462</v>
      </c>
      <c r="C692" t="s">
        <v>4264</v>
      </c>
      <c r="D692">
        <v>7</v>
      </c>
      <c r="E692" t="s">
        <v>4445</v>
      </c>
      <c r="F692" t="s">
        <v>1527</v>
      </c>
      <c r="G692" t="s">
        <v>5568</v>
      </c>
      <c r="H692" t="s">
        <v>4915</v>
      </c>
    </row>
    <row r="693" spans="1:8" x14ac:dyDescent="0.25">
      <c r="A693">
        <v>760871168</v>
      </c>
      <c r="B693" t="s">
        <v>109</v>
      </c>
      <c r="C693" t="s">
        <v>4170</v>
      </c>
      <c r="D693">
        <v>14</v>
      </c>
      <c r="E693" t="s">
        <v>4454</v>
      </c>
      <c r="F693" t="s">
        <v>3827</v>
      </c>
      <c r="G693" t="s">
        <v>5568</v>
      </c>
      <c r="H693" t="s">
        <v>4915</v>
      </c>
    </row>
    <row r="694" spans="1:8" x14ac:dyDescent="0.25">
      <c r="A694" t="s">
        <v>5684</v>
      </c>
      <c r="B694" t="s">
        <v>5685</v>
      </c>
      <c r="C694" t="s">
        <v>4491</v>
      </c>
      <c r="D694">
        <v>7</v>
      </c>
      <c r="E694" t="s">
        <v>4445</v>
      </c>
      <c r="F694" t="s">
        <v>5686</v>
      </c>
      <c r="G694" t="s">
        <v>5570</v>
      </c>
      <c r="H694" t="s">
        <v>4915</v>
      </c>
    </row>
    <row r="695" spans="1:8" x14ac:dyDescent="0.25">
      <c r="A695" t="s">
        <v>705</v>
      </c>
      <c r="B695" t="s">
        <v>706</v>
      </c>
      <c r="C695" t="s">
        <v>4175</v>
      </c>
      <c r="D695">
        <v>13</v>
      </c>
      <c r="E695" t="s">
        <v>4445</v>
      </c>
      <c r="F695" t="s">
        <v>2147</v>
      </c>
      <c r="G695" t="s">
        <v>5570</v>
      </c>
      <c r="H695" t="s">
        <v>4915</v>
      </c>
    </row>
    <row r="696" spans="1:8" x14ac:dyDescent="0.25">
      <c r="A696">
        <v>761037293</v>
      </c>
      <c r="B696" t="s">
        <v>2490</v>
      </c>
      <c r="C696" t="s">
        <v>4168</v>
      </c>
      <c r="D696">
        <v>13</v>
      </c>
      <c r="E696" t="s">
        <v>4445</v>
      </c>
      <c r="F696" t="s">
        <v>2489</v>
      </c>
      <c r="G696" t="s">
        <v>5568</v>
      </c>
      <c r="H696" t="s">
        <v>4915</v>
      </c>
    </row>
    <row r="697" spans="1:8" x14ac:dyDescent="0.25">
      <c r="A697">
        <v>761066366</v>
      </c>
      <c r="B697" t="s">
        <v>2493</v>
      </c>
      <c r="C697" t="s">
        <v>4528</v>
      </c>
      <c r="D697">
        <v>13</v>
      </c>
      <c r="E697" t="s">
        <v>4445</v>
      </c>
      <c r="F697" t="s">
        <v>2492</v>
      </c>
      <c r="G697" t="s">
        <v>5568</v>
      </c>
      <c r="H697" t="s">
        <v>4915</v>
      </c>
    </row>
    <row r="698" spans="1:8" x14ac:dyDescent="0.25">
      <c r="A698">
        <v>761102370</v>
      </c>
      <c r="B698" t="s">
        <v>4754</v>
      </c>
      <c r="C698" t="s">
        <v>4168</v>
      </c>
      <c r="D698">
        <v>13</v>
      </c>
      <c r="E698" t="s">
        <v>4445</v>
      </c>
      <c r="F698" t="s">
        <v>4911</v>
      </c>
      <c r="H698" t="s">
        <v>4915</v>
      </c>
    </row>
    <row r="699" spans="1:8" x14ac:dyDescent="0.25">
      <c r="A699">
        <v>761150065</v>
      </c>
      <c r="B699" t="s">
        <v>2496</v>
      </c>
      <c r="C699" t="s">
        <v>4497</v>
      </c>
      <c r="D699">
        <v>8</v>
      </c>
      <c r="E699" t="s">
        <v>4445</v>
      </c>
      <c r="F699" t="s">
        <v>2495</v>
      </c>
      <c r="G699" t="s">
        <v>5570</v>
      </c>
      <c r="H699" t="s">
        <v>4915</v>
      </c>
    </row>
    <row r="700" spans="1:8" x14ac:dyDescent="0.25">
      <c r="A700">
        <v>761174851</v>
      </c>
      <c r="B700" t="s">
        <v>463</v>
      </c>
      <c r="C700" t="s">
        <v>4465</v>
      </c>
      <c r="D700">
        <v>13</v>
      </c>
      <c r="E700" t="s">
        <v>4445</v>
      </c>
      <c r="F700" t="s">
        <v>2500</v>
      </c>
      <c r="G700" t="s">
        <v>5570</v>
      </c>
      <c r="H700" t="s">
        <v>4915</v>
      </c>
    </row>
    <row r="701" spans="1:8" x14ac:dyDescent="0.25">
      <c r="A701">
        <v>761181912</v>
      </c>
      <c r="B701" t="s">
        <v>5523</v>
      </c>
      <c r="C701" t="s">
        <v>4168</v>
      </c>
      <c r="D701">
        <v>13</v>
      </c>
      <c r="E701" t="s">
        <v>4445</v>
      </c>
      <c r="F701" t="s">
        <v>5524</v>
      </c>
      <c r="G701" t="s">
        <v>5568</v>
      </c>
      <c r="H701" t="s">
        <v>4915</v>
      </c>
    </row>
    <row r="702" spans="1:8" x14ac:dyDescent="0.25">
      <c r="A702">
        <v>761353470</v>
      </c>
      <c r="B702" t="s">
        <v>811</v>
      </c>
      <c r="C702" t="s">
        <v>4458</v>
      </c>
      <c r="D702">
        <v>13</v>
      </c>
      <c r="E702" t="s">
        <v>4445</v>
      </c>
      <c r="F702" t="s">
        <v>2502</v>
      </c>
      <c r="G702" t="s">
        <v>5569</v>
      </c>
      <c r="H702" t="s">
        <v>4915</v>
      </c>
    </row>
    <row r="703" spans="1:8" x14ac:dyDescent="0.25">
      <c r="A703">
        <v>761426168</v>
      </c>
      <c r="B703" t="s">
        <v>464</v>
      </c>
      <c r="C703" t="s">
        <v>4470</v>
      </c>
      <c r="D703">
        <v>13</v>
      </c>
      <c r="E703" t="s">
        <v>4445</v>
      </c>
      <c r="F703" t="s">
        <v>1256</v>
      </c>
      <c r="G703" t="s">
        <v>5568</v>
      </c>
      <c r="H703" t="s">
        <v>4915</v>
      </c>
    </row>
    <row r="704" spans="1:8" x14ac:dyDescent="0.25">
      <c r="A704">
        <v>761458922</v>
      </c>
      <c r="B704" t="s">
        <v>465</v>
      </c>
      <c r="C704" t="s">
        <v>4391</v>
      </c>
      <c r="D704">
        <v>13</v>
      </c>
      <c r="E704" t="s">
        <v>4445</v>
      </c>
      <c r="F704" t="s">
        <v>2506</v>
      </c>
      <c r="G704" t="s">
        <v>5568</v>
      </c>
      <c r="H704" t="s">
        <v>4915</v>
      </c>
    </row>
    <row r="705" spans="1:8" x14ac:dyDescent="0.25">
      <c r="A705">
        <v>761495240</v>
      </c>
      <c r="B705" t="s">
        <v>1051</v>
      </c>
      <c r="C705" t="s">
        <v>4448</v>
      </c>
      <c r="D705">
        <v>13</v>
      </c>
      <c r="E705" t="s">
        <v>4445</v>
      </c>
      <c r="F705" t="s">
        <v>2508</v>
      </c>
      <c r="G705" t="s">
        <v>5570</v>
      </c>
      <c r="H705" t="s">
        <v>4915</v>
      </c>
    </row>
    <row r="706" spans="1:8" x14ac:dyDescent="0.25">
      <c r="A706">
        <v>761531603</v>
      </c>
      <c r="B706" t="s">
        <v>5651</v>
      </c>
      <c r="C706" t="s">
        <v>4395</v>
      </c>
      <c r="D706">
        <v>13</v>
      </c>
      <c r="E706" t="s">
        <v>4445</v>
      </c>
      <c r="F706" t="s">
        <v>5652</v>
      </c>
      <c r="G706" t="s">
        <v>5568</v>
      </c>
      <c r="H706" t="s">
        <v>4915</v>
      </c>
    </row>
    <row r="707" spans="1:8" x14ac:dyDescent="0.25">
      <c r="A707">
        <v>761587234</v>
      </c>
      <c r="B707" t="s">
        <v>5063</v>
      </c>
      <c r="C707" t="s">
        <v>4175</v>
      </c>
      <c r="D707">
        <v>5</v>
      </c>
      <c r="E707" t="s">
        <v>4445</v>
      </c>
      <c r="F707" t="s">
        <v>5243</v>
      </c>
      <c r="G707" t="s">
        <v>5568</v>
      </c>
      <c r="H707" t="s">
        <v>4915</v>
      </c>
    </row>
    <row r="708" spans="1:8" x14ac:dyDescent="0.25">
      <c r="A708">
        <v>761701878</v>
      </c>
      <c r="B708" t="s">
        <v>5738</v>
      </c>
      <c r="C708" t="s">
        <v>4399</v>
      </c>
      <c r="D708">
        <v>13</v>
      </c>
      <c r="E708" t="s">
        <v>4445</v>
      </c>
      <c r="F708" t="s">
        <v>5739</v>
      </c>
      <c r="H708" t="s">
        <v>4915</v>
      </c>
    </row>
    <row r="709" spans="1:8" x14ac:dyDescent="0.25">
      <c r="A709">
        <v>761732145</v>
      </c>
      <c r="B709" t="s">
        <v>812</v>
      </c>
      <c r="C709" t="s">
        <v>4168</v>
      </c>
      <c r="D709">
        <v>13</v>
      </c>
      <c r="E709" t="s">
        <v>4445</v>
      </c>
      <c r="F709" t="s">
        <v>2510</v>
      </c>
      <c r="G709" t="s">
        <v>5568</v>
      </c>
      <c r="H709" t="s">
        <v>4915</v>
      </c>
    </row>
    <row r="710" spans="1:8" x14ac:dyDescent="0.25">
      <c r="A710">
        <v>761825534</v>
      </c>
      <c r="B710" t="s">
        <v>466</v>
      </c>
      <c r="C710" t="s">
        <v>4391</v>
      </c>
      <c r="D710">
        <v>13</v>
      </c>
      <c r="E710" t="s">
        <v>4445</v>
      </c>
      <c r="F710" t="s">
        <v>1436</v>
      </c>
      <c r="G710" t="s">
        <v>5568</v>
      </c>
      <c r="H710" t="s">
        <v>4915</v>
      </c>
    </row>
    <row r="711" spans="1:8" x14ac:dyDescent="0.25">
      <c r="A711">
        <v>761843133</v>
      </c>
      <c r="B711" t="s">
        <v>467</v>
      </c>
      <c r="C711" t="s">
        <v>4391</v>
      </c>
      <c r="D711">
        <v>13</v>
      </c>
      <c r="E711" t="s">
        <v>4445</v>
      </c>
      <c r="F711" t="s">
        <v>2514</v>
      </c>
      <c r="G711" t="s">
        <v>5570</v>
      </c>
      <c r="H711" t="s">
        <v>4915</v>
      </c>
    </row>
    <row r="712" spans="1:8" x14ac:dyDescent="0.25">
      <c r="A712">
        <v>761912631</v>
      </c>
      <c r="B712" t="s">
        <v>1365</v>
      </c>
      <c r="C712" t="s">
        <v>4380</v>
      </c>
      <c r="D712">
        <v>8</v>
      </c>
      <c r="E712" t="s">
        <v>4445</v>
      </c>
      <c r="F712" t="s">
        <v>1364</v>
      </c>
      <c r="G712" t="s">
        <v>5569</v>
      </c>
      <c r="H712" t="s">
        <v>4915</v>
      </c>
    </row>
    <row r="713" spans="1:8" x14ac:dyDescent="0.25">
      <c r="A713">
        <v>761931881</v>
      </c>
      <c r="B713" t="s">
        <v>5517</v>
      </c>
      <c r="C713" t="s">
        <v>4393</v>
      </c>
      <c r="D713">
        <v>13</v>
      </c>
      <c r="E713" t="s">
        <v>4445</v>
      </c>
      <c r="F713" t="s">
        <v>5518</v>
      </c>
      <c r="G713" t="s">
        <v>5568</v>
      </c>
      <c r="H713" t="s">
        <v>4915</v>
      </c>
    </row>
    <row r="714" spans="1:8" x14ac:dyDescent="0.25">
      <c r="A714">
        <v>761988220</v>
      </c>
      <c r="B714" t="s">
        <v>110</v>
      </c>
      <c r="C714" t="s">
        <v>4176</v>
      </c>
      <c r="D714">
        <v>13</v>
      </c>
      <c r="E714" t="s">
        <v>4445</v>
      </c>
      <c r="F714" t="s">
        <v>2498</v>
      </c>
      <c r="G714" t="s">
        <v>5570</v>
      </c>
      <c r="H714" t="s">
        <v>4915</v>
      </c>
    </row>
    <row r="715" spans="1:8" x14ac:dyDescent="0.25">
      <c r="A715">
        <v>761991272</v>
      </c>
      <c r="B715" t="s">
        <v>4439</v>
      </c>
      <c r="C715" t="s">
        <v>4456</v>
      </c>
      <c r="D715">
        <v>13</v>
      </c>
      <c r="E715" t="s">
        <v>4445</v>
      </c>
      <c r="F715" t="s">
        <v>4564</v>
      </c>
      <c r="G715" t="s">
        <v>5568</v>
      </c>
      <c r="H715" t="s">
        <v>4915</v>
      </c>
    </row>
    <row r="716" spans="1:8" x14ac:dyDescent="0.25">
      <c r="A716">
        <v>762039761</v>
      </c>
      <c r="B716" t="s">
        <v>5461</v>
      </c>
      <c r="C716" t="s">
        <v>4465</v>
      </c>
      <c r="D716">
        <v>13</v>
      </c>
      <c r="E716" t="s">
        <v>4445</v>
      </c>
      <c r="F716" t="s">
        <v>5462</v>
      </c>
      <c r="G716" t="s">
        <v>5568</v>
      </c>
      <c r="H716" t="s">
        <v>4915</v>
      </c>
    </row>
    <row r="717" spans="1:8" x14ac:dyDescent="0.25">
      <c r="A717">
        <v>762051370</v>
      </c>
      <c r="B717" t="s">
        <v>468</v>
      </c>
      <c r="C717" t="s">
        <v>4460</v>
      </c>
      <c r="D717">
        <v>8</v>
      </c>
      <c r="E717" t="s">
        <v>4445</v>
      </c>
      <c r="F717" t="s">
        <v>2518</v>
      </c>
      <c r="G717" t="s">
        <v>5568</v>
      </c>
      <c r="H717" t="s">
        <v>4915</v>
      </c>
    </row>
    <row r="718" spans="1:8" x14ac:dyDescent="0.25">
      <c r="A718">
        <v>762051486</v>
      </c>
      <c r="B718" t="s">
        <v>469</v>
      </c>
      <c r="C718" t="s">
        <v>4528</v>
      </c>
      <c r="D718">
        <v>13</v>
      </c>
      <c r="E718" t="s">
        <v>4445</v>
      </c>
      <c r="F718" t="s">
        <v>2520</v>
      </c>
      <c r="G718" t="s">
        <v>5568</v>
      </c>
      <c r="H718" t="s">
        <v>4915</v>
      </c>
    </row>
    <row r="719" spans="1:8" x14ac:dyDescent="0.25">
      <c r="A719">
        <v>762082179</v>
      </c>
      <c r="B719" t="s">
        <v>470</v>
      </c>
      <c r="C719" t="s">
        <v>4196</v>
      </c>
      <c r="D719">
        <v>13</v>
      </c>
      <c r="E719" t="s">
        <v>4445</v>
      </c>
      <c r="F719" t="s">
        <v>2522</v>
      </c>
      <c r="G719" t="s">
        <v>5569</v>
      </c>
      <c r="H719" t="s">
        <v>4915</v>
      </c>
    </row>
    <row r="720" spans="1:8" x14ac:dyDescent="0.25">
      <c r="A720">
        <v>762090155</v>
      </c>
      <c r="B720" t="s">
        <v>4440</v>
      </c>
      <c r="C720" t="s">
        <v>4495</v>
      </c>
      <c r="D720">
        <v>16</v>
      </c>
      <c r="E720" t="s">
        <v>4445</v>
      </c>
      <c r="F720" t="s">
        <v>4565</v>
      </c>
      <c r="G720" t="s">
        <v>5568</v>
      </c>
      <c r="H720" t="s">
        <v>4915</v>
      </c>
    </row>
    <row r="721" spans="1:8" x14ac:dyDescent="0.25">
      <c r="A721">
        <v>762098369</v>
      </c>
      <c r="B721" t="s">
        <v>4133</v>
      </c>
      <c r="C721" t="s">
        <v>4465</v>
      </c>
      <c r="D721">
        <v>13</v>
      </c>
      <c r="E721" t="s">
        <v>4445</v>
      </c>
      <c r="F721" t="s">
        <v>4132</v>
      </c>
      <c r="G721" t="s">
        <v>5568</v>
      </c>
      <c r="H721" t="s">
        <v>4915</v>
      </c>
    </row>
    <row r="722" spans="1:8" x14ac:dyDescent="0.25">
      <c r="A722">
        <v>762152606</v>
      </c>
      <c r="B722" t="s">
        <v>2595</v>
      </c>
      <c r="C722" t="s">
        <v>4410</v>
      </c>
      <c r="D722">
        <v>13</v>
      </c>
      <c r="E722" t="s">
        <v>4445</v>
      </c>
      <c r="F722" t="s">
        <v>2594</v>
      </c>
      <c r="G722" t="s">
        <v>5568</v>
      </c>
      <c r="H722" t="s">
        <v>4915</v>
      </c>
    </row>
    <row r="723" spans="1:8" x14ac:dyDescent="0.25">
      <c r="A723">
        <v>762174413</v>
      </c>
      <c r="B723" t="s">
        <v>471</v>
      </c>
      <c r="C723" t="s">
        <v>4510</v>
      </c>
      <c r="D723">
        <v>13</v>
      </c>
      <c r="E723" t="s">
        <v>4445</v>
      </c>
      <c r="F723" t="s">
        <v>2528</v>
      </c>
      <c r="G723" t="s">
        <v>5568</v>
      </c>
      <c r="H723" t="s">
        <v>4915</v>
      </c>
    </row>
    <row r="724" spans="1:8" x14ac:dyDescent="0.25">
      <c r="A724">
        <v>762177811</v>
      </c>
      <c r="B724" t="s">
        <v>2220</v>
      </c>
      <c r="C724" t="s">
        <v>4391</v>
      </c>
      <c r="D724">
        <v>13</v>
      </c>
      <c r="E724" t="s">
        <v>4445</v>
      </c>
      <c r="F724" t="s">
        <v>2219</v>
      </c>
      <c r="G724" t="s">
        <v>5568</v>
      </c>
      <c r="H724" t="s">
        <v>4915</v>
      </c>
    </row>
    <row r="725" spans="1:8" x14ac:dyDescent="0.25">
      <c r="A725">
        <v>762187000</v>
      </c>
      <c r="B725" t="s">
        <v>473</v>
      </c>
      <c r="C725" t="s">
        <v>4168</v>
      </c>
      <c r="D725">
        <v>13</v>
      </c>
      <c r="E725" t="s">
        <v>4445</v>
      </c>
      <c r="F725" t="s">
        <v>2532</v>
      </c>
      <c r="G725" t="s">
        <v>5568</v>
      </c>
      <c r="H725" t="s">
        <v>4915</v>
      </c>
    </row>
    <row r="726" spans="1:8" x14ac:dyDescent="0.25">
      <c r="A726">
        <v>762232782</v>
      </c>
      <c r="B726" t="s">
        <v>474</v>
      </c>
      <c r="C726" t="s">
        <v>4460</v>
      </c>
      <c r="D726">
        <v>8</v>
      </c>
      <c r="E726" t="s">
        <v>4445</v>
      </c>
      <c r="F726" t="s">
        <v>2534</v>
      </c>
      <c r="G726" t="s">
        <v>5570</v>
      </c>
      <c r="H726" t="s">
        <v>4915</v>
      </c>
    </row>
    <row r="727" spans="1:8" x14ac:dyDescent="0.25">
      <c r="A727">
        <v>762255294</v>
      </c>
      <c r="B727" t="s">
        <v>475</v>
      </c>
      <c r="C727" t="s">
        <v>4187</v>
      </c>
      <c r="D727">
        <v>13</v>
      </c>
      <c r="E727" t="s">
        <v>4445</v>
      </c>
      <c r="F727" t="s">
        <v>3653</v>
      </c>
      <c r="G727" t="s">
        <v>5568</v>
      </c>
      <c r="H727" t="s">
        <v>4915</v>
      </c>
    </row>
    <row r="728" spans="1:8" x14ac:dyDescent="0.25">
      <c r="A728">
        <v>762404028</v>
      </c>
      <c r="B728" t="s">
        <v>5716</v>
      </c>
      <c r="C728" t="s">
        <v>4285</v>
      </c>
      <c r="D728">
        <v>13</v>
      </c>
      <c r="E728" t="s">
        <v>4445</v>
      </c>
      <c r="F728" t="s">
        <v>5250</v>
      </c>
      <c r="G728" t="s">
        <v>5570</v>
      </c>
      <c r="H728" t="s">
        <v>4915</v>
      </c>
    </row>
    <row r="729" spans="1:8" x14ac:dyDescent="0.25">
      <c r="A729">
        <v>762421925</v>
      </c>
      <c r="B729" t="s">
        <v>815</v>
      </c>
      <c r="C729" t="s">
        <v>4465</v>
      </c>
      <c r="D729">
        <v>13</v>
      </c>
      <c r="E729" t="s">
        <v>4445</v>
      </c>
      <c r="F729" t="s">
        <v>2539</v>
      </c>
      <c r="G729" t="s">
        <v>5568</v>
      </c>
      <c r="H729" t="s">
        <v>4915</v>
      </c>
    </row>
    <row r="730" spans="1:8" x14ac:dyDescent="0.25">
      <c r="A730">
        <v>762427745</v>
      </c>
      <c r="B730" t="s">
        <v>111</v>
      </c>
      <c r="C730" t="s">
        <v>4394</v>
      </c>
      <c r="D730">
        <v>13</v>
      </c>
      <c r="E730" t="s">
        <v>4453</v>
      </c>
      <c r="F730" t="s">
        <v>1590</v>
      </c>
      <c r="G730" t="s">
        <v>5570</v>
      </c>
      <c r="H730" t="s">
        <v>4915</v>
      </c>
    </row>
    <row r="731" spans="1:8" x14ac:dyDescent="0.25">
      <c r="A731">
        <v>762432005</v>
      </c>
      <c r="B731" t="s">
        <v>5619</v>
      </c>
      <c r="C731" t="s">
        <v>4168</v>
      </c>
      <c r="D731">
        <v>13</v>
      </c>
      <c r="E731" t="s">
        <v>4445</v>
      </c>
      <c r="F731" t="s">
        <v>5620</v>
      </c>
      <c r="G731" t="s">
        <v>5568</v>
      </c>
      <c r="H731" t="s">
        <v>4915</v>
      </c>
    </row>
    <row r="732" spans="1:8" x14ac:dyDescent="0.25">
      <c r="A732">
        <v>762522500</v>
      </c>
      <c r="B732" t="s">
        <v>1080</v>
      </c>
      <c r="C732" t="s">
        <v>4168</v>
      </c>
      <c r="D732">
        <v>13</v>
      </c>
      <c r="E732" t="s">
        <v>4445</v>
      </c>
      <c r="F732" t="s">
        <v>2544</v>
      </c>
      <c r="G732" t="s">
        <v>5570</v>
      </c>
      <c r="H732" t="s">
        <v>4915</v>
      </c>
    </row>
    <row r="733" spans="1:8" x14ac:dyDescent="0.25">
      <c r="A733">
        <v>762561387</v>
      </c>
      <c r="B733" t="s">
        <v>4032</v>
      </c>
      <c r="C733" t="s">
        <v>4444</v>
      </c>
      <c r="D733">
        <v>13</v>
      </c>
      <c r="E733" t="s">
        <v>4445</v>
      </c>
      <c r="F733" t="s">
        <v>4031</v>
      </c>
      <c r="G733" t="s">
        <v>5568</v>
      </c>
      <c r="H733" t="s">
        <v>4915</v>
      </c>
    </row>
    <row r="734" spans="1:8" x14ac:dyDescent="0.25">
      <c r="A734">
        <v>762569094</v>
      </c>
      <c r="B734" t="s">
        <v>816</v>
      </c>
      <c r="C734" t="s">
        <v>4452</v>
      </c>
      <c r="D734">
        <v>13</v>
      </c>
      <c r="E734" t="s">
        <v>4445</v>
      </c>
      <c r="F734" t="s">
        <v>1754</v>
      </c>
      <c r="G734" t="s">
        <v>5568</v>
      </c>
      <c r="H734" t="s">
        <v>4915</v>
      </c>
    </row>
    <row r="735" spans="1:8" x14ac:dyDescent="0.25">
      <c r="A735">
        <v>762666510</v>
      </c>
      <c r="B735" t="s">
        <v>476</v>
      </c>
      <c r="C735" t="s">
        <v>4182</v>
      </c>
      <c r="D735">
        <v>2</v>
      </c>
      <c r="E735" t="s">
        <v>4445</v>
      </c>
      <c r="F735" t="s">
        <v>2549</v>
      </c>
      <c r="G735" t="s">
        <v>5570</v>
      </c>
      <c r="H735" t="s">
        <v>4915</v>
      </c>
    </row>
    <row r="736" spans="1:8" x14ac:dyDescent="0.25">
      <c r="A736">
        <v>762787458</v>
      </c>
      <c r="B736" t="s">
        <v>1011</v>
      </c>
      <c r="C736" t="s">
        <v>4448</v>
      </c>
      <c r="D736">
        <v>13</v>
      </c>
      <c r="E736" t="s">
        <v>4445</v>
      </c>
      <c r="F736" t="s">
        <v>2551</v>
      </c>
      <c r="G736" t="s">
        <v>5568</v>
      </c>
      <c r="H736" t="s">
        <v>4915</v>
      </c>
    </row>
    <row r="737" spans="1:8" x14ac:dyDescent="0.25">
      <c r="A737">
        <v>762811316</v>
      </c>
      <c r="B737" t="s">
        <v>5629</v>
      </c>
      <c r="C737" t="s">
        <v>4390</v>
      </c>
      <c r="D737">
        <v>13</v>
      </c>
      <c r="E737" t="s">
        <v>4445</v>
      </c>
      <c r="F737" t="s">
        <v>5630</v>
      </c>
      <c r="G737" t="s">
        <v>5569</v>
      </c>
      <c r="H737" t="s">
        <v>4915</v>
      </c>
    </row>
    <row r="738" spans="1:8" x14ac:dyDescent="0.25">
      <c r="A738">
        <v>762886111</v>
      </c>
      <c r="B738" t="s">
        <v>3298</v>
      </c>
      <c r="C738" t="s">
        <v>4465</v>
      </c>
      <c r="D738">
        <v>13</v>
      </c>
      <c r="E738" t="s">
        <v>4445</v>
      </c>
      <c r="F738" t="s">
        <v>3297</v>
      </c>
      <c r="G738" t="s">
        <v>5570</v>
      </c>
      <c r="H738" t="s">
        <v>4915</v>
      </c>
    </row>
    <row r="739" spans="1:8" x14ac:dyDescent="0.25">
      <c r="A739">
        <v>762887231</v>
      </c>
      <c r="B739" t="s">
        <v>817</v>
      </c>
      <c r="C739" t="s">
        <v>4389</v>
      </c>
      <c r="D739">
        <v>9</v>
      </c>
      <c r="E739" t="s">
        <v>4445</v>
      </c>
      <c r="F739" t="s">
        <v>2556</v>
      </c>
      <c r="G739" t="s">
        <v>5570</v>
      </c>
      <c r="H739" t="s">
        <v>4915</v>
      </c>
    </row>
    <row r="740" spans="1:8" x14ac:dyDescent="0.25">
      <c r="A740">
        <v>762996316</v>
      </c>
      <c r="B740" t="s">
        <v>2559</v>
      </c>
      <c r="C740" t="s">
        <v>4230</v>
      </c>
      <c r="D740">
        <v>10</v>
      </c>
      <c r="E740" t="s">
        <v>4445</v>
      </c>
      <c r="F740" t="s">
        <v>2558</v>
      </c>
      <c r="G740" t="s">
        <v>5568</v>
      </c>
      <c r="H740" t="s">
        <v>4915</v>
      </c>
    </row>
    <row r="741" spans="1:8" x14ac:dyDescent="0.25">
      <c r="A741">
        <v>763023885</v>
      </c>
      <c r="B741" t="s">
        <v>960</v>
      </c>
      <c r="C741" t="s">
        <v>4555</v>
      </c>
      <c r="D741">
        <v>13</v>
      </c>
      <c r="E741" t="s">
        <v>4445</v>
      </c>
      <c r="F741" t="s">
        <v>2561</v>
      </c>
      <c r="G741" t="s">
        <v>5569</v>
      </c>
      <c r="H741" t="s">
        <v>4915</v>
      </c>
    </row>
    <row r="742" spans="1:8" x14ac:dyDescent="0.25">
      <c r="A742">
        <v>763058891</v>
      </c>
      <c r="B742" t="s">
        <v>5492</v>
      </c>
      <c r="C742" t="s">
        <v>4495</v>
      </c>
      <c r="D742">
        <v>13</v>
      </c>
      <c r="E742" t="s">
        <v>4445</v>
      </c>
      <c r="F742" t="s">
        <v>5493</v>
      </c>
      <c r="G742" t="s">
        <v>5568</v>
      </c>
      <c r="H742" t="s">
        <v>4915</v>
      </c>
    </row>
    <row r="743" spans="1:8" x14ac:dyDescent="0.25">
      <c r="A743">
        <v>763072797</v>
      </c>
      <c r="B743" t="s">
        <v>930</v>
      </c>
      <c r="C743" t="s">
        <v>4183</v>
      </c>
      <c r="D743">
        <v>8</v>
      </c>
      <c r="E743" t="s">
        <v>4445</v>
      </c>
      <c r="F743" t="s">
        <v>2563</v>
      </c>
      <c r="G743" t="s">
        <v>5570</v>
      </c>
      <c r="H743" t="s">
        <v>4915</v>
      </c>
    </row>
    <row r="744" spans="1:8" x14ac:dyDescent="0.25">
      <c r="A744">
        <v>763234738</v>
      </c>
      <c r="B744" t="s">
        <v>5511</v>
      </c>
      <c r="C744" t="s">
        <v>4497</v>
      </c>
      <c r="D744">
        <v>8</v>
      </c>
      <c r="E744" t="s">
        <v>4445</v>
      </c>
      <c r="F744" t="s">
        <v>5512</v>
      </c>
      <c r="G744" t="s">
        <v>5568</v>
      </c>
      <c r="H744" t="s">
        <v>4915</v>
      </c>
    </row>
    <row r="745" spans="1:8" x14ac:dyDescent="0.25">
      <c r="A745">
        <v>763244970</v>
      </c>
      <c r="B745" t="s">
        <v>477</v>
      </c>
      <c r="C745" t="s">
        <v>4552</v>
      </c>
      <c r="D745">
        <v>13</v>
      </c>
      <c r="E745" t="s">
        <v>4445</v>
      </c>
      <c r="F745" t="s">
        <v>2565</v>
      </c>
      <c r="G745" t="s">
        <v>5570</v>
      </c>
      <c r="H745" t="s">
        <v>4915</v>
      </c>
    </row>
    <row r="746" spans="1:8" x14ac:dyDescent="0.25">
      <c r="A746">
        <v>763252787</v>
      </c>
      <c r="B746" t="s">
        <v>5531</v>
      </c>
      <c r="C746" t="s">
        <v>4465</v>
      </c>
      <c r="D746">
        <v>13</v>
      </c>
      <c r="E746" t="s">
        <v>4445</v>
      </c>
      <c r="F746" t="s">
        <v>5532</v>
      </c>
      <c r="G746" t="s">
        <v>5568</v>
      </c>
      <c r="H746" t="s">
        <v>4915</v>
      </c>
    </row>
    <row r="747" spans="1:8" x14ac:dyDescent="0.25">
      <c r="A747" t="s">
        <v>4767</v>
      </c>
      <c r="B747" t="s">
        <v>3503</v>
      </c>
      <c r="C747" t="s">
        <v>4391</v>
      </c>
      <c r="D747">
        <v>13</v>
      </c>
      <c r="E747" t="s">
        <v>4445</v>
      </c>
      <c r="F747" t="s">
        <v>3502</v>
      </c>
      <c r="G747" t="s">
        <v>5568</v>
      </c>
      <c r="H747" t="s">
        <v>4915</v>
      </c>
    </row>
    <row r="748" spans="1:8" x14ac:dyDescent="0.25">
      <c r="A748">
        <v>763360393</v>
      </c>
      <c r="B748" t="s">
        <v>112</v>
      </c>
      <c r="C748" t="s">
        <v>4528</v>
      </c>
      <c r="D748">
        <v>13</v>
      </c>
      <c r="E748" t="s">
        <v>4457</v>
      </c>
      <c r="F748" t="s">
        <v>3913</v>
      </c>
      <c r="G748" t="s">
        <v>5570</v>
      </c>
      <c r="H748" t="s">
        <v>4915</v>
      </c>
    </row>
    <row r="749" spans="1:8" x14ac:dyDescent="0.25">
      <c r="A749">
        <v>763370003</v>
      </c>
      <c r="B749" t="s">
        <v>4567</v>
      </c>
      <c r="C749" t="s">
        <v>4390</v>
      </c>
      <c r="D749">
        <v>13</v>
      </c>
      <c r="E749" t="s">
        <v>4445</v>
      </c>
      <c r="F749" t="s">
        <v>4566</v>
      </c>
      <c r="G749" t="s">
        <v>5568</v>
      </c>
      <c r="H749" t="s">
        <v>4915</v>
      </c>
    </row>
    <row r="750" spans="1:8" x14ac:dyDescent="0.25">
      <c r="A750">
        <v>763414132</v>
      </c>
      <c r="B750" t="s">
        <v>5621</v>
      </c>
      <c r="C750" t="s">
        <v>4458</v>
      </c>
      <c r="D750">
        <v>13</v>
      </c>
      <c r="E750" t="s">
        <v>4445</v>
      </c>
      <c r="F750" t="s">
        <v>5622</v>
      </c>
      <c r="G750" t="s">
        <v>5568</v>
      </c>
      <c r="H750" t="s">
        <v>4915</v>
      </c>
    </row>
    <row r="751" spans="1:8" x14ac:dyDescent="0.25">
      <c r="A751">
        <v>763456226</v>
      </c>
      <c r="B751" t="s">
        <v>818</v>
      </c>
      <c r="C751" t="s">
        <v>4224</v>
      </c>
      <c r="D751">
        <v>10</v>
      </c>
      <c r="E751" t="s">
        <v>4445</v>
      </c>
      <c r="F751" t="s">
        <v>1857</v>
      </c>
      <c r="G751" t="s">
        <v>5570</v>
      </c>
      <c r="H751" t="s">
        <v>4915</v>
      </c>
    </row>
    <row r="752" spans="1:8" x14ac:dyDescent="0.25">
      <c r="A752">
        <v>763489477</v>
      </c>
      <c r="B752" t="s">
        <v>819</v>
      </c>
      <c r="C752" t="s">
        <v>4460</v>
      </c>
      <c r="D752">
        <v>8</v>
      </c>
      <c r="E752" t="s">
        <v>4445</v>
      </c>
      <c r="F752" t="s">
        <v>2574</v>
      </c>
      <c r="G752" t="s">
        <v>5568</v>
      </c>
      <c r="H752" t="s">
        <v>4915</v>
      </c>
    </row>
    <row r="753" spans="1:8" x14ac:dyDescent="0.25">
      <c r="A753">
        <v>763632059</v>
      </c>
      <c r="B753" t="s">
        <v>113</v>
      </c>
      <c r="C753" t="s">
        <v>4458</v>
      </c>
      <c r="D753">
        <v>13</v>
      </c>
      <c r="E753" t="s">
        <v>4445</v>
      </c>
      <c r="F753" t="s">
        <v>2576</v>
      </c>
      <c r="G753" t="s">
        <v>5570</v>
      </c>
      <c r="H753" t="s">
        <v>4915</v>
      </c>
    </row>
    <row r="754" spans="1:8" x14ac:dyDescent="0.25">
      <c r="A754" t="s">
        <v>707</v>
      </c>
      <c r="B754" t="s">
        <v>2579</v>
      </c>
      <c r="C754" t="s">
        <v>4552</v>
      </c>
      <c r="D754">
        <v>13</v>
      </c>
      <c r="E754" t="s">
        <v>4445</v>
      </c>
      <c r="F754" t="s">
        <v>2578</v>
      </c>
      <c r="G754" t="s">
        <v>5570</v>
      </c>
      <c r="H754" t="s">
        <v>4915</v>
      </c>
    </row>
    <row r="755" spans="1:8" x14ac:dyDescent="0.25">
      <c r="A755">
        <v>763686035</v>
      </c>
      <c r="B755" t="s">
        <v>2582</v>
      </c>
      <c r="C755" t="s">
        <v>4391</v>
      </c>
      <c r="D755">
        <v>13</v>
      </c>
      <c r="E755" t="s">
        <v>4445</v>
      </c>
      <c r="F755" t="s">
        <v>2581</v>
      </c>
      <c r="G755" t="s">
        <v>5570</v>
      </c>
      <c r="H755" t="s">
        <v>4915</v>
      </c>
    </row>
    <row r="756" spans="1:8" x14ac:dyDescent="0.25">
      <c r="A756">
        <v>763713024</v>
      </c>
      <c r="B756" t="s">
        <v>478</v>
      </c>
      <c r="C756" t="s">
        <v>4510</v>
      </c>
      <c r="D756">
        <v>13</v>
      </c>
      <c r="E756" t="s">
        <v>4445</v>
      </c>
      <c r="F756" t="s">
        <v>2584</v>
      </c>
      <c r="G756" t="s">
        <v>5570</v>
      </c>
      <c r="H756" t="s">
        <v>4915</v>
      </c>
    </row>
    <row r="757" spans="1:8" x14ac:dyDescent="0.25">
      <c r="A757">
        <v>763893839</v>
      </c>
      <c r="B757" t="s">
        <v>479</v>
      </c>
      <c r="C757" t="s">
        <v>4187</v>
      </c>
      <c r="D757">
        <v>13</v>
      </c>
      <c r="E757" t="s">
        <v>4445</v>
      </c>
      <c r="F757" t="s">
        <v>2586</v>
      </c>
      <c r="G757" t="s">
        <v>5568</v>
      </c>
      <c r="H757" t="s">
        <v>4915</v>
      </c>
    </row>
    <row r="758" spans="1:8" x14ac:dyDescent="0.25">
      <c r="A758">
        <v>763909670</v>
      </c>
      <c r="B758" t="s">
        <v>5494</v>
      </c>
      <c r="C758" t="s">
        <v>4391</v>
      </c>
      <c r="D758">
        <v>13</v>
      </c>
      <c r="E758" t="s">
        <v>4445</v>
      </c>
      <c r="F758" t="s">
        <v>5495</v>
      </c>
      <c r="G758" t="s">
        <v>5568</v>
      </c>
      <c r="H758" t="s">
        <v>4915</v>
      </c>
    </row>
    <row r="759" spans="1:8" x14ac:dyDescent="0.25">
      <c r="A759">
        <v>763991776</v>
      </c>
      <c r="B759" t="s">
        <v>820</v>
      </c>
      <c r="C759" t="s">
        <v>4292</v>
      </c>
      <c r="D759">
        <v>10</v>
      </c>
      <c r="E759" t="s">
        <v>4445</v>
      </c>
      <c r="F759" t="s">
        <v>2588</v>
      </c>
      <c r="G759" t="s">
        <v>5570</v>
      </c>
      <c r="H759" t="s">
        <v>4915</v>
      </c>
    </row>
    <row r="760" spans="1:8" x14ac:dyDescent="0.25">
      <c r="A760">
        <v>764003837</v>
      </c>
      <c r="B760" t="s">
        <v>821</v>
      </c>
      <c r="C760" t="s">
        <v>4460</v>
      </c>
      <c r="D760">
        <v>8</v>
      </c>
      <c r="E760" t="s">
        <v>4445</v>
      </c>
      <c r="F760" t="s">
        <v>2180</v>
      </c>
      <c r="G760" t="s">
        <v>5568</v>
      </c>
      <c r="H760" t="s">
        <v>4915</v>
      </c>
    </row>
    <row r="761" spans="1:8" x14ac:dyDescent="0.25">
      <c r="A761">
        <v>764074270</v>
      </c>
      <c r="B761" t="s">
        <v>480</v>
      </c>
      <c r="C761" t="s">
        <v>4391</v>
      </c>
      <c r="D761">
        <v>13</v>
      </c>
      <c r="E761" t="s">
        <v>4445</v>
      </c>
      <c r="F761" t="s">
        <v>2592</v>
      </c>
      <c r="G761" t="s">
        <v>5570</v>
      </c>
      <c r="H761" t="s">
        <v>4915</v>
      </c>
    </row>
    <row r="762" spans="1:8" x14ac:dyDescent="0.25">
      <c r="A762">
        <v>764164660</v>
      </c>
      <c r="B762" t="s">
        <v>481</v>
      </c>
      <c r="C762" t="s">
        <v>4390</v>
      </c>
      <c r="D762">
        <v>13</v>
      </c>
      <c r="E762" t="s">
        <v>4445</v>
      </c>
      <c r="F762" t="s">
        <v>1717</v>
      </c>
      <c r="G762" t="s">
        <v>5568</v>
      </c>
      <c r="H762" t="s">
        <v>4915</v>
      </c>
    </row>
    <row r="763" spans="1:8" x14ac:dyDescent="0.25">
      <c r="A763">
        <v>764250249</v>
      </c>
      <c r="B763" t="s">
        <v>5763</v>
      </c>
      <c r="C763" t="s">
        <v>4491</v>
      </c>
      <c r="D763">
        <v>6</v>
      </c>
      <c r="E763" t="s">
        <v>4445</v>
      </c>
      <c r="F763" t="s">
        <v>5764</v>
      </c>
      <c r="G763" t="s">
        <v>5570</v>
      </c>
      <c r="H763" t="s">
        <v>5660</v>
      </c>
    </row>
    <row r="764" spans="1:8" x14ac:dyDescent="0.25">
      <c r="A764">
        <v>764254597</v>
      </c>
      <c r="B764" t="s">
        <v>482</v>
      </c>
      <c r="C764" t="s">
        <v>4449</v>
      </c>
      <c r="D764">
        <v>13</v>
      </c>
      <c r="E764" t="s">
        <v>4445</v>
      </c>
      <c r="F764" t="s">
        <v>2597</v>
      </c>
      <c r="G764" t="s">
        <v>5570</v>
      </c>
      <c r="H764" t="s">
        <v>4915</v>
      </c>
    </row>
    <row r="765" spans="1:8" x14ac:dyDescent="0.25">
      <c r="A765">
        <v>764259122</v>
      </c>
      <c r="B765" t="s">
        <v>931</v>
      </c>
      <c r="C765" t="s">
        <v>4497</v>
      </c>
      <c r="D765">
        <v>8</v>
      </c>
      <c r="E765" t="s">
        <v>4445</v>
      </c>
      <c r="F765" t="s">
        <v>2599</v>
      </c>
      <c r="G765" t="s">
        <v>5570</v>
      </c>
      <c r="H765" t="s">
        <v>4915</v>
      </c>
    </row>
    <row r="766" spans="1:8" x14ac:dyDescent="0.25">
      <c r="A766">
        <v>764447409</v>
      </c>
      <c r="B766" t="s">
        <v>114</v>
      </c>
      <c r="C766" t="s">
        <v>4292</v>
      </c>
      <c r="D766">
        <v>10</v>
      </c>
      <c r="E766" t="s">
        <v>4454</v>
      </c>
      <c r="F766" t="s">
        <v>2833</v>
      </c>
      <c r="G766" t="s">
        <v>5570</v>
      </c>
      <c r="H766" t="s">
        <v>4915</v>
      </c>
    </row>
    <row r="767" spans="1:8" x14ac:dyDescent="0.25">
      <c r="A767">
        <v>764497848</v>
      </c>
      <c r="B767" t="s">
        <v>2605</v>
      </c>
      <c r="C767" t="s">
        <v>4264</v>
      </c>
      <c r="D767">
        <v>7</v>
      </c>
      <c r="E767" t="s">
        <v>4445</v>
      </c>
      <c r="F767" t="s">
        <v>2604</v>
      </c>
      <c r="G767" t="s">
        <v>5570</v>
      </c>
      <c r="H767" t="s">
        <v>4915</v>
      </c>
    </row>
    <row r="768" spans="1:8" x14ac:dyDescent="0.25">
      <c r="A768">
        <v>764520084</v>
      </c>
      <c r="B768" t="s">
        <v>3795</v>
      </c>
      <c r="C768" t="s">
        <v>4456</v>
      </c>
      <c r="D768">
        <v>13</v>
      </c>
      <c r="E768" t="s">
        <v>4445</v>
      </c>
      <c r="F768" t="s">
        <v>3794</v>
      </c>
      <c r="G768" t="s">
        <v>5568</v>
      </c>
      <c r="H768" t="s">
        <v>4915</v>
      </c>
    </row>
    <row r="769" spans="1:8" x14ac:dyDescent="0.25">
      <c r="A769">
        <v>764523776</v>
      </c>
      <c r="B769" t="s">
        <v>483</v>
      </c>
      <c r="C769" t="s">
        <v>4460</v>
      </c>
      <c r="D769">
        <v>8</v>
      </c>
      <c r="E769" t="s">
        <v>4445</v>
      </c>
      <c r="F769" t="s">
        <v>2607</v>
      </c>
      <c r="G769" t="s">
        <v>5570</v>
      </c>
      <c r="H769" t="s">
        <v>4915</v>
      </c>
    </row>
    <row r="770" spans="1:8" x14ac:dyDescent="0.25">
      <c r="A770">
        <v>764534581</v>
      </c>
      <c r="B770" t="s">
        <v>484</v>
      </c>
      <c r="C770" t="s">
        <v>4465</v>
      </c>
      <c r="D770">
        <v>13</v>
      </c>
      <c r="E770" t="s">
        <v>4445</v>
      </c>
      <c r="F770" t="s">
        <v>1610</v>
      </c>
      <c r="G770" t="s">
        <v>5570</v>
      </c>
      <c r="H770" t="s">
        <v>4915</v>
      </c>
    </row>
    <row r="771" spans="1:8" x14ac:dyDescent="0.25">
      <c r="A771">
        <v>764605608</v>
      </c>
      <c r="B771" t="s">
        <v>822</v>
      </c>
      <c r="C771" t="s">
        <v>4187</v>
      </c>
      <c r="D771">
        <v>13</v>
      </c>
      <c r="E771" t="s">
        <v>4445</v>
      </c>
      <c r="F771" t="s">
        <v>3939</v>
      </c>
      <c r="G771" t="s">
        <v>5568</v>
      </c>
      <c r="H771" t="s">
        <v>4915</v>
      </c>
    </row>
    <row r="772" spans="1:8" x14ac:dyDescent="0.25">
      <c r="A772">
        <v>764614062</v>
      </c>
      <c r="B772" t="s">
        <v>823</v>
      </c>
      <c r="C772" t="s">
        <v>4237</v>
      </c>
      <c r="D772">
        <v>2</v>
      </c>
      <c r="E772" t="s">
        <v>4445</v>
      </c>
      <c r="F772" t="s">
        <v>3941</v>
      </c>
      <c r="G772" t="s">
        <v>5568</v>
      </c>
      <c r="H772" t="s">
        <v>4915</v>
      </c>
    </row>
    <row r="773" spans="1:8" x14ac:dyDescent="0.25">
      <c r="A773" t="s">
        <v>5661</v>
      </c>
      <c r="B773" t="s">
        <v>5662</v>
      </c>
      <c r="C773" t="s">
        <v>4395</v>
      </c>
      <c r="D773">
        <v>13</v>
      </c>
      <c r="E773" t="s">
        <v>4445</v>
      </c>
      <c r="F773" t="s">
        <v>5663</v>
      </c>
      <c r="G773" t="s">
        <v>5568</v>
      </c>
      <c r="H773" t="s">
        <v>4915</v>
      </c>
    </row>
    <row r="774" spans="1:8" x14ac:dyDescent="0.25">
      <c r="A774">
        <v>764715128</v>
      </c>
      <c r="B774" t="s">
        <v>4965</v>
      </c>
      <c r="C774" t="s">
        <v>4218</v>
      </c>
      <c r="D774">
        <v>9</v>
      </c>
      <c r="E774" t="s">
        <v>4445</v>
      </c>
      <c r="F774" t="s">
        <v>4966</v>
      </c>
      <c r="G774" t="s">
        <v>5568</v>
      </c>
      <c r="H774" t="s">
        <v>4915</v>
      </c>
    </row>
    <row r="775" spans="1:8" x14ac:dyDescent="0.25">
      <c r="A775">
        <v>764717384</v>
      </c>
      <c r="B775" t="s">
        <v>3276</v>
      </c>
      <c r="C775" t="s">
        <v>4460</v>
      </c>
      <c r="D775">
        <v>8</v>
      </c>
      <c r="E775" t="s">
        <v>4445</v>
      </c>
      <c r="F775" t="s">
        <v>3275</v>
      </c>
      <c r="G775" t="s">
        <v>5568</v>
      </c>
      <c r="H775" t="s">
        <v>4915</v>
      </c>
    </row>
    <row r="776" spans="1:8" x14ac:dyDescent="0.25">
      <c r="A776">
        <v>764755081</v>
      </c>
      <c r="B776" t="s">
        <v>3944</v>
      </c>
      <c r="C776" t="s">
        <v>4551</v>
      </c>
      <c r="D776">
        <v>13</v>
      </c>
      <c r="E776" t="s">
        <v>4445</v>
      </c>
      <c r="F776" t="s">
        <v>3943</v>
      </c>
      <c r="G776" t="s">
        <v>5569</v>
      </c>
      <c r="H776" t="s">
        <v>4915</v>
      </c>
    </row>
    <row r="777" spans="1:8" x14ac:dyDescent="0.25">
      <c r="A777">
        <v>764760271</v>
      </c>
      <c r="B777" t="s">
        <v>485</v>
      </c>
      <c r="C777" t="s">
        <v>4341</v>
      </c>
      <c r="D777">
        <v>7</v>
      </c>
      <c r="E777" t="s">
        <v>4445</v>
      </c>
      <c r="F777" t="s">
        <v>3946</v>
      </c>
      <c r="G777" t="s">
        <v>5570</v>
      </c>
      <c r="H777" t="s">
        <v>4915</v>
      </c>
    </row>
    <row r="778" spans="1:8" x14ac:dyDescent="0.25">
      <c r="A778">
        <v>764793692</v>
      </c>
      <c r="B778" t="s">
        <v>825</v>
      </c>
      <c r="C778" t="s">
        <v>4391</v>
      </c>
      <c r="D778">
        <v>13</v>
      </c>
      <c r="E778" t="s">
        <v>4445</v>
      </c>
      <c r="F778" t="s">
        <v>3948</v>
      </c>
      <c r="G778" t="s">
        <v>5570</v>
      </c>
      <c r="H778" t="s">
        <v>4915</v>
      </c>
    </row>
    <row r="779" spans="1:8" x14ac:dyDescent="0.25">
      <c r="A779">
        <v>764797507</v>
      </c>
      <c r="B779" t="s">
        <v>932</v>
      </c>
      <c r="C779" t="s">
        <v>4395</v>
      </c>
      <c r="D779">
        <v>13</v>
      </c>
      <c r="E779" t="s">
        <v>4445</v>
      </c>
      <c r="F779" t="s">
        <v>3950</v>
      </c>
      <c r="G779" t="s">
        <v>5568</v>
      </c>
      <c r="H779" t="s">
        <v>4915</v>
      </c>
    </row>
    <row r="780" spans="1:8" x14ac:dyDescent="0.25">
      <c r="A780" t="s">
        <v>156</v>
      </c>
      <c r="B780" t="s">
        <v>3920</v>
      </c>
      <c r="C780" t="s">
        <v>4391</v>
      </c>
      <c r="D780">
        <v>13</v>
      </c>
      <c r="E780" t="s">
        <v>4445</v>
      </c>
      <c r="F780" t="s">
        <v>3919</v>
      </c>
      <c r="G780" t="s">
        <v>5570</v>
      </c>
      <c r="H780" t="s">
        <v>4915</v>
      </c>
    </row>
    <row r="781" spans="1:8" x14ac:dyDescent="0.25">
      <c r="A781">
        <v>764831675</v>
      </c>
      <c r="B781" t="s">
        <v>3954</v>
      </c>
      <c r="C781" t="s">
        <v>4490</v>
      </c>
      <c r="D781">
        <v>5</v>
      </c>
      <c r="E781" t="s">
        <v>4445</v>
      </c>
      <c r="F781" t="s">
        <v>3953</v>
      </c>
      <c r="G781" t="s">
        <v>5568</v>
      </c>
      <c r="H781" t="s">
        <v>4915</v>
      </c>
    </row>
    <row r="782" spans="1:8" x14ac:dyDescent="0.25">
      <c r="A782">
        <v>764898419</v>
      </c>
      <c r="B782" t="s">
        <v>5588</v>
      </c>
      <c r="C782" t="s">
        <v>4190</v>
      </c>
      <c r="D782">
        <v>10</v>
      </c>
      <c r="E782" t="s">
        <v>4445</v>
      </c>
      <c r="F782" t="s">
        <v>4878</v>
      </c>
      <c r="G782" t="s">
        <v>5568</v>
      </c>
      <c r="H782" t="s">
        <v>4915</v>
      </c>
    </row>
    <row r="783" spans="1:8" x14ac:dyDescent="0.25">
      <c r="A783">
        <v>764919629</v>
      </c>
      <c r="B783" t="s">
        <v>486</v>
      </c>
      <c r="C783" t="s">
        <v>4510</v>
      </c>
      <c r="D783">
        <v>13</v>
      </c>
      <c r="E783" t="s">
        <v>4445</v>
      </c>
      <c r="F783" t="s">
        <v>3956</v>
      </c>
      <c r="G783" t="s">
        <v>5568</v>
      </c>
      <c r="H783" t="s">
        <v>4915</v>
      </c>
    </row>
    <row r="784" spans="1:8" x14ac:dyDescent="0.25">
      <c r="A784">
        <v>764954165</v>
      </c>
      <c r="B784" t="s">
        <v>487</v>
      </c>
      <c r="C784" t="s">
        <v>4391</v>
      </c>
      <c r="D784">
        <v>13</v>
      </c>
      <c r="E784" t="s">
        <v>4445</v>
      </c>
      <c r="F784" t="s">
        <v>1780</v>
      </c>
      <c r="G784" t="s">
        <v>5570</v>
      </c>
      <c r="H784" t="s">
        <v>4915</v>
      </c>
    </row>
    <row r="785" spans="1:8" x14ac:dyDescent="0.25">
      <c r="A785">
        <v>765012791</v>
      </c>
      <c r="B785" t="s">
        <v>826</v>
      </c>
      <c r="C785" t="s">
        <v>4383</v>
      </c>
      <c r="D785">
        <v>13</v>
      </c>
      <c r="E785" t="s">
        <v>4445</v>
      </c>
      <c r="F785" t="s">
        <v>3958</v>
      </c>
      <c r="G785" t="s">
        <v>5568</v>
      </c>
      <c r="H785" t="s">
        <v>4915</v>
      </c>
    </row>
    <row r="786" spans="1:8" x14ac:dyDescent="0.25">
      <c r="A786">
        <v>765020239</v>
      </c>
      <c r="B786" t="s">
        <v>5742</v>
      </c>
      <c r="C786" t="s">
        <v>4168</v>
      </c>
      <c r="E786" t="s">
        <v>4445</v>
      </c>
      <c r="F786" t="s">
        <v>5743</v>
      </c>
      <c r="G786" t="s">
        <v>5569</v>
      </c>
      <c r="H786" t="s">
        <v>4915</v>
      </c>
    </row>
    <row r="787" spans="1:8" x14ac:dyDescent="0.25">
      <c r="A787" t="s">
        <v>708</v>
      </c>
      <c r="B787" t="s">
        <v>709</v>
      </c>
      <c r="C787" t="s">
        <v>4395</v>
      </c>
      <c r="D787">
        <v>13</v>
      </c>
      <c r="E787" t="s">
        <v>4445</v>
      </c>
      <c r="F787" t="s">
        <v>3960</v>
      </c>
      <c r="G787" t="s">
        <v>5568</v>
      </c>
      <c r="H787" t="s">
        <v>4915</v>
      </c>
    </row>
    <row r="788" spans="1:8" x14ac:dyDescent="0.25">
      <c r="A788">
        <v>765149134</v>
      </c>
      <c r="B788" t="s">
        <v>5434</v>
      </c>
      <c r="C788" t="s">
        <v>4448</v>
      </c>
      <c r="D788">
        <v>13</v>
      </c>
      <c r="E788" t="s">
        <v>4445</v>
      </c>
      <c r="F788" t="s">
        <v>5435</v>
      </c>
      <c r="G788" t="s">
        <v>5568</v>
      </c>
      <c r="H788" t="s">
        <v>4915</v>
      </c>
    </row>
    <row r="789" spans="1:8" x14ac:dyDescent="0.25">
      <c r="A789">
        <v>765150701</v>
      </c>
      <c r="B789" t="s">
        <v>115</v>
      </c>
      <c r="C789" t="s">
        <v>4495</v>
      </c>
      <c r="D789">
        <v>16</v>
      </c>
      <c r="E789" t="s">
        <v>4464</v>
      </c>
      <c r="F789" t="s">
        <v>3601</v>
      </c>
      <c r="G789" t="s">
        <v>5570</v>
      </c>
      <c r="H789" t="s">
        <v>4915</v>
      </c>
    </row>
    <row r="790" spans="1:8" x14ac:dyDescent="0.25">
      <c r="A790">
        <v>765184304</v>
      </c>
      <c r="B790" t="s">
        <v>3411</v>
      </c>
      <c r="C790" t="s">
        <v>4381</v>
      </c>
      <c r="D790">
        <v>13</v>
      </c>
      <c r="E790" t="s">
        <v>4445</v>
      </c>
      <c r="F790" t="s">
        <v>3410</v>
      </c>
      <c r="G790" t="s">
        <v>5570</v>
      </c>
      <c r="H790" t="s">
        <v>4915</v>
      </c>
    </row>
    <row r="791" spans="1:8" x14ac:dyDescent="0.25">
      <c r="A791">
        <v>765208491</v>
      </c>
      <c r="B791" t="s">
        <v>488</v>
      </c>
      <c r="C791" t="s">
        <v>4391</v>
      </c>
      <c r="D791">
        <v>13</v>
      </c>
      <c r="E791" t="s">
        <v>4445</v>
      </c>
      <c r="F791" t="s">
        <v>3967</v>
      </c>
      <c r="G791" t="s">
        <v>5570</v>
      </c>
      <c r="H791" t="s">
        <v>4915</v>
      </c>
    </row>
    <row r="792" spans="1:8" x14ac:dyDescent="0.25">
      <c r="A792">
        <v>765255600</v>
      </c>
      <c r="B792" t="s">
        <v>1081</v>
      </c>
      <c r="C792" t="s">
        <v>4552</v>
      </c>
      <c r="D792">
        <v>13</v>
      </c>
      <c r="E792" t="s">
        <v>4445</v>
      </c>
      <c r="F792" t="s">
        <v>2610</v>
      </c>
      <c r="G792" t="s">
        <v>5570</v>
      </c>
      <c r="H792" t="s">
        <v>4915</v>
      </c>
    </row>
    <row r="793" spans="1:8" x14ac:dyDescent="0.25">
      <c r="A793">
        <v>765276772</v>
      </c>
      <c r="B793" t="s">
        <v>5744</v>
      </c>
      <c r="C793" t="s">
        <v>4497</v>
      </c>
      <c r="D793">
        <v>8</v>
      </c>
      <c r="E793" t="s">
        <v>4445</v>
      </c>
      <c r="F793" t="s">
        <v>5745</v>
      </c>
      <c r="G793" t="s">
        <v>5568</v>
      </c>
      <c r="H793" t="s">
        <v>4915</v>
      </c>
    </row>
    <row r="794" spans="1:8" x14ac:dyDescent="0.25">
      <c r="A794">
        <v>765327229</v>
      </c>
      <c r="B794" t="s">
        <v>489</v>
      </c>
      <c r="C794" t="s">
        <v>4381</v>
      </c>
      <c r="D794">
        <v>13</v>
      </c>
      <c r="E794" t="s">
        <v>4445</v>
      </c>
      <c r="F794" t="s">
        <v>2612</v>
      </c>
      <c r="G794" t="s">
        <v>5568</v>
      </c>
      <c r="H794" t="s">
        <v>4915</v>
      </c>
    </row>
    <row r="795" spans="1:8" x14ac:dyDescent="0.25">
      <c r="A795">
        <v>765444527</v>
      </c>
      <c r="B795" t="s">
        <v>2615</v>
      </c>
      <c r="C795" t="s">
        <v>4401</v>
      </c>
      <c r="D795">
        <v>13</v>
      </c>
      <c r="E795" t="s">
        <v>5563</v>
      </c>
      <c r="F795" t="s">
        <v>2614</v>
      </c>
      <c r="G795" t="s">
        <v>5568</v>
      </c>
      <c r="H795" t="s">
        <v>4915</v>
      </c>
    </row>
    <row r="796" spans="1:8" x14ac:dyDescent="0.25">
      <c r="A796">
        <v>765464307</v>
      </c>
      <c r="B796" t="s">
        <v>827</v>
      </c>
      <c r="C796" t="s">
        <v>4465</v>
      </c>
      <c r="D796">
        <v>13</v>
      </c>
      <c r="E796" t="s">
        <v>4445</v>
      </c>
      <c r="F796" t="s">
        <v>2617</v>
      </c>
      <c r="G796" t="s">
        <v>5570</v>
      </c>
      <c r="H796" t="s">
        <v>4915</v>
      </c>
    </row>
    <row r="797" spans="1:8" x14ac:dyDescent="0.25">
      <c r="A797">
        <v>765478049</v>
      </c>
      <c r="B797" t="s">
        <v>490</v>
      </c>
      <c r="C797" t="s">
        <v>4250</v>
      </c>
      <c r="D797">
        <v>5</v>
      </c>
      <c r="E797" t="s">
        <v>4445</v>
      </c>
      <c r="F797" t="s">
        <v>2619</v>
      </c>
      <c r="G797" t="s">
        <v>5570</v>
      </c>
      <c r="H797" t="s">
        <v>4915</v>
      </c>
    </row>
    <row r="798" spans="1:8" x14ac:dyDescent="0.25">
      <c r="A798">
        <v>765501296</v>
      </c>
      <c r="B798" t="s">
        <v>1015</v>
      </c>
      <c r="C798" t="s">
        <v>4395</v>
      </c>
      <c r="D798">
        <v>13</v>
      </c>
      <c r="E798" t="s">
        <v>4445</v>
      </c>
      <c r="F798" t="s">
        <v>2204</v>
      </c>
      <c r="G798" t="s">
        <v>5568</v>
      </c>
      <c r="H798" t="s">
        <v>4915</v>
      </c>
    </row>
    <row r="799" spans="1:8" x14ac:dyDescent="0.25">
      <c r="A799" t="s">
        <v>710</v>
      </c>
      <c r="B799" t="s">
        <v>881</v>
      </c>
      <c r="C799" t="s">
        <v>4175</v>
      </c>
      <c r="D799">
        <v>5</v>
      </c>
      <c r="E799" t="s">
        <v>4445</v>
      </c>
      <c r="F799" t="s">
        <v>2624</v>
      </c>
      <c r="G799" t="s">
        <v>5568</v>
      </c>
      <c r="H799" t="s">
        <v>4915</v>
      </c>
    </row>
    <row r="800" spans="1:8" x14ac:dyDescent="0.25">
      <c r="A800">
        <v>765558700</v>
      </c>
      <c r="B800" t="s">
        <v>116</v>
      </c>
      <c r="C800" t="s">
        <v>4170</v>
      </c>
      <c r="D800">
        <v>14</v>
      </c>
      <c r="E800" t="s">
        <v>4454</v>
      </c>
      <c r="F800" t="s">
        <v>1742</v>
      </c>
      <c r="G800" t="s">
        <v>5570</v>
      </c>
      <c r="H800" t="s">
        <v>4915</v>
      </c>
    </row>
    <row r="801" spans="1:8" x14ac:dyDescent="0.25">
      <c r="A801">
        <v>765626188</v>
      </c>
      <c r="B801" t="s">
        <v>491</v>
      </c>
      <c r="C801" t="s">
        <v>4182</v>
      </c>
      <c r="D801">
        <v>2</v>
      </c>
      <c r="E801" t="s">
        <v>4445</v>
      </c>
      <c r="F801" t="s">
        <v>1952</v>
      </c>
      <c r="G801" t="s">
        <v>5568</v>
      </c>
      <c r="H801" t="s">
        <v>4915</v>
      </c>
    </row>
    <row r="802" spans="1:8" x14ac:dyDescent="0.25">
      <c r="A802">
        <v>765708613</v>
      </c>
      <c r="B802" t="s">
        <v>5765</v>
      </c>
      <c r="C802" t="s">
        <v>4245</v>
      </c>
      <c r="E802" t="s">
        <v>4445</v>
      </c>
      <c r="F802" t="s">
        <v>5766</v>
      </c>
      <c r="G802" t="s">
        <v>5570</v>
      </c>
      <c r="H802" t="s">
        <v>4915</v>
      </c>
    </row>
    <row r="803" spans="1:8" x14ac:dyDescent="0.25">
      <c r="A803">
        <v>765902134</v>
      </c>
      <c r="B803" t="s">
        <v>492</v>
      </c>
      <c r="C803" t="s">
        <v>4465</v>
      </c>
      <c r="D803">
        <v>13</v>
      </c>
      <c r="E803" t="s">
        <v>4445</v>
      </c>
      <c r="F803" t="s">
        <v>2630</v>
      </c>
      <c r="G803" t="s">
        <v>5568</v>
      </c>
      <c r="H803" t="s">
        <v>4915</v>
      </c>
    </row>
    <row r="804" spans="1:8" x14ac:dyDescent="0.25">
      <c r="A804">
        <v>765944619</v>
      </c>
      <c r="B804" t="s">
        <v>2633</v>
      </c>
      <c r="C804" t="s">
        <v>4552</v>
      </c>
      <c r="D804">
        <v>13</v>
      </c>
      <c r="E804" t="s">
        <v>4445</v>
      </c>
      <c r="F804" t="s">
        <v>2632</v>
      </c>
      <c r="G804" t="s">
        <v>5568</v>
      </c>
      <c r="H804" t="s">
        <v>4915</v>
      </c>
    </row>
    <row r="805" spans="1:8" x14ac:dyDescent="0.25">
      <c r="A805">
        <v>765946247</v>
      </c>
      <c r="B805" t="s">
        <v>828</v>
      </c>
      <c r="C805" t="s">
        <v>4391</v>
      </c>
      <c r="D805">
        <v>13</v>
      </c>
      <c r="E805" t="s">
        <v>4445</v>
      </c>
      <c r="F805" t="s">
        <v>2635</v>
      </c>
      <c r="G805" t="s">
        <v>5570</v>
      </c>
      <c r="H805" t="s">
        <v>4915</v>
      </c>
    </row>
    <row r="806" spans="1:8" x14ac:dyDescent="0.25">
      <c r="A806">
        <v>766025838</v>
      </c>
      <c r="B806" t="s">
        <v>493</v>
      </c>
      <c r="C806" t="s">
        <v>4170</v>
      </c>
      <c r="D806">
        <v>14</v>
      </c>
      <c r="E806" t="s">
        <v>4445</v>
      </c>
      <c r="F806" t="s">
        <v>2111</v>
      </c>
      <c r="G806" t="s">
        <v>5568</v>
      </c>
      <c r="H806" t="s">
        <v>4915</v>
      </c>
    </row>
    <row r="807" spans="1:8" x14ac:dyDescent="0.25">
      <c r="A807">
        <v>766053971</v>
      </c>
      <c r="B807" t="s">
        <v>5664</v>
      </c>
      <c r="C807" t="s">
        <v>4190</v>
      </c>
      <c r="D807">
        <v>10</v>
      </c>
      <c r="E807" t="s">
        <v>4445</v>
      </c>
      <c r="F807" t="s">
        <v>5665</v>
      </c>
      <c r="G807" t="s">
        <v>5568</v>
      </c>
      <c r="H807" t="s">
        <v>4915</v>
      </c>
    </row>
    <row r="808" spans="1:8" x14ac:dyDescent="0.25">
      <c r="A808">
        <v>766208177</v>
      </c>
      <c r="B808" t="s">
        <v>494</v>
      </c>
      <c r="C808" t="s">
        <v>4170</v>
      </c>
      <c r="D808">
        <v>14</v>
      </c>
      <c r="E808" t="s">
        <v>4445</v>
      </c>
      <c r="F808" t="s">
        <v>1322</v>
      </c>
      <c r="G808" t="s">
        <v>5568</v>
      </c>
      <c r="H808" t="s">
        <v>4915</v>
      </c>
    </row>
    <row r="809" spans="1:8" x14ac:dyDescent="0.25">
      <c r="A809" t="s">
        <v>5472</v>
      </c>
      <c r="B809" t="s">
        <v>5473</v>
      </c>
      <c r="C809" t="s">
        <v>4391</v>
      </c>
      <c r="D809">
        <v>13</v>
      </c>
      <c r="E809" t="s">
        <v>4445</v>
      </c>
      <c r="F809" t="s">
        <v>5474</v>
      </c>
      <c r="G809" t="s">
        <v>5568</v>
      </c>
      <c r="H809" t="s">
        <v>4915</v>
      </c>
    </row>
    <row r="810" spans="1:8" x14ac:dyDescent="0.25">
      <c r="A810">
        <v>766402496</v>
      </c>
      <c r="B810" t="s">
        <v>5436</v>
      </c>
      <c r="C810" t="s">
        <v>4410</v>
      </c>
      <c r="D810">
        <v>13</v>
      </c>
      <c r="E810" t="s">
        <v>4445</v>
      </c>
      <c r="F810" t="s">
        <v>3168</v>
      </c>
      <c r="G810" t="s">
        <v>5568</v>
      </c>
      <c r="H810" t="s">
        <v>4915</v>
      </c>
    </row>
    <row r="811" spans="1:8" x14ac:dyDescent="0.25">
      <c r="A811">
        <v>766425852</v>
      </c>
      <c r="B811" t="s">
        <v>495</v>
      </c>
      <c r="C811" t="s">
        <v>4510</v>
      </c>
      <c r="D811">
        <v>13</v>
      </c>
      <c r="E811" t="s">
        <v>4445</v>
      </c>
      <c r="F811" t="s">
        <v>2645</v>
      </c>
      <c r="G811" t="s">
        <v>5568</v>
      </c>
      <c r="H811" t="s">
        <v>4915</v>
      </c>
    </row>
    <row r="812" spans="1:8" x14ac:dyDescent="0.25">
      <c r="A812">
        <v>766434436</v>
      </c>
      <c r="B812" t="s">
        <v>496</v>
      </c>
      <c r="C812" t="s">
        <v>4460</v>
      </c>
      <c r="D812">
        <v>8</v>
      </c>
      <c r="E812" t="s">
        <v>4445</v>
      </c>
      <c r="F812" t="s">
        <v>2647</v>
      </c>
      <c r="G812" t="s">
        <v>5568</v>
      </c>
      <c r="H812" t="s">
        <v>4915</v>
      </c>
    </row>
    <row r="813" spans="1:8" x14ac:dyDescent="0.25">
      <c r="A813">
        <v>766456863</v>
      </c>
      <c r="B813" t="s">
        <v>497</v>
      </c>
      <c r="C813" t="s">
        <v>4195</v>
      </c>
      <c r="D813">
        <v>13</v>
      </c>
      <c r="E813" t="s">
        <v>4445</v>
      </c>
      <c r="F813" t="s">
        <v>2660</v>
      </c>
      <c r="G813" t="s">
        <v>5568</v>
      </c>
      <c r="H813" t="s">
        <v>4915</v>
      </c>
    </row>
    <row r="814" spans="1:8" x14ac:dyDescent="0.25">
      <c r="A814">
        <v>766499104</v>
      </c>
      <c r="B814" t="s">
        <v>830</v>
      </c>
      <c r="C814" t="s">
        <v>4495</v>
      </c>
      <c r="D814">
        <v>16</v>
      </c>
      <c r="E814" t="s">
        <v>4445</v>
      </c>
      <c r="F814" t="s">
        <v>2649</v>
      </c>
      <c r="G814" t="s">
        <v>5570</v>
      </c>
      <c r="H814" t="s">
        <v>4915</v>
      </c>
    </row>
    <row r="815" spans="1:8" x14ac:dyDescent="0.25">
      <c r="A815">
        <v>766552064</v>
      </c>
      <c r="B815" t="s">
        <v>5791</v>
      </c>
      <c r="C815" t="s">
        <v>4185</v>
      </c>
      <c r="D815">
        <v>12</v>
      </c>
      <c r="E815" t="s">
        <v>4445</v>
      </c>
      <c r="F815" t="s">
        <v>5792</v>
      </c>
      <c r="H815" t="s">
        <v>4915</v>
      </c>
    </row>
    <row r="816" spans="1:8" x14ac:dyDescent="0.25">
      <c r="A816">
        <v>766658113</v>
      </c>
      <c r="B816" t="s">
        <v>2652</v>
      </c>
      <c r="C816" t="s">
        <v>4391</v>
      </c>
      <c r="D816">
        <v>13</v>
      </c>
      <c r="E816" t="s">
        <v>4445</v>
      </c>
      <c r="F816" t="s">
        <v>2651</v>
      </c>
      <c r="G816" t="s">
        <v>5568</v>
      </c>
      <c r="H816" t="s">
        <v>4915</v>
      </c>
    </row>
    <row r="817" spans="1:8" x14ac:dyDescent="0.25">
      <c r="A817">
        <v>766666744</v>
      </c>
      <c r="B817" t="s">
        <v>498</v>
      </c>
      <c r="C817" t="s">
        <v>4391</v>
      </c>
      <c r="D817">
        <v>13</v>
      </c>
      <c r="E817" t="s">
        <v>4445</v>
      </c>
      <c r="F817" t="s">
        <v>3660</v>
      </c>
      <c r="G817" t="s">
        <v>5568</v>
      </c>
      <c r="H817" t="s">
        <v>4915</v>
      </c>
    </row>
    <row r="818" spans="1:8" x14ac:dyDescent="0.25">
      <c r="A818">
        <v>766844154</v>
      </c>
      <c r="B818" t="s">
        <v>4568</v>
      </c>
      <c r="C818" t="s">
        <v>4391</v>
      </c>
      <c r="D818">
        <v>13</v>
      </c>
      <c r="E818" t="s">
        <v>4445</v>
      </c>
      <c r="F818" t="s">
        <v>3789</v>
      </c>
      <c r="G818" t="s">
        <v>5570</v>
      </c>
      <c r="H818" t="s">
        <v>4915</v>
      </c>
    </row>
    <row r="819" spans="1:8" x14ac:dyDescent="0.25">
      <c r="A819" t="s">
        <v>4768</v>
      </c>
      <c r="B819" t="s">
        <v>4570</v>
      </c>
      <c r="C819" t="s">
        <v>4218</v>
      </c>
      <c r="D819">
        <v>9</v>
      </c>
      <c r="E819" t="s">
        <v>4445</v>
      </c>
      <c r="F819" t="s">
        <v>4569</v>
      </c>
      <c r="G819" t="s">
        <v>5568</v>
      </c>
      <c r="H819" t="s">
        <v>4915</v>
      </c>
    </row>
    <row r="820" spans="1:8" x14ac:dyDescent="0.25">
      <c r="A820">
        <v>766858872</v>
      </c>
      <c r="B820" t="s">
        <v>4989</v>
      </c>
      <c r="C820" t="s">
        <v>4168</v>
      </c>
      <c r="D820">
        <v>13</v>
      </c>
      <c r="E820" t="s">
        <v>4445</v>
      </c>
      <c r="F820" t="s">
        <v>4990</v>
      </c>
      <c r="G820" t="s">
        <v>5568</v>
      </c>
      <c r="H820" t="s">
        <v>4915</v>
      </c>
    </row>
    <row r="821" spans="1:8" x14ac:dyDescent="0.25">
      <c r="A821">
        <v>766862357</v>
      </c>
      <c r="B821" t="s">
        <v>499</v>
      </c>
      <c r="C821" t="s">
        <v>4391</v>
      </c>
      <c r="D821">
        <v>13</v>
      </c>
      <c r="E821" t="s">
        <v>5729</v>
      </c>
      <c r="F821" t="s">
        <v>2658</v>
      </c>
      <c r="G821" t="s">
        <v>5570</v>
      </c>
      <c r="H821" t="s">
        <v>4915</v>
      </c>
    </row>
    <row r="822" spans="1:8" x14ac:dyDescent="0.25">
      <c r="A822">
        <v>766878997</v>
      </c>
      <c r="B822" t="s">
        <v>1003</v>
      </c>
      <c r="C822" t="s">
        <v>4490</v>
      </c>
      <c r="D822">
        <v>5</v>
      </c>
      <c r="E822" t="s">
        <v>4445</v>
      </c>
      <c r="F822" t="s">
        <v>2662</v>
      </c>
      <c r="G822" t="s">
        <v>5570</v>
      </c>
      <c r="H822" t="s">
        <v>4915</v>
      </c>
    </row>
    <row r="823" spans="1:8" x14ac:dyDescent="0.25">
      <c r="A823">
        <v>766951309</v>
      </c>
      <c r="B823" t="s">
        <v>500</v>
      </c>
      <c r="C823" t="s">
        <v>4178</v>
      </c>
      <c r="D823">
        <v>6</v>
      </c>
      <c r="E823" t="s">
        <v>4445</v>
      </c>
      <c r="F823" t="s">
        <v>2664</v>
      </c>
      <c r="G823" t="s">
        <v>5568</v>
      </c>
      <c r="H823" t="s">
        <v>4915</v>
      </c>
    </row>
    <row r="824" spans="1:8" x14ac:dyDescent="0.25">
      <c r="A824">
        <v>767012691</v>
      </c>
      <c r="B824" t="s">
        <v>4572</v>
      </c>
      <c r="C824" t="s">
        <v>4456</v>
      </c>
      <c r="D824">
        <v>13</v>
      </c>
      <c r="E824" t="s">
        <v>4445</v>
      </c>
      <c r="F824" t="s">
        <v>4571</v>
      </c>
      <c r="G824" t="s">
        <v>5569</v>
      </c>
      <c r="H824" t="s">
        <v>4915</v>
      </c>
    </row>
    <row r="825" spans="1:8" x14ac:dyDescent="0.25">
      <c r="A825">
        <v>767059825</v>
      </c>
      <c r="B825" t="s">
        <v>2667</v>
      </c>
      <c r="C825" t="s">
        <v>4399</v>
      </c>
      <c r="D825">
        <v>13</v>
      </c>
      <c r="E825" t="s">
        <v>4445</v>
      </c>
      <c r="F825" t="s">
        <v>2666</v>
      </c>
      <c r="G825" t="s">
        <v>5568</v>
      </c>
      <c r="H825" t="s">
        <v>4915</v>
      </c>
    </row>
    <row r="826" spans="1:8" x14ac:dyDescent="0.25">
      <c r="A826">
        <v>767151837</v>
      </c>
      <c r="B826" t="s">
        <v>5730</v>
      </c>
      <c r="C826" t="s">
        <v>4460</v>
      </c>
      <c r="D826">
        <v>8</v>
      </c>
      <c r="E826" t="s">
        <v>4445</v>
      </c>
      <c r="F826" t="s">
        <v>5731</v>
      </c>
      <c r="G826" t="s">
        <v>5570</v>
      </c>
      <c r="H826" t="s">
        <v>4915</v>
      </c>
    </row>
    <row r="827" spans="1:8" x14ac:dyDescent="0.25">
      <c r="A827">
        <v>767166966</v>
      </c>
      <c r="B827" t="s">
        <v>501</v>
      </c>
      <c r="C827" t="s">
        <v>4495</v>
      </c>
      <c r="D827">
        <v>16</v>
      </c>
      <c r="E827" t="s">
        <v>4445</v>
      </c>
      <c r="F827" t="s">
        <v>2669</v>
      </c>
      <c r="G827" t="s">
        <v>5568</v>
      </c>
      <c r="H827" t="s">
        <v>4915</v>
      </c>
    </row>
    <row r="828" spans="1:8" x14ac:dyDescent="0.25">
      <c r="A828" t="s">
        <v>711</v>
      </c>
      <c r="B828" t="s">
        <v>712</v>
      </c>
      <c r="C828" t="s">
        <v>4394</v>
      </c>
      <c r="D828">
        <v>13</v>
      </c>
      <c r="E828" t="s">
        <v>4445</v>
      </c>
      <c r="F828" t="s">
        <v>2671</v>
      </c>
      <c r="G828" t="s">
        <v>5568</v>
      </c>
      <c r="H828" t="s">
        <v>4915</v>
      </c>
    </row>
    <row r="829" spans="1:8" x14ac:dyDescent="0.25">
      <c r="A829">
        <v>767253591</v>
      </c>
      <c r="B829" t="s">
        <v>832</v>
      </c>
      <c r="C829" t="s">
        <v>4257</v>
      </c>
      <c r="D829">
        <v>7</v>
      </c>
      <c r="E829" t="s">
        <v>4445</v>
      </c>
      <c r="F829" t="s">
        <v>2673</v>
      </c>
      <c r="G829" t="s">
        <v>5568</v>
      </c>
      <c r="H829" t="s">
        <v>4915</v>
      </c>
    </row>
    <row r="830" spans="1:8" x14ac:dyDescent="0.25">
      <c r="A830">
        <v>767288190</v>
      </c>
      <c r="B830" t="s">
        <v>5777</v>
      </c>
      <c r="C830" t="s">
        <v>4381</v>
      </c>
      <c r="D830">
        <v>13</v>
      </c>
      <c r="E830" t="s">
        <v>4445</v>
      </c>
      <c r="F830" t="s">
        <v>5778</v>
      </c>
      <c r="H830" t="s">
        <v>5660</v>
      </c>
    </row>
    <row r="831" spans="1:8" x14ac:dyDescent="0.25">
      <c r="A831">
        <v>767343795</v>
      </c>
      <c r="B831" t="s">
        <v>5005</v>
      </c>
      <c r="C831" t="s">
        <v>4460</v>
      </c>
      <c r="D831">
        <v>8</v>
      </c>
      <c r="E831" t="s">
        <v>4445</v>
      </c>
      <c r="F831" t="s">
        <v>5006</v>
      </c>
      <c r="G831" t="s">
        <v>5568</v>
      </c>
      <c r="H831" t="s">
        <v>4915</v>
      </c>
    </row>
    <row r="832" spans="1:8" x14ac:dyDescent="0.25">
      <c r="A832">
        <v>767344848</v>
      </c>
      <c r="B832" t="s">
        <v>933</v>
      </c>
      <c r="C832" t="s">
        <v>4168</v>
      </c>
      <c r="D832">
        <v>13</v>
      </c>
      <c r="E832" t="s">
        <v>4445</v>
      </c>
      <c r="F832" t="s">
        <v>2675</v>
      </c>
      <c r="G832" t="s">
        <v>5568</v>
      </c>
      <c r="H832" t="s">
        <v>4915</v>
      </c>
    </row>
    <row r="833" spans="1:8" x14ac:dyDescent="0.25">
      <c r="A833">
        <v>767382995</v>
      </c>
      <c r="B833" t="s">
        <v>502</v>
      </c>
      <c r="C833" t="s">
        <v>4460</v>
      </c>
      <c r="D833">
        <v>8</v>
      </c>
      <c r="E833" t="s">
        <v>4445</v>
      </c>
      <c r="F833" t="s">
        <v>2677</v>
      </c>
      <c r="G833" t="s">
        <v>5570</v>
      </c>
      <c r="H833" t="s">
        <v>4915</v>
      </c>
    </row>
    <row r="834" spans="1:8" x14ac:dyDescent="0.25">
      <c r="A834" t="s">
        <v>713</v>
      </c>
      <c r="B834" t="s">
        <v>714</v>
      </c>
      <c r="C834" t="s">
        <v>4391</v>
      </c>
      <c r="D834">
        <v>13</v>
      </c>
      <c r="E834" t="s">
        <v>4445</v>
      </c>
      <c r="F834" t="s">
        <v>2679</v>
      </c>
      <c r="G834" t="s">
        <v>5568</v>
      </c>
      <c r="H834" t="s">
        <v>4915</v>
      </c>
    </row>
    <row r="835" spans="1:8" x14ac:dyDescent="0.25">
      <c r="A835">
        <v>767407939</v>
      </c>
      <c r="B835" t="s">
        <v>833</v>
      </c>
      <c r="C835" t="s">
        <v>4460</v>
      </c>
      <c r="D835">
        <v>8</v>
      </c>
      <c r="E835" t="s">
        <v>4445</v>
      </c>
      <c r="F835" t="s">
        <v>3228</v>
      </c>
      <c r="G835" t="s">
        <v>5570</v>
      </c>
      <c r="H835" t="s">
        <v>4915</v>
      </c>
    </row>
    <row r="836" spans="1:8" x14ac:dyDescent="0.25">
      <c r="A836">
        <v>767409354</v>
      </c>
      <c r="B836" t="s">
        <v>834</v>
      </c>
      <c r="C836" t="s">
        <v>4495</v>
      </c>
      <c r="D836">
        <v>16</v>
      </c>
      <c r="E836" t="s">
        <v>4445</v>
      </c>
      <c r="F836" t="s">
        <v>3241</v>
      </c>
      <c r="G836" t="s">
        <v>5568</v>
      </c>
      <c r="H836" t="s">
        <v>4915</v>
      </c>
    </row>
    <row r="837" spans="1:8" x14ac:dyDescent="0.25">
      <c r="A837">
        <v>767409842</v>
      </c>
      <c r="B837" t="s">
        <v>835</v>
      </c>
      <c r="C837" t="s">
        <v>4168</v>
      </c>
      <c r="D837">
        <v>13</v>
      </c>
      <c r="E837" t="s">
        <v>4445</v>
      </c>
      <c r="F837" t="s">
        <v>2685</v>
      </c>
      <c r="G837" t="s">
        <v>5568</v>
      </c>
      <c r="H837" t="s">
        <v>4915</v>
      </c>
    </row>
    <row r="838" spans="1:8" x14ac:dyDescent="0.25">
      <c r="A838">
        <v>767461364</v>
      </c>
      <c r="B838" t="s">
        <v>2688</v>
      </c>
      <c r="C838" t="s">
        <v>4465</v>
      </c>
      <c r="D838">
        <v>13</v>
      </c>
      <c r="E838" t="s">
        <v>4445</v>
      </c>
      <c r="F838" t="s">
        <v>2687</v>
      </c>
      <c r="G838" t="s">
        <v>5570</v>
      </c>
      <c r="H838" t="s">
        <v>4915</v>
      </c>
    </row>
    <row r="839" spans="1:8" x14ac:dyDescent="0.25">
      <c r="A839">
        <v>767486421</v>
      </c>
      <c r="B839" t="s">
        <v>503</v>
      </c>
      <c r="C839" t="s">
        <v>4465</v>
      </c>
      <c r="D839">
        <v>13</v>
      </c>
      <c r="E839" t="s">
        <v>4445</v>
      </c>
      <c r="F839" t="s">
        <v>2690</v>
      </c>
      <c r="G839" t="s">
        <v>5570</v>
      </c>
      <c r="H839" t="s">
        <v>4915</v>
      </c>
    </row>
    <row r="840" spans="1:8" x14ac:dyDescent="0.25">
      <c r="A840">
        <v>767495641</v>
      </c>
      <c r="B840" t="s">
        <v>1833</v>
      </c>
      <c r="C840" t="s">
        <v>4364</v>
      </c>
      <c r="D840">
        <v>9</v>
      </c>
      <c r="E840" t="s">
        <v>4445</v>
      </c>
      <c r="F840" t="s">
        <v>1832</v>
      </c>
      <c r="G840" t="s">
        <v>5568</v>
      </c>
      <c r="H840" t="s">
        <v>4915</v>
      </c>
    </row>
    <row r="841" spans="1:8" x14ac:dyDescent="0.25">
      <c r="A841">
        <v>767529732</v>
      </c>
      <c r="B841" t="s">
        <v>2696</v>
      </c>
      <c r="C841" t="s">
        <v>4305</v>
      </c>
      <c r="D841">
        <v>5</v>
      </c>
      <c r="E841" t="s">
        <v>4445</v>
      </c>
      <c r="F841" t="s">
        <v>2695</v>
      </c>
      <c r="G841" t="s">
        <v>5570</v>
      </c>
      <c r="H841" t="s">
        <v>4915</v>
      </c>
    </row>
    <row r="842" spans="1:8" x14ac:dyDescent="0.25">
      <c r="A842">
        <v>767542968</v>
      </c>
      <c r="B842" t="s">
        <v>2711</v>
      </c>
      <c r="C842" t="s">
        <v>4172</v>
      </c>
      <c r="D842">
        <v>13</v>
      </c>
      <c r="E842" t="s">
        <v>4445</v>
      </c>
      <c r="F842" t="s">
        <v>2710</v>
      </c>
      <c r="H842" t="s">
        <v>4915</v>
      </c>
    </row>
    <row r="843" spans="1:8" x14ac:dyDescent="0.25">
      <c r="A843">
        <v>767568088</v>
      </c>
      <c r="B843" t="s">
        <v>836</v>
      </c>
      <c r="C843" t="s">
        <v>4395</v>
      </c>
      <c r="D843">
        <v>13</v>
      </c>
      <c r="E843" t="s">
        <v>4445</v>
      </c>
      <c r="F843" t="s">
        <v>1978</v>
      </c>
      <c r="G843" t="s">
        <v>5568</v>
      </c>
      <c r="H843" t="s">
        <v>4915</v>
      </c>
    </row>
    <row r="844" spans="1:8" x14ac:dyDescent="0.25">
      <c r="A844" t="s">
        <v>715</v>
      </c>
      <c r="B844" t="s">
        <v>716</v>
      </c>
      <c r="C844" t="s">
        <v>4391</v>
      </c>
      <c r="D844">
        <v>13</v>
      </c>
      <c r="E844" t="s">
        <v>4445</v>
      </c>
      <c r="F844" t="s">
        <v>2701</v>
      </c>
      <c r="G844" t="s">
        <v>5568</v>
      </c>
      <c r="H844" t="s">
        <v>4915</v>
      </c>
    </row>
    <row r="845" spans="1:8" x14ac:dyDescent="0.25">
      <c r="A845">
        <v>767586930</v>
      </c>
      <c r="B845" t="s">
        <v>2704</v>
      </c>
      <c r="C845" t="s">
        <v>4465</v>
      </c>
      <c r="D845">
        <v>13</v>
      </c>
      <c r="E845" t="s">
        <v>4445</v>
      </c>
      <c r="F845" t="s">
        <v>2703</v>
      </c>
      <c r="G845" t="s">
        <v>5568</v>
      </c>
      <c r="H845" t="s">
        <v>4915</v>
      </c>
    </row>
    <row r="846" spans="1:8" x14ac:dyDescent="0.25">
      <c r="A846" t="s">
        <v>4761</v>
      </c>
      <c r="B846" t="s">
        <v>955</v>
      </c>
      <c r="C846" t="s">
        <v>4401</v>
      </c>
      <c r="D846">
        <v>13</v>
      </c>
      <c r="E846" t="s">
        <v>4445</v>
      </c>
      <c r="F846" t="s">
        <v>2706</v>
      </c>
      <c r="G846" t="s">
        <v>5568</v>
      </c>
      <c r="H846" t="s">
        <v>4915</v>
      </c>
    </row>
    <row r="847" spans="1:8" x14ac:dyDescent="0.25">
      <c r="A847">
        <v>767754396</v>
      </c>
      <c r="B847" t="s">
        <v>504</v>
      </c>
      <c r="C847" t="s">
        <v>4391</v>
      </c>
      <c r="D847">
        <v>13</v>
      </c>
      <c r="E847" t="s">
        <v>4445</v>
      </c>
      <c r="F847" t="s">
        <v>2708</v>
      </c>
      <c r="G847" t="s">
        <v>5568</v>
      </c>
      <c r="H847" t="s">
        <v>4915</v>
      </c>
    </row>
    <row r="848" spans="1:8" x14ac:dyDescent="0.25">
      <c r="A848">
        <v>767813252</v>
      </c>
      <c r="B848" t="s">
        <v>837</v>
      </c>
      <c r="C848" t="s">
        <v>4506</v>
      </c>
      <c r="D848">
        <v>13</v>
      </c>
      <c r="E848" t="s">
        <v>4445</v>
      </c>
      <c r="F848" t="s">
        <v>2712</v>
      </c>
      <c r="G848" t="s">
        <v>5568</v>
      </c>
      <c r="H848" t="s">
        <v>4915</v>
      </c>
    </row>
    <row r="849" spans="1:8" x14ac:dyDescent="0.25">
      <c r="A849">
        <v>767839332</v>
      </c>
      <c r="B849" t="s">
        <v>2715</v>
      </c>
      <c r="C849" t="s">
        <v>4490</v>
      </c>
      <c r="D849">
        <v>5</v>
      </c>
      <c r="E849" t="s">
        <v>4445</v>
      </c>
      <c r="F849" t="s">
        <v>2714</v>
      </c>
      <c r="G849" t="s">
        <v>5568</v>
      </c>
      <c r="H849" t="s">
        <v>4915</v>
      </c>
    </row>
    <row r="850" spans="1:8" x14ac:dyDescent="0.25">
      <c r="A850">
        <v>767852096</v>
      </c>
      <c r="B850" t="s">
        <v>5496</v>
      </c>
      <c r="C850" t="s">
        <v>4245</v>
      </c>
      <c r="D850">
        <v>4</v>
      </c>
      <c r="E850" t="s">
        <v>4445</v>
      </c>
      <c r="F850" t="s">
        <v>5497</v>
      </c>
      <c r="G850" t="s">
        <v>5568</v>
      </c>
      <c r="H850" t="s">
        <v>4915</v>
      </c>
    </row>
    <row r="851" spans="1:8" x14ac:dyDescent="0.25">
      <c r="A851">
        <v>767884176</v>
      </c>
      <c r="B851" t="s">
        <v>838</v>
      </c>
      <c r="C851" t="s">
        <v>4551</v>
      </c>
      <c r="D851">
        <v>13</v>
      </c>
      <c r="E851" t="s">
        <v>4445</v>
      </c>
      <c r="F851" t="s">
        <v>2717</v>
      </c>
      <c r="G851" t="s">
        <v>5568</v>
      </c>
      <c r="H851" t="s">
        <v>4915</v>
      </c>
    </row>
    <row r="852" spans="1:8" x14ac:dyDescent="0.25">
      <c r="A852">
        <v>767892799</v>
      </c>
      <c r="B852" t="s">
        <v>839</v>
      </c>
      <c r="C852" t="s">
        <v>4465</v>
      </c>
      <c r="D852">
        <v>13</v>
      </c>
      <c r="E852" t="s">
        <v>4445</v>
      </c>
      <c r="F852" t="s">
        <v>2719</v>
      </c>
      <c r="G852" t="s">
        <v>5568</v>
      </c>
      <c r="H852" t="s">
        <v>4915</v>
      </c>
    </row>
    <row r="853" spans="1:8" x14ac:dyDescent="0.25">
      <c r="A853">
        <v>767904088</v>
      </c>
      <c r="B853" t="s">
        <v>840</v>
      </c>
      <c r="C853" t="s">
        <v>4465</v>
      </c>
      <c r="D853">
        <v>13</v>
      </c>
      <c r="E853" t="s">
        <v>4445</v>
      </c>
      <c r="F853" t="s">
        <v>2721</v>
      </c>
      <c r="G853" t="s">
        <v>5576</v>
      </c>
      <c r="H853" t="s">
        <v>4915</v>
      </c>
    </row>
    <row r="854" spans="1:8" x14ac:dyDescent="0.25">
      <c r="A854">
        <v>767952236</v>
      </c>
      <c r="B854" t="s">
        <v>5007</v>
      </c>
      <c r="C854" t="s">
        <v>4529</v>
      </c>
      <c r="D854">
        <v>13</v>
      </c>
      <c r="E854" t="s">
        <v>4445</v>
      </c>
      <c r="F854" t="s">
        <v>5008</v>
      </c>
      <c r="G854" t="s">
        <v>5568</v>
      </c>
      <c r="H854" t="s">
        <v>4915</v>
      </c>
    </row>
    <row r="855" spans="1:8" x14ac:dyDescent="0.25">
      <c r="A855">
        <v>768078661</v>
      </c>
      <c r="B855" t="s">
        <v>841</v>
      </c>
      <c r="C855" t="s">
        <v>4465</v>
      </c>
      <c r="D855">
        <v>13</v>
      </c>
      <c r="E855" t="s">
        <v>4445</v>
      </c>
      <c r="F855" t="s">
        <v>2723</v>
      </c>
      <c r="G855" t="s">
        <v>5570</v>
      </c>
      <c r="H855" t="s">
        <v>4915</v>
      </c>
    </row>
    <row r="856" spans="1:8" x14ac:dyDescent="0.25">
      <c r="A856">
        <v>768101337</v>
      </c>
      <c r="B856" t="s">
        <v>4574</v>
      </c>
      <c r="C856" t="s">
        <v>4563</v>
      </c>
      <c r="D856">
        <v>5</v>
      </c>
      <c r="E856" t="s">
        <v>4445</v>
      </c>
      <c r="F856" t="s">
        <v>4573</v>
      </c>
      <c r="G856" t="s">
        <v>5568</v>
      </c>
      <c r="H856" t="s">
        <v>4915</v>
      </c>
    </row>
    <row r="857" spans="1:8" x14ac:dyDescent="0.25">
      <c r="A857" t="s">
        <v>4769</v>
      </c>
      <c r="B857" t="s">
        <v>2726</v>
      </c>
      <c r="C857" t="s">
        <v>4391</v>
      </c>
      <c r="D857">
        <v>13</v>
      </c>
      <c r="E857" t="s">
        <v>4445</v>
      </c>
      <c r="F857" t="s">
        <v>2725</v>
      </c>
      <c r="G857" t="s">
        <v>5568</v>
      </c>
      <c r="H857" t="s">
        <v>4915</v>
      </c>
    </row>
    <row r="858" spans="1:8" x14ac:dyDescent="0.25">
      <c r="A858">
        <v>768142173</v>
      </c>
      <c r="B858" t="s">
        <v>505</v>
      </c>
      <c r="C858" t="s">
        <v>4196</v>
      </c>
      <c r="D858">
        <v>13</v>
      </c>
      <c r="E858" t="s">
        <v>4445</v>
      </c>
      <c r="F858" t="s">
        <v>2728</v>
      </c>
      <c r="G858" t="s">
        <v>5568</v>
      </c>
      <c r="H858" t="s">
        <v>4915</v>
      </c>
    </row>
    <row r="859" spans="1:8" x14ac:dyDescent="0.25">
      <c r="A859">
        <v>768144222</v>
      </c>
      <c r="B859" t="s">
        <v>3301</v>
      </c>
      <c r="C859" t="s">
        <v>4183</v>
      </c>
      <c r="D859">
        <v>8</v>
      </c>
      <c r="E859" t="s">
        <v>4445</v>
      </c>
      <c r="F859" t="s">
        <v>3300</v>
      </c>
      <c r="G859" t="s">
        <v>5569</v>
      </c>
      <c r="H859" t="s">
        <v>4915</v>
      </c>
    </row>
    <row r="860" spans="1:8" x14ac:dyDescent="0.25">
      <c r="A860">
        <v>768173605</v>
      </c>
      <c r="B860" t="s">
        <v>5793</v>
      </c>
      <c r="C860" t="s">
        <v>4391</v>
      </c>
      <c r="D860">
        <v>13</v>
      </c>
      <c r="E860" t="s">
        <v>4445</v>
      </c>
      <c r="F860" t="s">
        <v>5794</v>
      </c>
      <c r="G860" t="s">
        <v>5568</v>
      </c>
      <c r="H860" t="s">
        <v>4915</v>
      </c>
    </row>
    <row r="861" spans="1:8" x14ac:dyDescent="0.25">
      <c r="A861">
        <v>768224552</v>
      </c>
      <c r="B861" t="s">
        <v>4980</v>
      </c>
      <c r="C861" t="s">
        <v>4197</v>
      </c>
      <c r="D861">
        <v>13</v>
      </c>
      <c r="E861" t="s">
        <v>4445</v>
      </c>
      <c r="F861" t="s">
        <v>4981</v>
      </c>
      <c r="G861" t="s">
        <v>5568</v>
      </c>
      <c r="H861" t="s">
        <v>4915</v>
      </c>
    </row>
    <row r="862" spans="1:8" x14ac:dyDescent="0.25">
      <c r="A862">
        <v>768357935</v>
      </c>
      <c r="B862" t="s">
        <v>2734</v>
      </c>
      <c r="C862" t="s">
        <v>4391</v>
      </c>
      <c r="D862">
        <v>13</v>
      </c>
      <c r="E862" t="s">
        <v>4445</v>
      </c>
      <c r="F862" t="s">
        <v>2733</v>
      </c>
      <c r="G862" t="s">
        <v>5568</v>
      </c>
      <c r="H862" t="s">
        <v>4915</v>
      </c>
    </row>
    <row r="863" spans="1:8" x14ac:dyDescent="0.25">
      <c r="A863">
        <v>768426007</v>
      </c>
      <c r="B863" t="s">
        <v>506</v>
      </c>
      <c r="C863" t="s">
        <v>4257</v>
      </c>
      <c r="D863">
        <v>7</v>
      </c>
      <c r="E863" t="s">
        <v>5729</v>
      </c>
      <c r="F863" t="s">
        <v>3671</v>
      </c>
      <c r="G863" t="s">
        <v>5570</v>
      </c>
      <c r="H863" t="s">
        <v>4915</v>
      </c>
    </row>
    <row r="864" spans="1:8" x14ac:dyDescent="0.25">
      <c r="A864">
        <v>768449252</v>
      </c>
      <c r="B864" t="s">
        <v>507</v>
      </c>
      <c r="C864" t="s">
        <v>4391</v>
      </c>
      <c r="D864">
        <v>13</v>
      </c>
      <c r="E864" t="s">
        <v>4445</v>
      </c>
      <c r="F864" t="s">
        <v>2738</v>
      </c>
      <c r="G864" t="s">
        <v>5570</v>
      </c>
      <c r="H864" t="s">
        <v>4915</v>
      </c>
    </row>
    <row r="865" spans="1:8" x14ac:dyDescent="0.25">
      <c r="A865">
        <v>768473536</v>
      </c>
      <c r="B865" t="s">
        <v>508</v>
      </c>
      <c r="C865" t="s">
        <v>4416</v>
      </c>
      <c r="D865">
        <v>13</v>
      </c>
      <c r="E865" t="s">
        <v>4445</v>
      </c>
      <c r="F865" t="s">
        <v>4099</v>
      </c>
      <c r="G865" t="s">
        <v>5568</v>
      </c>
      <c r="H865" t="s">
        <v>4915</v>
      </c>
    </row>
    <row r="866" spans="1:8" x14ac:dyDescent="0.25">
      <c r="A866">
        <v>768489920</v>
      </c>
      <c r="B866" t="s">
        <v>4576</v>
      </c>
      <c r="C866" t="s">
        <v>4497</v>
      </c>
      <c r="D866">
        <v>8</v>
      </c>
      <c r="E866" t="s">
        <v>4445</v>
      </c>
      <c r="F866" t="s">
        <v>4575</v>
      </c>
      <c r="H866" t="s">
        <v>4915</v>
      </c>
    </row>
    <row r="867" spans="1:8" x14ac:dyDescent="0.25">
      <c r="A867" t="s">
        <v>717</v>
      </c>
      <c r="B867" t="s">
        <v>2741</v>
      </c>
      <c r="C867" t="s">
        <v>4497</v>
      </c>
      <c r="D867">
        <v>8</v>
      </c>
      <c r="E867" t="s">
        <v>4445</v>
      </c>
      <c r="F867" t="s">
        <v>2740</v>
      </c>
      <c r="G867" t="s">
        <v>5570</v>
      </c>
      <c r="H867" t="s">
        <v>4915</v>
      </c>
    </row>
    <row r="868" spans="1:8" x14ac:dyDescent="0.25">
      <c r="A868">
        <v>768526907</v>
      </c>
      <c r="B868" t="s">
        <v>2744</v>
      </c>
      <c r="C868" t="s">
        <v>4465</v>
      </c>
      <c r="D868">
        <v>13</v>
      </c>
      <c r="E868" t="s">
        <v>4445</v>
      </c>
      <c r="F868" t="s">
        <v>2743</v>
      </c>
      <c r="G868" t="s">
        <v>5568</v>
      </c>
      <c r="H868" t="s">
        <v>4915</v>
      </c>
    </row>
    <row r="869" spans="1:8" x14ac:dyDescent="0.25">
      <c r="A869">
        <v>768557993</v>
      </c>
      <c r="B869" t="s">
        <v>2747</v>
      </c>
      <c r="C869" t="s">
        <v>4168</v>
      </c>
      <c r="D869">
        <v>13</v>
      </c>
      <c r="E869" t="s">
        <v>4445</v>
      </c>
      <c r="F869" t="s">
        <v>2746</v>
      </c>
      <c r="G869" t="s">
        <v>5568</v>
      </c>
      <c r="H869" t="s">
        <v>4915</v>
      </c>
    </row>
    <row r="870" spans="1:8" x14ac:dyDescent="0.25">
      <c r="A870">
        <v>768575673</v>
      </c>
      <c r="B870" t="s">
        <v>5643</v>
      </c>
      <c r="C870" t="s">
        <v>4178</v>
      </c>
      <c r="D870">
        <v>13</v>
      </c>
      <c r="E870" t="s">
        <v>4445</v>
      </c>
      <c r="F870" t="s">
        <v>5644</v>
      </c>
      <c r="G870" t="s">
        <v>5568</v>
      </c>
      <c r="H870" t="s">
        <v>4915</v>
      </c>
    </row>
    <row r="871" spans="1:8" x14ac:dyDescent="0.25">
      <c r="A871" t="s">
        <v>4770</v>
      </c>
      <c r="B871" t="s">
        <v>2750</v>
      </c>
      <c r="C871" t="s">
        <v>4510</v>
      </c>
      <c r="D871">
        <v>13</v>
      </c>
      <c r="E871" t="s">
        <v>4445</v>
      </c>
      <c r="F871" t="s">
        <v>2749</v>
      </c>
      <c r="G871" t="s">
        <v>5568</v>
      </c>
      <c r="H871" t="s">
        <v>4915</v>
      </c>
    </row>
    <row r="872" spans="1:8" x14ac:dyDescent="0.25">
      <c r="A872">
        <v>768658846</v>
      </c>
      <c r="B872" t="s">
        <v>510</v>
      </c>
      <c r="C872" t="s">
        <v>4391</v>
      </c>
      <c r="D872">
        <v>13</v>
      </c>
      <c r="E872" t="s">
        <v>4445</v>
      </c>
      <c r="F872" t="s">
        <v>2752</v>
      </c>
      <c r="G872" t="s">
        <v>5568</v>
      </c>
      <c r="H872" t="s">
        <v>4915</v>
      </c>
    </row>
    <row r="873" spans="1:8" x14ac:dyDescent="0.25">
      <c r="A873" t="s">
        <v>718</v>
      </c>
      <c r="B873" t="s">
        <v>719</v>
      </c>
      <c r="C873" t="s">
        <v>4465</v>
      </c>
      <c r="D873">
        <v>13</v>
      </c>
      <c r="E873" t="s">
        <v>4445</v>
      </c>
      <c r="F873" t="s">
        <v>1986</v>
      </c>
      <c r="G873" t="s">
        <v>5570</v>
      </c>
      <c r="H873" t="s">
        <v>4915</v>
      </c>
    </row>
    <row r="874" spans="1:8" x14ac:dyDescent="0.25">
      <c r="A874" t="s">
        <v>720</v>
      </c>
      <c r="B874" t="s">
        <v>721</v>
      </c>
      <c r="C874" t="s">
        <v>4175</v>
      </c>
      <c r="D874">
        <v>5</v>
      </c>
      <c r="E874" t="s">
        <v>4445</v>
      </c>
      <c r="F874" t="s">
        <v>2756</v>
      </c>
      <c r="G874" t="s">
        <v>5570</v>
      </c>
      <c r="H874" t="s">
        <v>4915</v>
      </c>
    </row>
    <row r="875" spans="1:8" x14ac:dyDescent="0.25">
      <c r="A875">
        <v>768795401</v>
      </c>
      <c r="B875" t="s">
        <v>5544</v>
      </c>
      <c r="C875" t="s">
        <v>4460</v>
      </c>
      <c r="D875">
        <v>8</v>
      </c>
      <c r="E875" t="s">
        <v>4445</v>
      </c>
      <c r="F875" t="s">
        <v>5545</v>
      </c>
      <c r="G875" t="s">
        <v>5570</v>
      </c>
      <c r="H875" t="s">
        <v>4915</v>
      </c>
    </row>
    <row r="876" spans="1:8" x14ac:dyDescent="0.25">
      <c r="A876">
        <v>768805636</v>
      </c>
      <c r="B876" t="s">
        <v>511</v>
      </c>
      <c r="C876" t="s">
        <v>4395</v>
      </c>
      <c r="D876">
        <v>13</v>
      </c>
      <c r="E876" t="s">
        <v>4445</v>
      </c>
      <c r="F876" t="s">
        <v>1318</v>
      </c>
      <c r="G876" t="s">
        <v>5570</v>
      </c>
      <c r="H876" t="s">
        <v>4915</v>
      </c>
    </row>
    <row r="877" spans="1:8" x14ac:dyDescent="0.25">
      <c r="A877" t="s">
        <v>4771</v>
      </c>
      <c r="B877" t="s">
        <v>3365</v>
      </c>
      <c r="C877" t="s">
        <v>4381</v>
      </c>
      <c r="D877">
        <v>13</v>
      </c>
      <c r="E877" t="s">
        <v>4445</v>
      </c>
      <c r="F877" t="s">
        <v>3364</v>
      </c>
      <c r="G877" t="s">
        <v>5568</v>
      </c>
      <c r="H877" t="s">
        <v>4915</v>
      </c>
    </row>
    <row r="878" spans="1:8" x14ac:dyDescent="0.25">
      <c r="A878">
        <v>768840040</v>
      </c>
      <c r="B878" t="s">
        <v>5513</v>
      </c>
      <c r="C878" t="s">
        <v>4183</v>
      </c>
      <c r="D878">
        <v>8</v>
      </c>
      <c r="E878" t="s">
        <v>4445</v>
      </c>
      <c r="F878" t="s">
        <v>5514</v>
      </c>
      <c r="G878" t="s">
        <v>5569</v>
      </c>
      <c r="H878" t="s">
        <v>4915</v>
      </c>
    </row>
    <row r="879" spans="1:8" x14ac:dyDescent="0.25">
      <c r="A879">
        <v>768893845</v>
      </c>
      <c r="B879" t="s">
        <v>512</v>
      </c>
      <c r="C879" t="s">
        <v>4273</v>
      </c>
      <c r="D879">
        <v>8</v>
      </c>
      <c r="E879" t="s">
        <v>4445</v>
      </c>
      <c r="F879" t="s">
        <v>2764</v>
      </c>
      <c r="G879" t="s">
        <v>5570</v>
      </c>
      <c r="H879" t="s">
        <v>4915</v>
      </c>
    </row>
    <row r="880" spans="1:8" x14ac:dyDescent="0.25">
      <c r="A880">
        <v>768905975</v>
      </c>
      <c r="B880" t="s">
        <v>513</v>
      </c>
      <c r="C880" t="s">
        <v>4394</v>
      </c>
      <c r="D880">
        <v>13</v>
      </c>
      <c r="E880" t="s">
        <v>4445</v>
      </c>
      <c r="F880" t="s">
        <v>1451</v>
      </c>
      <c r="G880" t="s">
        <v>5568</v>
      </c>
      <c r="H880" t="s">
        <v>4915</v>
      </c>
    </row>
    <row r="881" spans="1:8" x14ac:dyDescent="0.25">
      <c r="A881">
        <v>768913161</v>
      </c>
      <c r="B881" t="s">
        <v>2770</v>
      </c>
      <c r="C881" t="s">
        <v>4460</v>
      </c>
      <c r="D881">
        <v>8</v>
      </c>
      <c r="E881" t="s">
        <v>4445</v>
      </c>
      <c r="F881" t="s">
        <v>2769</v>
      </c>
      <c r="G881" t="s">
        <v>5568</v>
      </c>
      <c r="H881" t="s">
        <v>4915</v>
      </c>
    </row>
    <row r="882" spans="1:8" x14ac:dyDescent="0.25">
      <c r="A882">
        <v>769078231</v>
      </c>
      <c r="B882" t="s">
        <v>5666</v>
      </c>
      <c r="C882" t="s">
        <v>4218</v>
      </c>
      <c r="D882">
        <v>9</v>
      </c>
      <c r="E882" t="s">
        <v>4445</v>
      </c>
      <c r="F882" t="s">
        <v>5667</v>
      </c>
      <c r="G882" t="s">
        <v>5568</v>
      </c>
      <c r="H882" t="s">
        <v>4915</v>
      </c>
    </row>
    <row r="883" spans="1:8" x14ac:dyDescent="0.25">
      <c r="A883">
        <v>769142584</v>
      </c>
      <c r="B883" t="s">
        <v>4578</v>
      </c>
      <c r="C883" t="s">
        <v>4465</v>
      </c>
      <c r="D883">
        <v>13</v>
      </c>
      <c r="E883" t="s">
        <v>4445</v>
      </c>
      <c r="F883" t="s">
        <v>4577</v>
      </c>
      <c r="G883" t="s">
        <v>5568</v>
      </c>
      <c r="H883" t="s">
        <v>4915</v>
      </c>
    </row>
    <row r="884" spans="1:8" x14ac:dyDescent="0.25">
      <c r="A884">
        <v>769148574</v>
      </c>
      <c r="B884" t="s">
        <v>4995</v>
      </c>
      <c r="C884" t="s">
        <v>4275</v>
      </c>
      <c r="D884">
        <v>8</v>
      </c>
      <c r="E884" t="s">
        <v>4445</v>
      </c>
      <c r="F884" t="s">
        <v>4996</v>
      </c>
      <c r="G884" t="s">
        <v>5568</v>
      </c>
      <c r="H884" t="s">
        <v>4915</v>
      </c>
    </row>
    <row r="885" spans="1:8" x14ac:dyDescent="0.25">
      <c r="A885">
        <v>769304231</v>
      </c>
      <c r="B885" t="s">
        <v>2773</v>
      </c>
      <c r="C885" t="s">
        <v>4456</v>
      </c>
      <c r="D885">
        <v>13</v>
      </c>
      <c r="E885" t="s">
        <v>4445</v>
      </c>
      <c r="F885" t="s">
        <v>2772</v>
      </c>
      <c r="G885" t="s">
        <v>5568</v>
      </c>
      <c r="H885" t="s">
        <v>4915</v>
      </c>
    </row>
    <row r="886" spans="1:8" x14ac:dyDescent="0.25">
      <c r="A886">
        <v>769372512</v>
      </c>
      <c r="B886" t="s">
        <v>5580</v>
      </c>
      <c r="C886" t="s">
        <v>4391</v>
      </c>
      <c r="D886">
        <v>13</v>
      </c>
      <c r="E886" t="s">
        <v>4445</v>
      </c>
      <c r="F886" t="s">
        <v>5581</v>
      </c>
      <c r="G886" t="s">
        <v>5568</v>
      </c>
      <c r="H886" t="s">
        <v>4915</v>
      </c>
    </row>
    <row r="887" spans="1:8" x14ac:dyDescent="0.25">
      <c r="A887" t="s">
        <v>722</v>
      </c>
      <c r="B887" t="s">
        <v>723</v>
      </c>
      <c r="C887" t="s">
        <v>4466</v>
      </c>
      <c r="D887">
        <v>3</v>
      </c>
      <c r="E887" t="s">
        <v>4445</v>
      </c>
      <c r="F887" t="s">
        <v>2248</v>
      </c>
      <c r="G887" t="s">
        <v>5570</v>
      </c>
      <c r="H887" t="s">
        <v>4915</v>
      </c>
    </row>
    <row r="888" spans="1:8" x14ac:dyDescent="0.25">
      <c r="A888">
        <v>769396942</v>
      </c>
      <c r="B888" t="s">
        <v>514</v>
      </c>
      <c r="C888" t="s">
        <v>4544</v>
      </c>
      <c r="D888">
        <v>9</v>
      </c>
      <c r="E888" t="s">
        <v>4445</v>
      </c>
      <c r="F888" t="s">
        <v>2778</v>
      </c>
      <c r="G888" t="s">
        <v>5570</v>
      </c>
      <c r="H888" t="s">
        <v>4915</v>
      </c>
    </row>
    <row r="889" spans="1:8" x14ac:dyDescent="0.25">
      <c r="A889">
        <v>769501495</v>
      </c>
      <c r="B889" t="s">
        <v>5455</v>
      </c>
      <c r="C889" t="s">
        <v>4264</v>
      </c>
      <c r="D889">
        <v>7</v>
      </c>
      <c r="E889" t="s">
        <v>4445</v>
      </c>
      <c r="F889" t="s">
        <v>5456</v>
      </c>
      <c r="G889" t="s">
        <v>5570</v>
      </c>
      <c r="H889" t="s">
        <v>4915</v>
      </c>
    </row>
    <row r="890" spans="1:8" x14ac:dyDescent="0.25">
      <c r="A890">
        <v>769535454</v>
      </c>
      <c r="B890" t="s">
        <v>5653</v>
      </c>
      <c r="C890" t="s">
        <v>4182</v>
      </c>
      <c r="D890">
        <v>2</v>
      </c>
      <c r="E890" t="s">
        <v>4445</v>
      </c>
      <c r="F890" t="s">
        <v>5654</v>
      </c>
      <c r="G890" t="s">
        <v>5568</v>
      </c>
      <c r="H890" t="s">
        <v>4915</v>
      </c>
    </row>
    <row r="891" spans="1:8" x14ac:dyDescent="0.25">
      <c r="A891">
        <v>769610235</v>
      </c>
      <c r="B891" t="s">
        <v>2781</v>
      </c>
      <c r="C891" t="s">
        <v>4245</v>
      </c>
      <c r="D891">
        <v>4</v>
      </c>
      <c r="E891" t="s">
        <v>4445</v>
      </c>
      <c r="F891" t="s">
        <v>2780</v>
      </c>
      <c r="G891" t="s">
        <v>5568</v>
      </c>
      <c r="H891" t="s">
        <v>4915</v>
      </c>
    </row>
    <row r="892" spans="1:8" x14ac:dyDescent="0.25">
      <c r="A892">
        <v>769729186</v>
      </c>
      <c r="B892" t="s">
        <v>3457</v>
      </c>
      <c r="C892" t="s">
        <v>4460</v>
      </c>
      <c r="D892">
        <v>8</v>
      </c>
      <c r="E892" t="s">
        <v>4445</v>
      </c>
      <c r="F892" t="s">
        <v>3456</v>
      </c>
      <c r="G892" t="s">
        <v>5568</v>
      </c>
      <c r="H892" t="s">
        <v>4915</v>
      </c>
    </row>
    <row r="893" spans="1:8" x14ac:dyDescent="0.25">
      <c r="A893">
        <v>769770453</v>
      </c>
      <c r="B893" t="s">
        <v>515</v>
      </c>
      <c r="C893" t="s">
        <v>4394</v>
      </c>
      <c r="D893">
        <v>13</v>
      </c>
      <c r="E893" t="s">
        <v>4445</v>
      </c>
      <c r="F893" t="s">
        <v>3370</v>
      </c>
      <c r="G893" t="s">
        <v>5568</v>
      </c>
      <c r="H893" t="s">
        <v>4915</v>
      </c>
    </row>
    <row r="894" spans="1:8" x14ac:dyDescent="0.25">
      <c r="A894">
        <v>769798501</v>
      </c>
      <c r="B894" t="s">
        <v>3886</v>
      </c>
      <c r="C894" t="s">
        <v>4561</v>
      </c>
      <c r="D894">
        <v>13</v>
      </c>
      <c r="E894" t="s">
        <v>4445</v>
      </c>
      <c r="F894" t="s">
        <v>3885</v>
      </c>
      <c r="G894" t="s">
        <v>5568</v>
      </c>
      <c r="H894" t="s">
        <v>4915</v>
      </c>
    </row>
    <row r="895" spans="1:8" x14ac:dyDescent="0.25">
      <c r="A895">
        <v>769834427</v>
      </c>
      <c r="B895" t="s">
        <v>2789</v>
      </c>
      <c r="C895" t="s">
        <v>4185</v>
      </c>
      <c r="D895">
        <v>12</v>
      </c>
      <c r="E895" t="s">
        <v>4445</v>
      </c>
      <c r="F895" t="s">
        <v>2788</v>
      </c>
      <c r="G895" t="s">
        <v>5570</v>
      </c>
      <c r="H895" t="s">
        <v>4915</v>
      </c>
    </row>
    <row r="896" spans="1:8" x14ac:dyDescent="0.25">
      <c r="A896">
        <v>769902112</v>
      </c>
      <c r="B896" t="s">
        <v>2792</v>
      </c>
      <c r="C896" t="s">
        <v>4465</v>
      </c>
      <c r="D896">
        <v>13</v>
      </c>
      <c r="E896" t="s">
        <v>4445</v>
      </c>
      <c r="F896" t="s">
        <v>2791</v>
      </c>
      <c r="G896" t="s">
        <v>5568</v>
      </c>
      <c r="H896" t="s">
        <v>4915</v>
      </c>
    </row>
    <row r="897" spans="1:8" x14ac:dyDescent="0.25">
      <c r="A897">
        <v>769915311</v>
      </c>
      <c r="B897" t="s">
        <v>516</v>
      </c>
      <c r="C897" t="s">
        <v>4218</v>
      </c>
      <c r="D897">
        <v>9</v>
      </c>
      <c r="E897" t="s">
        <v>4445</v>
      </c>
      <c r="F897" t="s">
        <v>3714</v>
      </c>
      <c r="G897" t="s">
        <v>5568</v>
      </c>
      <c r="H897" t="s">
        <v>4915</v>
      </c>
    </row>
    <row r="898" spans="1:8" x14ac:dyDescent="0.25">
      <c r="A898">
        <v>769919759</v>
      </c>
      <c r="B898" t="s">
        <v>517</v>
      </c>
      <c r="C898" t="s">
        <v>4390</v>
      </c>
      <c r="D898">
        <v>13</v>
      </c>
      <c r="E898" t="s">
        <v>4445</v>
      </c>
      <c r="F898" t="s">
        <v>2796</v>
      </c>
      <c r="G898" t="s">
        <v>5568</v>
      </c>
      <c r="H898" t="s">
        <v>4915</v>
      </c>
    </row>
    <row r="899" spans="1:8" x14ac:dyDescent="0.25">
      <c r="A899">
        <v>769957855</v>
      </c>
      <c r="B899" t="s">
        <v>518</v>
      </c>
      <c r="C899" t="s">
        <v>4497</v>
      </c>
      <c r="D899">
        <v>8</v>
      </c>
      <c r="E899" t="s">
        <v>4445</v>
      </c>
      <c r="F899" t="s">
        <v>2798</v>
      </c>
      <c r="G899" t="s">
        <v>5568</v>
      </c>
      <c r="H899" t="s">
        <v>4915</v>
      </c>
    </row>
    <row r="900" spans="1:8" x14ac:dyDescent="0.25">
      <c r="A900">
        <v>769958789</v>
      </c>
      <c r="B900" t="s">
        <v>519</v>
      </c>
      <c r="C900" t="s">
        <v>4393</v>
      </c>
      <c r="D900">
        <v>13</v>
      </c>
      <c r="E900" t="s">
        <v>4445</v>
      </c>
      <c r="F900" t="s">
        <v>3252</v>
      </c>
      <c r="G900" t="s">
        <v>5568</v>
      </c>
      <c r="H900" t="s">
        <v>4915</v>
      </c>
    </row>
    <row r="901" spans="1:8" x14ac:dyDescent="0.25">
      <c r="A901">
        <v>769987304</v>
      </c>
      <c r="B901" t="s">
        <v>2435</v>
      </c>
      <c r="C901" t="s">
        <v>4183</v>
      </c>
      <c r="D901">
        <v>8</v>
      </c>
      <c r="E901" t="s">
        <v>4445</v>
      </c>
      <c r="F901" t="s">
        <v>2434</v>
      </c>
      <c r="G901" t="s">
        <v>5568</v>
      </c>
      <c r="H901" t="s">
        <v>4915</v>
      </c>
    </row>
    <row r="902" spans="1:8" x14ac:dyDescent="0.25">
      <c r="A902">
        <v>770052645</v>
      </c>
      <c r="B902" t="s">
        <v>5668</v>
      </c>
      <c r="C902" t="s">
        <v>4206</v>
      </c>
      <c r="D902">
        <v>6</v>
      </c>
      <c r="E902" t="s">
        <v>4445</v>
      </c>
      <c r="F902" t="s">
        <v>5669</v>
      </c>
      <c r="G902" t="s">
        <v>5568</v>
      </c>
      <c r="H902" t="s">
        <v>4915</v>
      </c>
    </row>
    <row r="903" spans="1:8" x14ac:dyDescent="0.25">
      <c r="A903">
        <v>770084466</v>
      </c>
      <c r="B903" t="s">
        <v>520</v>
      </c>
      <c r="C903" t="s">
        <v>4257</v>
      </c>
      <c r="D903">
        <v>7</v>
      </c>
      <c r="E903" t="s">
        <v>4445</v>
      </c>
      <c r="F903" t="s">
        <v>1974</v>
      </c>
      <c r="G903" t="s">
        <v>5568</v>
      </c>
      <c r="H903" t="s">
        <v>4915</v>
      </c>
    </row>
    <row r="904" spans="1:8" x14ac:dyDescent="0.25">
      <c r="A904">
        <v>770085454</v>
      </c>
      <c r="B904" t="s">
        <v>2808</v>
      </c>
      <c r="C904" t="s">
        <v>4182</v>
      </c>
      <c r="D904">
        <v>2</v>
      </c>
      <c r="E904" t="s">
        <v>4445</v>
      </c>
      <c r="F904" t="s">
        <v>2807</v>
      </c>
      <c r="G904" t="s">
        <v>5570</v>
      </c>
      <c r="H904" t="s">
        <v>4915</v>
      </c>
    </row>
    <row r="905" spans="1:8" x14ac:dyDescent="0.25">
      <c r="A905">
        <v>770120012</v>
      </c>
      <c r="B905" t="s">
        <v>2811</v>
      </c>
      <c r="C905" t="s">
        <v>4395</v>
      </c>
      <c r="D905">
        <v>13</v>
      </c>
      <c r="E905" t="s">
        <v>4445</v>
      </c>
      <c r="F905" t="s">
        <v>2810</v>
      </c>
      <c r="G905" t="s">
        <v>5569</v>
      </c>
      <c r="H905" t="s">
        <v>4915</v>
      </c>
    </row>
    <row r="906" spans="1:8" x14ac:dyDescent="0.25">
      <c r="A906">
        <v>770220416</v>
      </c>
      <c r="B906" t="s">
        <v>5498</v>
      </c>
      <c r="C906" t="s">
        <v>4395</v>
      </c>
      <c r="D906">
        <v>13</v>
      </c>
      <c r="E906" t="s">
        <v>4445</v>
      </c>
      <c r="F906" t="s">
        <v>5499</v>
      </c>
      <c r="G906" t="s">
        <v>5569</v>
      </c>
      <c r="H906" t="s">
        <v>4915</v>
      </c>
    </row>
    <row r="907" spans="1:8" x14ac:dyDescent="0.25">
      <c r="A907">
        <v>770252970</v>
      </c>
      <c r="B907" t="s">
        <v>846</v>
      </c>
      <c r="C907" t="s">
        <v>4168</v>
      </c>
      <c r="D907">
        <v>13</v>
      </c>
      <c r="E907" t="s">
        <v>4445</v>
      </c>
      <c r="F907" t="s">
        <v>2813</v>
      </c>
      <c r="G907" t="s">
        <v>5570</v>
      </c>
      <c r="H907" t="s">
        <v>4915</v>
      </c>
    </row>
    <row r="908" spans="1:8" x14ac:dyDescent="0.25">
      <c r="A908">
        <v>770253160</v>
      </c>
      <c r="B908" t="s">
        <v>521</v>
      </c>
      <c r="C908" t="s">
        <v>4465</v>
      </c>
      <c r="D908">
        <v>13</v>
      </c>
      <c r="E908" t="s">
        <v>4445</v>
      </c>
      <c r="F908" t="s">
        <v>3580</v>
      </c>
      <c r="G908" t="s">
        <v>5568</v>
      </c>
      <c r="H908" t="s">
        <v>4915</v>
      </c>
    </row>
    <row r="909" spans="1:8" x14ac:dyDescent="0.25">
      <c r="A909">
        <v>770264847</v>
      </c>
      <c r="B909" t="s">
        <v>1004</v>
      </c>
      <c r="C909" t="s">
        <v>4497</v>
      </c>
      <c r="D909">
        <v>8</v>
      </c>
      <c r="E909" t="s">
        <v>4445</v>
      </c>
      <c r="F909" t="s">
        <v>2817</v>
      </c>
      <c r="G909" t="s">
        <v>5570</v>
      </c>
      <c r="H909" t="s">
        <v>4915</v>
      </c>
    </row>
    <row r="910" spans="1:8" x14ac:dyDescent="0.25">
      <c r="A910">
        <v>770270642</v>
      </c>
      <c r="B910" t="s">
        <v>2820</v>
      </c>
      <c r="C910" t="s">
        <v>4391</v>
      </c>
      <c r="D910">
        <v>13</v>
      </c>
      <c r="E910" t="s">
        <v>4445</v>
      </c>
      <c r="F910" t="s">
        <v>2819</v>
      </c>
      <c r="G910" t="s">
        <v>5568</v>
      </c>
      <c r="H910" t="s">
        <v>4915</v>
      </c>
    </row>
    <row r="911" spans="1:8" x14ac:dyDescent="0.25">
      <c r="A911">
        <v>770324580</v>
      </c>
      <c r="B911" t="s">
        <v>5714</v>
      </c>
      <c r="C911" t="s">
        <v>4465</v>
      </c>
      <c r="D911">
        <v>13</v>
      </c>
      <c r="E911" t="s">
        <v>4445</v>
      </c>
      <c r="F911" t="s">
        <v>5715</v>
      </c>
      <c r="G911" t="s">
        <v>5568</v>
      </c>
      <c r="H911" t="s">
        <v>4915</v>
      </c>
    </row>
    <row r="912" spans="1:8" x14ac:dyDescent="0.25">
      <c r="A912">
        <v>770342554</v>
      </c>
      <c r="B912" t="s">
        <v>3057</v>
      </c>
      <c r="C912" t="s">
        <v>4490</v>
      </c>
      <c r="D912">
        <v>5</v>
      </c>
      <c r="E912" t="s">
        <v>4445</v>
      </c>
      <c r="F912" t="s">
        <v>3056</v>
      </c>
      <c r="G912" t="s">
        <v>5568</v>
      </c>
      <c r="H912" t="s">
        <v>4915</v>
      </c>
    </row>
    <row r="913" spans="1:8" x14ac:dyDescent="0.25">
      <c r="A913" t="s">
        <v>934</v>
      </c>
      <c r="B913" t="s">
        <v>941</v>
      </c>
      <c r="C913" t="s">
        <v>4178</v>
      </c>
      <c r="D913">
        <v>6</v>
      </c>
      <c r="E913" t="s">
        <v>4445</v>
      </c>
      <c r="F913" t="s">
        <v>2822</v>
      </c>
      <c r="G913" t="s">
        <v>5568</v>
      </c>
      <c r="H913" t="s">
        <v>4915</v>
      </c>
    </row>
    <row r="914" spans="1:8" x14ac:dyDescent="0.25">
      <c r="A914">
        <v>770377528</v>
      </c>
      <c r="B914" t="s">
        <v>4991</v>
      </c>
      <c r="C914" t="s">
        <v>4168</v>
      </c>
      <c r="D914">
        <v>13</v>
      </c>
      <c r="E914" t="s">
        <v>4445</v>
      </c>
      <c r="F914" t="s">
        <v>4992</v>
      </c>
      <c r="G914" t="s">
        <v>5568</v>
      </c>
      <c r="H914" t="s">
        <v>4915</v>
      </c>
    </row>
    <row r="915" spans="1:8" x14ac:dyDescent="0.25">
      <c r="A915">
        <v>770422620</v>
      </c>
      <c r="B915" t="s">
        <v>935</v>
      </c>
      <c r="C915" t="s">
        <v>4460</v>
      </c>
      <c r="D915">
        <v>8</v>
      </c>
      <c r="E915" t="s">
        <v>4445</v>
      </c>
      <c r="F915" t="s">
        <v>2824</v>
      </c>
      <c r="G915" t="s">
        <v>5570</v>
      </c>
      <c r="H915" t="s">
        <v>4915</v>
      </c>
    </row>
    <row r="916" spans="1:8" x14ac:dyDescent="0.25">
      <c r="A916">
        <v>770443032</v>
      </c>
      <c r="B916" t="s">
        <v>522</v>
      </c>
      <c r="C916" t="s">
        <v>4465</v>
      </c>
      <c r="D916">
        <v>13</v>
      </c>
      <c r="E916" t="s">
        <v>4445</v>
      </c>
      <c r="F916" t="s">
        <v>2826</v>
      </c>
      <c r="G916" t="s">
        <v>5570</v>
      </c>
      <c r="H916" t="s">
        <v>4915</v>
      </c>
    </row>
    <row r="917" spans="1:8" x14ac:dyDescent="0.25">
      <c r="A917">
        <v>770510473</v>
      </c>
      <c r="B917" t="s">
        <v>523</v>
      </c>
      <c r="C917" t="s">
        <v>4395</v>
      </c>
      <c r="D917">
        <v>13</v>
      </c>
      <c r="E917" t="s">
        <v>4445</v>
      </c>
      <c r="F917" t="s">
        <v>2237</v>
      </c>
      <c r="G917" t="s">
        <v>5570</v>
      </c>
      <c r="H917" t="s">
        <v>4915</v>
      </c>
    </row>
    <row r="918" spans="1:8" x14ac:dyDescent="0.25">
      <c r="A918">
        <v>770540283</v>
      </c>
      <c r="B918" t="s">
        <v>4580</v>
      </c>
      <c r="C918" t="s">
        <v>4465</v>
      </c>
      <c r="D918">
        <v>13</v>
      </c>
      <c r="E918" t="s">
        <v>4445</v>
      </c>
      <c r="F918" t="s">
        <v>4579</v>
      </c>
      <c r="G918" t="s">
        <v>5568</v>
      </c>
      <c r="H918" t="s">
        <v>4915</v>
      </c>
    </row>
    <row r="919" spans="1:8" x14ac:dyDescent="0.25">
      <c r="A919">
        <v>770634911</v>
      </c>
      <c r="B919" t="s">
        <v>4752</v>
      </c>
      <c r="C919" t="s">
        <v>4552</v>
      </c>
      <c r="D919">
        <v>13</v>
      </c>
      <c r="E919" t="s">
        <v>4445</v>
      </c>
      <c r="F919" t="s">
        <v>4909</v>
      </c>
      <c r="G919" t="s">
        <v>5568</v>
      </c>
      <c r="H919" t="s">
        <v>4915</v>
      </c>
    </row>
    <row r="920" spans="1:8" x14ac:dyDescent="0.25">
      <c r="A920">
        <v>770697182</v>
      </c>
      <c r="B920" t="s">
        <v>524</v>
      </c>
      <c r="C920" t="s">
        <v>4395</v>
      </c>
      <c r="D920">
        <v>13</v>
      </c>
      <c r="E920" t="s">
        <v>4445</v>
      </c>
      <c r="F920" t="s">
        <v>2831</v>
      </c>
      <c r="G920" t="s">
        <v>5569</v>
      </c>
      <c r="H920" t="s">
        <v>4915</v>
      </c>
    </row>
    <row r="921" spans="1:8" x14ac:dyDescent="0.25">
      <c r="A921">
        <v>770724309</v>
      </c>
      <c r="B921" t="s">
        <v>525</v>
      </c>
      <c r="C921" t="s">
        <v>4264</v>
      </c>
      <c r="D921">
        <v>7</v>
      </c>
      <c r="E921" t="s">
        <v>4445</v>
      </c>
      <c r="F921" t="s">
        <v>4122</v>
      </c>
      <c r="G921" t="s">
        <v>5570</v>
      </c>
      <c r="H921" t="s">
        <v>4915</v>
      </c>
    </row>
    <row r="922" spans="1:8" x14ac:dyDescent="0.25">
      <c r="A922">
        <v>770734444</v>
      </c>
      <c r="B922" t="s">
        <v>5700</v>
      </c>
      <c r="C922" t="s">
        <v>4465</v>
      </c>
      <c r="D922">
        <v>13</v>
      </c>
      <c r="E922" t="s">
        <v>4445</v>
      </c>
      <c r="F922" t="s">
        <v>5701</v>
      </c>
      <c r="G922" t="s">
        <v>5568</v>
      </c>
      <c r="H922" t="s">
        <v>4915</v>
      </c>
    </row>
    <row r="923" spans="1:8" x14ac:dyDescent="0.25">
      <c r="A923">
        <v>770796555</v>
      </c>
      <c r="B923" t="s">
        <v>5475</v>
      </c>
      <c r="C923" t="s">
        <v>4273</v>
      </c>
      <c r="D923">
        <v>8</v>
      </c>
      <c r="E923" t="s">
        <v>4445</v>
      </c>
      <c r="F923" t="s">
        <v>5476</v>
      </c>
      <c r="G923" t="s">
        <v>5568</v>
      </c>
      <c r="H923" t="s">
        <v>4915</v>
      </c>
    </row>
    <row r="924" spans="1:8" x14ac:dyDescent="0.25">
      <c r="A924">
        <v>770834589</v>
      </c>
      <c r="B924" t="s">
        <v>1082</v>
      </c>
      <c r="C924" t="s">
        <v>4168</v>
      </c>
      <c r="D924">
        <v>13</v>
      </c>
      <c r="E924" t="s">
        <v>4445</v>
      </c>
      <c r="F924" t="s">
        <v>2835</v>
      </c>
      <c r="G924" t="s">
        <v>5570</v>
      </c>
      <c r="H924" t="s">
        <v>4915</v>
      </c>
    </row>
    <row r="925" spans="1:8" x14ac:dyDescent="0.25">
      <c r="A925">
        <v>770867053</v>
      </c>
      <c r="B925" t="s">
        <v>2838</v>
      </c>
      <c r="C925" t="s">
        <v>4381</v>
      </c>
      <c r="D925">
        <v>13</v>
      </c>
      <c r="E925" t="s">
        <v>4445</v>
      </c>
      <c r="F925" t="s">
        <v>2837</v>
      </c>
      <c r="G925" t="s">
        <v>5568</v>
      </c>
      <c r="H925" t="s">
        <v>4915</v>
      </c>
    </row>
    <row r="926" spans="1:8" x14ac:dyDescent="0.25">
      <c r="A926">
        <v>770874432</v>
      </c>
      <c r="B926" t="s">
        <v>2167</v>
      </c>
      <c r="C926" t="s">
        <v>4465</v>
      </c>
      <c r="D926">
        <v>13</v>
      </c>
      <c r="E926" t="s">
        <v>4445</v>
      </c>
      <c r="F926" t="s">
        <v>2166</v>
      </c>
      <c r="G926" t="s">
        <v>5570</v>
      </c>
      <c r="H926" t="s">
        <v>4915</v>
      </c>
    </row>
    <row r="927" spans="1:8" x14ac:dyDescent="0.25">
      <c r="A927">
        <v>770930960</v>
      </c>
      <c r="B927" t="s">
        <v>2841</v>
      </c>
      <c r="C927" t="s">
        <v>4490</v>
      </c>
      <c r="D927">
        <v>5</v>
      </c>
      <c r="E927" t="s">
        <v>4445</v>
      </c>
      <c r="F927" t="s">
        <v>2840</v>
      </c>
      <c r="G927" t="s">
        <v>5568</v>
      </c>
      <c r="H927" t="s">
        <v>4915</v>
      </c>
    </row>
    <row r="928" spans="1:8" x14ac:dyDescent="0.25">
      <c r="A928">
        <v>770940354</v>
      </c>
      <c r="B928" t="s">
        <v>526</v>
      </c>
      <c r="C928" t="s">
        <v>4168</v>
      </c>
      <c r="D928">
        <v>13</v>
      </c>
      <c r="E928" t="s">
        <v>4445</v>
      </c>
      <c r="F928" t="s">
        <v>2843</v>
      </c>
      <c r="G928" t="s">
        <v>5568</v>
      </c>
      <c r="H928" t="s">
        <v>4915</v>
      </c>
    </row>
    <row r="929" spans="1:8" x14ac:dyDescent="0.25">
      <c r="A929">
        <v>771015123</v>
      </c>
      <c r="B929" t="s">
        <v>3777</v>
      </c>
      <c r="C929" t="s">
        <v>4168</v>
      </c>
      <c r="D929">
        <v>13</v>
      </c>
      <c r="E929" t="s">
        <v>4445</v>
      </c>
      <c r="F929" t="s">
        <v>3776</v>
      </c>
      <c r="G929" t="s">
        <v>5568</v>
      </c>
      <c r="H929" t="s">
        <v>4915</v>
      </c>
    </row>
    <row r="930" spans="1:8" x14ac:dyDescent="0.25">
      <c r="A930">
        <v>771077935</v>
      </c>
      <c r="B930" t="s">
        <v>2849</v>
      </c>
      <c r="C930" t="s">
        <v>4555</v>
      </c>
      <c r="D930">
        <v>13</v>
      </c>
      <c r="E930" t="s">
        <v>4445</v>
      </c>
      <c r="F930" t="s">
        <v>2848</v>
      </c>
      <c r="G930" t="s">
        <v>5568</v>
      </c>
      <c r="H930" t="s">
        <v>4915</v>
      </c>
    </row>
    <row r="931" spans="1:8" x14ac:dyDescent="0.25">
      <c r="A931">
        <v>771139620</v>
      </c>
      <c r="B931" t="s">
        <v>848</v>
      </c>
      <c r="C931" t="s">
        <v>4470</v>
      </c>
      <c r="D931">
        <v>13</v>
      </c>
      <c r="E931" t="s">
        <v>4445</v>
      </c>
      <c r="F931" t="s">
        <v>2851</v>
      </c>
      <c r="G931" t="s">
        <v>5570</v>
      </c>
      <c r="H931" t="s">
        <v>4915</v>
      </c>
    </row>
    <row r="932" spans="1:8" x14ac:dyDescent="0.25">
      <c r="A932">
        <v>771164862</v>
      </c>
      <c r="B932" t="s">
        <v>5457</v>
      </c>
      <c r="C932" t="s">
        <v>4391</v>
      </c>
      <c r="D932">
        <v>13</v>
      </c>
      <c r="E932" t="s">
        <v>4445</v>
      </c>
      <c r="F932" t="s">
        <v>5458</v>
      </c>
      <c r="G932" t="s">
        <v>5568</v>
      </c>
      <c r="H932" t="s">
        <v>4915</v>
      </c>
    </row>
    <row r="933" spans="1:8" x14ac:dyDescent="0.25">
      <c r="A933">
        <v>771264034</v>
      </c>
      <c r="B933" t="s">
        <v>3340</v>
      </c>
      <c r="C933" t="s">
        <v>4175</v>
      </c>
      <c r="D933">
        <v>5</v>
      </c>
      <c r="E933" t="s">
        <v>4445</v>
      </c>
      <c r="F933" t="s">
        <v>3339</v>
      </c>
      <c r="G933" t="s">
        <v>5568</v>
      </c>
      <c r="H933" t="s">
        <v>4915</v>
      </c>
    </row>
    <row r="934" spans="1:8" x14ac:dyDescent="0.25">
      <c r="A934">
        <v>771314945</v>
      </c>
      <c r="B934" t="s">
        <v>527</v>
      </c>
      <c r="C934" t="s">
        <v>4460</v>
      </c>
      <c r="D934">
        <v>8</v>
      </c>
      <c r="E934" t="s">
        <v>4445</v>
      </c>
      <c r="F934" t="s">
        <v>2856</v>
      </c>
      <c r="G934" t="s">
        <v>5570</v>
      </c>
      <c r="H934" t="s">
        <v>4915</v>
      </c>
    </row>
    <row r="935" spans="1:8" x14ac:dyDescent="0.25">
      <c r="A935">
        <v>771399762</v>
      </c>
      <c r="B935" t="s">
        <v>5546</v>
      </c>
      <c r="C935" t="s">
        <v>4380</v>
      </c>
      <c r="D935">
        <v>8</v>
      </c>
      <c r="E935" t="s">
        <v>4445</v>
      </c>
      <c r="F935" t="s">
        <v>5547</v>
      </c>
      <c r="G935" t="s">
        <v>5569</v>
      </c>
      <c r="H935" t="s">
        <v>4915</v>
      </c>
    </row>
    <row r="936" spans="1:8" x14ac:dyDescent="0.25">
      <c r="A936">
        <v>771451667</v>
      </c>
      <c r="B936" t="s">
        <v>5674</v>
      </c>
      <c r="C936" t="s">
        <v>4510</v>
      </c>
      <c r="D936">
        <v>13</v>
      </c>
      <c r="E936" t="s">
        <v>4445</v>
      </c>
      <c r="F936" t="s">
        <v>5675</v>
      </c>
      <c r="G936" t="s">
        <v>5569</v>
      </c>
      <c r="H936" t="s">
        <v>4915</v>
      </c>
    </row>
    <row r="937" spans="1:8" x14ac:dyDescent="0.25">
      <c r="A937">
        <v>771455840</v>
      </c>
      <c r="B937" t="s">
        <v>528</v>
      </c>
      <c r="C937" t="s">
        <v>4257</v>
      </c>
      <c r="D937">
        <v>7</v>
      </c>
      <c r="E937" t="s">
        <v>4445</v>
      </c>
      <c r="F937" t="s">
        <v>2858</v>
      </c>
      <c r="G937" t="s">
        <v>5570</v>
      </c>
      <c r="H937" t="s">
        <v>4915</v>
      </c>
    </row>
    <row r="938" spans="1:8" x14ac:dyDescent="0.25">
      <c r="A938">
        <v>771477356</v>
      </c>
      <c r="B938" t="s">
        <v>529</v>
      </c>
      <c r="C938" t="s">
        <v>4495</v>
      </c>
      <c r="D938">
        <v>16</v>
      </c>
      <c r="E938" t="s">
        <v>4445</v>
      </c>
      <c r="F938" t="s">
        <v>1969</v>
      </c>
      <c r="G938" t="s">
        <v>5568</v>
      </c>
      <c r="H938" t="s">
        <v>4915</v>
      </c>
    </row>
    <row r="939" spans="1:8" x14ac:dyDescent="0.25">
      <c r="A939" t="s">
        <v>4928</v>
      </c>
      <c r="B939" t="s">
        <v>4929</v>
      </c>
      <c r="C939" t="s">
        <v>4287</v>
      </c>
      <c r="D939">
        <v>13</v>
      </c>
      <c r="E939" t="s">
        <v>4445</v>
      </c>
      <c r="F939" t="s">
        <v>4930</v>
      </c>
      <c r="G939" t="s">
        <v>5568</v>
      </c>
      <c r="H939" t="s">
        <v>4915</v>
      </c>
    </row>
    <row r="940" spans="1:8" x14ac:dyDescent="0.25">
      <c r="A940">
        <v>771478026</v>
      </c>
      <c r="B940" t="s">
        <v>530</v>
      </c>
      <c r="C940" t="s">
        <v>4168</v>
      </c>
      <c r="D940">
        <v>13</v>
      </c>
      <c r="E940" t="s">
        <v>4445</v>
      </c>
      <c r="F940" t="s">
        <v>2863</v>
      </c>
      <c r="G940" t="s">
        <v>5568</v>
      </c>
      <c r="H940" t="s">
        <v>4915</v>
      </c>
    </row>
    <row r="941" spans="1:8" x14ac:dyDescent="0.25">
      <c r="A941">
        <v>771480330</v>
      </c>
      <c r="B941" t="s">
        <v>531</v>
      </c>
      <c r="C941" t="s">
        <v>4528</v>
      </c>
      <c r="D941">
        <v>13</v>
      </c>
      <c r="E941" t="s">
        <v>4445</v>
      </c>
      <c r="F941" t="s">
        <v>2865</v>
      </c>
      <c r="G941" t="s">
        <v>5570</v>
      </c>
      <c r="H941" t="s">
        <v>4915</v>
      </c>
    </row>
    <row r="942" spans="1:8" x14ac:dyDescent="0.25">
      <c r="A942">
        <v>771497691</v>
      </c>
      <c r="B942" t="s">
        <v>849</v>
      </c>
      <c r="C942" t="s">
        <v>4391</v>
      </c>
      <c r="D942">
        <v>13</v>
      </c>
      <c r="E942" t="s">
        <v>4445</v>
      </c>
      <c r="F942" t="s">
        <v>1271</v>
      </c>
      <c r="G942" t="s">
        <v>5570</v>
      </c>
      <c r="H942" t="s">
        <v>4915</v>
      </c>
    </row>
    <row r="943" spans="1:8" x14ac:dyDescent="0.25">
      <c r="A943">
        <v>771509398</v>
      </c>
      <c r="B943" t="s">
        <v>5805</v>
      </c>
      <c r="C943" t="s">
        <v>4528</v>
      </c>
      <c r="D943">
        <v>13</v>
      </c>
      <c r="E943" t="s">
        <v>4445</v>
      </c>
      <c r="F943" t="s">
        <v>5806</v>
      </c>
      <c r="H943" t="s">
        <v>4915</v>
      </c>
    </row>
    <row r="944" spans="1:8" x14ac:dyDescent="0.25">
      <c r="A944">
        <v>771513638</v>
      </c>
      <c r="B944" t="s">
        <v>532</v>
      </c>
      <c r="C944" t="s">
        <v>4409</v>
      </c>
      <c r="D944">
        <v>13</v>
      </c>
      <c r="E944" t="s">
        <v>4445</v>
      </c>
      <c r="F944" t="s">
        <v>2870</v>
      </c>
      <c r="G944" t="s">
        <v>5568</v>
      </c>
      <c r="H944" t="s">
        <v>4915</v>
      </c>
    </row>
    <row r="945" spans="1:8" x14ac:dyDescent="0.25">
      <c r="A945">
        <v>771532128</v>
      </c>
      <c r="B945" t="s">
        <v>850</v>
      </c>
      <c r="C945" t="s">
        <v>4391</v>
      </c>
      <c r="D945">
        <v>13</v>
      </c>
      <c r="E945" t="s">
        <v>4445</v>
      </c>
      <c r="F945" t="s">
        <v>2872</v>
      </c>
      <c r="G945" t="s">
        <v>5568</v>
      </c>
      <c r="H945" t="s">
        <v>4915</v>
      </c>
    </row>
    <row r="946" spans="1:8" x14ac:dyDescent="0.25">
      <c r="A946">
        <v>771563767</v>
      </c>
      <c r="B946" t="s">
        <v>3337</v>
      </c>
      <c r="C946" t="s">
        <v>4395</v>
      </c>
      <c r="D946">
        <v>13</v>
      </c>
      <c r="E946" t="s">
        <v>4445</v>
      </c>
      <c r="F946" t="s">
        <v>3336</v>
      </c>
      <c r="G946" t="s">
        <v>5569</v>
      </c>
      <c r="H946" t="s">
        <v>4915</v>
      </c>
    </row>
    <row r="947" spans="1:8" x14ac:dyDescent="0.25">
      <c r="A947">
        <v>771564356</v>
      </c>
      <c r="B947" t="s">
        <v>533</v>
      </c>
      <c r="C947" t="s">
        <v>4465</v>
      </c>
      <c r="D947">
        <v>13</v>
      </c>
      <c r="E947" t="s">
        <v>4445</v>
      </c>
      <c r="F947" t="s">
        <v>2877</v>
      </c>
      <c r="G947" t="s">
        <v>5568</v>
      </c>
      <c r="H947" t="s">
        <v>4915</v>
      </c>
    </row>
    <row r="948" spans="1:8" x14ac:dyDescent="0.25">
      <c r="A948">
        <v>771601715</v>
      </c>
      <c r="B948" t="s">
        <v>534</v>
      </c>
      <c r="C948" t="s">
        <v>4528</v>
      </c>
      <c r="D948">
        <v>13</v>
      </c>
      <c r="E948" t="s">
        <v>4445</v>
      </c>
      <c r="F948" t="s">
        <v>2879</v>
      </c>
      <c r="G948" t="s">
        <v>5568</v>
      </c>
      <c r="H948" t="s">
        <v>4915</v>
      </c>
    </row>
    <row r="949" spans="1:8" x14ac:dyDescent="0.25">
      <c r="A949" t="s">
        <v>5577</v>
      </c>
      <c r="B949" t="s">
        <v>5578</v>
      </c>
      <c r="C949" t="s">
        <v>4175</v>
      </c>
      <c r="D949">
        <v>5</v>
      </c>
      <c r="E949" t="s">
        <v>4445</v>
      </c>
      <c r="F949" t="s">
        <v>5579</v>
      </c>
      <c r="G949" t="s">
        <v>5570</v>
      </c>
      <c r="H949" t="s">
        <v>4915</v>
      </c>
    </row>
    <row r="950" spans="1:8" x14ac:dyDescent="0.25">
      <c r="A950">
        <v>771711480</v>
      </c>
      <c r="B950" t="s">
        <v>4433</v>
      </c>
      <c r="C950" t="s">
        <v>4245</v>
      </c>
      <c r="D950">
        <v>4</v>
      </c>
      <c r="E950" t="s">
        <v>4445</v>
      </c>
      <c r="F950" t="s">
        <v>4581</v>
      </c>
      <c r="G950" t="s">
        <v>5568</v>
      </c>
      <c r="H950" t="s">
        <v>4915</v>
      </c>
    </row>
    <row r="951" spans="1:8" x14ac:dyDescent="0.25">
      <c r="A951">
        <v>771736238</v>
      </c>
      <c r="B951" t="s">
        <v>4583</v>
      </c>
      <c r="C951" t="s">
        <v>4465</v>
      </c>
      <c r="D951">
        <v>13</v>
      </c>
      <c r="E951" t="s">
        <v>4445</v>
      </c>
      <c r="F951" t="s">
        <v>4582</v>
      </c>
      <c r="G951" t="s">
        <v>5568</v>
      </c>
      <c r="H951" t="s">
        <v>4915</v>
      </c>
    </row>
    <row r="952" spans="1:8" x14ac:dyDescent="0.25">
      <c r="A952">
        <v>771784062</v>
      </c>
      <c r="B952" t="s">
        <v>535</v>
      </c>
      <c r="C952" t="s">
        <v>4182</v>
      </c>
      <c r="D952">
        <v>2</v>
      </c>
      <c r="E952" t="s">
        <v>4445</v>
      </c>
      <c r="F952" t="s">
        <v>2881</v>
      </c>
      <c r="G952" t="s">
        <v>5576</v>
      </c>
      <c r="H952" t="s">
        <v>4915</v>
      </c>
    </row>
    <row r="953" spans="1:8" x14ac:dyDescent="0.25">
      <c r="A953">
        <v>771834574</v>
      </c>
      <c r="B953" t="s">
        <v>4982</v>
      </c>
      <c r="C953" t="s">
        <v>4264</v>
      </c>
      <c r="D953">
        <v>7</v>
      </c>
      <c r="E953" t="s">
        <v>4445</v>
      </c>
      <c r="F953" t="s">
        <v>4983</v>
      </c>
      <c r="H953" t="s">
        <v>4915</v>
      </c>
    </row>
    <row r="954" spans="1:8" x14ac:dyDescent="0.25">
      <c r="A954">
        <v>771855199</v>
      </c>
      <c r="B954" t="s">
        <v>536</v>
      </c>
      <c r="C954" t="s">
        <v>4168</v>
      </c>
      <c r="D954">
        <v>13</v>
      </c>
      <c r="E954" t="s">
        <v>4445</v>
      </c>
      <c r="F954" t="s">
        <v>1286</v>
      </c>
      <c r="G954" t="s">
        <v>5568</v>
      </c>
      <c r="H954" t="s">
        <v>4915</v>
      </c>
    </row>
    <row r="955" spans="1:8" x14ac:dyDescent="0.25">
      <c r="A955">
        <v>771867634</v>
      </c>
      <c r="B955" t="s">
        <v>851</v>
      </c>
      <c r="C955" t="s">
        <v>4175</v>
      </c>
      <c r="D955">
        <v>5</v>
      </c>
      <c r="E955" t="s">
        <v>4445</v>
      </c>
      <c r="F955" t="s">
        <v>2886</v>
      </c>
      <c r="G955" t="s">
        <v>5568</v>
      </c>
      <c r="H955" t="s">
        <v>4915</v>
      </c>
    </row>
    <row r="956" spans="1:8" x14ac:dyDescent="0.25">
      <c r="A956">
        <v>771868592</v>
      </c>
      <c r="B956" t="s">
        <v>537</v>
      </c>
      <c r="C956" t="s">
        <v>4218</v>
      </c>
      <c r="D956">
        <v>9</v>
      </c>
      <c r="E956" t="s">
        <v>4445</v>
      </c>
      <c r="F956" t="s">
        <v>1228</v>
      </c>
      <c r="G956" t="s">
        <v>5568</v>
      </c>
      <c r="H956" t="s">
        <v>4915</v>
      </c>
    </row>
    <row r="957" spans="1:8" x14ac:dyDescent="0.25">
      <c r="A957">
        <v>771873316</v>
      </c>
      <c r="B957" t="s">
        <v>2892</v>
      </c>
      <c r="C957" t="s">
        <v>4264</v>
      </c>
      <c r="D957">
        <v>7</v>
      </c>
      <c r="E957" t="s">
        <v>4445</v>
      </c>
      <c r="F957" t="s">
        <v>2891</v>
      </c>
      <c r="G957" t="s">
        <v>5568</v>
      </c>
      <c r="H957" t="s">
        <v>4915</v>
      </c>
    </row>
    <row r="958" spans="1:8" x14ac:dyDescent="0.25">
      <c r="A958">
        <v>771875475</v>
      </c>
      <c r="B958" t="s">
        <v>2895</v>
      </c>
      <c r="C958" t="s">
        <v>4175</v>
      </c>
      <c r="D958">
        <v>5</v>
      </c>
      <c r="E958" t="s">
        <v>4445</v>
      </c>
      <c r="F958" t="s">
        <v>2894</v>
      </c>
      <c r="G958" t="s">
        <v>5568</v>
      </c>
      <c r="H958" t="s">
        <v>4915</v>
      </c>
    </row>
    <row r="959" spans="1:8" x14ac:dyDescent="0.25">
      <c r="A959">
        <v>771893740</v>
      </c>
      <c r="B959" t="s">
        <v>852</v>
      </c>
      <c r="C959" t="s">
        <v>4168</v>
      </c>
      <c r="D959">
        <v>13</v>
      </c>
      <c r="E959" t="s">
        <v>4445</v>
      </c>
      <c r="F959" t="s">
        <v>2897</v>
      </c>
      <c r="G959" t="s">
        <v>5569</v>
      </c>
      <c r="H959" t="s">
        <v>4915</v>
      </c>
    </row>
    <row r="960" spans="1:8" x14ac:dyDescent="0.25">
      <c r="A960">
        <v>771907199</v>
      </c>
      <c r="B960" t="s">
        <v>1038</v>
      </c>
      <c r="C960" t="s">
        <v>4465</v>
      </c>
      <c r="D960">
        <v>13</v>
      </c>
      <c r="E960" t="s">
        <v>4445</v>
      </c>
      <c r="F960" t="s">
        <v>2899</v>
      </c>
      <c r="G960" t="s">
        <v>5568</v>
      </c>
      <c r="H960" t="s">
        <v>4915</v>
      </c>
    </row>
    <row r="961" spans="1:8" x14ac:dyDescent="0.25">
      <c r="A961">
        <v>771908802</v>
      </c>
      <c r="B961" t="s">
        <v>2100</v>
      </c>
      <c r="C961" t="s">
        <v>4456</v>
      </c>
      <c r="D961">
        <v>13</v>
      </c>
      <c r="E961" t="s">
        <v>4445</v>
      </c>
      <c r="F961" t="s">
        <v>2901</v>
      </c>
      <c r="G961" t="s">
        <v>5568</v>
      </c>
      <c r="H961" t="s">
        <v>4915</v>
      </c>
    </row>
    <row r="962" spans="1:8" x14ac:dyDescent="0.25">
      <c r="A962">
        <v>771911862</v>
      </c>
      <c r="B962" t="s">
        <v>539</v>
      </c>
      <c r="C962" t="s">
        <v>4245</v>
      </c>
      <c r="D962">
        <v>4</v>
      </c>
      <c r="E962" t="s">
        <v>4445</v>
      </c>
      <c r="F962" t="s">
        <v>2902</v>
      </c>
      <c r="G962" t="s">
        <v>5570</v>
      </c>
      <c r="H962" t="s">
        <v>4915</v>
      </c>
    </row>
    <row r="963" spans="1:8" x14ac:dyDescent="0.25">
      <c r="A963">
        <v>771935117</v>
      </c>
      <c r="B963" t="s">
        <v>2905</v>
      </c>
      <c r="C963" t="s">
        <v>4218</v>
      </c>
      <c r="D963">
        <v>9</v>
      </c>
      <c r="E963" t="s">
        <v>4445</v>
      </c>
      <c r="F963" t="s">
        <v>2904</v>
      </c>
      <c r="G963" t="s">
        <v>5568</v>
      </c>
      <c r="H963" t="s">
        <v>4915</v>
      </c>
    </row>
    <row r="964" spans="1:8" x14ac:dyDescent="0.25">
      <c r="A964">
        <v>771962610</v>
      </c>
      <c r="B964" t="s">
        <v>5463</v>
      </c>
      <c r="C964" t="s">
        <v>4175</v>
      </c>
      <c r="D964">
        <v>5</v>
      </c>
      <c r="E964" t="s">
        <v>4445</v>
      </c>
      <c r="F964" t="s">
        <v>5464</v>
      </c>
      <c r="G964" t="s">
        <v>5568</v>
      </c>
      <c r="H964" t="s">
        <v>4915</v>
      </c>
    </row>
    <row r="965" spans="1:8" x14ac:dyDescent="0.25">
      <c r="A965" t="s">
        <v>724</v>
      </c>
      <c r="B965" t="s">
        <v>725</v>
      </c>
      <c r="C965" t="s">
        <v>4465</v>
      </c>
      <c r="D965">
        <v>13</v>
      </c>
      <c r="E965" t="s">
        <v>4445</v>
      </c>
      <c r="F965" t="s">
        <v>2907</v>
      </c>
      <c r="G965" t="s">
        <v>5570</v>
      </c>
      <c r="H965" t="s">
        <v>4915</v>
      </c>
    </row>
    <row r="966" spans="1:8" x14ac:dyDescent="0.25">
      <c r="A966">
        <v>772043074</v>
      </c>
      <c r="B966" t="s">
        <v>540</v>
      </c>
      <c r="C966" t="s">
        <v>4293</v>
      </c>
      <c r="D966">
        <v>10</v>
      </c>
      <c r="E966" t="s">
        <v>4445</v>
      </c>
      <c r="F966" t="s">
        <v>2909</v>
      </c>
      <c r="G966" t="s">
        <v>5568</v>
      </c>
      <c r="H966" t="s">
        <v>4915</v>
      </c>
    </row>
    <row r="967" spans="1:8" x14ac:dyDescent="0.25">
      <c r="A967">
        <v>772070012</v>
      </c>
      <c r="B967" t="s">
        <v>5631</v>
      </c>
      <c r="C967" t="s">
        <v>4467</v>
      </c>
      <c r="D967">
        <v>14</v>
      </c>
      <c r="E967" t="s">
        <v>4445</v>
      </c>
      <c r="F967" t="s">
        <v>5632</v>
      </c>
      <c r="G967" t="s">
        <v>5568</v>
      </c>
      <c r="H967" t="s">
        <v>4915</v>
      </c>
    </row>
    <row r="968" spans="1:8" x14ac:dyDescent="0.25">
      <c r="A968">
        <v>772087233</v>
      </c>
      <c r="B968" t="s">
        <v>541</v>
      </c>
      <c r="C968" t="s">
        <v>4168</v>
      </c>
      <c r="D968">
        <v>13</v>
      </c>
      <c r="E968" t="s">
        <v>4445</v>
      </c>
      <c r="F968" t="s">
        <v>1905</v>
      </c>
      <c r="G968" t="s">
        <v>5568</v>
      </c>
      <c r="H968" t="s">
        <v>4915</v>
      </c>
    </row>
    <row r="969" spans="1:8" x14ac:dyDescent="0.25">
      <c r="A969">
        <v>772221533</v>
      </c>
      <c r="B969" t="s">
        <v>853</v>
      </c>
      <c r="C969" t="s">
        <v>4465</v>
      </c>
      <c r="D969">
        <v>13</v>
      </c>
      <c r="E969" t="s">
        <v>4445</v>
      </c>
      <c r="F969" t="s">
        <v>2914</v>
      </c>
      <c r="G969" t="s">
        <v>5570</v>
      </c>
      <c r="H969" t="s">
        <v>4915</v>
      </c>
    </row>
    <row r="970" spans="1:8" x14ac:dyDescent="0.25">
      <c r="A970">
        <v>772235445</v>
      </c>
      <c r="B970" t="s">
        <v>854</v>
      </c>
      <c r="C970" t="s">
        <v>4183</v>
      </c>
      <c r="D970">
        <v>8</v>
      </c>
      <c r="E970" t="s">
        <v>4445</v>
      </c>
      <c r="F970" t="s">
        <v>1359</v>
      </c>
      <c r="G970" t="s">
        <v>5568</v>
      </c>
      <c r="H970" t="s">
        <v>4915</v>
      </c>
    </row>
    <row r="971" spans="1:8" x14ac:dyDescent="0.25">
      <c r="A971">
        <v>772263198</v>
      </c>
      <c r="B971" t="s">
        <v>2920</v>
      </c>
      <c r="C971" t="s">
        <v>4401</v>
      </c>
      <c r="D971">
        <v>13</v>
      </c>
      <c r="E971" t="s">
        <v>4445</v>
      </c>
      <c r="F971" t="s">
        <v>2919</v>
      </c>
      <c r="G971" t="s">
        <v>5568</v>
      </c>
      <c r="H971" t="s">
        <v>4915</v>
      </c>
    </row>
    <row r="972" spans="1:8" x14ac:dyDescent="0.25">
      <c r="A972">
        <v>772336489</v>
      </c>
      <c r="B972" t="s">
        <v>2923</v>
      </c>
      <c r="C972" t="s">
        <v>4200</v>
      </c>
      <c r="D972">
        <v>6</v>
      </c>
      <c r="E972" t="s">
        <v>4445</v>
      </c>
      <c r="F972" t="s">
        <v>2922</v>
      </c>
      <c r="G972" t="s">
        <v>5568</v>
      </c>
      <c r="H972" t="s">
        <v>4915</v>
      </c>
    </row>
    <row r="973" spans="1:8" x14ac:dyDescent="0.25">
      <c r="A973">
        <v>772351844</v>
      </c>
      <c r="B973" t="s">
        <v>5548</v>
      </c>
      <c r="C973" t="s">
        <v>4391</v>
      </c>
      <c r="D973">
        <v>13</v>
      </c>
      <c r="E973" t="s">
        <v>5549</v>
      </c>
      <c r="F973" t="s">
        <v>5550</v>
      </c>
      <c r="H973" t="s">
        <v>4915</v>
      </c>
    </row>
    <row r="974" spans="1:8" x14ac:dyDescent="0.25">
      <c r="A974">
        <v>772409702</v>
      </c>
      <c r="B974" t="s">
        <v>5486</v>
      </c>
      <c r="C974" t="s">
        <v>4552</v>
      </c>
      <c r="D974">
        <v>13</v>
      </c>
      <c r="E974" t="s">
        <v>4445</v>
      </c>
      <c r="F974" t="s">
        <v>5487</v>
      </c>
      <c r="G974" t="s">
        <v>5570</v>
      </c>
      <c r="H974" t="s">
        <v>4915</v>
      </c>
    </row>
    <row r="975" spans="1:8" x14ac:dyDescent="0.25">
      <c r="A975" t="s">
        <v>726</v>
      </c>
      <c r="B975" t="s">
        <v>727</v>
      </c>
      <c r="C975" t="s">
        <v>4528</v>
      </c>
      <c r="D975">
        <v>13</v>
      </c>
      <c r="E975" t="s">
        <v>4445</v>
      </c>
      <c r="F975" t="s">
        <v>2925</v>
      </c>
      <c r="G975" t="s">
        <v>5570</v>
      </c>
      <c r="H975" t="s">
        <v>4915</v>
      </c>
    </row>
    <row r="976" spans="1:8" x14ac:dyDescent="0.25">
      <c r="A976">
        <v>772442858</v>
      </c>
      <c r="B976" t="s">
        <v>1087</v>
      </c>
      <c r="C976" t="s">
        <v>4490</v>
      </c>
      <c r="D976">
        <v>5</v>
      </c>
      <c r="E976" t="s">
        <v>4445</v>
      </c>
      <c r="F976" t="s">
        <v>3105</v>
      </c>
      <c r="G976" t="s">
        <v>5570</v>
      </c>
      <c r="H976" t="s">
        <v>4915</v>
      </c>
    </row>
    <row r="977" spans="1:8" x14ac:dyDescent="0.25">
      <c r="A977" t="s">
        <v>979</v>
      </c>
      <c r="B977" t="s">
        <v>984</v>
      </c>
      <c r="C977" t="s">
        <v>4391</v>
      </c>
      <c r="D977">
        <v>13</v>
      </c>
      <c r="E977" t="s">
        <v>4445</v>
      </c>
      <c r="F977" t="s">
        <v>2930</v>
      </c>
      <c r="G977" t="s">
        <v>5570</v>
      </c>
      <c r="H977" t="s">
        <v>4915</v>
      </c>
    </row>
    <row r="978" spans="1:8" x14ac:dyDescent="0.25">
      <c r="A978">
        <v>772638388</v>
      </c>
      <c r="B978" t="s">
        <v>4585</v>
      </c>
      <c r="C978" t="s">
        <v>4175</v>
      </c>
      <c r="D978">
        <v>5</v>
      </c>
      <c r="E978" t="s">
        <v>4445</v>
      </c>
      <c r="F978" t="s">
        <v>4584</v>
      </c>
      <c r="G978" t="s">
        <v>5568</v>
      </c>
      <c r="H978" t="s">
        <v>4915</v>
      </c>
    </row>
    <row r="979" spans="1:8" x14ac:dyDescent="0.25">
      <c r="A979">
        <v>772762143</v>
      </c>
      <c r="B979" t="s">
        <v>2933</v>
      </c>
      <c r="C979" t="s">
        <v>4168</v>
      </c>
      <c r="D979">
        <v>13</v>
      </c>
      <c r="E979" t="s">
        <v>4445</v>
      </c>
      <c r="F979" t="s">
        <v>2932</v>
      </c>
      <c r="G979" t="s">
        <v>5570</v>
      </c>
      <c r="H979" t="s">
        <v>4915</v>
      </c>
    </row>
    <row r="980" spans="1:8" x14ac:dyDescent="0.25">
      <c r="A980">
        <v>772777159</v>
      </c>
      <c r="B980" t="s">
        <v>543</v>
      </c>
      <c r="C980" t="s">
        <v>4395</v>
      </c>
      <c r="D980">
        <v>13</v>
      </c>
      <c r="E980" t="s">
        <v>4445</v>
      </c>
      <c r="F980" t="s">
        <v>2935</v>
      </c>
      <c r="G980" t="s">
        <v>5569</v>
      </c>
      <c r="H980" t="s">
        <v>4915</v>
      </c>
    </row>
    <row r="981" spans="1:8" x14ac:dyDescent="0.25">
      <c r="A981">
        <v>772966326</v>
      </c>
      <c r="B981" t="s">
        <v>544</v>
      </c>
      <c r="C981" t="s">
        <v>4391</v>
      </c>
      <c r="D981">
        <v>13</v>
      </c>
      <c r="E981" t="s">
        <v>4445</v>
      </c>
      <c r="F981" t="s">
        <v>2937</v>
      </c>
      <c r="G981" t="s">
        <v>5568</v>
      </c>
      <c r="H981" t="s">
        <v>4915</v>
      </c>
    </row>
    <row r="982" spans="1:8" x14ac:dyDescent="0.25">
      <c r="A982">
        <v>772971834</v>
      </c>
      <c r="B982" t="s">
        <v>2939</v>
      </c>
      <c r="C982" t="s">
        <v>4395</v>
      </c>
      <c r="D982">
        <v>13</v>
      </c>
      <c r="E982" t="s">
        <v>4445</v>
      </c>
      <c r="F982" t="s">
        <v>2938</v>
      </c>
      <c r="G982" t="s">
        <v>5568</v>
      </c>
      <c r="H982" t="s">
        <v>4915</v>
      </c>
    </row>
    <row r="983" spans="1:8" x14ac:dyDescent="0.25">
      <c r="A983" t="s">
        <v>4772</v>
      </c>
      <c r="B983" t="s">
        <v>2942</v>
      </c>
      <c r="C983" t="s">
        <v>4391</v>
      </c>
      <c r="D983">
        <v>13</v>
      </c>
      <c r="E983" t="s">
        <v>4445</v>
      </c>
      <c r="F983" t="s">
        <v>2941</v>
      </c>
      <c r="G983" t="s">
        <v>5568</v>
      </c>
      <c r="H983" t="s">
        <v>4915</v>
      </c>
    </row>
    <row r="984" spans="1:8" x14ac:dyDescent="0.25">
      <c r="A984">
        <v>773121702</v>
      </c>
      <c r="B984" t="s">
        <v>3293</v>
      </c>
      <c r="C984" t="s">
        <v>4552</v>
      </c>
      <c r="D984">
        <v>13</v>
      </c>
      <c r="E984" t="s">
        <v>4445</v>
      </c>
      <c r="F984" t="s">
        <v>3292</v>
      </c>
      <c r="G984" t="s">
        <v>5570</v>
      </c>
      <c r="H984" t="s">
        <v>4915</v>
      </c>
    </row>
    <row r="985" spans="1:8" x14ac:dyDescent="0.25">
      <c r="A985">
        <v>773173559</v>
      </c>
      <c r="B985" t="s">
        <v>5797</v>
      </c>
      <c r="C985" t="s">
        <v>4391</v>
      </c>
      <c r="D985">
        <v>13</v>
      </c>
      <c r="E985" t="s">
        <v>4445</v>
      </c>
      <c r="F985" t="s">
        <v>5789</v>
      </c>
      <c r="G985" t="s">
        <v>5568</v>
      </c>
      <c r="H985" t="s">
        <v>4915</v>
      </c>
    </row>
    <row r="986" spans="1:8" x14ac:dyDescent="0.25">
      <c r="A986">
        <v>773179093</v>
      </c>
      <c r="B986" t="s">
        <v>5746</v>
      </c>
      <c r="C986" t="s">
        <v>4257</v>
      </c>
      <c r="D986">
        <v>7</v>
      </c>
      <c r="E986" t="s">
        <v>4445</v>
      </c>
      <c r="F986" t="s">
        <v>5747</v>
      </c>
      <c r="G986" t="s">
        <v>5568</v>
      </c>
      <c r="H986" t="s">
        <v>4915</v>
      </c>
    </row>
    <row r="987" spans="1:8" x14ac:dyDescent="0.25">
      <c r="A987">
        <v>773250065</v>
      </c>
      <c r="B987" t="s">
        <v>2947</v>
      </c>
      <c r="C987" t="s">
        <v>4465</v>
      </c>
      <c r="D987">
        <v>13</v>
      </c>
      <c r="E987" t="s">
        <v>4445</v>
      </c>
      <c r="F987" t="s">
        <v>2946</v>
      </c>
      <c r="G987" t="s">
        <v>5570</v>
      </c>
      <c r="H987" t="s">
        <v>4915</v>
      </c>
    </row>
    <row r="988" spans="1:8" x14ac:dyDescent="0.25">
      <c r="A988">
        <v>773262896</v>
      </c>
      <c r="B988" t="s">
        <v>1092</v>
      </c>
      <c r="C988" t="s">
        <v>4391</v>
      </c>
      <c r="D988">
        <v>13</v>
      </c>
      <c r="E988" t="s">
        <v>4445</v>
      </c>
      <c r="F988" t="s">
        <v>2949</v>
      </c>
      <c r="G988" t="s">
        <v>5568</v>
      </c>
      <c r="H988" t="s">
        <v>4915</v>
      </c>
    </row>
    <row r="989" spans="1:8" x14ac:dyDescent="0.25">
      <c r="A989">
        <v>773352550</v>
      </c>
      <c r="B989" t="s">
        <v>5623</v>
      </c>
      <c r="C989" t="s">
        <v>4465</v>
      </c>
      <c r="D989">
        <v>13</v>
      </c>
      <c r="E989" t="s">
        <v>4445</v>
      </c>
      <c r="F989" t="s">
        <v>5624</v>
      </c>
      <c r="G989" t="s">
        <v>5568</v>
      </c>
      <c r="H989" t="s">
        <v>4915</v>
      </c>
    </row>
    <row r="990" spans="1:8" x14ac:dyDescent="0.25">
      <c r="A990">
        <v>773361207</v>
      </c>
      <c r="B990" t="s">
        <v>5633</v>
      </c>
      <c r="C990" t="s">
        <v>4494</v>
      </c>
      <c r="D990">
        <v>7</v>
      </c>
      <c r="E990" t="s">
        <v>4445</v>
      </c>
      <c r="F990" t="s">
        <v>5634</v>
      </c>
      <c r="G990" t="s">
        <v>5568</v>
      </c>
      <c r="H990" t="s">
        <v>4915</v>
      </c>
    </row>
    <row r="991" spans="1:8" x14ac:dyDescent="0.25">
      <c r="A991" t="s">
        <v>728</v>
      </c>
      <c r="B991" t="s">
        <v>2952</v>
      </c>
      <c r="C991" t="s">
        <v>4448</v>
      </c>
      <c r="D991">
        <v>13</v>
      </c>
      <c r="E991" t="s">
        <v>4445</v>
      </c>
      <c r="F991" t="s">
        <v>2951</v>
      </c>
      <c r="G991" t="s">
        <v>5568</v>
      </c>
      <c r="H991" t="s">
        <v>4915</v>
      </c>
    </row>
    <row r="992" spans="1:8" x14ac:dyDescent="0.25">
      <c r="A992">
        <v>773506590</v>
      </c>
      <c r="B992" t="s">
        <v>5477</v>
      </c>
      <c r="C992" t="s">
        <v>4465</v>
      </c>
      <c r="D992">
        <v>13</v>
      </c>
      <c r="E992" t="s">
        <v>4445</v>
      </c>
      <c r="F992" t="s">
        <v>5478</v>
      </c>
      <c r="G992" t="s">
        <v>5570</v>
      </c>
      <c r="H992" t="s">
        <v>4915</v>
      </c>
    </row>
    <row r="993" spans="1:8" x14ac:dyDescent="0.25">
      <c r="A993">
        <v>773533776</v>
      </c>
      <c r="B993" t="s">
        <v>5582</v>
      </c>
      <c r="C993" t="s">
        <v>4465</v>
      </c>
      <c r="D993">
        <v>13</v>
      </c>
      <c r="E993" t="s">
        <v>4445</v>
      </c>
      <c r="F993" t="s">
        <v>4905</v>
      </c>
      <c r="G993" t="s">
        <v>5568</v>
      </c>
      <c r="H993" t="s">
        <v>4915</v>
      </c>
    </row>
    <row r="994" spans="1:8" x14ac:dyDescent="0.25">
      <c r="A994">
        <v>773540845</v>
      </c>
      <c r="B994" t="s">
        <v>545</v>
      </c>
      <c r="C994" t="s">
        <v>4465</v>
      </c>
      <c r="D994">
        <v>13</v>
      </c>
      <c r="E994" t="s">
        <v>4445</v>
      </c>
      <c r="F994" t="s">
        <v>2954</v>
      </c>
      <c r="G994" t="s">
        <v>5568</v>
      </c>
      <c r="H994" t="s">
        <v>4915</v>
      </c>
    </row>
    <row r="995" spans="1:8" x14ac:dyDescent="0.25">
      <c r="A995">
        <v>773553866</v>
      </c>
      <c r="B995" t="s">
        <v>1439</v>
      </c>
      <c r="C995" t="s">
        <v>4185</v>
      </c>
      <c r="D995">
        <v>12</v>
      </c>
      <c r="E995" t="s">
        <v>4445</v>
      </c>
      <c r="F995" t="s">
        <v>1438</v>
      </c>
      <c r="G995" t="s">
        <v>5569</v>
      </c>
      <c r="H995" t="s">
        <v>4915</v>
      </c>
    </row>
    <row r="996" spans="1:8" x14ac:dyDescent="0.25">
      <c r="A996">
        <v>773608377</v>
      </c>
      <c r="B996" t="s">
        <v>2960</v>
      </c>
      <c r="C996" t="s">
        <v>4245</v>
      </c>
      <c r="D996">
        <v>4</v>
      </c>
      <c r="E996" t="s">
        <v>4445</v>
      </c>
      <c r="F996" t="s">
        <v>2959</v>
      </c>
      <c r="G996" t="s">
        <v>5568</v>
      </c>
      <c r="H996" t="s">
        <v>4915</v>
      </c>
    </row>
    <row r="997" spans="1:8" x14ac:dyDescent="0.25">
      <c r="A997">
        <v>773625522</v>
      </c>
      <c r="B997" t="s">
        <v>2963</v>
      </c>
      <c r="C997" t="s">
        <v>4168</v>
      </c>
      <c r="D997">
        <v>13</v>
      </c>
      <c r="E997" t="s">
        <v>4445</v>
      </c>
      <c r="F997" t="s">
        <v>2962</v>
      </c>
      <c r="G997" t="s">
        <v>5570</v>
      </c>
      <c r="H997" t="s">
        <v>4915</v>
      </c>
    </row>
    <row r="998" spans="1:8" x14ac:dyDescent="0.25">
      <c r="A998" t="s">
        <v>4773</v>
      </c>
      <c r="B998" t="s">
        <v>2966</v>
      </c>
      <c r="C998" t="s">
        <v>4391</v>
      </c>
      <c r="D998">
        <v>13</v>
      </c>
      <c r="E998" t="s">
        <v>4445</v>
      </c>
      <c r="F998" t="s">
        <v>2965</v>
      </c>
      <c r="G998" t="s">
        <v>5568</v>
      </c>
      <c r="H998" t="s">
        <v>4915</v>
      </c>
    </row>
    <row r="999" spans="1:8" x14ac:dyDescent="0.25">
      <c r="A999" t="s">
        <v>5551</v>
      </c>
      <c r="B999" t="s">
        <v>5552</v>
      </c>
      <c r="C999" t="s">
        <v>4399</v>
      </c>
      <c r="D999">
        <v>13</v>
      </c>
      <c r="E999" t="s">
        <v>4445</v>
      </c>
      <c r="F999" t="s">
        <v>5553</v>
      </c>
      <c r="G999" t="s">
        <v>5568</v>
      </c>
      <c r="H999" t="s">
        <v>4915</v>
      </c>
    </row>
    <row r="1000" spans="1:8" x14ac:dyDescent="0.25">
      <c r="A1000">
        <v>773717435</v>
      </c>
      <c r="B1000" t="s">
        <v>2969</v>
      </c>
      <c r="C1000" t="s">
        <v>4391</v>
      </c>
      <c r="D1000">
        <v>13</v>
      </c>
      <c r="E1000" t="s">
        <v>4445</v>
      </c>
      <c r="F1000" t="s">
        <v>2968</v>
      </c>
      <c r="G1000" t="s">
        <v>5568</v>
      </c>
      <c r="H1000" t="s">
        <v>4915</v>
      </c>
    </row>
    <row r="1001" spans="1:8" x14ac:dyDescent="0.25">
      <c r="A1001">
        <v>773729751</v>
      </c>
      <c r="B1001" t="s">
        <v>986</v>
      </c>
      <c r="C1001" t="s">
        <v>4391</v>
      </c>
      <c r="D1001">
        <v>13</v>
      </c>
      <c r="E1001" t="s">
        <v>4445</v>
      </c>
      <c r="F1001" t="s">
        <v>2971</v>
      </c>
      <c r="G1001" t="s">
        <v>5568</v>
      </c>
      <c r="H1001" t="s">
        <v>4915</v>
      </c>
    </row>
    <row r="1002" spans="1:8" x14ac:dyDescent="0.25">
      <c r="A1002">
        <v>773828466</v>
      </c>
      <c r="B1002" t="s">
        <v>3700</v>
      </c>
      <c r="C1002" t="s">
        <v>4391</v>
      </c>
      <c r="D1002">
        <v>13</v>
      </c>
      <c r="E1002" t="s">
        <v>4445</v>
      </c>
      <c r="F1002" t="s">
        <v>3699</v>
      </c>
      <c r="G1002" t="s">
        <v>5568</v>
      </c>
      <c r="H1002" t="s">
        <v>4915</v>
      </c>
    </row>
    <row r="1003" spans="1:8" x14ac:dyDescent="0.25">
      <c r="A1003">
        <v>773833737</v>
      </c>
      <c r="B1003" t="s">
        <v>5748</v>
      </c>
      <c r="C1003" t="s">
        <v>4389</v>
      </c>
      <c r="D1003">
        <v>9</v>
      </c>
      <c r="E1003" t="s">
        <v>4445</v>
      </c>
      <c r="F1003" t="s">
        <v>5749</v>
      </c>
      <c r="G1003" t="s">
        <v>5570</v>
      </c>
      <c r="H1003" t="s">
        <v>4915</v>
      </c>
    </row>
    <row r="1004" spans="1:8" x14ac:dyDescent="0.25">
      <c r="A1004">
        <v>773845166</v>
      </c>
      <c r="B1004" t="s">
        <v>546</v>
      </c>
      <c r="C1004" t="s">
        <v>4465</v>
      </c>
      <c r="D1004">
        <v>13</v>
      </c>
      <c r="E1004" t="s">
        <v>4445</v>
      </c>
      <c r="F1004" t="s">
        <v>2975</v>
      </c>
      <c r="G1004" t="s">
        <v>5570</v>
      </c>
      <c r="H1004" t="s">
        <v>4915</v>
      </c>
    </row>
    <row r="1005" spans="1:8" x14ac:dyDescent="0.25">
      <c r="A1005">
        <v>773851808</v>
      </c>
      <c r="B1005" t="s">
        <v>547</v>
      </c>
      <c r="C1005" t="s">
        <v>4391</v>
      </c>
      <c r="D1005">
        <v>13</v>
      </c>
      <c r="E1005" t="s">
        <v>4445</v>
      </c>
      <c r="F1005" t="s">
        <v>2977</v>
      </c>
      <c r="G1005" t="s">
        <v>5568</v>
      </c>
      <c r="H1005" t="s">
        <v>4915</v>
      </c>
    </row>
    <row r="1006" spans="1:8" x14ac:dyDescent="0.25">
      <c r="A1006">
        <v>773890455</v>
      </c>
      <c r="B1006" t="s">
        <v>2980</v>
      </c>
      <c r="C1006" t="s">
        <v>4460</v>
      </c>
      <c r="D1006">
        <v>8</v>
      </c>
      <c r="E1006" t="s">
        <v>4445</v>
      </c>
      <c r="F1006" t="s">
        <v>2979</v>
      </c>
      <c r="G1006" t="s">
        <v>5568</v>
      </c>
      <c r="H1006" t="s">
        <v>4915</v>
      </c>
    </row>
    <row r="1007" spans="1:8" x14ac:dyDescent="0.25">
      <c r="A1007">
        <v>774020101</v>
      </c>
      <c r="B1007" t="s">
        <v>1078</v>
      </c>
      <c r="C1007" t="s">
        <v>4257</v>
      </c>
      <c r="D1007">
        <v>7</v>
      </c>
      <c r="E1007" t="s">
        <v>4445</v>
      </c>
      <c r="F1007" t="s">
        <v>2982</v>
      </c>
      <c r="G1007" t="s">
        <v>5570</v>
      </c>
      <c r="H1007" t="s">
        <v>4915</v>
      </c>
    </row>
    <row r="1008" spans="1:8" x14ac:dyDescent="0.25">
      <c r="A1008" t="s">
        <v>730</v>
      </c>
      <c r="B1008" t="s">
        <v>2985</v>
      </c>
      <c r="C1008" t="s">
        <v>4493</v>
      </c>
      <c r="D1008">
        <v>13</v>
      </c>
      <c r="E1008" t="s">
        <v>4445</v>
      </c>
      <c r="F1008" t="s">
        <v>2984</v>
      </c>
      <c r="G1008" t="s">
        <v>5568</v>
      </c>
      <c r="H1008" t="s">
        <v>4915</v>
      </c>
    </row>
    <row r="1009" spans="1:8" x14ac:dyDescent="0.25">
      <c r="A1009" t="s">
        <v>731</v>
      </c>
      <c r="B1009" t="s">
        <v>732</v>
      </c>
      <c r="C1009" t="s">
        <v>4224</v>
      </c>
      <c r="D1009">
        <v>10</v>
      </c>
      <c r="E1009" t="s">
        <v>4445</v>
      </c>
      <c r="F1009" t="s">
        <v>2987</v>
      </c>
      <c r="G1009" t="s">
        <v>5570</v>
      </c>
      <c r="H1009" t="s">
        <v>4915</v>
      </c>
    </row>
    <row r="1010" spans="1:8" x14ac:dyDescent="0.25">
      <c r="A1010">
        <v>774103872</v>
      </c>
      <c r="B1010" t="s">
        <v>5717</v>
      </c>
      <c r="C1010" t="s">
        <v>4465</v>
      </c>
      <c r="D1010">
        <v>13</v>
      </c>
      <c r="E1010" t="s">
        <v>4445</v>
      </c>
      <c r="F1010" t="s">
        <v>5718</v>
      </c>
      <c r="G1010" t="s">
        <v>5568</v>
      </c>
      <c r="H1010" t="s">
        <v>4915</v>
      </c>
    </row>
    <row r="1011" spans="1:8" x14ac:dyDescent="0.25">
      <c r="A1011">
        <v>774104089</v>
      </c>
      <c r="B1011" t="s">
        <v>3751</v>
      </c>
      <c r="C1011" t="s">
        <v>4551</v>
      </c>
      <c r="D1011">
        <v>13</v>
      </c>
      <c r="E1011" t="s">
        <v>4445</v>
      </c>
      <c r="F1011" t="s">
        <v>3750</v>
      </c>
      <c r="G1011" t="s">
        <v>5570</v>
      </c>
      <c r="H1011" t="s">
        <v>4915</v>
      </c>
    </row>
    <row r="1012" spans="1:8" x14ac:dyDescent="0.25">
      <c r="A1012">
        <v>774104216</v>
      </c>
      <c r="B1012" t="s">
        <v>549</v>
      </c>
      <c r="C1012" t="s">
        <v>4448</v>
      </c>
      <c r="D1012">
        <v>13</v>
      </c>
      <c r="E1012" t="s">
        <v>4445</v>
      </c>
      <c r="F1012" t="s">
        <v>2992</v>
      </c>
      <c r="G1012" t="s">
        <v>5570</v>
      </c>
      <c r="H1012" t="s">
        <v>4915</v>
      </c>
    </row>
    <row r="1013" spans="1:8" x14ac:dyDescent="0.25">
      <c r="A1013">
        <v>774175083</v>
      </c>
      <c r="B1013" t="s">
        <v>857</v>
      </c>
      <c r="C1013" t="s">
        <v>4171</v>
      </c>
      <c r="D1013">
        <v>4</v>
      </c>
      <c r="E1013" t="s">
        <v>4445</v>
      </c>
      <c r="F1013" t="s">
        <v>2007</v>
      </c>
      <c r="G1013" t="s">
        <v>5570</v>
      </c>
      <c r="H1013" t="s">
        <v>4915</v>
      </c>
    </row>
    <row r="1014" spans="1:8" x14ac:dyDescent="0.25">
      <c r="A1014">
        <v>774193332</v>
      </c>
      <c r="B1014" t="s">
        <v>1001</v>
      </c>
      <c r="C1014" t="s">
        <v>4185</v>
      </c>
      <c r="D1014">
        <v>12</v>
      </c>
      <c r="E1014" t="s">
        <v>4445</v>
      </c>
      <c r="F1014" t="s">
        <v>2094</v>
      </c>
      <c r="G1014" t="s">
        <v>5568</v>
      </c>
      <c r="H1014" t="s">
        <v>4915</v>
      </c>
    </row>
    <row r="1015" spans="1:8" x14ac:dyDescent="0.25">
      <c r="A1015">
        <v>774277315</v>
      </c>
      <c r="B1015" t="s">
        <v>5447</v>
      </c>
      <c r="C1015" t="s">
        <v>4563</v>
      </c>
      <c r="D1015">
        <v>5</v>
      </c>
      <c r="E1015" t="s">
        <v>4445</v>
      </c>
      <c r="F1015" t="s">
        <v>5448</v>
      </c>
      <c r="G1015" t="s">
        <v>5570</v>
      </c>
      <c r="H1015" t="s">
        <v>4915</v>
      </c>
    </row>
    <row r="1016" spans="1:8" x14ac:dyDescent="0.25">
      <c r="A1016">
        <v>774284893</v>
      </c>
      <c r="B1016" t="s">
        <v>4429</v>
      </c>
      <c r="C1016" t="s">
        <v>4460</v>
      </c>
      <c r="D1016">
        <v>8</v>
      </c>
      <c r="E1016" t="s">
        <v>4445</v>
      </c>
      <c r="F1016" t="s">
        <v>4586</v>
      </c>
      <c r="G1016" t="s">
        <v>5568</v>
      </c>
      <c r="H1016" t="s">
        <v>4915</v>
      </c>
    </row>
    <row r="1017" spans="1:8" x14ac:dyDescent="0.25">
      <c r="A1017">
        <v>774317910</v>
      </c>
      <c r="B1017" t="s">
        <v>3000</v>
      </c>
      <c r="C1017" t="s">
        <v>4183</v>
      </c>
      <c r="D1017">
        <v>8</v>
      </c>
      <c r="E1017" t="s">
        <v>4445</v>
      </c>
      <c r="F1017" t="s">
        <v>2999</v>
      </c>
      <c r="G1017" t="s">
        <v>5569</v>
      </c>
      <c r="H1017" t="s">
        <v>4915</v>
      </c>
    </row>
    <row r="1018" spans="1:8" x14ac:dyDescent="0.25">
      <c r="A1018">
        <v>774328483</v>
      </c>
      <c r="B1018" t="s">
        <v>858</v>
      </c>
      <c r="C1018" t="s">
        <v>4313</v>
      </c>
      <c r="D1018">
        <v>5</v>
      </c>
      <c r="E1018" t="s">
        <v>4445</v>
      </c>
      <c r="F1018" t="s">
        <v>2390</v>
      </c>
      <c r="G1018" t="s">
        <v>5570</v>
      </c>
      <c r="H1018" t="s">
        <v>4915</v>
      </c>
    </row>
    <row r="1019" spans="1:8" x14ac:dyDescent="0.25">
      <c r="A1019" t="s">
        <v>946</v>
      </c>
      <c r="B1019" t="s">
        <v>947</v>
      </c>
      <c r="C1019" t="s">
        <v>4287</v>
      </c>
      <c r="D1019">
        <v>13</v>
      </c>
      <c r="E1019" t="s">
        <v>4445</v>
      </c>
      <c r="F1019" t="s">
        <v>1740</v>
      </c>
      <c r="G1019" t="s">
        <v>5568</v>
      </c>
      <c r="H1019" t="s">
        <v>4915</v>
      </c>
    </row>
    <row r="1020" spans="1:8" x14ac:dyDescent="0.25">
      <c r="A1020">
        <v>774393307</v>
      </c>
      <c r="B1020" t="s">
        <v>990</v>
      </c>
      <c r="C1020" t="s">
        <v>4460</v>
      </c>
      <c r="D1020">
        <v>8</v>
      </c>
      <c r="E1020" t="s">
        <v>4445</v>
      </c>
      <c r="F1020" t="s">
        <v>3006</v>
      </c>
      <c r="G1020" t="s">
        <v>5568</v>
      </c>
      <c r="H1020" t="s">
        <v>4915</v>
      </c>
    </row>
    <row r="1021" spans="1:8" x14ac:dyDescent="0.25">
      <c r="A1021">
        <v>774396861</v>
      </c>
      <c r="B1021" t="s">
        <v>3009</v>
      </c>
      <c r="C1021" t="s">
        <v>4168</v>
      </c>
      <c r="D1021">
        <v>13</v>
      </c>
      <c r="E1021" t="s">
        <v>4445</v>
      </c>
      <c r="F1021" t="s">
        <v>3008</v>
      </c>
      <c r="G1021" t="s">
        <v>5569</v>
      </c>
      <c r="H1021" t="s">
        <v>4915</v>
      </c>
    </row>
    <row r="1022" spans="1:8" x14ac:dyDescent="0.25">
      <c r="A1022">
        <v>774432280</v>
      </c>
      <c r="B1022" t="s">
        <v>1013</v>
      </c>
      <c r="C1022" t="s">
        <v>4280</v>
      </c>
      <c r="D1022">
        <v>14</v>
      </c>
      <c r="E1022" t="s">
        <v>4445</v>
      </c>
      <c r="F1022" t="s">
        <v>3317</v>
      </c>
      <c r="G1022" t="s">
        <v>5570</v>
      </c>
      <c r="H1022" t="s">
        <v>4915</v>
      </c>
    </row>
    <row r="1023" spans="1:8" x14ac:dyDescent="0.25">
      <c r="A1023">
        <v>774448799</v>
      </c>
      <c r="B1023" t="s">
        <v>551</v>
      </c>
      <c r="C1023" t="s">
        <v>4458</v>
      </c>
      <c r="D1023">
        <v>13</v>
      </c>
      <c r="E1023" t="s">
        <v>4445</v>
      </c>
      <c r="F1023" t="s">
        <v>3014</v>
      </c>
      <c r="G1023" t="s">
        <v>5568</v>
      </c>
      <c r="H1023" t="s">
        <v>4915</v>
      </c>
    </row>
    <row r="1024" spans="1:8" x14ac:dyDescent="0.25">
      <c r="A1024">
        <v>774535047</v>
      </c>
      <c r="B1024" t="s">
        <v>5723</v>
      </c>
      <c r="C1024" t="s">
        <v>4391</v>
      </c>
      <c r="D1024">
        <v>13</v>
      </c>
      <c r="E1024" t="s">
        <v>4445</v>
      </c>
      <c r="F1024" t="s">
        <v>5724</v>
      </c>
      <c r="G1024" t="s">
        <v>5570</v>
      </c>
      <c r="H1024" t="s">
        <v>4915</v>
      </c>
    </row>
    <row r="1025" spans="1:8" x14ac:dyDescent="0.25">
      <c r="A1025">
        <v>774652477</v>
      </c>
      <c r="B1025" t="s">
        <v>5759</v>
      </c>
      <c r="C1025" t="s">
        <v>4465</v>
      </c>
      <c r="E1025" t="s">
        <v>4445</v>
      </c>
      <c r="F1025" t="s">
        <v>5760</v>
      </c>
      <c r="G1025" t="s">
        <v>5570</v>
      </c>
      <c r="H1025" t="s">
        <v>4915</v>
      </c>
    </row>
    <row r="1026" spans="1:8" x14ac:dyDescent="0.25">
      <c r="A1026">
        <v>774696415</v>
      </c>
      <c r="B1026" t="s">
        <v>5609</v>
      </c>
      <c r="C1026" t="s">
        <v>4411</v>
      </c>
      <c r="D1026">
        <v>13</v>
      </c>
      <c r="E1026" t="s">
        <v>4445</v>
      </c>
      <c r="F1026" t="s">
        <v>5610</v>
      </c>
      <c r="G1026" t="s">
        <v>5568</v>
      </c>
      <c r="H1026" t="s">
        <v>4915</v>
      </c>
    </row>
    <row r="1027" spans="1:8" x14ac:dyDescent="0.25">
      <c r="A1027" t="s">
        <v>4774</v>
      </c>
      <c r="B1027" t="s">
        <v>4588</v>
      </c>
      <c r="C1027" t="s">
        <v>4561</v>
      </c>
      <c r="D1027">
        <v>13</v>
      </c>
      <c r="E1027" t="s">
        <v>4445</v>
      </c>
      <c r="F1027" t="s">
        <v>4587</v>
      </c>
      <c r="G1027" t="s">
        <v>5568</v>
      </c>
      <c r="H1027" t="s">
        <v>4915</v>
      </c>
    </row>
    <row r="1028" spans="1:8" x14ac:dyDescent="0.25">
      <c r="A1028">
        <v>774831975</v>
      </c>
      <c r="B1028" t="s">
        <v>552</v>
      </c>
      <c r="C1028" t="s">
        <v>4465</v>
      </c>
      <c r="D1028">
        <v>13</v>
      </c>
      <c r="E1028" t="s">
        <v>4445</v>
      </c>
      <c r="F1028" t="s">
        <v>3016</v>
      </c>
      <c r="G1028" t="s">
        <v>5570</v>
      </c>
      <c r="H1028" t="s">
        <v>4915</v>
      </c>
    </row>
    <row r="1029" spans="1:8" x14ac:dyDescent="0.25">
      <c r="A1029">
        <v>774884955</v>
      </c>
      <c r="B1029" t="s">
        <v>5625</v>
      </c>
      <c r="C1029" t="s">
        <v>4391</v>
      </c>
      <c r="D1029">
        <v>13</v>
      </c>
      <c r="E1029" t="s">
        <v>4445</v>
      </c>
      <c r="F1029" t="s">
        <v>5626</v>
      </c>
      <c r="G1029" t="s">
        <v>5568</v>
      </c>
      <c r="H1029" t="s">
        <v>4915</v>
      </c>
    </row>
    <row r="1030" spans="1:8" x14ac:dyDescent="0.25">
      <c r="A1030">
        <v>774889191</v>
      </c>
      <c r="B1030" t="s">
        <v>859</v>
      </c>
      <c r="C1030" t="s">
        <v>4168</v>
      </c>
      <c r="D1030">
        <v>13</v>
      </c>
      <c r="E1030" t="s">
        <v>4445</v>
      </c>
      <c r="F1030" t="s">
        <v>3018</v>
      </c>
      <c r="G1030" t="s">
        <v>5570</v>
      </c>
      <c r="H1030" t="s">
        <v>4915</v>
      </c>
    </row>
    <row r="1031" spans="1:8" x14ac:dyDescent="0.25">
      <c r="A1031" t="s">
        <v>4762</v>
      </c>
      <c r="B1031" t="s">
        <v>3021</v>
      </c>
      <c r="C1031" t="s">
        <v>4168</v>
      </c>
      <c r="D1031">
        <v>13</v>
      </c>
      <c r="E1031" t="s">
        <v>4445</v>
      </c>
      <c r="F1031" t="s">
        <v>3020</v>
      </c>
      <c r="G1031" t="s">
        <v>5570</v>
      </c>
      <c r="H1031" t="s">
        <v>4915</v>
      </c>
    </row>
    <row r="1032" spans="1:8" x14ac:dyDescent="0.25">
      <c r="A1032">
        <v>774904492</v>
      </c>
      <c r="B1032" t="s">
        <v>2693</v>
      </c>
      <c r="C1032" t="s">
        <v>4391</v>
      </c>
      <c r="D1032">
        <v>13</v>
      </c>
      <c r="E1032" t="s">
        <v>4445</v>
      </c>
      <c r="F1032" t="s">
        <v>2692</v>
      </c>
      <c r="G1032" t="s">
        <v>5568</v>
      </c>
      <c r="H1032" t="s">
        <v>4915</v>
      </c>
    </row>
    <row r="1033" spans="1:8" x14ac:dyDescent="0.25">
      <c r="A1033">
        <v>775003081</v>
      </c>
      <c r="B1033" t="s">
        <v>5647</v>
      </c>
      <c r="C1033" t="s">
        <v>4292</v>
      </c>
      <c r="D1033">
        <v>10</v>
      </c>
      <c r="E1033" t="s">
        <v>4445</v>
      </c>
      <c r="F1033" t="s">
        <v>5648</v>
      </c>
      <c r="G1033" t="s">
        <v>5568</v>
      </c>
      <c r="H1033" t="s">
        <v>4915</v>
      </c>
    </row>
    <row r="1034" spans="1:8" x14ac:dyDescent="0.25">
      <c r="A1034">
        <v>775013796</v>
      </c>
      <c r="B1034" t="s">
        <v>553</v>
      </c>
      <c r="C1034" t="s">
        <v>4250</v>
      </c>
      <c r="D1034">
        <v>5</v>
      </c>
      <c r="E1034" t="s">
        <v>4445</v>
      </c>
      <c r="F1034" t="s">
        <v>3023</v>
      </c>
      <c r="G1034" t="s">
        <v>5570</v>
      </c>
      <c r="H1034" t="s">
        <v>4915</v>
      </c>
    </row>
    <row r="1035" spans="1:8" x14ac:dyDescent="0.25">
      <c r="A1035">
        <v>775046813</v>
      </c>
      <c r="B1035" t="s">
        <v>554</v>
      </c>
      <c r="C1035" t="s">
        <v>4168</v>
      </c>
      <c r="D1035">
        <v>13</v>
      </c>
      <c r="E1035" t="s">
        <v>4445</v>
      </c>
      <c r="F1035" t="s">
        <v>3025</v>
      </c>
      <c r="G1035" t="s">
        <v>5568</v>
      </c>
      <c r="H1035" t="s">
        <v>4915</v>
      </c>
    </row>
    <row r="1036" spans="1:8" x14ac:dyDescent="0.25">
      <c r="A1036">
        <v>775139897</v>
      </c>
      <c r="B1036" t="s">
        <v>3689</v>
      </c>
      <c r="C1036" t="s">
        <v>4175</v>
      </c>
      <c r="D1036">
        <v>5</v>
      </c>
      <c r="E1036" t="s">
        <v>4445</v>
      </c>
      <c r="F1036" t="s">
        <v>3688</v>
      </c>
      <c r="G1036" t="s">
        <v>5570</v>
      </c>
      <c r="H1036" t="s">
        <v>4915</v>
      </c>
    </row>
    <row r="1037" spans="1:8" x14ac:dyDescent="0.25">
      <c r="A1037" t="s">
        <v>733</v>
      </c>
      <c r="B1037" t="s">
        <v>734</v>
      </c>
      <c r="C1037" t="s">
        <v>4168</v>
      </c>
      <c r="D1037">
        <v>13</v>
      </c>
      <c r="E1037" t="s">
        <v>4445</v>
      </c>
      <c r="F1037" t="s">
        <v>3030</v>
      </c>
      <c r="G1037" t="s">
        <v>5570</v>
      </c>
      <c r="H1037" t="s">
        <v>4915</v>
      </c>
    </row>
    <row r="1038" spans="1:8" x14ac:dyDescent="0.25">
      <c r="A1038">
        <v>775190604</v>
      </c>
      <c r="B1038" t="s">
        <v>555</v>
      </c>
      <c r="C1038" t="s">
        <v>4465</v>
      </c>
      <c r="D1038">
        <v>13</v>
      </c>
      <c r="E1038" t="s">
        <v>4445</v>
      </c>
      <c r="F1038" t="s">
        <v>3979</v>
      </c>
      <c r="G1038" t="s">
        <v>5570</v>
      </c>
      <c r="H1038" t="s">
        <v>4915</v>
      </c>
    </row>
    <row r="1039" spans="1:8" x14ac:dyDescent="0.25">
      <c r="A1039">
        <v>775202769</v>
      </c>
      <c r="B1039" t="s">
        <v>945</v>
      </c>
      <c r="C1039" t="s">
        <v>4391</v>
      </c>
      <c r="D1039">
        <v>13</v>
      </c>
      <c r="E1039" t="s">
        <v>4445</v>
      </c>
      <c r="F1039" t="s">
        <v>3034</v>
      </c>
      <c r="G1039" t="s">
        <v>5568</v>
      </c>
      <c r="H1039" t="s">
        <v>4915</v>
      </c>
    </row>
    <row r="1040" spans="1:8" x14ac:dyDescent="0.25">
      <c r="A1040">
        <v>775208740</v>
      </c>
      <c r="B1040" t="s">
        <v>3965</v>
      </c>
      <c r="C1040" t="s">
        <v>4552</v>
      </c>
      <c r="D1040">
        <v>13</v>
      </c>
      <c r="E1040" t="s">
        <v>4445</v>
      </c>
      <c r="F1040" t="s">
        <v>3964</v>
      </c>
      <c r="G1040" t="s">
        <v>5568</v>
      </c>
      <c r="H1040" t="s">
        <v>4915</v>
      </c>
    </row>
    <row r="1041" spans="1:8" x14ac:dyDescent="0.25">
      <c r="A1041">
        <v>775284692</v>
      </c>
      <c r="B1041" t="s">
        <v>3756</v>
      </c>
      <c r="C1041" t="s">
        <v>4170</v>
      </c>
      <c r="D1041">
        <v>14</v>
      </c>
      <c r="E1041" t="s">
        <v>4445</v>
      </c>
      <c r="F1041" t="s">
        <v>3755</v>
      </c>
      <c r="G1041" t="s">
        <v>5570</v>
      </c>
      <c r="H1041" t="s">
        <v>4915</v>
      </c>
    </row>
    <row r="1042" spans="1:8" x14ac:dyDescent="0.25">
      <c r="A1042" t="s">
        <v>5465</v>
      </c>
      <c r="B1042" t="s">
        <v>5466</v>
      </c>
      <c r="C1042" t="s">
        <v>4391</v>
      </c>
      <c r="D1042">
        <v>13</v>
      </c>
      <c r="E1042" t="s">
        <v>4445</v>
      </c>
      <c r="F1042" t="s">
        <v>5467</v>
      </c>
      <c r="G1042" t="s">
        <v>5568</v>
      </c>
      <c r="H1042" t="s">
        <v>4915</v>
      </c>
    </row>
    <row r="1043" spans="1:8" x14ac:dyDescent="0.25">
      <c r="A1043">
        <v>775337451</v>
      </c>
      <c r="B1043" t="s">
        <v>5554</v>
      </c>
      <c r="C1043" t="s">
        <v>4168</v>
      </c>
      <c r="D1043">
        <v>13</v>
      </c>
      <c r="E1043" t="s">
        <v>4445</v>
      </c>
      <c r="F1043" t="s">
        <v>5555</v>
      </c>
      <c r="G1043" t="s">
        <v>5568</v>
      </c>
      <c r="H1043" t="s">
        <v>4915</v>
      </c>
    </row>
    <row r="1044" spans="1:8" x14ac:dyDescent="0.25">
      <c r="A1044">
        <v>775408936</v>
      </c>
      <c r="B1044" t="s">
        <v>5444</v>
      </c>
      <c r="C1044" t="s">
        <v>4182</v>
      </c>
      <c r="D1044">
        <v>2</v>
      </c>
      <c r="E1044" t="s">
        <v>4445</v>
      </c>
      <c r="F1044" t="s">
        <v>3039</v>
      </c>
      <c r="G1044" t="s">
        <v>5568</v>
      </c>
      <c r="H1044" t="s">
        <v>4915</v>
      </c>
    </row>
    <row r="1045" spans="1:8" x14ac:dyDescent="0.25">
      <c r="A1045">
        <v>775462167</v>
      </c>
      <c r="B1045" t="s">
        <v>3043</v>
      </c>
      <c r="C1045" t="s">
        <v>4391</v>
      </c>
      <c r="D1045">
        <v>13</v>
      </c>
      <c r="E1045" t="s">
        <v>4445</v>
      </c>
      <c r="F1045" t="s">
        <v>3042</v>
      </c>
      <c r="G1045" t="s">
        <v>5570</v>
      </c>
      <c r="H1045" t="s">
        <v>4915</v>
      </c>
    </row>
    <row r="1046" spans="1:8" x14ac:dyDescent="0.25">
      <c r="A1046">
        <v>775462177</v>
      </c>
      <c r="B1046" t="s">
        <v>3046</v>
      </c>
      <c r="C1046" t="s">
        <v>4177</v>
      </c>
      <c r="D1046">
        <v>13</v>
      </c>
      <c r="E1046" t="s">
        <v>4445</v>
      </c>
      <c r="F1046" t="s">
        <v>3045</v>
      </c>
      <c r="G1046" t="s">
        <v>5570</v>
      </c>
      <c r="H1046" t="s">
        <v>4915</v>
      </c>
    </row>
    <row r="1047" spans="1:8" x14ac:dyDescent="0.25">
      <c r="A1047" t="s">
        <v>5781</v>
      </c>
      <c r="B1047" t="s">
        <v>5782</v>
      </c>
      <c r="C1047" t="s">
        <v>4452</v>
      </c>
      <c r="D1047">
        <v>13</v>
      </c>
      <c r="E1047" t="s">
        <v>4445</v>
      </c>
      <c r="F1047" t="s">
        <v>5783</v>
      </c>
      <c r="G1047" t="s">
        <v>5568</v>
      </c>
      <c r="H1047" t="s">
        <v>5660</v>
      </c>
    </row>
    <row r="1048" spans="1:8" x14ac:dyDescent="0.25">
      <c r="A1048">
        <v>775571128</v>
      </c>
      <c r="B1048" t="s">
        <v>4431</v>
      </c>
      <c r="C1048" t="s">
        <v>4411</v>
      </c>
      <c r="D1048">
        <v>13</v>
      </c>
      <c r="E1048" t="s">
        <v>4445</v>
      </c>
      <c r="F1048" t="s">
        <v>4589</v>
      </c>
      <c r="G1048" t="s">
        <v>5570</v>
      </c>
      <c r="H1048" t="s">
        <v>4915</v>
      </c>
    </row>
    <row r="1049" spans="1:8" x14ac:dyDescent="0.25">
      <c r="A1049">
        <v>775583533</v>
      </c>
      <c r="B1049" t="s">
        <v>860</v>
      </c>
      <c r="C1049" t="s">
        <v>4391</v>
      </c>
      <c r="D1049">
        <v>13</v>
      </c>
      <c r="E1049" t="s">
        <v>4445</v>
      </c>
      <c r="F1049" t="s">
        <v>3048</v>
      </c>
      <c r="G1049" t="s">
        <v>5568</v>
      </c>
      <c r="H1049" t="s">
        <v>4915</v>
      </c>
    </row>
    <row r="1050" spans="1:8" x14ac:dyDescent="0.25">
      <c r="A1050">
        <v>775614315</v>
      </c>
      <c r="B1050" t="s">
        <v>557</v>
      </c>
      <c r="C1050" t="s">
        <v>4463</v>
      </c>
      <c r="D1050">
        <v>2</v>
      </c>
      <c r="E1050" t="s">
        <v>4445</v>
      </c>
      <c r="F1050" t="s">
        <v>2380</v>
      </c>
      <c r="G1050" t="s">
        <v>5570</v>
      </c>
      <c r="H1050" t="s">
        <v>4915</v>
      </c>
    </row>
    <row r="1051" spans="1:8" x14ac:dyDescent="0.25">
      <c r="A1051">
        <v>775761539</v>
      </c>
      <c r="B1051" t="s">
        <v>5702</v>
      </c>
      <c r="C1051" t="s">
        <v>4551</v>
      </c>
      <c r="D1051">
        <v>13</v>
      </c>
      <c r="E1051" t="s">
        <v>4445</v>
      </c>
      <c r="F1051" t="s">
        <v>5703</v>
      </c>
      <c r="G1051" t="s">
        <v>5568</v>
      </c>
      <c r="H1051" t="s">
        <v>4915</v>
      </c>
    </row>
    <row r="1052" spans="1:8" x14ac:dyDescent="0.25">
      <c r="A1052">
        <v>775822279</v>
      </c>
      <c r="B1052" t="s">
        <v>3054</v>
      </c>
      <c r="C1052" t="s">
        <v>4168</v>
      </c>
      <c r="D1052">
        <v>13</v>
      </c>
      <c r="E1052" t="s">
        <v>4445</v>
      </c>
      <c r="F1052" t="s">
        <v>3053</v>
      </c>
      <c r="G1052" t="s">
        <v>5569</v>
      </c>
      <c r="H1052" t="s">
        <v>4915</v>
      </c>
    </row>
    <row r="1053" spans="1:8" x14ac:dyDescent="0.25">
      <c r="A1053">
        <v>775874295</v>
      </c>
      <c r="B1053" t="s">
        <v>558</v>
      </c>
      <c r="C1053" t="s">
        <v>4175</v>
      </c>
      <c r="D1053">
        <v>5</v>
      </c>
      <c r="E1053" t="s">
        <v>4445</v>
      </c>
      <c r="F1053" t="s">
        <v>2003</v>
      </c>
      <c r="G1053" t="s">
        <v>5570</v>
      </c>
      <c r="H1053" t="s">
        <v>4915</v>
      </c>
    </row>
    <row r="1054" spans="1:8" x14ac:dyDescent="0.25">
      <c r="A1054">
        <v>775875119</v>
      </c>
      <c r="B1054" t="s">
        <v>3060</v>
      </c>
      <c r="C1054" t="s">
        <v>4456</v>
      </c>
      <c r="D1054">
        <v>13</v>
      </c>
      <c r="E1054" t="s">
        <v>4445</v>
      </c>
      <c r="F1054" t="s">
        <v>3059</v>
      </c>
      <c r="G1054" t="s">
        <v>5569</v>
      </c>
      <c r="H1054" t="s">
        <v>4915</v>
      </c>
    </row>
    <row r="1055" spans="1:8" x14ac:dyDescent="0.25">
      <c r="A1055">
        <v>776062200</v>
      </c>
      <c r="B1055" t="s">
        <v>861</v>
      </c>
      <c r="C1055" t="s">
        <v>4456</v>
      </c>
      <c r="D1055">
        <v>13</v>
      </c>
      <c r="E1055" t="s">
        <v>4445</v>
      </c>
      <c r="F1055" t="s">
        <v>3062</v>
      </c>
      <c r="G1055" t="s">
        <v>5568</v>
      </c>
      <c r="H1055" t="s">
        <v>4915</v>
      </c>
    </row>
    <row r="1056" spans="1:8" x14ac:dyDescent="0.25">
      <c r="A1056">
        <v>776081809</v>
      </c>
      <c r="B1056" t="s">
        <v>559</v>
      </c>
      <c r="C1056" t="s">
        <v>4552</v>
      </c>
      <c r="D1056">
        <v>13</v>
      </c>
      <c r="E1056" t="s">
        <v>4445</v>
      </c>
      <c r="F1056" t="s">
        <v>3064</v>
      </c>
      <c r="G1056" t="s">
        <v>5570</v>
      </c>
      <c r="H1056" t="s">
        <v>4915</v>
      </c>
    </row>
    <row r="1057" spans="1:8" x14ac:dyDescent="0.25">
      <c r="A1057">
        <v>776108448</v>
      </c>
      <c r="B1057" t="s">
        <v>560</v>
      </c>
      <c r="C1057" t="s">
        <v>4178</v>
      </c>
      <c r="D1057">
        <v>6</v>
      </c>
      <c r="E1057" t="s">
        <v>4445</v>
      </c>
      <c r="F1057" t="s">
        <v>3066</v>
      </c>
      <c r="G1057" t="s">
        <v>5568</v>
      </c>
      <c r="H1057" t="s">
        <v>4915</v>
      </c>
    </row>
    <row r="1058" spans="1:8" x14ac:dyDescent="0.25">
      <c r="A1058">
        <v>776180165</v>
      </c>
      <c r="B1058" t="s">
        <v>5556</v>
      </c>
      <c r="C1058" t="s">
        <v>4557</v>
      </c>
      <c r="D1058">
        <v>13</v>
      </c>
      <c r="E1058" t="s">
        <v>4445</v>
      </c>
      <c r="F1058" t="s">
        <v>5557</v>
      </c>
      <c r="G1058" t="s">
        <v>5568</v>
      </c>
      <c r="H1058" t="s">
        <v>4915</v>
      </c>
    </row>
    <row r="1059" spans="1:8" x14ac:dyDescent="0.25">
      <c r="A1059">
        <v>776190853</v>
      </c>
      <c r="B1059" t="s">
        <v>3362</v>
      </c>
      <c r="C1059" t="s">
        <v>4463</v>
      </c>
      <c r="D1059">
        <v>13</v>
      </c>
      <c r="E1059" t="s">
        <v>4445</v>
      </c>
      <c r="F1059" t="s">
        <v>3361</v>
      </c>
      <c r="G1059" t="s">
        <v>5568</v>
      </c>
      <c r="H1059" t="s">
        <v>4915</v>
      </c>
    </row>
    <row r="1060" spans="1:8" x14ac:dyDescent="0.25">
      <c r="A1060">
        <v>776195642</v>
      </c>
      <c r="B1060" t="s">
        <v>4591</v>
      </c>
      <c r="C1060" t="s">
        <v>4393</v>
      </c>
      <c r="D1060">
        <v>13</v>
      </c>
      <c r="E1060" t="s">
        <v>4445</v>
      </c>
      <c r="F1060" t="s">
        <v>4590</v>
      </c>
      <c r="G1060" t="s">
        <v>5568</v>
      </c>
      <c r="H1060" t="s">
        <v>4915</v>
      </c>
    </row>
    <row r="1061" spans="1:8" x14ac:dyDescent="0.25">
      <c r="A1061">
        <v>776267783</v>
      </c>
      <c r="B1061" t="s">
        <v>3694</v>
      </c>
      <c r="C1061" t="s">
        <v>4490</v>
      </c>
      <c r="D1061">
        <v>5</v>
      </c>
      <c r="E1061" t="s">
        <v>4445</v>
      </c>
      <c r="F1061" t="s">
        <v>3693</v>
      </c>
      <c r="G1061" t="s">
        <v>5570</v>
      </c>
      <c r="H1061" t="s">
        <v>4915</v>
      </c>
    </row>
    <row r="1062" spans="1:8" x14ac:dyDescent="0.25">
      <c r="A1062">
        <v>776286303</v>
      </c>
      <c r="B1062" t="s">
        <v>862</v>
      </c>
      <c r="C1062" t="s">
        <v>4198</v>
      </c>
      <c r="D1062">
        <v>5</v>
      </c>
      <c r="E1062" t="s">
        <v>4445</v>
      </c>
      <c r="F1062" t="s">
        <v>3073</v>
      </c>
      <c r="G1062" t="s">
        <v>5570</v>
      </c>
      <c r="H1062" t="s">
        <v>4915</v>
      </c>
    </row>
    <row r="1063" spans="1:8" x14ac:dyDescent="0.25">
      <c r="A1063">
        <v>776326887</v>
      </c>
      <c r="B1063" t="s">
        <v>1088</v>
      </c>
      <c r="C1063" t="s">
        <v>4495</v>
      </c>
      <c r="D1063">
        <v>16</v>
      </c>
      <c r="E1063" t="s">
        <v>4445</v>
      </c>
      <c r="F1063" t="s">
        <v>3075</v>
      </c>
      <c r="G1063" t="s">
        <v>5570</v>
      </c>
      <c r="H1063" t="s">
        <v>4915</v>
      </c>
    </row>
    <row r="1064" spans="1:8" x14ac:dyDescent="0.25">
      <c r="A1064">
        <v>776345512</v>
      </c>
      <c r="B1064" t="s">
        <v>5696</v>
      </c>
      <c r="C1064" t="s">
        <v>4465</v>
      </c>
      <c r="D1064">
        <v>13</v>
      </c>
      <c r="E1064" t="s">
        <v>4445</v>
      </c>
      <c r="F1064" t="s">
        <v>5697</v>
      </c>
      <c r="G1064" t="s">
        <v>5568</v>
      </c>
      <c r="H1064" t="s">
        <v>4915</v>
      </c>
    </row>
    <row r="1065" spans="1:8" x14ac:dyDescent="0.25">
      <c r="A1065">
        <v>776381233</v>
      </c>
      <c r="B1065" t="s">
        <v>561</v>
      </c>
      <c r="C1065" t="s">
        <v>4465</v>
      </c>
      <c r="D1065">
        <v>13</v>
      </c>
      <c r="E1065" t="s">
        <v>4445</v>
      </c>
      <c r="F1065" t="s">
        <v>1241</v>
      </c>
      <c r="G1065" t="s">
        <v>5570</v>
      </c>
      <c r="H1065" t="s">
        <v>4915</v>
      </c>
    </row>
    <row r="1066" spans="1:8" x14ac:dyDescent="0.25">
      <c r="A1066">
        <v>776387193</v>
      </c>
      <c r="B1066" t="s">
        <v>5602</v>
      </c>
      <c r="C1066" t="s">
        <v>4287</v>
      </c>
      <c r="D1066">
        <v>13</v>
      </c>
      <c r="E1066" t="s">
        <v>4445</v>
      </c>
      <c r="F1066" t="s">
        <v>5603</v>
      </c>
      <c r="G1066" t="s">
        <v>5568</v>
      </c>
      <c r="H1066" t="s">
        <v>4915</v>
      </c>
    </row>
    <row r="1067" spans="1:8" x14ac:dyDescent="0.25">
      <c r="A1067">
        <v>776441406</v>
      </c>
      <c r="B1067" t="s">
        <v>562</v>
      </c>
      <c r="C1067" t="s">
        <v>4552</v>
      </c>
      <c r="D1067">
        <v>13</v>
      </c>
      <c r="E1067" t="s">
        <v>4445</v>
      </c>
      <c r="F1067" t="s">
        <v>3078</v>
      </c>
      <c r="G1067" t="s">
        <v>5570</v>
      </c>
      <c r="H1067" t="s">
        <v>4915</v>
      </c>
    </row>
    <row r="1068" spans="1:8" x14ac:dyDescent="0.25">
      <c r="A1068">
        <v>776495999</v>
      </c>
      <c r="B1068" t="s">
        <v>3081</v>
      </c>
      <c r="C1068" t="s">
        <v>4410</v>
      </c>
      <c r="D1068">
        <v>13</v>
      </c>
      <c r="E1068" t="s">
        <v>4445</v>
      </c>
      <c r="F1068" t="s">
        <v>3080</v>
      </c>
      <c r="G1068" t="s">
        <v>5568</v>
      </c>
      <c r="H1068" t="s">
        <v>4915</v>
      </c>
    </row>
    <row r="1069" spans="1:8" x14ac:dyDescent="0.25">
      <c r="A1069">
        <v>776499129</v>
      </c>
      <c r="B1069" t="s">
        <v>5698</v>
      </c>
      <c r="C1069" t="s">
        <v>4561</v>
      </c>
      <c r="D1069">
        <v>13</v>
      </c>
      <c r="E1069" t="s">
        <v>4445</v>
      </c>
      <c r="F1069" t="s">
        <v>5699</v>
      </c>
      <c r="G1069" t="s">
        <v>5568</v>
      </c>
      <c r="H1069" t="s">
        <v>4915</v>
      </c>
    </row>
    <row r="1070" spans="1:8" x14ac:dyDescent="0.25">
      <c r="A1070">
        <v>776531693</v>
      </c>
      <c r="B1070" t="s">
        <v>563</v>
      </c>
      <c r="C1070" t="s">
        <v>4391</v>
      </c>
      <c r="D1070">
        <v>13</v>
      </c>
      <c r="E1070" t="s">
        <v>4445</v>
      </c>
      <c r="F1070" t="s">
        <v>3083</v>
      </c>
      <c r="G1070" t="s">
        <v>5570</v>
      </c>
      <c r="H1070" t="s">
        <v>4915</v>
      </c>
    </row>
    <row r="1071" spans="1:8" x14ac:dyDescent="0.25">
      <c r="A1071">
        <v>776670855</v>
      </c>
      <c r="B1071" t="s">
        <v>1099</v>
      </c>
      <c r="C1071" t="s">
        <v>4393</v>
      </c>
      <c r="D1071">
        <v>13</v>
      </c>
      <c r="E1071" t="s">
        <v>4445</v>
      </c>
      <c r="F1071" t="s">
        <v>2162</v>
      </c>
      <c r="G1071" t="s">
        <v>5569</v>
      </c>
      <c r="H1071" t="s">
        <v>4915</v>
      </c>
    </row>
    <row r="1072" spans="1:8" x14ac:dyDescent="0.25">
      <c r="A1072">
        <v>776717754</v>
      </c>
      <c r="B1072" t="s">
        <v>564</v>
      </c>
      <c r="C1072" t="s">
        <v>4459</v>
      </c>
      <c r="D1072">
        <v>5</v>
      </c>
      <c r="E1072" t="s">
        <v>4445</v>
      </c>
      <c r="F1072" t="s">
        <v>3245</v>
      </c>
      <c r="G1072" t="s">
        <v>5569</v>
      </c>
      <c r="H1072" t="s">
        <v>4915</v>
      </c>
    </row>
    <row r="1073" spans="1:8" x14ac:dyDescent="0.25">
      <c r="A1073">
        <v>776722316</v>
      </c>
      <c r="B1073" t="s">
        <v>565</v>
      </c>
      <c r="C1073" t="s">
        <v>4563</v>
      </c>
      <c r="D1073">
        <v>5</v>
      </c>
      <c r="E1073" t="s">
        <v>4445</v>
      </c>
      <c r="F1073" t="s">
        <v>3087</v>
      </c>
      <c r="G1073" t="s">
        <v>5569</v>
      </c>
      <c r="H1073" t="s">
        <v>4915</v>
      </c>
    </row>
    <row r="1074" spans="1:8" x14ac:dyDescent="0.25">
      <c r="A1074" t="s">
        <v>4775</v>
      </c>
      <c r="B1074" t="s">
        <v>1564</v>
      </c>
      <c r="C1074" t="s">
        <v>4460</v>
      </c>
      <c r="D1074">
        <v>8</v>
      </c>
      <c r="E1074" t="s">
        <v>4445</v>
      </c>
      <c r="F1074" t="s">
        <v>1563</v>
      </c>
      <c r="G1074" t="s">
        <v>5569</v>
      </c>
      <c r="H1074" t="s">
        <v>4915</v>
      </c>
    </row>
    <row r="1075" spans="1:8" x14ac:dyDescent="0.25">
      <c r="A1075">
        <v>776891320</v>
      </c>
      <c r="B1075" t="s">
        <v>566</v>
      </c>
      <c r="C1075" t="s">
        <v>4465</v>
      </c>
      <c r="D1075">
        <v>13</v>
      </c>
      <c r="E1075" t="s">
        <v>4445</v>
      </c>
      <c r="F1075" t="s">
        <v>3517</v>
      </c>
      <c r="G1075" t="s">
        <v>5568</v>
      </c>
      <c r="H1075" t="s">
        <v>4915</v>
      </c>
    </row>
    <row r="1076" spans="1:8" x14ac:dyDescent="0.25">
      <c r="A1076">
        <v>776893218</v>
      </c>
      <c r="B1076" t="s">
        <v>4593</v>
      </c>
      <c r="C1076" t="s">
        <v>4257</v>
      </c>
      <c r="D1076">
        <v>7</v>
      </c>
      <c r="E1076" t="s">
        <v>4445</v>
      </c>
      <c r="F1076" t="s">
        <v>4592</v>
      </c>
      <c r="G1076" t="s">
        <v>5568</v>
      </c>
      <c r="H1076" t="s">
        <v>4915</v>
      </c>
    </row>
    <row r="1077" spans="1:8" x14ac:dyDescent="0.25">
      <c r="A1077" t="s">
        <v>4441</v>
      </c>
      <c r="B1077" t="s">
        <v>4442</v>
      </c>
      <c r="C1077" t="s">
        <v>4552</v>
      </c>
      <c r="D1077">
        <v>13</v>
      </c>
      <c r="E1077" t="s">
        <v>4445</v>
      </c>
      <c r="F1077" t="s">
        <v>4594</v>
      </c>
      <c r="G1077" t="s">
        <v>5569</v>
      </c>
      <c r="H1077" t="s">
        <v>4915</v>
      </c>
    </row>
    <row r="1078" spans="1:8" x14ac:dyDescent="0.25">
      <c r="A1078">
        <v>776910341</v>
      </c>
      <c r="B1078" t="s">
        <v>5437</v>
      </c>
      <c r="C1078" t="s">
        <v>4391</v>
      </c>
      <c r="D1078">
        <v>13</v>
      </c>
      <c r="E1078" t="s">
        <v>4445</v>
      </c>
      <c r="F1078" t="s">
        <v>5438</v>
      </c>
      <c r="G1078" t="s">
        <v>5570</v>
      </c>
      <c r="H1078" t="s">
        <v>4915</v>
      </c>
    </row>
    <row r="1079" spans="1:8" x14ac:dyDescent="0.25">
      <c r="A1079">
        <v>776953997</v>
      </c>
      <c r="B1079" t="s">
        <v>567</v>
      </c>
      <c r="C1079" t="s">
        <v>4292</v>
      </c>
      <c r="D1079">
        <v>10</v>
      </c>
      <c r="E1079" t="s">
        <v>4445</v>
      </c>
      <c r="F1079" t="s">
        <v>3089</v>
      </c>
      <c r="G1079" t="s">
        <v>5569</v>
      </c>
      <c r="H1079" t="s">
        <v>4915</v>
      </c>
    </row>
    <row r="1080" spans="1:8" x14ac:dyDescent="0.25">
      <c r="A1080">
        <v>776982598</v>
      </c>
      <c r="B1080" t="s">
        <v>568</v>
      </c>
      <c r="C1080" t="s">
        <v>4391</v>
      </c>
      <c r="D1080">
        <v>6</v>
      </c>
      <c r="E1080" t="s">
        <v>4445</v>
      </c>
      <c r="F1080" t="s">
        <v>3254</v>
      </c>
      <c r="G1080" t="s">
        <v>5568</v>
      </c>
      <c r="H1080" t="s">
        <v>4915</v>
      </c>
    </row>
    <row r="1081" spans="1:8" x14ac:dyDescent="0.25">
      <c r="A1081">
        <v>777004190</v>
      </c>
      <c r="B1081" t="s">
        <v>5779</v>
      </c>
      <c r="C1081" t="s">
        <v>4390</v>
      </c>
      <c r="D1081">
        <v>13</v>
      </c>
      <c r="E1081" t="s">
        <v>4445</v>
      </c>
      <c r="F1081" t="s">
        <v>5780</v>
      </c>
      <c r="H1081" t="s">
        <v>5660</v>
      </c>
    </row>
    <row r="1082" spans="1:8" x14ac:dyDescent="0.25">
      <c r="A1082">
        <v>777129597</v>
      </c>
      <c r="B1082" t="s">
        <v>974</v>
      </c>
      <c r="C1082" t="s">
        <v>4391</v>
      </c>
      <c r="D1082">
        <v>13</v>
      </c>
      <c r="E1082" t="s">
        <v>4445</v>
      </c>
      <c r="F1082" t="s">
        <v>3092</v>
      </c>
      <c r="G1082" t="s">
        <v>5570</v>
      </c>
      <c r="H1082" t="s">
        <v>4915</v>
      </c>
    </row>
    <row r="1083" spans="1:8" x14ac:dyDescent="0.25">
      <c r="A1083">
        <v>777141570</v>
      </c>
      <c r="B1083" t="s">
        <v>5655</v>
      </c>
      <c r="C1083" t="s">
        <v>4460</v>
      </c>
      <c r="D1083">
        <v>8</v>
      </c>
      <c r="E1083" t="s">
        <v>4445</v>
      </c>
      <c r="F1083" t="s">
        <v>4931</v>
      </c>
      <c r="G1083" t="s">
        <v>5568</v>
      </c>
      <c r="H1083" t="s">
        <v>4915</v>
      </c>
    </row>
    <row r="1084" spans="1:8" x14ac:dyDescent="0.25">
      <c r="A1084">
        <v>777228234</v>
      </c>
      <c r="B1084" t="s">
        <v>863</v>
      </c>
      <c r="C1084" t="s">
        <v>4393</v>
      </c>
      <c r="D1084">
        <v>13</v>
      </c>
      <c r="E1084" t="s">
        <v>4445</v>
      </c>
      <c r="F1084" t="s">
        <v>1598</v>
      </c>
      <c r="G1084" t="s">
        <v>5568</v>
      </c>
      <c r="H1084" t="s">
        <v>4915</v>
      </c>
    </row>
    <row r="1085" spans="1:8" x14ac:dyDescent="0.25">
      <c r="A1085">
        <v>777352210</v>
      </c>
      <c r="B1085" t="s">
        <v>5519</v>
      </c>
      <c r="C1085" t="s">
        <v>4321</v>
      </c>
      <c r="D1085">
        <v>5</v>
      </c>
      <c r="E1085" t="s">
        <v>4445</v>
      </c>
      <c r="F1085" t="s">
        <v>5520</v>
      </c>
      <c r="G1085" t="s">
        <v>5568</v>
      </c>
      <c r="H1085" t="s">
        <v>4915</v>
      </c>
    </row>
    <row r="1086" spans="1:8" x14ac:dyDescent="0.25">
      <c r="A1086">
        <v>777412035</v>
      </c>
      <c r="B1086" t="s">
        <v>3097</v>
      </c>
      <c r="C1086" t="s">
        <v>4495</v>
      </c>
      <c r="D1086">
        <v>13</v>
      </c>
      <c r="E1086" t="s">
        <v>4445</v>
      </c>
      <c r="F1086" t="s">
        <v>3096</v>
      </c>
      <c r="G1086" t="s">
        <v>5570</v>
      </c>
      <c r="H1086" t="s">
        <v>4915</v>
      </c>
    </row>
    <row r="1087" spans="1:8" x14ac:dyDescent="0.25">
      <c r="A1087">
        <v>777443828</v>
      </c>
      <c r="B1087" t="s">
        <v>3100</v>
      </c>
      <c r="C1087" t="s">
        <v>4391</v>
      </c>
      <c r="D1087">
        <v>13</v>
      </c>
      <c r="E1087" t="s">
        <v>4445</v>
      </c>
      <c r="F1087" t="s">
        <v>3099</v>
      </c>
      <c r="G1087" t="s">
        <v>5568</v>
      </c>
      <c r="H1087" t="s">
        <v>4915</v>
      </c>
    </row>
    <row r="1088" spans="1:8" x14ac:dyDescent="0.25">
      <c r="A1088">
        <v>777474596</v>
      </c>
      <c r="B1088" t="s">
        <v>3103</v>
      </c>
      <c r="C1088" t="s">
        <v>4465</v>
      </c>
      <c r="D1088">
        <v>13</v>
      </c>
      <c r="E1088" t="s">
        <v>4445</v>
      </c>
      <c r="F1088" t="s">
        <v>3102</v>
      </c>
      <c r="G1088" t="s">
        <v>5568</v>
      </c>
      <c r="H1088" t="s">
        <v>4915</v>
      </c>
    </row>
    <row r="1089" spans="1:8" x14ac:dyDescent="0.25">
      <c r="A1089">
        <v>777492101</v>
      </c>
      <c r="B1089" t="s">
        <v>570</v>
      </c>
      <c r="C1089" t="s">
        <v>4168</v>
      </c>
      <c r="D1089">
        <v>13</v>
      </c>
      <c r="E1089" t="s">
        <v>4445</v>
      </c>
      <c r="F1089" t="s">
        <v>2374</v>
      </c>
      <c r="G1089" t="s">
        <v>5568</v>
      </c>
      <c r="H1089" t="s">
        <v>4915</v>
      </c>
    </row>
    <row r="1090" spans="1:8" x14ac:dyDescent="0.25">
      <c r="A1090">
        <v>777514059</v>
      </c>
      <c r="B1090" t="s">
        <v>4596</v>
      </c>
      <c r="C1090" t="s">
        <v>4183</v>
      </c>
      <c r="D1090">
        <v>8</v>
      </c>
      <c r="E1090" t="s">
        <v>4445</v>
      </c>
      <c r="F1090" t="s">
        <v>4595</v>
      </c>
      <c r="G1090" t="s">
        <v>5568</v>
      </c>
      <c r="H1090" t="s">
        <v>4915</v>
      </c>
    </row>
    <row r="1091" spans="1:8" x14ac:dyDescent="0.25">
      <c r="A1091">
        <v>777653768</v>
      </c>
      <c r="B1091" t="s">
        <v>1098</v>
      </c>
      <c r="C1091" t="s">
        <v>4495</v>
      </c>
      <c r="D1091">
        <v>16</v>
      </c>
      <c r="E1091" t="s">
        <v>4445</v>
      </c>
      <c r="F1091" t="s">
        <v>2176</v>
      </c>
      <c r="G1091" t="s">
        <v>5568</v>
      </c>
      <c r="H1091" t="s">
        <v>4915</v>
      </c>
    </row>
    <row r="1092" spans="1:8" x14ac:dyDescent="0.25">
      <c r="A1092">
        <v>777691309</v>
      </c>
      <c r="B1092" t="s">
        <v>1090</v>
      </c>
      <c r="C1092" t="s">
        <v>4490</v>
      </c>
      <c r="D1092">
        <v>5</v>
      </c>
      <c r="E1092" t="s">
        <v>4445</v>
      </c>
      <c r="F1092" t="s">
        <v>3109</v>
      </c>
      <c r="G1092" t="s">
        <v>5570</v>
      </c>
      <c r="H1092" t="s">
        <v>4915</v>
      </c>
    </row>
    <row r="1093" spans="1:8" x14ac:dyDescent="0.25">
      <c r="A1093">
        <v>777693468</v>
      </c>
      <c r="B1093" t="s">
        <v>5810</v>
      </c>
      <c r="C1093" t="s">
        <v>4448</v>
      </c>
      <c r="D1093">
        <v>13</v>
      </c>
      <c r="E1093" t="s">
        <v>4445</v>
      </c>
      <c r="F1093" t="s">
        <v>5811</v>
      </c>
      <c r="H1093" t="s">
        <v>4915</v>
      </c>
    </row>
    <row r="1094" spans="1:8" x14ac:dyDescent="0.25">
      <c r="A1094">
        <v>777723081</v>
      </c>
      <c r="B1094" t="s">
        <v>3112</v>
      </c>
      <c r="C1094" t="s">
        <v>4465</v>
      </c>
      <c r="D1094">
        <v>13</v>
      </c>
      <c r="E1094" t="s">
        <v>4445</v>
      </c>
      <c r="F1094" t="s">
        <v>3111</v>
      </c>
      <c r="G1094" t="s">
        <v>5570</v>
      </c>
      <c r="H1094" t="s">
        <v>4915</v>
      </c>
    </row>
    <row r="1095" spans="1:8" x14ac:dyDescent="0.25">
      <c r="A1095">
        <v>777746138</v>
      </c>
      <c r="B1095" t="s">
        <v>3115</v>
      </c>
      <c r="C1095" t="s">
        <v>4268</v>
      </c>
      <c r="D1095">
        <v>16</v>
      </c>
      <c r="E1095" t="s">
        <v>4445</v>
      </c>
      <c r="F1095" t="s">
        <v>3114</v>
      </c>
      <c r="G1095" t="s">
        <v>5569</v>
      </c>
      <c r="H1095" t="s">
        <v>4915</v>
      </c>
    </row>
    <row r="1096" spans="1:8" x14ac:dyDescent="0.25">
      <c r="A1096">
        <v>777767453</v>
      </c>
      <c r="B1096" t="s">
        <v>571</v>
      </c>
      <c r="C1096" t="s">
        <v>4463</v>
      </c>
      <c r="D1096">
        <v>13</v>
      </c>
      <c r="E1096" t="s">
        <v>4445</v>
      </c>
      <c r="F1096" t="s">
        <v>3117</v>
      </c>
      <c r="G1096" t="s">
        <v>5569</v>
      </c>
      <c r="H1096" t="s">
        <v>4915</v>
      </c>
    </row>
    <row r="1097" spans="1:8" x14ac:dyDescent="0.25">
      <c r="A1097">
        <v>777792954</v>
      </c>
      <c r="B1097" t="s">
        <v>948</v>
      </c>
      <c r="C1097" t="s">
        <v>4471</v>
      </c>
      <c r="D1097">
        <v>13</v>
      </c>
      <c r="E1097" t="s">
        <v>4445</v>
      </c>
      <c r="F1097" t="s">
        <v>3924</v>
      </c>
      <c r="G1097" t="s">
        <v>5570</v>
      </c>
      <c r="H1097" t="s">
        <v>4915</v>
      </c>
    </row>
    <row r="1098" spans="1:8" x14ac:dyDescent="0.25">
      <c r="A1098">
        <v>777941046</v>
      </c>
      <c r="B1098" t="s">
        <v>572</v>
      </c>
      <c r="C1098" t="s">
        <v>4182</v>
      </c>
      <c r="D1098">
        <v>2</v>
      </c>
      <c r="E1098" t="s">
        <v>4445</v>
      </c>
      <c r="F1098" t="s">
        <v>3121</v>
      </c>
      <c r="G1098" t="s">
        <v>5570</v>
      </c>
      <c r="H1098" t="s">
        <v>4915</v>
      </c>
    </row>
    <row r="1099" spans="1:8" x14ac:dyDescent="0.25">
      <c r="A1099">
        <v>778058294</v>
      </c>
      <c r="B1099" t="s">
        <v>1084</v>
      </c>
      <c r="C1099" t="s">
        <v>4182</v>
      </c>
      <c r="D1099">
        <v>2</v>
      </c>
      <c r="E1099" t="s">
        <v>4445</v>
      </c>
      <c r="F1099" t="s">
        <v>3123</v>
      </c>
      <c r="G1099" t="s">
        <v>5568</v>
      </c>
      <c r="H1099" t="s">
        <v>4915</v>
      </c>
    </row>
    <row r="1100" spans="1:8" x14ac:dyDescent="0.25">
      <c r="A1100">
        <v>778068524</v>
      </c>
      <c r="B1100" t="s">
        <v>938</v>
      </c>
      <c r="C1100" t="s">
        <v>4449</v>
      </c>
      <c r="D1100">
        <v>13</v>
      </c>
      <c r="E1100" t="s">
        <v>4445</v>
      </c>
      <c r="F1100" t="s">
        <v>3125</v>
      </c>
      <c r="G1100" t="s">
        <v>5570</v>
      </c>
      <c r="H1100" t="s">
        <v>4915</v>
      </c>
    </row>
    <row r="1101" spans="1:8" x14ac:dyDescent="0.25">
      <c r="A1101">
        <v>778078406</v>
      </c>
      <c r="B1101" t="s">
        <v>864</v>
      </c>
      <c r="C1101" t="s">
        <v>4561</v>
      </c>
      <c r="D1101">
        <v>13</v>
      </c>
      <c r="E1101" t="s">
        <v>4445</v>
      </c>
      <c r="F1101" t="s">
        <v>3814</v>
      </c>
      <c r="G1101" t="s">
        <v>5568</v>
      </c>
      <c r="H1101" t="s">
        <v>4915</v>
      </c>
    </row>
    <row r="1102" spans="1:8" x14ac:dyDescent="0.25">
      <c r="A1102">
        <v>778086247</v>
      </c>
      <c r="B1102" t="s">
        <v>5656</v>
      </c>
      <c r="C1102" t="s">
        <v>4544</v>
      </c>
      <c r="D1102">
        <v>13</v>
      </c>
      <c r="E1102" t="s">
        <v>4445</v>
      </c>
      <c r="F1102" t="s">
        <v>5657</v>
      </c>
      <c r="G1102" t="s">
        <v>5568</v>
      </c>
      <c r="H1102" t="s">
        <v>4915</v>
      </c>
    </row>
    <row r="1103" spans="1:8" x14ac:dyDescent="0.25">
      <c r="A1103">
        <v>778127342</v>
      </c>
      <c r="B1103" t="s">
        <v>3131</v>
      </c>
      <c r="C1103" t="s">
        <v>4394</v>
      </c>
      <c r="D1103">
        <v>13</v>
      </c>
      <c r="E1103" t="s">
        <v>4445</v>
      </c>
      <c r="F1103" t="s">
        <v>3130</v>
      </c>
      <c r="G1103" t="s">
        <v>5568</v>
      </c>
      <c r="H1103" t="s">
        <v>4915</v>
      </c>
    </row>
    <row r="1104" spans="1:8" x14ac:dyDescent="0.25">
      <c r="A1104" t="s">
        <v>5676</v>
      </c>
      <c r="B1104" t="s">
        <v>5677</v>
      </c>
      <c r="C1104" t="s">
        <v>4391</v>
      </c>
      <c r="D1104">
        <v>13</v>
      </c>
      <c r="E1104" t="s">
        <v>4445</v>
      </c>
      <c r="F1104" t="s">
        <v>5678</v>
      </c>
      <c r="G1104" t="s">
        <v>5570</v>
      </c>
      <c r="H1104" t="s">
        <v>4915</v>
      </c>
    </row>
    <row r="1105" spans="1:8" x14ac:dyDescent="0.25">
      <c r="A1105" t="s">
        <v>978</v>
      </c>
      <c r="B1105" t="s">
        <v>980</v>
      </c>
      <c r="C1105" t="s">
        <v>4465</v>
      </c>
      <c r="D1105">
        <v>13</v>
      </c>
      <c r="E1105" t="s">
        <v>4445</v>
      </c>
      <c r="F1105" t="s">
        <v>3133</v>
      </c>
      <c r="G1105" t="s">
        <v>5570</v>
      </c>
      <c r="H1105" t="s">
        <v>4915</v>
      </c>
    </row>
    <row r="1106" spans="1:8" x14ac:dyDescent="0.25">
      <c r="A1106">
        <v>778187922</v>
      </c>
      <c r="B1106" t="s">
        <v>573</v>
      </c>
      <c r="C1106" t="s">
        <v>4181</v>
      </c>
      <c r="D1106">
        <v>15</v>
      </c>
      <c r="E1106" t="s">
        <v>4445</v>
      </c>
      <c r="F1106" t="s">
        <v>3135</v>
      </c>
      <c r="G1106" t="s">
        <v>5569</v>
      </c>
      <c r="H1106" t="s">
        <v>4915</v>
      </c>
    </row>
    <row r="1107" spans="1:8" x14ac:dyDescent="0.25">
      <c r="A1107">
        <v>778338394</v>
      </c>
      <c r="B1107" t="s">
        <v>5709</v>
      </c>
      <c r="C1107" t="s">
        <v>4171</v>
      </c>
      <c r="D1107">
        <v>4</v>
      </c>
      <c r="E1107" t="s">
        <v>4445</v>
      </c>
      <c r="F1107" t="s">
        <v>5710</v>
      </c>
      <c r="G1107" t="s">
        <v>5568</v>
      </c>
      <c r="H1107" t="s">
        <v>4915</v>
      </c>
    </row>
    <row r="1108" spans="1:8" x14ac:dyDescent="0.25">
      <c r="A1108">
        <v>778411377</v>
      </c>
      <c r="B1108" t="s">
        <v>5592</v>
      </c>
      <c r="C1108" t="s">
        <v>4391</v>
      </c>
      <c r="D1108">
        <v>13</v>
      </c>
      <c r="E1108" t="s">
        <v>4445</v>
      </c>
      <c r="F1108" t="s">
        <v>5593</v>
      </c>
      <c r="G1108" t="s">
        <v>5568</v>
      </c>
      <c r="H1108" t="s">
        <v>4915</v>
      </c>
    </row>
    <row r="1109" spans="1:8" x14ac:dyDescent="0.25">
      <c r="A1109">
        <v>778422891</v>
      </c>
      <c r="B1109" t="s">
        <v>4598</v>
      </c>
      <c r="C1109" t="s">
        <v>4460</v>
      </c>
      <c r="D1109">
        <v>8</v>
      </c>
      <c r="E1109" t="s">
        <v>4445</v>
      </c>
      <c r="F1109" t="s">
        <v>4597</v>
      </c>
      <c r="G1109" t="s">
        <v>5568</v>
      </c>
      <c r="H1109" t="s">
        <v>4915</v>
      </c>
    </row>
    <row r="1110" spans="1:8" x14ac:dyDescent="0.25">
      <c r="A1110">
        <v>778475790</v>
      </c>
      <c r="B1110" t="s">
        <v>5767</v>
      </c>
      <c r="C1110" t="s">
        <v>4218</v>
      </c>
      <c r="E1110" t="s">
        <v>4445</v>
      </c>
      <c r="F1110" t="s">
        <v>5768</v>
      </c>
      <c r="G1110" t="s">
        <v>5568</v>
      </c>
      <c r="H1110" t="s">
        <v>4915</v>
      </c>
    </row>
    <row r="1111" spans="1:8" x14ac:dyDescent="0.25">
      <c r="A1111">
        <v>778551837</v>
      </c>
      <c r="B1111" t="s">
        <v>5451</v>
      </c>
      <c r="C1111" t="s">
        <v>4391</v>
      </c>
      <c r="D1111">
        <v>13</v>
      </c>
      <c r="E1111" t="s">
        <v>4445</v>
      </c>
      <c r="F1111" t="s">
        <v>5452</v>
      </c>
      <c r="G1111" t="s">
        <v>5568</v>
      </c>
      <c r="H1111" t="s">
        <v>4915</v>
      </c>
    </row>
    <row r="1112" spans="1:8" x14ac:dyDescent="0.25">
      <c r="A1112">
        <v>778653494</v>
      </c>
      <c r="B1112" t="s">
        <v>3138</v>
      </c>
      <c r="C1112" t="s">
        <v>4175</v>
      </c>
      <c r="D1112">
        <v>5</v>
      </c>
      <c r="E1112" t="s">
        <v>4445</v>
      </c>
      <c r="F1112" t="s">
        <v>3137</v>
      </c>
      <c r="G1112" t="s">
        <v>5568</v>
      </c>
      <c r="H1112" t="s">
        <v>4915</v>
      </c>
    </row>
    <row r="1113" spans="1:8" x14ac:dyDescent="0.25">
      <c r="A1113">
        <v>778744848</v>
      </c>
      <c r="B1113" t="s">
        <v>3574</v>
      </c>
      <c r="C1113" t="s">
        <v>4380</v>
      </c>
      <c r="D1113">
        <v>8</v>
      </c>
      <c r="E1113" t="s">
        <v>4445</v>
      </c>
      <c r="F1113" t="s">
        <v>3573</v>
      </c>
      <c r="G1113" t="s">
        <v>5568</v>
      </c>
      <c r="H1113" t="s">
        <v>4915</v>
      </c>
    </row>
    <row r="1114" spans="1:8" x14ac:dyDescent="0.25">
      <c r="A1114">
        <v>778781700</v>
      </c>
      <c r="B1114" t="s">
        <v>574</v>
      </c>
      <c r="C1114" t="s">
        <v>4197</v>
      </c>
      <c r="D1114">
        <v>13</v>
      </c>
      <c r="E1114" t="s">
        <v>4445</v>
      </c>
      <c r="F1114" t="s">
        <v>2109</v>
      </c>
      <c r="G1114" t="s">
        <v>5570</v>
      </c>
      <c r="H1114" t="s">
        <v>4915</v>
      </c>
    </row>
    <row r="1115" spans="1:8" x14ac:dyDescent="0.25">
      <c r="A1115">
        <v>778830833</v>
      </c>
      <c r="B1115" t="s">
        <v>1101</v>
      </c>
      <c r="C1115" t="s">
        <v>4401</v>
      </c>
      <c r="D1115">
        <v>13</v>
      </c>
      <c r="E1115" t="s">
        <v>4445</v>
      </c>
      <c r="F1115" t="s">
        <v>1923</v>
      </c>
      <c r="G1115" t="s">
        <v>5568</v>
      </c>
      <c r="H1115" t="s">
        <v>4915</v>
      </c>
    </row>
    <row r="1116" spans="1:8" x14ac:dyDescent="0.25">
      <c r="A1116">
        <v>778962551</v>
      </c>
      <c r="B1116" t="s">
        <v>5488</v>
      </c>
      <c r="C1116" t="s">
        <v>4560</v>
      </c>
      <c r="D1116">
        <v>10</v>
      </c>
      <c r="E1116" t="s">
        <v>4445</v>
      </c>
      <c r="F1116" t="s">
        <v>5489</v>
      </c>
      <c r="G1116" t="s">
        <v>5569</v>
      </c>
      <c r="H1116" t="s">
        <v>4915</v>
      </c>
    </row>
    <row r="1117" spans="1:8" x14ac:dyDescent="0.25">
      <c r="A1117" t="s">
        <v>5535</v>
      </c>
      <c r="B1117" t="s">
        <v>5536</v>
      </c>
      <c r="C1117" t="s">
        <v>4458</v>
      </c>
      <c r="D1117">
        <v>13</v>
      </c>
      <c r="E1117" t="s">
        <v>4445</v>
      </c>
      <c r="F1117" t="s">
        <v>5537</v>
      </c>
      <c r="G1117" t="s">
        <v>5568</v>
      </c>
      <c r="H1117" t="s">
        <v>4915</v>
      </c>
    </row>
    <row r="1118" spans="1:8" x14ac:dyDescent="0.25">
      <c r="A1118">
        <v>778997223</v>
      </c>
      <c r="B1118" t="s">
        <v>1016</v>
      </c>
      <c r="C1118" t="s">
        <v>4552</v>
      </c>
      <c r="D1118">
        <v>13</v>
      </c>
      <c r="E1118" t="s">
        <v>4445</v>
      </c>
      <c r="F1118" t="s">
        <v>3145</v>
      </c>
      <c r="G1118" t="s">
        <v>5568</v>
      </c>
      <c r="H1118" t="s">
        <v>4915</v>
      </c>
    </row>
    <row r="1119" spans="1:8" x14ac:dyDescent="0.25">
      <c r="A1119">
        <v>779008525</v>
      </c>
      <c r="B1119" t="s">
        <v>4600</v>
      </c>
      <c r="C1119" t="s">
        <v>4401</v>
      </c>
      <c r="D1119">
        <v>13</v>
      </c>
      <c r="E1119" t="s">
        <v>4445</v>
      </c>
      <c r="F1119" t="s">
        <v>4599</v>
      </c>
      <c r="G1119" t="s">
        <v>5568</v>
      </c>
      <c r="H1119" t="s">
        <v>4915</v>
      </c>
    </row>
    <row r="1120" spans="1:8" x14ac:dyDescent="0.25">
      <c r="A1120">
        <v>779033414</v>
      </c>
      <c r="B1120" t="s">
        <v>952</v>
      </c>
      <c r="C1120" t="s">
        <v>4465</v>
      </c>
      <c r="D1120">
        <v>13</v>
      </c>
      <c r="E1120" t="s">
        <v>4445</v>
      </c>
      <c r="F1120" t="s">
        <v>3147</v>
      </c>
      <c r="G1120" t="s">
        <v>5568</v>
      </c>
      <c r="H1120" t="s">
        <v>4915</v>
      </c>
    </row>
    <row r="1121" spans="1:8" x14ac:dyDescent="0.25">
      <c r="A1121">
        <v>779037460</v>
      </c>
      <c r="B1121" t="s">
        <v>5814</v>
      </c>
      <c r="C1121" t="s">
        <v>4190</v>
      </c>
      <c r="D1121">
        <v>10</v>
      </c>
      <c r="E1121" t="s">
        <v>4445</v>
      </c>
      <c r="F1121" t="s">
        <v>5815</v>
      </c>
      <c r="H1121" t="s">
        <v>4915</v>
      </c>
    </row>
    <row r="1122" spans="1:8" x14ac:dyDescent="0.25">
      <c r="A1122">
        <v>779039218</v>
      </c>
      <c r="B1122" t="s">
        <v>5558</v>
      </c>
      <c r="C1122" t="s">
        <v>4175</v>
      </c>
      <c r="D1122">
        <v>5</v>
      </c>
      <c r="E1122" t="s">
        <v>4445</v>
      </c>
      <c r="F1122" t="s">
        <v>5559</v>
      </c>
      <c r="G1122" t="s">
        <v>5570</v>
      </c>
      <c r="H1122" t="s">
        <v>4915</v>
      </c>
    </row>
    <row r="1123" spans="1:8" x14ac:dyDescent="0.25">
      <c r="A1123">
        <v>779041808</v>
      </c>
      <c r="B1123" t="s">
        <v>1205</v>
      </c>
      <c r="C1123" t="s">
        <v>4203</v>
      </c>
      <c r="D1123">
        <v>6</v>
      </c>
      <c r="E1123" t="s">
        <v>4445</v>
      </c>
      <c r="F1123" t="s">
        <v>1204</v>
      </c>
      <c r="G1123" t="s">
        <v>5568</v>
      </c>
      <c r="H1123" t="s">
        <v>4915</v>
      </c>
    </row>
    <row r="1124" spans="1:8" x14ac:dyDescent="0.25">
      <c r="A1124">
        <v>779049493</v>
      </c>
      <c r="B1124" t="s">
        <v>1102</v>
      </c>
      <c r="C1124" t="s">
        <v>4510</v>
      </c>
      <c r="D1124">
        <v>13</v>
      </c>
      <c r="E1124" t="s">
        <v>4445</v>
      </c>
      <c r="F1124" t="s">
        <v>2226</v>
      </c>
      <c r="G1124" t="s">
        <v>5569</v>
      </c>
      <c r="H1124" t="s">
        <v>4915</v>
      </c>
    </row>
    <row r="1125" spans="1:8" x14ac:dyDescent="0.25">
      <c r="A1125">
        <v>779085430</v>
      </c>
      <c r="B1125" t="s">
        <v>5761</v>
      </c>
      <c r="C1125" t="s">
        <v>4470</v>
      </c>
      <c r="E1125" t="s">
        <v>4445</v>
      </c>
      <c r="F1125" t="s">
        <v>5762</v>
      </c>
      <c r="G1125" t="s">
        <v>5568</v>
      </c>
      <c r="H1125" t="s">
        <v>4915</v>
      </c>
    </row>
    <row r="1126" spans="1:8" x14ac:dyDescent="0.25">
      <c r="A1126">
        <v>779140350</v>
      </c>
      <c r="B1126" t="s">
        <v>5515</v>
      </c>
      <c r="C1126" t="s">
        <v>4529</v>
      </c>
      <c r="D1126">
        <v>13</v>
      </c>
      <c r="E1126" t="s">
        <v>4445</v>
      </c>
      <c r="F1126" t="s">
        <v>5516</v>
      </c>
      <c r="G1126" t="s">
        <v>5569</v>
      </c>
      <c r="H1126" t="s">
        <v>4915</v>
      </c>
    </row>
    <row r="1127" spans="1:8" x14ac:dyDescent="0.25">
      <c r="A1127">
        <v>779278468</v>
      </c>
      <c r="B1127" t="s">
        <v>5611</v>
      </c>
      <c r="C1127" t="s">
        <v>4251</v>
      </c>
      <c r="D1127">
        <v>5</v>
      </c>
      <c r="E1127" t="s">
        <v>4445</v>
      </c>
      <c r="F1127" t="s">
        <v>5612</v>
      </c>
      <c r="G1127" t="s">
        <v>5570</v>
      </c>
      <c r="H1127" t="s">
        <v>4915</v>
      </c>
    </row>
    <row r="1128" spans="1:8" x14ac:dyDescent="0.25">
      <c r="A1128">
        <v>779311201</v>
      </c>
      <c r="B1128" t="s">
        <v>3152</v>
      </c>
      <c r="C1128" t="s">
        <v>4410</v>
      </c>
      <c r="D1128">
        <v>13</v>
      </c>
      <c r="E1128" t="s">
        <v>4445</v>
      </c>
      <c r="F1128" t="s">
        <v>3151</v>
      </c>
      <c r="G1128" t="s">
        <v>5568</v>
      </c>
      <c r="H1128" t="s">
        <v>4915</v>
      </c>
    </row>
    <row r="1129" spans="1:8" x14ac:dyDescent="0.25">
      <c r="A1129">
        <v>779315088</v>
      </c>
      <c r="B1129" t="s">
        <v>4438</v>
      </c>
      <c r="C1129" t="s">
        <v>4510</v>
      </c>
      <c r="D1129">
        <v>13</v>
      </c>
      <c r="E1129" t="s">
        <v>4445</v>
      </c>
      <c r="F1129" t="s">
        <v>4601</v>
      </c>
      <c r="G1129" t="s">
        <v>5569</v>
      </c>
      <c r="H1129" t="s">
        <v>4915</v>
      </c>
    </row>
    <row r="1130" spans="1:8" x14ac:dyDescent="0.25">
      <c r="A1130">
        <v>779386449</v>
      </c>
      <c r="B1130" t="s">
        <v>5790</v>
      </c>
      <c r="C1130" t="s">
        <v>4393</v>
      </c>
      <c r="D1130">
        <v>13</v>
      </c>
      <c r="E1130" t="s">
        <v>4445</v>
      </c>
      <c r="F1130" t="s">
        <v>5788</v>
      </c>
      <c r="G1130" t="s">
        <v>5568</v>
      </c>
      <c r="H1130" t="s">
        <v>4915</v>
      </c>
    </row>
    <row r="1131" spans="1:8" x14ac:dyDescent="0.25">
      <c r="A1131">
        <v>779421945</v>
      </c>
      <c r="B1131" t="s">
        <v>5613</v>
      </c>
      <c r="C1131" t="s">
        <v>4552</v>
      </c>
      <c r="D1131">
        <v>13</v>
      </c>
      <c r="E1131" t="s">
        <v>4445</v>
      </c>
      <c r="F1131" t="s">
        <v>5614</v>
      </c>
      <c r="G1131" t="s">
        <v>5568</v>
      </c>
      <c r="H1131" t="s">
        <v>4915</v>
      </c>
    </row>
    <row r="1132" spans="1:8" x14ac:dyDescent="0.25">
      <c r="A1132">
        <v>779453456</v>
      </c>
      <c r="B1132" t="s">
        <v>3154</v>
      </c>
      <c r="C1132" t="s">
        <v>4409</v>
      </c>
      <c r="D1132">
        <v>13</v>
      </c>
      <c r="E1132" t="s">
        <v>4445</v>
      </c>
      <c r="F1132" t="s">
        <v>3153</v>
      </c>
      <c r="G1132" t="s">
        <v>5568</v>
      </c>
      <c r="H1132" t="s">
        <v>4915</v>
      </c>
    </row>
    <row r="1133" spans="1:8" x14ac:dyDescent="0.25">
      <c r="A1133">
        <v>779499839</v>
      </c>
      <c r="B1133" t="s">
        <v>4603</v>
      </c>
      <c r="C1133" t="s">
        <v>4465</v>
      </c>
      <c r="D1133">
        <v>13</v>
      </c>
      <c r="E1133" t="s">
        <v>4445</v>
      </c>
      <c r="F1133" t="s">
        <v>4602</v>
      </c>
      <c r="G1133" t="s">
        <v>5568</v>
      </c>
      <c r="H1133" t="s">
        <v>4915</v>
      </c>
    </row>
    <row r="1134" spans="1:8" x14ac:dyDescent="0.25">
      <c r="A1134">
        <v>779544508</v>
      </c>
      <c r="B1134" t="s">
        <v>576</v>
      </c>
      <c r="C1134" t="s">
        <v>4465</v>
      </c>
      <c r="D1134">
        <v>13</v>
      </c>
      <c r="E1134" t="s">
        <v>4445</v>
      </c>
      <c r="F1134" t="s">
        <v>3156</v>
      </c>
      <c r="G1134" t="s">
        <v>5570</v>
      </c>
      <c r="H1134" t="s">
        <v>4915</v>
      </c>
    </row>
    <row r="1135" spans="1:8" x14ac:dyDescent="0.25">
      <c r="A1135">
        <v>779583074</v>
      </c>
      <c r="B1135" t="s">
        <v>4984</v>
      </c>
      <c r="C1135" t="s">
        <v>4395</v>
      </c>
      <c r="D1135">
        <v>13</v>
      </c>
      <c r="E1135" t="s">
        <v>4445</v>
      </c>
      <c r="F1135" t="s">
        <v>4985</v>
      </c>
      <c r="G1135" t="s">
        <v>5568</v>
      </c>
      <c r="H1135" t="s">
        <v>4915</v>
      </c>
    </row>
    <row r="1136" spans="1:8" x14ac:dyDescent="0.25">
      <c r="A1136">
        <v>779619664</v>
      </c>
      <c r="B1136" t="s">
        <v>5594</v>
      </c>
      <c r="C1136" t="s">
        <v>4557</v>
      </c>
      <c r="D1136">
        <v>13</v>
      </c>
      <c r="E1136" t="s">
        <v>4445</v>
      </c>
      <c r="F1136" t="s">
        <v>5595</v>
      </c>
      <c r="G1136" t="s">
        <v>5568</v>
      </c>
      <c r="H1136" t="s">
        <v>4915</v>
      </c>
    </row>
    <row r="1137" spans="1:8" x14ac:dyDescent="0.25">
      <c r="A1137">
        <v>779672174</v>
      </c>
      <c r="B1137" t="s">
        <v>5769</v>
      </c>
      <c r="C1137" t="s">
        <v>4391</v>
      </c>
      <c r="D1137">
        <v>13</v>
      </c>
      <c r="E1137" t="s">
        <v>4445</v>
      </c>
      <c r="F1137" t="s">
        <v>5770</v>
      </c>
      <c r="G1137" t="s">
        <v>5569</v>
      </c>
      <c r="H1137" t="s">
        <v>4915</v>
      </c>
    </row>
    <row r="1138" spans="1:8" x14ac:dyDescent="0.25">
      <c r="A1138">
        <v>779682609</v>
      </c>
      <c r="B1138" t="s">
        <v>1010</v>
      </c>
      <c r="C1138" t="s">
        <v>4391</v>
      </c>
      <c r="D1138">
        <v>13</v>
      </c>
      <c r="E1138" t="s">
        <v>4445</v>
      </c>
      <c r="F1138" t="s">
        <v>3158</v>
      </c>
      <c r="G1138" t="s">
        <v>5568</v>
      </c>
      <c r="H1138" t="s">
        <v>4915</v>
      </c>
    </row>
    <row r="1139" spans="1:8" x14ac:dyDescent="0.25">
      <c r="A1139">
        <v>779685918</v>
      </c>
      <c r="B1139" t="s">
        <v>5725</v>
      </c>
      <c r="C1139" t="s">
        <v>4391</v>
      </c>
      <c r="D1139">
        <v>13</v>
      </c>
      <c r="E1139" t="s">
        <v>4445</v>
      </c>
      <c r="F1139" t="s">
        <v>5726</v>
      </c>
      <c r="G1139" t="s">
        <v>5568</v>
      </c>
      <c r="H1139" t="s">
        <v>4915</v>
      </c>
    </row>
    <row r="1140" spans="1:8" x14ac:dyDescent="0.25">
      <c r="A1140">
        <v>779771067</v>
      </c>
      <c r="B1140" t="s">
        <v>4605</v>
      </c>
      <c r="C1140" t="s">
        <v>4416</v>
      </c>
      <c r="D1140">
        <v>13</v>
      </c>
      <c r="E1140" t="s">
        <v>4445</v>
      </c>
      <c r="F1140" t="s">
        <v>4604</v>
      </c>
      <c r="G1140" t="s">
        <v>5568</v>
      </c>
      <c r="H1140" t="s">
        <v>4915</v>
      </c>
    </row>
    <row r="1141" spans="1:8" x14ac:dyDescent="0.25">
      <c r="A1141">
        <v>779945324</v>
      </c>
      <c r="B1141" t="s">
        <v>5635</v>
      </c>
      <c r="C1141" t="s">
        <v>4391</v>
      </c>
      <c r="D1141">
        <v>13</v>
      </c>
      <c r="E1141" t="s">
        <v>4445</v>
      </c>
      <c r="F1141" t="s">
        <v>5636</v>
      </c>
      <c r="G1141" t="s">
        <v>5568</v>
      </c>
      <c r="H1141" t="s">
        <v>4915</v>
      </c>
    </row>
    <row r="1142" spans="1:8" x14ac:dyDescent="0.25">
      <c r="A1142" t="s">
        <v>5704</v>
      </c>
      <c r="B1142" t="s">
        <v>5705</v>
      </c>
      <c r="C1142" t="s">
        <v>4528</v>
      </c>
      <c r="D1142">
        <v>13</v>
      </c>
      <c r="E1142" t="s">
        <v>4445</v>
      </c>
      <c r="F1142" t="s">
        <v>5706</v>
      </c>
      <c r="G1142" t="s">
        <v>5568</v>
      </c>
      <c r="H1142" t="s">
        <v>4915</v>
      </c>
    </row>
    <row r="1143" spans="1:8" x14ac:dyDescent="0.25">
      <c r="A1143">
        <v>779994686</v>
      </c>
      <c r="B1143" t="s">
        <v>5479</v>
      </c>
      <c r="C1143" t="s">
        <v>4209</v>
      </c>
      <c r="D1143">
        <v>6</v>
      </c>
      <c r="E1143" t="s">
        <v>4445</v>
      </c>
      <c r="F1143" t="s">
        <v>5480</v>
      </c>
      <c r="G1143" t="s">
        <v>5570</v>
      </c>
      <c r="H1143" t="s">
        <v>4915</v>
      </c>
    </row>
    <row r="1144" spans="1:8" x14ac:dyDescent="0.25">
      <c r="A1144">
        <v>780009640</v>
      </c>
      <c r="B1144" t="s">
        <v>5439</v>
      </c>
      <c r="C1144" t="s">
        <v>4395</v>
      </c>
      <c r="D1144">
        <v>13</v>
      </c>
      <c r="E1144" t="s">
        <v>4445</v>
      </c>
      <c r="F1144" t="s">
        <v>5440</v>
      </c>
      <c r="G1144" t="s">
        <v>5568</v>
      </c>
      <c r="H1144" t="s">
        <v>4915</v>
      </c>
    </row>
    <row r="1145" spans="1:8" x14ac:dyDescent="0.25">
      <c r="A1145">
        <v>780025484</v>
      </c>
      <c r="B1145" t="s">
        <v>4932</v>
      </c>
      <c r="C1145" t="s">
        <v>4391</v>
      </c>
      <c r="D1145">
        <v>13</v>
      </c>
      <c r="E1145" t="s">
        <v>4445</v>
      </c>
      <c r="F1145" t="s">
        <v>4933</v>
      </c>
      <c r="G1145" t="s">
        <v>5568</v>
      </c>
      <c r="H1145" t="s">
        <v>4915</v>
      </c>
    </row>
    <row r="1146" spans="1:8" x14ac:dyDescent="0.25">
      <c r="A1146">
        <v>780072229</v>
      </c>
      <c r="B1146" t="s">
        <v>5803</v>
      </c>
      <c r="C1146" t="s">
        <v>4174</v>
      </c>
      <c r="D1146">
        <v>13</v>
      </c>
      <c r="E1146" t="s">
        <v>4445</v>
      </c>
      <c r="F1146" t="s">
        <v>5804</v>
      </c>
      <c r="H1146" t="s">
        <v>4915</v>
      </c>
    </row>
    <row r="1147" spans="1:8" x14ac:dyDescent="0.25">
      <c r="A1147">
        <v>780101679</v>
      </c>
      <c r="B1147" t="s">
        <v>2554</v>
      </c>
      <c r="C1147" t="s">
        <v>4557</v>
      </c>
      <c r="D1147">
        <v>13</v>
      </c>
      <c r="E1147" t="s">
        <v>4445</v>
      </c>
      <c r="F1147" t="s">
        <v>2553</v>
      </c>
      <c r="G1147" t="s">
        <v>5568</v>
      </c>
      <c r="H1147" t="s">
        <v>4915</v>
      </c>
    </row>
    <row r="1148" spans="1:8" x14ac:dyDescent="0.25">
      <c r="A1148">
        <v>780101806</v>
      </c>
      <c r="B1148" t="s">
        <v>1089</v>
      </c>
      <c r="C1148" t="s">
        <v>4168</v>
      </c>
      <c r="D1148">
        <v>13</v>
      </c>
      <c r="E1148" t="s">
        <v>4445</v>
      </c>
      <c r="F1148" t="s">
        <v>3160</v>
      </c>
      <c r="G1148" t="s">
        <v>5568</v>
      </c>
      <c r="H1148" t="s">
        <v>4915</v>
      </c>
    </row>
    <row r="1149" spans="1:8" x14ac:dyDescent="0.25">
      <c r="A1149">
        <v>780111984</v>
      </c>
      <c r="B1149" t="s">
        <v>5637</v>
      </c>
      <c r="C1149" t="s">
        <v>4563</v>
      </c>
      <c r="D1149">
        <v>5</v>
      </c>
      <c r="E1149" t="s">
        <v>4445</v>
      </c>
      <c r="F1149" t="s">
        <v>5638</v>
      </c>
      <c r="G1149" t="s">
        <v>5568</v>
      </c>
      <c r="H1149" t="s">
        <v>4915</v>
      </c>
    </row>
    <row r="1150" spans="1:8" x14ac:dyDescent="0.25">
      <c r="A1150">
        <v>780188448</v>
      </c>
      <c r="B1150" t="s">
        <v>5441</v>
      </c>
      <c r="C1150" t="s">
        <v>4287</v>
      </c>
      <c r="D1150">
        <v>13</v>
      </c>
      <c r="E1150" t="s">
        <v>4445</v>
      </c>
      <c r="F1150" t="s">
        <v>5442</v>
      </c>
      <c r="G1150" t="s">
        <v>5570</v>
      </c>
      <c r="H1150" t="s">
        <v>4915</v>
      </c>
    </row>
    <row r="1151" spans="1:8" x14ac:dyDescent="0.25">
      <c r="A1151">
        <v>780244798</v>
      </c>
      <c r="B1151" t="s">
        <v>5693</v>
      </c>
      <c r="C1151" t="s">
        <v>5694</v>
      </c>
      <c r="D1151">
        <v>13</v>
      </c>
      <c r="E1151" t="s">
        <v>4445</v>
      </c>
      <c r="F1151" t="s">
        <v>5695</v>
      </c>
      <c r="G1151" t="s">
        <v>5568</v>
      </c>
      <c r="H1151" t="s">
        <v>4915</v>
      </c>
    </row>
    <row r="1152" spans="1:8" x14ac:dyDescent="0.25">
      <c r="A1152">
        <v>780271205</v>
      </c>
      <c r="B1152" t="s">
        <v>577</v>
      </c>
      <c r="C1152" t="s">
        <v>4460</v>
      </c>
      <c r="D1152">
        <v>8</v>
      </c>
      <c r="E1152" t="s">
        <v>4445</v>
      </c>
      <c r="F1152" t="s">
        <v>3162</v>
      </c>
      <c r="G1152" t="s">
        <v>5568</v>
      </c>
      <c r="H1152" t="s">
        <v>4915</v>
      </c>
    </row>
    <row r="1153" spans="1:8" x14ac:dyDescent="0.25">
      <c r="A1153">
        <v>780289279</v>
      </c>
      <c r="B1153" t="s">
        <v>5596</v>
      </c>
      <c r="C1153" t="s">
        <v>4465</v>
      </c>
      <c r="D1153">
        <v>13</v>
      </c>
      <c r="E1153" t="s">
        <v>4445</v>
      </c>
      <c r="F1153" t="s">
        <v>5597</v>
      </c>
      <c r="G1153" t="s">
        <v>5568</v>
      </c>
      <c r="H1153" t="s">
        <v>4915</v>
      </c>
    </row>
    <row r="1154" spans="1:8" x14ac:dyDescent="0.25">
      <c r="A1154">
        <v>780325666</v>
      </c>
      <c r="B1154" t="s">
        <v>4607</v>
      </c>
      <c r="C1154" t="s">
        <v>4528</v>
      </c>
      <c r="D1154">
        <v>13</v>
      </c>
      <c r="E1154" t="s">
        <v>4445</v>
      </c>
      <c r="F1154" t="s">
        <v>4606</v>
      </c>
      <c r="G1154" t="s">
        <v>5568</v>
      </c>
      <c r="H1154" t="s">
        <v>4915</v>
      </c>
    </row>
    <row r="1155" spans="1:8" x14ac:dyDescent="0.25">
      <c r="A1155">
        <v>780353902</v>
      </c>
      <c r="B1155" t="s">
        <v>117</v>
      </c>
      <c r="C1155" t="s">
        <v>4198</v>
      </c>
      <c r="D1155">
        <v>5</v>
      </c>
      <c r="E1155" t="s">
        <v>2372</v>
      </c>
      <c r="F1155" t="s">
        <v>2224</v>
      </c>
      <c r="G1155" t="s">
        <v>5570</v>
      </c>
      <c r="H1155" t="s">
        <v>4915</v>
      </c>
    </row>
    <row r="1156" spans="1:8" x14ac:dyDescent="0.25">
      <c r="A1156">
        <v>780356405</v>
      </c>
      <c r="B1156" t="s">
        <v>578</v>
      </c>
      <c r="C1156" t="s">
        <v>4391</v>
      </c>
      <c r="D1156">
        <v>13</v>
      </c>
      <c r="E1156" t="s">
        <v>4445</v>
      </c>
      <c r="F1156" t="s">
        <v>3166</v>
      </c>
      <c r="G1156" t="s">
        <v>5568</v>
      </c>
      <c r="H1156" t="s">
        <v>4915</v>
      </c>
    </row>
    <row r="1157" spans="1:8" x14ac:dyDescent="0.25">
      <c r="A1157" t="s">
        <v>4423</v>
      </c>
      <c r="B1157" t="s">
        <v>4424</v>
      </c>
      <c r="C1157" t="s">
        <v>4495</v>
      </c>
      <c r="D1157">
        <v>16</v>
      </c>
      <c r="E1157" t="s">
        <v>4445</v>
      </c>
      <c r="F1157" t="s">
        <v>4608</v>
      </c>
      <c r="G1157" t="s">
        <v>5568</v>
      </c>
      <c r="H1157" t="s">
        <v>4915</v>
      </c>
    </row>
    <row r="1158" spans="1:8" x14ac:dyDescent="0.25">
      <c r="A1158">
        <v>780405201</v>
      </c>
      <c r="B1158" t="s">
        <v>579</v>
      </c>
      <c r="C1158" t="s">
        <v>4391</v>
      </c>
      <c r="D1158">
        <v>13</v>
      </c>
      <c r="E1158" t="s">
        <v>5729</v>
      </c>
      <c r="F1158" t="s">
        <v>3691</v>
      </c>
      <c r="G1158" t="s">
        <v>5570</v>
      </c>
      <c r="H1158" t="s">
        <v>4915</v>
      </c>
    </row>
    <row r="1159" spans="1:8" x14ac:dyDescent="0.25">
      <c r="A1159">
        <v>780410175</v>
      </c>
      <c r="B1159" t="s">
        <v>5560</v>
      </c>
      <c r="C1159" t="s">
        <v>4381</v>
      </c>
      <c r="D1159">
        <v>13</v>
      </c>
      <c r="E1159" t="s">
        <v>4445</v>
      </c>
      <c r="F1159" t="s">
        <v>5561</v>
      </c>
      <c r="G1159" t="s">
        <v>5568</v>
      </c>
      <c r="H1159" t="s">
        <v>4915</v>
      </c>
    </row>
    <row r="1160" spans="1:8" x14ac:dyDescent="0.25">
      <c r="A1160">
        <v>780428155</v>
      </c>
      <c r="B1160" t="s">
        <v>4986</v>
      </c>
      <c r="C1160" t="s">
        <v>4178</v>
      </c>
      <c r="D1160">
        <v>6</v>
      </c>
      <c r="E1160" t="s">
        <v>4445</v>
      </c>
      <c r="F1160" t="s">
        <v>4987</v>
      </c>
      <c r="G1160" t="s">
        <v>5568</v>
      </c>
      <c r="H1160" t="s">
        <v>4915</v>
      </c>
    </row>
    <row r="1161" spans="1:8" x14ac:dyDescent="0.25">
      <c r="A1161">
        <v>780458097</v>
      </c>
      <c r="B1161" t="s">
        <v>5784</v>
      </c>
      <c r="C1161" t="s">
        <v>4391</v>
      </c>
      <c r="D1161">
        <v>13</v>
      </c>
      <c r="E1161" t="s">
        <v>4445</v>
      </c>
      <c r="F1161" t="s">
        <v>5785</v>
      </c>
      <c r="G1161" t="s">
        <v>5570</v>
      </c>
      <c r="H1161" t="s">
        <v>4915</v>
      </c>
    </row>
    <row r="1162" spans="1:8" x14ac:dyDescent="0.25">
      <c r="A1162">
        <v>780535601</v>
      </c>
      <c r="B1162" t="s">
        <v>754</v>
      </c>
      <c r="C1162" t="s">
        <v>4552</v>
      </c>
      <c r="D1162">
        <v>13</v>
      </c>
      <c r="E1162" t="s">
        <v>4457</v>
      </c>
      <c r="F1162" t="s">
        <v>3834</v>
      </c>
      <c r="G1162" t="s">
        <v>5570</v>
      </c>
      <c r="H1162" t="s">
        <v>4915</v>
      </c>
    </row>
    <row r="1163" spans="1:8" x14ac:dyDescent="0.25">
      <c r="A1163">
        <v>780542020</v>
      </c>
      <c r="B1163" t="s">
        <v>4960</v>
      </c>
      <c r="C1163" t="s">
        <v>4226</v>
      </c>
      <c r="D1163">
        <v>10</v>
      </c>
      <c r="E1163" t="s">
        <v>4445</v>
      </c>
      <c r="F1163" t="s">
        <v>4961</v>
      </c>
      <c r="G1163" t="s">
        <v>5568</v>
      </c>
      <c r="H1163" t="s">
        <v>4915</v>
      </c>
    </row>
    <row r="1164" spans="1:8" x14ac:dyDescent="0.25">
      <c r="A1164">
        <v>780542918</v>
      </c>
      <c r="B1164" t="s">
        <v>5538</v>
      </c>
      <c r="C1164" t="s">
        <v>4391</v>
      </c>
      <c r="D1164">
        <v>13</v>
      </c>
      <c r="E1164" t="s">
        <v>4445</v>
      </c>
      <c r="F1164" t="s">
        <v>5539</v>
      </c>
      <c r="G1164" t="s">
        <v>5568</v>
      </c>
      <c r="H1164" t="s">
        <v>4915</v>
      </c>
    </row>
    <row r="1165" spans="1:8" x14ac:dyDescent="0.25">
      <c r="A1165" t="s">
        <v>735</v>
      </c>
      <c r="B1165" t="s">
        <v>736</v>
      </c>
      <c r="C1165" t="s">
        <v>4391</v>
      </c>
      <c r="D1165">
        <v>13</v>
      </c>
      <c r="E1165" t="s">
        <v>4445</v>
      </c>
      <c r="F1165" t="s">
        <v>3171</v>
      </c>
      <c r="G1165" t="s">
        <v>5568</v>
      </c>
      <c r="H1165" t="s">
        <v>4915</v>
      </c>
    </row>
    <row r="1166" spans="1:8" x14ac:dyDescent="0.25">
      <c r="A1166">
        <v>780722045</v>
      </c>
      <c r="B1166" t="s">
        <v>4753</v>
      </c>
      <c r="C1166" t="s">
        <v>4218</v>
      </c>
      <c r="D1166">
        <v>9</v>
      </c>
      <c r="E1166" t="s">
        <v>4445</v>
      </c>
      <c r="F1166" t="s">
        <v>4910</v>
      </c>
      <c r="G1166" t="s">
        <v>5568</v>
      </c>
      <c r="H1166" t="s">
        <v>4915</v>
      </c>
    </row>
    <row r="1167" spans="1:8" x14ac:dyDescent="0.25">
      <c r="A1167">
        <v>780727039</v>
      </c>
      <c r="B1167" t="s">
        <v>5639</v>
      </c>
      <c r="C1167" t="s">
        <v>4257</v>
      </c>
      <c r="D1167">
        <v>7</v>
      </c>
      <c r="E1167" t="s">
        <v>4445</v>
      </c>
      <c r="F1167" t="s">
        <v>5640</v>
      </c>
      <c r="G1167" t="s">
        <v>5569</v>
      </c>
      <c r="H1167" t="s">
        <v>4915</v>
      </c>
    </row>
    <row r="1168" spans="1:8" x14ac:dyDescent="0.25">
      <c r="A1168">
        <v>780804750</v>
      </c>
      <c r="B1168" t="s">
        <v>5540</v>
      </c>
      <c r="C1168" t="s">
        <v>4563</v>
      </c>
      <c r="D1168">
        <v>5</v>
      </c>
      <c r="E1168" t="s">
        <v>4445</v>
      </c>
      <c r="F1168" t="s">
        <v>5541</v>
      </c>
      <c r="G1168" t="s">
        <v>5568</v>
      </c>
      <c r="H1168" t="s">
        <v>4915</v>
      </c>
    </row>
    <row r="1169" spans="1:8" x14ac:dyDescent="0.25">
      <c r="A1169">
        <v>780839406</v>
      </c>
      <c r="B1169" t="s">
        <v>580</v>
      </c>
      <c r="C1169" t="s">
        <v>4395</v>
      </c>
      <c r="D1169">
        <v>13</v>
      </c>
      <c r="E1169" t="s">
        <v>4445</v>
      </c>
      <c r="F1169" t="s">
        <v>3173</v>
      </c>
      <c r="G1169" t="s">
        <v>5568</v>
      </c>
      <c r="H1169" t="s">
        <v>4915</v>
      </c>
    </row>
    <row r="1170" spans="1:8" x14ac:dyDescent="0.25">
      <c r="A1170">
        <v>781117811</v>
      </c>
      <c r="B1170" t="s">
        <v>5679</v>
      </c>
      <c r="C1170" t="s">
        <v>4460</v>
      </c>
      <c r="D1170">
        <v>8</v>
      </c>
      <c r="E1170" t="s">
        <v>4445</v>
      </c>
      <c r="F1170" t="s">
        <v>5680</v>
      </c>
      <c r="G1170" t="s">
        <v>5568</v>
      </c>
      <c r="H1170" t="s">
        <v>4915</v>
      </c>
    </row>
    <row r="1171" spans="1:8" x14ac:dyDescent="0.25">
      <c r="A1171">
        <v>781247707</v>
      </c>
      <c r="B1171" t="s">
        <v>581</v>
      </c>
      <c r="C1171" t="s">
        <v>4460</v>
      </c>
      <c r="D1171">
        <v>8</v>
      </c>
      <c r="E1171" t="s">
        <v>4445</v>
      </c>
      <c r="F1171" t="s">
        <v>1371</v>
      </c>
      <c r="G1171" t="s">
        <v>5570</v>
      </c>
      <c r="H1171" t="s">
        <v>4915</v>
      </c>
    </row>
    <row r="1172" spans="1:8" x14ac:dyDescent="0.25">
      <c r="A1172">
        <v>781444634</v>
      </c>
      <c r="B1172" t="s">
        <v>5583</v>
      </c>
      <c r="C1172" t="s">
        <v>4237</v>
      </c>
      <c r="D1172">
        <v>2</v>
      </c>
      <c r="E1172" t="s">
        <v>4445</v>
      </c>
      <c r="F1172" t="s">
        <v>5584</v>
      </c>
      <c r="G1172" t="s">
        <v>5569</v>
      </c>
      <c r="H1172" t="s">
        <v>4915</v>
      </c>
    </row>
    <row r="1173" spans="1:8" x14ac:dyDescent="0.25">
      <c r="A1173">
        <v>781484431</v>
      </c>
      <c r="B1173" t="s">
        <v>5527</v>
      </c>
      <c r="C1173" t="s">
        <v>4391</v>
      </c>
      <c r="D1173">
        <v>13</v>
      </c>
      <c r="E1173" t="s">
        <v>4445</v>
      </c>
      <c r="F1173" t="s">
        <v>5528</v>
      </c>
      <c r="G1173" t="s">
        <v>5570</v>
      </c>
      <c r="H1173" t="s">
        <v>4915</v>
      </c>
    </row>
    <row r="1174" spans="1:8" x14ac:dyDescent="0.25">
      <c r="A1174">
        <v>781746657</v>
      </c>
      <c r="B1174" t="s">
        <v>5755</v>
      </c>
      <c r="C1174" t="s">
        <v>4389</v>
      </c>
      <c r="D1174">
        <v>9</v>
      </c>
      <c r="E1174" t="s">
        <v>4445</v>
      </c>
      <c r="F1174" t="s">
        <v>5756</v>
      </c>
      <c r="G1174" t="s">
        <v>5576</v>
      </c>
      <c r="H1174" t="s">
        <v>4915</v>
      </c>
    </row>
    <row r="1175" spans="1:8" x14ac:dyDescent="0.25">
      <c r="A1175">
        <v>781771864</v>
      </c>
      <c r="B1175" t="s">
        <v>5727</v>
      </c>
      <c r="C1175" t="s">
        <v>4319</v>
      </c>
      <c r="D1175">
        <v>5</v>
      </c>
      <c r="E1175" t="s">
        <v>4445</v>
      </c>
      <c r="F1175" t="s">
        <v>5728</v>
      </c>
      <c r="G1175" t="s">
        <v>5568</v>
      </c>
      <c r="H1175" t="s">
        <v>4915</v>
      </c>
    </row>
    <row r="1176" spans="1:8" x14ac:dyDescent="0.25">
      <c r="A1176">
        <v>781788449</v>
      </c>
      <c r="B1176" t="s">
        <v>5719</v>
      </c>
      <c r="C1176" t="s">
        <v>4287</v>
      </c>
      <c r="D1176">
        <v>13</v>
      </c>
      <c r="E1176" t="s">
        <v>4445</v>
      </c>
      <c r="F1176" t="s">
        <v>5720</v>
      </c>
      <c r="G1176" t="s">
        <v>5568</v>
      </c>
      <c r="H1176" t="s">
        <v>4915</v>
      </c>
    </row>
    <row r="1177" spans="1:8" x14ac:dyDescent="0.25">
      <c r="A1177">
        <v>781832359</v>
      </c>
      <c r="B1177" t="s">
        <v>5649</v>
      </c>
      <c r="C1177" t="s">
        <v>4495</v>
      </c>
      <c r="D1177">
        <v>16</v>
      </c>
      <c r="E1177" t="s">
        <v>4445</v>
      </c>
      <c r="F1177" t="s">
        <v>5650</v>
      </c>
      <c r="G1177" t="s">
        <v>5568</v>
      </c>
      <c r="H1177" t="s">
        <v>4915</v>
      </c>
    </row>
    <row r="1178" spans="1:8" x14ac:dyDescent="0.25">
      <c r="A1178">
        <v>781851302</v>
      </c>
      <c r="B1178" t="s">
        <v>582</v>
      </c>
      <c r="C1178" t="s">
        <v>4292</v>
      </c>
      <c r="D1178">
        <v>10</v>
      </c>
      <c r="E1178" t="s">
        <v>4445</v>
      </c>
      <c r="F1178" t="s">
        <v>3176</v>
      </c>
      <c r="G1178" t="s">
        <v>5570</v>
      </c>
      <c r="H1178" t="s">
        <v>4915</v>
      </c>
    </row>
    <row r="1179" spans="1:8" x14ac:dyDescent="0.25">
      <c r="A1179">
        <v>782050974</v>
      </c>
      <c r="B1179" t="s">
        <v>5687</v>
      </c>
      <c r="C1179" t="s">
        <v>4178</v>
      </c>
      <c r="D1179">
        <v>6</v>
      </c>
      <c r="E1179" t="s">
        <v>4445</v>
      </c>
      <c r="F1179" t="s">
        <v>5688</v>
      </c>
      <c r="G1179" t="s">
        <v>5576</v>
      </c>
      <c r="H1179" t="s">
        <v>4915</v>
      </c>
    </row>
    <row r="1180" spans="1:8" x14ac:dyDescent="0.25">
      <c r="A1180">
        <v>782064622</v>
      </c>
      <c r="B1180" t="s">
        <v>5604</v>
      </c>
      <c r="C1180" t="s">
        <v>4391</v>
      </c>
      <c r="D1180">
        <v>13</v>
      </c>
      <c r="E1180" t="s">
        <v>4445</v>
      </c>
      <c r="F1180" t="s">
        <v>5605</v>
      </c>
      <c r="G1180" t="s">
        <v>5568</v>
      </c>
      <c r="H1180" t="s">
        <v>4915</v>
      </c>
    </row>
    <row r="1181" spans="1:8" x14ac:dyDescent="0.25">
      <c r="A1181">
        <v>782145266</v>
      </c>
      <c r="B1181" t="s">
        <v>5658</v>
      </c>
      <c r="C1181" t="s">
        <v>4465</v>
      </c>
      <c r="D1181">
        <v>13</v>
      </c>
      <c r="E1181" t="s">
        <v>4445</v>
      </c>
      <c r="F1181" t="s">
        <v>5659</v>
      </c>
      <c r="G1181" t="s">
        <v>5568</v>
      </c>
      <c r="H1181" t="s">
        <v>4915</v>
      </c>
    </row>
    <row r="1182" spans="1:8" x14ac:dyDescent="0.25">
      <c r="A1182">
        <v>782302302</v>
      </c>
      <c r="B1182" t="s">
        <v>865</v>
      </c>
      <c r="C1182" t="s">
        <v>4178</v>
      </c>
      <c r="D1182">
        <v>6</v>
      </c>
      <c r="E1182" t="s">
        <v>5729</v>
      </c>
      <c r="F1182" t="s">
        <v>2116</v>
      </c>
      <c r="G1182" t="s">
        <v>5570</v>
      </c>
      <c r="H1182" t="s">
        <v>4915</v>
      </c>
    </row>
    <row r="1183" spans="1:8" x14ac:dyDescent="0.25">
      <c r="A1183">
        <v>782334204</v>
      </c>
      <c r="B1183" t="s">
        <v>4610</v>
      </c>
      <c r="C1183" t="s">
        <v>4391</v>
      </c>
      <c r="D1183">
        <v>13</v>
      </c>
      <c r="E1183" t="s">
        <v>4445</v>
      </c>
      <c r="F1183" t="s">
        <v>4609</v>
      </c>
      <c r="G1183" t="s">
        <v>5568</v>
      </c>
      <c r="H1183" t="s">
        <v>4915</v>
      </c>
    </row>
    <row r="1184" spans="1:8" x14ac:dyDescent="0.25">
      <c r="A1184">
        <v>782384902</v>
      </c>
      <c r="B1184" t="s">
        <v>5598</v>
      </c>
      <c r="C1184" t="s">
        <v>4410</v>
      </c>
      <c r="D1184">
        <v>13</v>
      </c>
      <c r="E1184" t="s">
        <v>4445</v>
      </c>
      <c r="F1184" t="s">
        <v>5599</v>
      </c>
      <c r="G1184" t="s">
        <v>5568</v>
      </c>
      <c r="H1184" t="s">
        <v>4915</v>
      </c>
    </row>
    <row r="1185" spans="1:8" x14ac:dyDescent="0.25">
      <c r="A1185">
        <v>782549847</v>
      </c>
      <c r="B1185" t="s">
        <v>5757</v>
      </c>
      <c r="C1185" t="s">
        <v>4510</v>
      </c>
      <c r="E1185" t="s">
        <v>4445</v>
      </c>
      <c r="F1185" t="s">
        <v>5758</v>
      </c>
      <c r="G1185" t="s">
        <v>5568</v>
      </c>
      <c r="H1185" t="s">
        <v>4915</v>
      </c>
    </row>
    <row r="1186" spans="1:8" x14ac:dyDescent="0.25">
      <c r="A1186">
        <v>782987283</v>
      </c>
      <c r="B1186" t="s">
        <v>5816</v>
      </c>
      <c r="C1186" t="s">
        <v>4218</v>
      </c>
      <c r="D1186">
        <v>9</v>
      </c>
      <c r="E1186" t="s">
        <v>4445</v>
      </c>
      <c r="F1186" t="s">
        <v>5817</v>
      </c>
      <c r="H1186" t="s">
        <v>4915</v>
      </c>
    </row>
    <row r="1187" spans="1:8" x14ac:dyDescent="0.25">
      <c r="A1187">
        <v>783504405</v>
      </c>
      <c r="B1187" t="s">
        <v>4435</v>
      </c>
      <c r="C1187" t="s">
        <v>4391</v>
      </c>
      <c r="D1187">
        <v>13</v>
      </c>
      <c r="E1187" t="s">
        <v>4445</v>
      </c>
      <c r="F1187" t="s">
        <v>4611</v>
      </c>
      <c r="G1187" t="s">
        <v>5568</v>
      </c>
      <c r="H1187" t="s">
        <v>4915</v>
      </c>
    </row>
    <row r="1188" spans="1:8" x14ac:dyDescent="0.25">
      <c r="A1188">
        <v>783553295</v>
      </c>
      <c r="B1188" t="s">
        <v>5786</v>
      </c>
      <c r="C1188" t="s">
        <v>4391</v>
      </c>
      <c r="D1188">
        <v>13</v>
      </c>
      <c r="E1188" t="s">
        <v>4445</v>
      </c>
      <c r="F1188" t="s">
        <v>5787</v>
      </c>
      <c r="G1188" t="s">
        <v>5568</v>
      </c>
      <c r="H1188" t="s">
        <v>4915</v>
      </c>
    </row>
    <row r="1189" spans="1:8" x14ac:dyDescent="0.25">
      <c r="A1189">
        <v>783684926</v>
      </c>
      <c r="B1189" t="s">
        <v>5795</v>
      </c>
      <c r="C1189" t="s">
        <v>4460</v>
      </c>
      <c r="D1189">
        <v>8</v>
      </c>
      <c r="E1189" t="s">
        <v>4445</v>
      </c>
      <c r="F1189" t="s">
        <v>5796</v>
      </c>
      <c r="G1189" t="s">
        <v>5568</v>
      </c>
      <c r="H1189" t="s">
        <v>4915</v>
      </c>
    </row>
    <row r="1190" spans="1:8" x14ac:dyDescent="0.25">
      <c r="A1190">
        <v>785378709</v>
      </c>
      <c r="B1190" t="s">
        <v>4988</v>
      </c>
      <c r="C1190" t="s">
        <v>4473</v>
      </c>
      <c r="D1190">
        <v>13</v>
      </c>
      <c r="E1190" t="s">
        <v>4445</v>
      </c>
      <c r="F1190" t="s">
        <v>4993</v>
      </c>
      <c r="G1190" t="s">
        <v>5568</v>
      </c>
      <c r="H1190" t="s">
        <v>4915</v>
      </c>
    </row>
    <row r="1191" spans="1:8" x14ac:dyDescent="0.25">
      <c r="A1191">
        <v>785563700</v>
      </c>
      <c r="B1191" t="s">
        <v>583</v>
      </c>
      <c r="C1191" t="s">
        <v>4391</v>
      </c>
      <c r="D1191">
        <v>13</v>
      </c>
      <c r="E1191" t="s">
        <v>4445</v>
      </c>
      <c r="F1191" t="s">
        <v>3758</v>
      </c>
      <c r="G1191" t="s">
        <v>5570</v>
      </c>
      <c r="H1191" t="s">
        <v>4915</v>
      </c>
    </row>
    <row r="1192" spans="1:8" x14ac:dyDescent="0.25">
      <c r="A1192">
        <v>785662504</v>
      </c>
      <c r="B1192" t="s">
        <v>5585</v>
      </c>
      <c r="C1192" t="s">
        <v>4465</v>
      </c>
      <c r="D1192">
        <v>13</v>
      </c>
      <c r="E1192" t="s">
        <v>4445</v>
      </c>
      <c r="F1192" t="s">
        <v>5586</v>
      </c>
      <c r="G1192" t="s">
        <v>5568</v>
      </c>
      <c r="H1192" t="s">
        <v>4915</v>
      </c>
    </row>
    <row r="1193" spans="1:8" x14ac:dyDescent="0.25">
      <c r="A1193">
        <v>785837509</v>
      </c>
      <c r="B1193" t="s">
        <v>584</v>
      </c>
      <c r="C1193" t="s">
        <v>4465</v>
      </c>
      <c r="D1193">
        <v>13</v>
      </c>
      <c r="E1193" t="s">
        <v>4445</v>
      </c>
      <c r="F1193" t="s">
        <v>3182</v>
      </c>
      <c r="G1193" t="s">
        <v>5568</v>
      </c>
      <c r="H1193" t="s">
        <v>4915</v>
      </c>
    </row>
    <row r="1194" spans="1:8" x14ac:dyDescent="0.25">
      <c r="A1194">
        <v>785977408</v>
      </c>
      <c r="B1194" t="s">
        <v>3185</v>
      </c>
      <c r="C1194" t="s">
        <v>4391</v>
      </c>
      <c r="D1194">
        <v>13</v>
      </c>
      <c r="E1194" t="s">
        <v>4445</v>
      </c>
      <c r="F1194" t="s">
        <v>3184</v>
      </c>
      <c r="G1194" t="s">
        <v>5570</v>
      </c>
      <c r="H1194" t="s">
        <v>4915</v>
      </c>
    </row>
    <row r="1195" spans="1:8" x14ac:dyDescent="0.25">
      <c r="A1195">
        <v>786602009</v>
      </c>
      <c r="B1195" t="s">
        <v>118</v>
      </c>
      <c r="C1195" t="s">
        <v>4175</v>
      </c>
      <c r="D1195">
        <v>5</v>
      </c>
      <c r="E1195" t="s">
        <v>2372</v>
      </c>
      <c r="F1195" t="s">
        <v>3187</v>
      </c>
      <c r="G1195" t="s">
        <v>5570</v>
      </c>
      <c r="H1195" t="s">
        <v>4915</v>
      </c>
    </row>
    <row r="1196" spans="1:8" x14ac:dyDescent="0.25">
      <c r="A1196">
        <v>786632609</v>
      </c>
      <c r="B1196" t="s">
        <v>3190</v>
      </c>
      <c r="C1196" t="s">
        <v>4175</v>
      </c>
      <c r="D1196">
        <v>5</v>
      </c>
      <c r="E1196" t="s">
        <v>4445</v>
      </c>
      <c r="F1196" t="s">
        <v>3189</v>
      </c>
      <c r="G1196" t="s">
        <v>5570</v>
      </c>
      <c r="H1196" t="s">
        <v>4915</v>
      </c>
    </row>
    <row r="1197" spans="1:8" x14ac:dyDescent="0.25">
      <c r="A1197">
        <v>787395805</v>
      </c>
      <c r="B1197" t="s">
        <v>868</v>
      </c>
      <c r="C1197" t="s">
        <v>4465</v>
      </c>
      <c r="D1197">
        <v>13</v>
      </c>
      <c r="E1197" t="s">
        <v>4445</v>
      </c>
      <c r="F1197" t="s">
        <v>4130</v>
      </c>
      <c r="G1197" t="s">
        <v>5570</v>
      </c>
      <c r="H1197" t="s">
        <v>4915</v>
      </c>
    </row>
    <row r="1198" spans="1:8" x14ac:dyDescent="0.25">
      <c r="A1198">
        <v>789182906</v>
      </c>
      <c r="B1198" t="s">
        <v>2028</v>
      </c>
      <c r="C1198" t="s">
        <v>4178</v>
      </c>
      <c r="D1198">
        <v>6</v>
      </c>
      <c r="E1198" t="s">
        <v>5729</v>
      </c>
      <c r="F1198" t="s">
        <v>2027</v>
      </c>
      <c r="G1198" t="s">
        <v>5570</v>
      </c>
      <c r="H1198" t="s">
        <v>4915</v>
      </c>
    </row>
    <row r="1199" spans="1:8" x14ac:dyDescent="0.25">
      <c r="A1199">
        <v>789374503</v>
      </c>
      <c r="B1199" t="s">
        <v>3197</v>
      </c>
      <c r="C1199" t="s">
        <v>4168</v>
      </c>
      <c r="D1199">
        <v>13</v>
      </c>
      <c r="E1199" t="s">
        <v>4445</v>
      </c>
      <c r="F1199" t="s">
        <v>3196</v>
      </c>
      <c r="G1199" t="s">
        <v>5568</v>
      </c>
      <c r="H1199" t="s">
        <v>4915</v>
      </c>
    </row>
    <row r="1200" spans="1:8" x14ac:dyDescent="0.25">
      <c r="A1200">
        <v>789476101</v>
      </c>
      <c r="B1200" t="s">
        <v>5670</v>
      </c>
      <c r="C1200" t="s">
        <v>4218</v>
      </c>
      <c r="D1200">
        <v>9</v>
      </c>
      <c r="E1200" t="s">
        <v>4445</v>
      </c>
      <c r="F1200" t="s">
        <v>5671</v>
      </c>
      <c r="G1200" t="s">
        <v>5568</v>
      </c>
      <c r="H1200" t="s">
        <v>4915</v>
      </c>
    </row>
    <row r="1201" spans="1:8" x14ac:dyDescent="0.25">
      <c r="A1201">
        <v>795768106</v>
      </c>
      <c r="B1201" t="s">
        <v>119</v>
      </c>
      <c r="C1201" t="s">
        <v>4175</v>
      </c>
      <c r="D1201">
        <v>5</v>
      </c>
      <c r="E1201" t="s">
        <v>2372</v>
      </c>
      <c r="F1201" t="s">
        <v>3530</v>
      </c>
      <c r="G1201" t="s">
        <v>5570</v>
      </c>
      <c r="H1201" t="s">
        <v>4915</v>
      </c>
    </row>
    <row r="1202" spans="1:8" x14ac:dyDescent="0.25">
      <c r="A1202">
        <v>796079002</v>
      </c>
      <c r="B1202" t="s">
        <v>120</v>
      </c>
      <c r="C1202" t="s">
        <v>4495</v>
      </c>
      <c r="D1202">
        <v>16</v>
      </c>
      <c r="E1202" t="s">
        <v>4464</v>
      </c>
      <c r="F1202" t="s">
        <v>4153</v>
      </c>
      <c r="G1202" t="s">
        <v>5570</v>
      </c>
      <c r="H1202" t="s">
        <v>4915</v>
      </c>
    </row>
    <row r="1203" spans="1:8" x14ac:dyDescent="0.25">
      <c r="A1203">
        <v>797228605</v>
      </c>
      <c r="B1203" t="s">
        <v>3205</v>
      </c>
      <c r="C1203" t="s">
        <v>4557</v>
      </c>
      <c r="D1203">
        <v>13</v>
      </c>
      <c r="E1203" t="s">
        <v>4445</v>
      </c>
      <c r="F1203" t="s">
        <v>3204</v>
      </c>
      <c r="G1203" t="s">
        <v>5568</v>
      </c>
      <c r="H1203" t="s">
        <v>4915</v>
      </c>
    </row>
    <row r="1204" spans="1:8" x14ac:dyDescent="0.25">
      <c r="A1204">
        <v>798440802</v>
      </c>
      <c r="B1204" t="s">
        <v>587</v>
      </c>
      <c r="C1204" t="s">
        <v>4394</v>
      </c>
      <c r="D1204">
        <v>13</v>
      </c>
      <c r="E1204" t="s">
        <v>4445</v>
      </c>
      <c r="F1204" t="s">
        <v>3206</v>
      </c>
      <c r="G1204" t="s">
        <v>5568</v>
      </c>
      <c r="H1204" t="s">
        <v>4915</v>
      </c>
    </row>
    <row r="1205" spans="1:8" x14ac:dyDescent="0.25">
      <c r="A1205">
        <v>798598902</v>
      </c>
      <c r="B1205" t="s">
        <v>588</v>
      </c>
      <c r="C1205" t="s">
        <v>4465</v>
      </c>
      <c r="D1205">
        <v>13</v>
      </c>
      <c r="E1205" t="s">
        <v>4445</v>
      </c>
      <c r="F1205" t="s">
        <v>2802</v>
      </c>
      <c r="G1205" t="s">
        <v>5570</v>
      </c>
      <c r="H1205" t="s">
        <v>4915</v>
      </c>
    </row>
    <row r="1206" spans="1:8" x14ac:dyDescent="0.25">
      <c r="A1206">
        <v>798956701</v>
      </c>
      <c r="B1206" t="s">
        <v>589</v>
      </c>
      <c r="C1206" t="s">
        <v>4393</v>
      </c>
      <c r="D1206">
        <v>13</v>
      </c>
      <c r="E1206" t="s">
        <v>4445</v>
      </c>
      <c r="F1206" t="s">
        <v>3210</v>
      </c>
      <c r="G1206" t="s">
        <v>5568</v>
      </c>
      <c r="H1206" t="s">
        <v>4915</v>
      </c>
    </row>
    <row r="1207" spans="1:8" x14ac:dyDescent="0.25">
      <c r="A1207">
        <v>79898783</v>
      </c>
      <c r="B1207" t="s">
        <v>939</v>
      </c>
      <c r="C1207" t="s">
        <v>4410</v>
      </c>
      <c r="D1207">
        <v>13</v>
      </c>
      <c r="E1207" t="s">
        <v>4445</v>
      </c>
      <c r="F1207" t="s">
        <v>3212</v>
      </c>
      <c r="G1207" t="s">
        <v>5568</v>
      </c>
      <c r="H1207" t="s">
        <v>4915</v>
      </c>
    </row>
    <row r="1208" spans="1:8" x14ac:dyDescent="0.25">
      <c r="A1208">
        <v>799065401</v>
      </c>
      <c r="B1208" t="s">
        <v>5562</v>
      </c>
      <c r="C1208" t="s">
        <v>4557</v>
      </c>
      <c r="D1208">
        <v>13</v>
      </c>
      <c r="E1208" t="s">
        <v>5563</v>
      </c>
      <c r="F1208" t="s">
        <v>5564</v>
      </c>
      <c r="H1208" t="s">
        <v>4915</v>
      </c>
    </row>
    <row r="1209" spans="1:8" x14ac:dyDescent="0.25">
      <c r="A1209">
        <v>801239005</v>
      </c>
      <c r="B1209" t="s">
        <v>975</v>
      </c>
      <c r="C1209" t="s">
        <v>4391</v>
      </c>
      <c r="D1209">
        <v>13</v>
      </c>
      <c r="E1209" t="s">
        <v>4445</v>
      </c>
      <c r="F1209" t="s">
        <v>3214</v>
      </c>
      <c r="G1209" t="s">
        <v>5568</v>
      </c>
      <c r="H1209" t="s">
        <v>4915</v>
      </c>
    </row>
    <row r="1210" spans="1:8" x14ac:dyDescent="0.25">
      <c r="A1210">
        <v>809329003</v>
      </c>
      <c r="B1210" t="s">
        <v>1065</v>
      </c>
      <c r="C1210" t="s">
        <v>4460</v>
      </c>
      <c r="D1210">
        <v>8</v>
      </c>
      <c r="E1210" t="s">
        <v>4445</v>
      </c>
      <c r="F1210" t="s">
        <v>3216</v>
      </c>
      <c r="G1210" t="s">
        <v>5570</v>
      </c>
      <c r="H1210" t="s">
        <v>4915</v>
      </c>
    </row>
    <row r="1211" spans="1:8" x14ac:dyDescent="0.25">
      <c r="A1211">
        <v>812104004</v>
      </c>
      <c r="B1211" t="s">
        <v>5587</v>
      </c>
      <c r="C1211" t="s">
        <v>4393</v>
      </c>
      <c r="D1211">
        <v>13</v>
      </c>
      <c r="E1211" t="s">
        <v>4445</v>
      </c>
      <c r="F1211" t="s">
        <v>5319</v>
      </c>
      <c r="G1211" t="s">
        <v>5568</v>
      </c>
      <c r="H1211" t="s">
        <v>4915</v>
      </c>
    </row>
    <row r="1212" spans="1:8" x14ac:dyDescent="0.25">
      <c r="A1212">
        <v>813380005</v>
      </c>
      <c r="B1212" t="s">
        <v>590</v>
      </c>
      <c r="C1212" t="s">
        <v>4456</v>
      </c>
      <c r="D1212">
        <v>13</v>
      </c>
      <c r="E1212" t="s">
        <v>4445</v>
      </c>
      <c r="F1212" t="s">
        <v>3218</v>
      </c>
      <c r="G1212" t="s">
        <v>5568</v>
      </c>
      <c r="H1212" t="s">
        <v>4915</v>
      </c>
    </row>
    <row r="1213" spans="1:8" x14ac:dyDescent="0.25">
      <c r="A1213" t="s">
        <v>737</v>
      </c>
      <c r="B1213" t="s">
        <v>3221</v>
      </c>
      <c r="C1213" t="s">
        <v>4495</v>
      </c>
      <c r="D1213">
        <v>8</v>
      </c>
      <c r="E1213" t="s">
        <v>4445</v>
      </c>
      <c r="F1213" t="s">
        <v>3220</v>
      </c>
      <c r="G1213" t="s">
        <v>5573</v>
      </c>
      <c r="H1213" t="s">
        <v>4957</v>
      </c>
    </row>
    <row r="1214" spans="1:8" x14ac:dyDescent="0.25">
      <c r="A1214">
        <v>816989000</v>
      </c>
      <c r="B1214" t="s">
        <v>591</v>
      </c>
      <c r="C1214" t="s">
        <v>4168</v>
      </c>
      <c r="D1214">
        <v>13</v>
      </c>
      <c r="E1214" t="s">
        <v>4445</v>
      </c>
      <c r="F1214" t="s">
        <v>1629</v>
      </c>
      <c r="G1214" t="s">
        <v>5570</v>
      </c>
      <c r="H1214" t="s">
        <v>4915</v>
      </c>
    </row>
    <row r="1215" spans="1:8" x14ac:dyDescent="0.25">
      <c r="A1215">
        <v>818975007</v>
      </c>
      <c r="B1215" t="s">
        <v>592</v>
      </c>
      <c r="C1215" t="s">
        <v>4168</v>
      </c>
      <c r="D1215">
        <v>13</v>
      </c>
      <c r="E1215" t="s">
        <v>4445</v>
      </c>
      <c r="F1215" t="s">
        <v>2308</v>
      </c>
      <c r="G1215" t="s">
        <v>5570</v>
      </c>
      <c r="H1215" t="s">
        <v>4915</v>
      </c>
    </row>
    <row r="1216" spans="1:8" x14ac:dyDescent="0.25">
      <c r="A1216">
        <v>819491003</v>
      </c>
      <c r="B1216" t="s">
        <v>2317</v>
      </c>
      <c r="C1216" t="s">
        <v>4224</v>
      </c>
      <c r="D1216">
        <v>10</v>
      </c>
      <c r="E1216" t="s">
        <v>4454</v>
      </c>
      <c r="F1216" t="s">
        <v>2316</v>
      </c>
      <c r="G1216" t="s">
        <v>5570</v>
      </c>
      <c r="H1216" t="s">
        <v>4915</v>
      </c>
    </row>
    <row r="1217" spans="1:8" x14ac:dyDescent="0.25">
      <c r="A1217">
        <v>820318005</v>
      </c>
      <c r="B1217" t="s">
        <v>122</v>
      </c>
      <c r="C1217" t="s">
        <v>4287</v>
      </c>
      <c r="D1217">
        <v>13</v>
      </c>
      <c r="E1217" t="s">
        <v>4457</v>
      </c>
      <c r="F1217" t="s">
        <v>1202</v>
      </c>
      <c r="G1217" t="s">
        <v>5570</v>
      </c>
      <c r="H1217" t="s">
        <v>4915</v>
      </c>
    </row>
    <row r="1218" spans="1:8" x14ac:dyDescent="0.25">
      <c r="A1218">
        <v>821567009</v>
      </c>
      <c r="B1218" t="s">
        <v>593</v>
      </c>
      <c r="C1218" t="s">
        <v>4187</v>
      </c>
      <c r="D1218">
        <v>13</v>
      </c>
      <c r="E1218" t="s">
        <v>4445</v>
      </c>
      <c r="F1218" t="s">
        <v>3233</v>
      </c>
      <c r="G1218" t="s">
        <v>5570</v>
      </c>
      <c r="H1218" t="s">
        <v>4915</v>
      </c>
    </row>
    <row r="1219" spans="1:8" x14ac:dyDescent="0.25">
      <c r="A1219">
        <v>823695004</v>
      </c>
      <c r="B1219" t="s">
        <v>594</v>
      </c>
      <c r="C1219" t="s">
        <v>4175</v>
      </c>
      <c r="D1219">
        <v>5</v>
      </c>
      <c r="E1219" t="s">
        <v>4445</v>
      </c>
      <c r="F1219" t="s">
        <v>3235</v>
      </c>
      <c r="G1219" t="s">
        <v>5570</v>
      </c>
      <c r="H1219" t="s">
        <v>4915</v>
      </c>
    </row>
    <row r="1220" spans="1:8" x14ac:dyDescent="0.25">
      <c r="A1220">
        <v>827453005</v>
      </c>
      <c r="B1220" t="s">
        <v>2119</v>
      </c>
      <c r="C1220" t="s">
        <v>4497</v>
      </c>
      <c r="D1220">
        <v>8</v>
      </c>
      <c r="E1220" t="s">
        <v>4464</v>
      </c>
      <c r="F1220" t="s">
        <v>2118</v>
      </c>
      <c r="G1220" t="s">
        <v>5574</v>
      </c>
      <c r="H1220" t="s">
        <v>4915</v>
      </c>
    </row>
    <row r="1221" spans="1:8" x14ac:dyDescent="0.25">
      <c r="A1221">
        <v>829831007</v>
      </c>
      <c r="B1221" t="s">
        <v>5322</v>
      </c>
      <c r="C1221" t="s">
        <v>4465</v>
      </c>
      <c r="D1221">
        <v>13</v>
      </c>
      <c r="E1221" t="s">
        <v>4445</v>
      </c>
      <c r="F1221" t="s">
        <v>5323</v>
      </c>
      <c r="G1221" t="s">
        <v>5576</v>
      </c>
      <c r="H1221" t="s">
        <v>4915</v>
      </c>
    </row>
    <row r="1222" spans="1:8" x14ac:dyDescent="0.25">
      <c r="A1222" t="s">
        <v>1100</v>
      </c>
      <c r="B1222" t="s">
        <v>1103</v>
      </c>
      <c r="C1222" t="s">
        <v>4174</v>
      </c>
      <c r="D1222">
        <v>5</v>
      </c>
      <c r="E1222" t="s">
        <v>4445</v>
      </c>
      <c r="F1222" t="s">
        <v>3521</v>
      </c>
      <c r="G1222" t="s">
        <v>5569</v>
      </c>
      <c r="H1222" t="s">
        <v>4915</v>
      </c>
    </row>
    <row r="1223" spans="1:8" x14ac:dyDescent="0.25">
      <c r="A1223">
        <v>856109003</v>
      </c>
      <c r="B1223" t="s">
        <v>3239</v>
      </c>
      <c r="C1223" t="s">
        <v>4175</v>
      </c>
      <c r="D1223">
        <v>5</v>
      </c>
      <c r="E1223" t="s">
        <v>4445</v>
      </c>
      <c r="F1223" t="s">
        <v>3238</v>
      </c>
      <c r="G1223" t="s">
        <v>5570</v>
      </c>
      <c r="H1223" t="s">
        <v>4915</v>
      </c>
    </row>
    <row r="1224" spans="1:8" x14ac:dyDescent="0.25">
      <c r="A1224">
        <v>859621007</v>
      </c>
      <c r="B1224" t="s">
        <v>595</v>
      </c>
      <c r="C1224" t="s">
        <v>4197</v>
      </c>
      <c r="D1224">
        <v>13</v>
      </c>
      <c r="E1224" t="s">
        <v>4445</v>
      </c>
      <c r="F1224" t="s">
        <v>1302</v>
      </c>
      <c r="G1224" t="s">
        <v>5570</v>
      </c>
      <c r="H1224" t="s">
        <v>4915</v>
      </c>
    </row>
    <row r="1225" spans="1:8" x14ac:dyDescent="0.25">
      <c r="A1225">
        <v>863833000</v>
      </c>
      <c r="B1225" t="s">
        <v>870</v>
      </c>
      <c r="C1225" t="s">
        <v>4391</v>
      </c>
      <c r="D1225">
        <v>13</v>
      </c>
      <c r="E1225" t="s">
        <v>4445</v>
      </c>
      <c r="F1225" t="s">
        <v>3243</v>
      </c>
      <c r="G1225" t="s">
        <v>5568</v>
      </c>
      <c r="H1225" t="s">
        <v>4915</v>
      </c>
    </row>
    <row r="1226" spans="1:8" x14ac:dyDescent="0.25">
      <c r="A1226">
        <v>863970008</v>
      </c>
      <c r="B1226" t="s">
        <v>5565</v>
      </c>
      <c r="C1226" t="s">
        <v>4393</v>
      </c>
      <c r="D1226">
        <v>13</v>
      </c>
      <c r="E1226" t="s">
        <v>4445</v>
      </c>
      <c r="F1226" t="s">
        <v>5566</v>
      </c>
      <c r="G1226" t="s">
        <v>5568</v>
      </c>
      <c r="H1226" t="s">
        <v>4915</v>
      </c>
    </row>
    <row r="1227" spans="1:8" x14ac:dyDescent="0.25">
      <c r="A1227">
        <v>867975004</v>
      </c>
      <c r="B1227" t="s">
        <v>3674</v>
      </c>
      <c r="C1227" t="s">
        <v>4171</v>
      </c>
      <c r="D1227">
        <v>4</v>
      </c>
      <c r="E1227" t="s">
        <v>4445</v>
      </c>
      <c r="F1227" t="s">
        <v>3673</v>
      </c>
      <c r="G1227" t="s">
        <v>5576</v>
      </c>
      <c r="H1227" t="s">
        <v>4915</v>
      </c>
    </row>
    <row r="1228" spans="1:8" x14ac:dyDescent="0.25">
      <c r="A1228">
        <v>868210001</v>
      </c>
      <c r="B1228" t="s">
        <v>596</v>
      </c>
      <c r="C1228" t="s">
        <v>4393</v>
      </c>
      <c r="D1228">
        <v>13</v>
      </c>
      <c r="E1228" t="s">
        <v>4445</v>
      </c>
      <c r="F1228" t="s">
        <v>3247</v>
      </c>
      <c r="G1228" t="s">
        <v>5568</v>
      </c>
      <c r="H1228" t="s">
        <v>4915</v>
      </c>
    </row>
    <row r="1229" spans="1:8" x14ac:dyDescent="0.25">
      <c r="A1229">
        <v>879129001</v>
      </c>
      <c r="B1229" t="s">
        <v>4934</v>
      </c>
      <c r="C1229" t="s">
        <v>4218</v>
      </c>
      <c r="D1229">
        <v>9</v>
      </c>
      <c r="E1229" t="s">
        <v>4445</v>
      </c>
      <c r="F1229" t="s">
        <v>4875</v>
      </c>
      <c r="H1229" t="s">
        <v>4915</v>
      </c>
    </row>
    <row r="1230" spans="1:8" x14ac:dyDescent="0.25">
      <c r="A1230">
        <v>880562002</v>
      </c>
      <c r="B1230" t="s">
        <v>3250</v>
      </c>
      <c r="C1230" t="s">
        <v>4257</v>
      </c>
      <c r="D1230">
        <v>7</v>
      </c>
      <c r="E1230" t="s">
        <v>4445</v>
      </c>
      <c r="F1230" t="s">
        <v>3249</v>
      </c>
      <c r="G1230" t="s">
        <v>5576</v>
      </c>
      <c r="H1230" t="s">
        <v>4915</v>
      </c>
    </row>
    <row r="1231" spans="1:8" x14ac:dyDescent="0.25">
      <c r="A1231">
        <v>880566008</v>
      </c>
      <c r="B1231" t="s">
        <v>1050</v>
      </c>
      <c r="C1231" t="s">
        <v>4218</v>
      </c>
      <c r="D1231">
        <v>9</v>
      </c>
      <c r="E1231" t="s">
        <v>4445</v>
      </c>
      <c r="F1231" t="s">
        <v>4062</v>
      </c>
      <c r="G1231" t="s">
        <v>5570</v>
      </c>
      <c r="H1231" t="s">
        <v>4915</v>
      </c>
    </row>
    <row r="1232" spans="1:8" x14ac:dyDescent="0.25">
      <c r="A1232">
        <v>880933000</v>
      </c>
      <c r="B1232" t="s">
        <v>5771</v>
      </c>
      <c r="C1232" t="s">
        <v>4203</v>
      </c>
      <c r="D1232">
        <v>6</v>
      </c>
      <c r="E1232" t="s">
        <v>4445</v>
      </c>
      <c r="F1232" t="s">
        <v>5772</v>
      </c>
      <c r="G1232" t="s">
        <v>5570</v>
      </c>
      <c r="H1232" t="s">
        <v>4915</v>
      </c>
    </row>
    <row r="1233" spans="1:8" x14ac:dyDescent="0.25">
      <c r="A1233">
        <v>884971004</v>
      </c>
      <c r="B1233" t="s">
        <v>5681</v>
      </c>
      <c r="C1233" t="s">
        <v>4243</v>
      </c>
      <c r="D1233">
        <v>3</v>
      </c>
      <c r="E1233" t="s">
        <v>4445</v>
      </c>
      <c r="F1233" t="s">
        <v>5682</v>
      </c>
      <c r="G1233" t="s">
        <v>5570</v>
      </c>
      <c r="H1233" t="s">
        <v>4915</v>
      </c>
    </row>
    <row r="1234" spans="1:8" x14ac:dyDescent="0.25">
      <c r="A1234">
        <v>886116004</v>
      </c>
      <c r="B1234" t="s">
        <v>124</v>
      </c>
      <c r="C1234" t="s">
        <v>4460</v>
      </c>
      <c r="D1234">
        <v>8</v>
      </c>
      <c r="E1234" t="s">
        <v>4464</v>
      </c>
      <c r="F1234" t="s">
        <v>3385</v>
      </c>
      <c r="G1234" t="s">
        <v>5570</v>
      </c>
      <c r="H1234" t="s">
        <v>4915</v>
      </c>
    </row>
    <row r="1235" spans="1:8" x14ac:dyDescent="0.25">
      <c r="A1235">
        <v>89055407</v>
      </c>
      <c r="B1235" t="s">
        <v>981</v>
      </c>
      <c r="C1235" t="s">
        <v>4475</v>
      </c>
      <c r="D1235">
        <v>8</v>
      </c>
      <c r="E1235" t="s">
        <v>4445</v>
      </c>
      <c r="F1235" t="s">
        <v>3256</v>
      </c>
      <c r="G1235" t="s">
        <v>5568</v>
      </c>
      <c r="H1235" t="s">
        <v>4915</v>
      </c>
    </row>
    <row r="1236" spans="1:8" x14ac:dyDescent="0.25">
      <c r="A1236">
        <v>895932000</v>
      </c>
      <c r="B1236" t="s">
        <v>125</v>
      </c>
      <c r="C1236" t="s">
        <v>4168</v>
      </c>
      <c r="D1236">
        <v>13</v>
      </c>
      <c r="E1236" t="s">
        <v>4445</v>
      </c>
      <c r="F1236" t="s">
        <v>3258</v>
      </c>
      <c r="G1236" t="s">
        <v>5568</v>
      </c>
      <c r="H1236" t="s">
        <v>4915</v>
      </c>
    </row>
    <row r="1237" spans="1:8" x14ac:dyDescent="0.25">
      <c r="A1237">
        <v>896304003</v>
      </c>
      <c r="B1237" t="s">
        <v>3463</v>
      </c>
      <c r="C1237" t="s">
        <v>4391</v>
      </c>
      <c r="D1237">
        <v>13</v>
      </c>
      <c r="E1237" t="s">
        <v>4445</v>
      </c>
      <c r="F1237" t="s">
        <v>3462</v>
      </c>
      <c r="G1237" t="s">
        <v>5568</v>
      </c>
      <c r="H1237" t="s">
        <v>4915</v>
      </c>
    </row>
    <row r="1238" spans="1:8" x14ac:dyDescent="0.25">
      <c r="A1238">
        <v>902120009</v>
      </c>
      <c r="B1238" t="s">
        <v>597</v>
      </c>
      <c r="C1238" t="s">
        <v>4168</v>
      </c>
      <c r="D1238">
        <v>13</v>
      </c>
      <c r="E1238" t="s">
        <v>4445</v>
      </c>
      <c r="F1238" t="s">
        <v>2186</v>
      </c>
      <c r="G1238" t="s">
        <v>5568</v>
      </c>
      <c r="H1238" t="s">
        <v>4915</v>
      </c>
    </row>
    <row r="1239" spans="1:8" x14ac:dyDescent="0.25">
      <c r="A1239">
        <v>902560009</v>
      </c>
      <c r="B1239" t="s">
        <v>598</v>
      </c>
      <c r="C1239" t="s">
        <v>4458</v>
      </c>
      <c r="D1239">
        <v>13</v>
      </c>
      <c r="E1239" t="s">
        <v>4445</v>
      </c>
      <c r="F1239" t="s">
        <v>3263</v>
      </c>
      <c r="G1239" t="s">
        <v>5568</v>
      </c>
      <c r="H1239" t="s">
        <v>4915</v>
      </c>
    </row>
    <row r="1240" spans="1:8" x14ac:dyDescent="0.25">
      <c r="A1240">
        <v>907530000</v>
      </c>
      <c r="B1240" t="s">
        <v>599</v>
      </c>
      <c r="C1240" t="s">
        <v>4391</v>
      </c>
      <c r="D1240">
        <v>13</v>
      </c>
      <c r="E1240" t="s">
        <v>5729</v>
      </c>
      <c r="F1240" t="s">
        <v>1666</v>
      </c>
      <c r="G1240" t="s">
        <v>5570</v>
      </c>
      <c r="H1240" t="s">
        <v>4915</v>
      </c>
    </row>
    <row r="1241" spans="1:8" x14ac:dyDescent="0.25">
      <c r="A1241">
        <v>915750001</v>
      </c>
      <c r="B1241" t="s">
        <v>600</v>
      </c>
      <c r="C1241" t="s">
        <v>4393</v>
      </c>
      <c r="D1241">
        <v>13</v>
      </c>
      <c r="E1241" t="s">
        <v>4445</v>
      </c>
      <c r="F1241" t="s">
        <v>3267</v>
      </c>
      <c r="G1241" t="s">
        <v>5568</v>
      </c>
      <c r="H1241" t="s">
        <v>4915</v>
      </c>
    </row>
    <row r="1242" spans="1:8" x14ac:dyDescent="0.25">
      <c r="A1242">
        <v>920510000</v>
      </c>
      <c r="B1242" t="s">
        <v>126</v>
      </c>
      <c r="C1242" t="s">
        <v>4391</v>
      </c>
      <c r="D1242">
        <v>13</v>
      </c>
      <c r="E1242" t="s">
        <v>4453</v>
      </c>
      <c r="F1242" t="s">
        <v>3931</v>
      </c>
      <c r="G1242" t="s">
        <v>5570</v>
      </c>
      <c r="H1242" t="s">
        <v>4915</v>
      </c>
    </row>
    <row r="1243" spans="1:8" x14ac:dyDescent="0.25">
      <c r="A1243">
        <v>92752313</v>
      </c>
      <c r="B1243" t="s">
        <v>3273</v>
      </c>
      <c r="C1243" t="s">
        <v>4391</v>
      </c>
      <c r="D1243">
        <v>13</v>
      </c>
      <c r="E1243" t="s">
        <v>4445</v>
      </c>
      <c r="F1243" t="s">
        <v>3272</v>
      </c>
      <c r="G1243" t="s">
        <v>5568</v>
      </c>
      <c r="H1243" t="s">
        <v>4915</v>
      </c>
    </row>
    <row r="1244" spans="1:8" x14ac:dyDescent="0.25">
      <c r="A1244">
        <v>929990005</v>
      </c>
      <c r="B1244" t="s">
        <v>1091</v>
      </c>
      <c r="C1244" t="s">
        <v>4444</v>
      </c>
      <c r="D1244">
        <v>13</v>
      </c>
      <c r="E1244" t="s">
        <v>4445</v>
      </c>
      <c r="F1244" t="s">
        <v>2358</v>
      </c>
      <c r="G1244" t="s">
        <v>5568</v>
      </c>
      <c r="H1244" t="s">
        <v>4915</v>
      </c>
    </row>
    <row r="1245" spans="1:8" x14ac:dyDescent="0.25">
      <c r="A1245">
        <v>939300007</v>
      </c>
      <c r="B1245" t="s">
        <v>2731</v>
      </c>
      <c r="C1245" t="s">
        <v>4465</v>
      </c>
      <c r="D1245">
        <v>13</v>
      </c>
      <c r="E1245" t="s">
        <v>4457</v>
      </c>
      <c r="F1245" t="s">
        <v>2730</v>
      </c>
      <c r="G1245" t="s">
        <v>5570</v>
      </c>
      <c r="H1245" t="s">
        <v>4915</v>
      </c>
    </row>
    <row r="1246" spans="1:8" x14ac:dyDescent="0.25">
      <c r="A1246">
        <v>954310000</v>
      </c>
      <c r="B1246" t="s">
        <v>3282</v>
      </c>
      <c r="C1246" t="s">
        <v>4182</v>
      </c>
      <c r="D1246">
        <v>2</v>
      </c>
      <c r="E1246" t="s">
        <v>4445</v>
      </c>
      <c r="F1246" t="s">
        <v>3281</v>
      </c>
      <c r="G1246" t="s">
        <v>5568</v>
      </c>
      <c r="H1246" t="s">
        <v>4915</v>
      </c>
    </row>
    <row r="1247" spans="1:8" x14ac:dyDescent="0.25">
      <c r="A1247">
        <v>965304703</v>
      </c>
      <c r="B1247" t="s">
        <v>2041</v>
      </c>
      <c r="C1247" t="s">
        <v>4410</v>
      </c>
      <c r="D1247">
        <v>13</v>
      </c>
      <c r="E1247" t="s">
        <v>4457</v>
      </c>
      <c r="F1247" t="s">
        <v>2040</v>
      </c>
      <c r="G1247" t="s">
        <v>5570</v>
      </c>
      <c r="H1247" t="s">
        <v>4915</v>
      </c>
    </row>
    <row r="1248" spans="1:8" x14ac:dyDescent="0.25">
      <c r="A1248">
        <v>965333304</v>
      </c>
      <c r="B1248" t="s">
        <v>601</v>
      </c>
      <c r="C1248" t="s">
        <v>4391</v>
      </c>
      <c r="D1248">
        <v>13</v>
      </c>
      <c r="E1248" t="s">
        <v>4445</v>
      </c>
      <c r="F1248" t="s">
        <v>3286</v>
      </c>
      <c r="G1248" t="s">
        <v>5570</v>
      </c>
      <c r="H1248" t="s">
        <v>4915</v>
      </c>
    </row>
    <row r="1249" spans="1:8" x14ac:dyDescent="0.25">
      <c r="A1249">
        <v>965569405</v>
      </c>
      <c r="B1249" t="s">
        <v>2122</v>
      </c>
      <c r="C1249" t="s">
        <v>4187</v>
      </c>
      <c r="D1249">
        <v>13</v>
      </c>
      <c r="E1249" t="s">
        <v>4445</v>
      </c>
      <c r="F1249" t="s">
        <v>5443</v>
      </c>
      <c r="G1249" t="s">
        <v>5568</v>
      </c>
      <c r="H1249" t="s">
        <v>4915</v>
      </c>
    </row>
    <row r="1250" spans="1:8" x14ac:dyDescent="0.25">
      <c r="A1250">
        <v>965596305</v>
      </c>
      <c r="B1250" t="s">
        <v>4046</v>
      </c>
      <c r="C1250" t="s">
        <v>4175</v>
      </c>
      <c r="D1250">
        <v>5</v>
      </c>
      <c r="E1250" t="s">
        <v>4445</v>
      </c>
      <c r="F1250" t="s">
        <v>4045</v>
      </c>
      <c r="G1250" t="s">
        <v>5570</v>
      </c>
      <c r="H1250" t="s">
        <v>4915</v>
      </c>
    </row>
    <row r="1251" spans="1:8" x14ac:dyDescent="0.25">
      <c r="A1251">
        <v>965671706</v>
      </c>
      <c r="B1251" t="s">
        <v>602</v>
      </c>
      <c r="C1251" t="s">
        <v>4175</v>
      </c>
      <c r="D1251">
        <v>5</v>
      </c>
      <c r="E1251" t="s">
        <v>4445</v>
      </c>
      <c r="F1251" t="s">
        <v>1566</v>
      </c>
      <c r="G1251" t="s">
        <v>5570</v>
      </c>
      <c r="H1251" t="s">
        <v>4915</v>
      </c>
    </row>
    <row r="1252" spans="1:8" x14ac:dyDescent="0.25">
      <c r="A1252">
        <v>965679200</v>
      </c>
      <c r="B1252" t="s">
        <v>603</v>
      </c>
      <c r="C1252" t="s">
        <v>4185</v>
      </c>
      <c r="D1252">
        <v>12</v>
      </c>
      <c r="E1252" t="s">
        <v>4445</v>
      </c>
      <c r="F1252" t="s">
        <v>3612</v>
      </c>
      <c r="G1252" t="s">
        <v>5570</v>
      </c>
      <c r="H1252" t="s">
        <v>4915</v>
      </c>
    </row>
    <row r="1253" spans="1:8" x14ac:dyDescent="0.25">
      <c r="A1253">
        <v>965884009</v>
      </c>
      <c r="B1253" t="s">
        <v>1029</v>
      </c>
      <c r="C1253" t="s">
        <v>4393</v>
      </c>
      <c r="D1253">
        <v>13</v>
      </c>
      <c r="E1253" t="s">
        <v>5563</v>
      </c>
      <c r="F1253" t="s">
        <v>2402</v>
      </c>
      <c r="G1253" t="s">
        <v>5568</v>
      </c>
      <c r="H1253" t="s">
        <v>4915</v>
      </c>
    </row>
    <row r="1254" spans="1:8" x14ac:dyDescent="0.25">
      <c r="A1254">
        <v>965988505</v>
      </c>
      <c r="B1254" t="s">
        <v>604</v>
      </c>
      <c r="C1254" t="s">
        <v>4186</v>
      </c>
      <c r="D1254">
        <v>1</v>
      </c>
      <c r="E1254" t="s">
        <v>4453</v>
      </c>
      <c r="F1254" t="s">
        <v>1942</v>
      </c>
      <c r="G1254" t="s">
        <v>5570</v>
      </c>
      <c r="H1254" t="s">
        <v>4915</v>
      </c>
    </row>
    <row r="1255" spans="1:8" x14ac:dyDescent="0.25">
      <c r="A1255">
        <v>966008504</v>
      </c>
      <c r="B1255" t="s">
        <v>128</v>
      </c>
      <c r="C1255" t="s">
        <v>4490</v>
      </c>
      <c r="D1255">
        <v>5</v>
      </c>
      <c r="E1255" t="s">
        <v>2372</v>
      </c>
      <c r="F1255" t="s">
        <v>3822</v>
      </c>
      <c r="G1255" t="s">
        <v>5570</v>
      </c>
      <c r="H1255" t="s">
        <v>4915</v>
      </c>
    </row>
    <row r="1256" spans="1:8" x14ac:dyDescent="0.25">
      <c r="A1256">
        <v>966067500</v>
      </c>
      <c r="B1256" t="s">
        <v>129</v>
      </c>
      <c r="C1256" t="s">
        <v>4218</v>
      </c>
      <c r="D1256">
        <v>9</v>
      </c>
      <c r="E1256" t="s">
        <v>4454</v>
      </c>
      <c r="F1256" t="s">
        <v>2080</v>
      </c>
      <c r="G1256" t="s">
        <v>5570</v>
      </c>
      <c r="H1256" t="s">
        <v>4915</v>
      </c>
    </row>
    <row r="1257" spans="1:8" x14ac:dyDescent="0.25">
      <c r="A1257">
        <v>966126205</v>
      </c>
      <c r="B1257" t="s">
        <v>605</v>
      </c>
      <c r="C1257" t="s">
        <v>4395</v>
      </c>
      <c r="D1257">
        <v>13</v>
      </c>
      <c r="E1257" t="s">
        <v>4445</v>
      </c>
      <c r="F1257" t="s">
        <v>3303</v>
      </c>
      <c r="G1257" t="s">
        <v>5568</v>
      </c>
      <c r="H1257" t="s">
        <v>4915</v>
      </c>
    </row>
    <row r="1258" spans="1:8" x14ac:dyDescent="0.25">
      <c r="A1258">
        <v>966132205</v>
      </c>
      <c r="B1258" t="s">
        <v>606</v>
      </c>
      <c r="C1258" t="s">
        <v>4181</v>
      </c>
      <c r="D1258">
        <v>15</v>
      </c>
      <c r="E1258" t="s">
        <v>4445</v>
      </c>
      <c r="F1258" t="s">
        <v>3349</v>
      </c>
      <c r="G1258" t="s">
        <v>5574</v>
      </c>
      <c r="H1258" t="s">
        <v>4915</v>
      </c>
    </row>
    <row r="1259" spans="1:8" x14ac:dyDescent="0.25">
      <c r="A1259">
        <v>966248807</v>
      </c>
      <c r="B1259" t="s">
        <v>872</v>
      </c>
      <c r="C1259" t="s">
        <v>4391</v>
      </c>
      <c r="D1259">
        <v>13</v>
      </c>
      <c r="E1259" t="s">
        <v>4445</v>
      </c>
      <c r="F1259" t="s">
        <v>3308</v>
      </c>
      <c r="G1259" t="s">
        <v>5570</v>
      </c>
      <c r="H1259" t="s">
        <v>4915</v>
      </c>
    </row>
    <row r="1260" spans="1:8" x14ac:dyDescent="0.25">
      <c r="A1260">
        <v>966259507</v>
      </c>
      <c r="B1260" t="s">
        <v>873</v>
      </c>
      <c r="C1260" t="s">
        <v>4456</v>
      </c>
      <c r="D1260">
        <v>13</v>
      </c>
      <c r="E1260" t="s">
        <v>4445</v>
      </c>
      <c r="F1260" t="s">
        <v>3310</v>
      </c>
      <c r="G1260" t="s">
        <v>5568</v>
      </c>
      <c r="H1260" t="s">
        <v>4915</v>
      </c>
    </row>
    <row r="1261" spans="1:8" x14ac:dyDescent="0.25">
      <c r="A1261" t="s">
        <v>4426</v>
      </c>
      <c r="B1261" t="s">
        <v>4427</v>
      </c>
      <c r="C1261" t="s">
        <v>4395</v>
      </c>
      <c r="D1261">
        <v>13</v>
      </c>
      <c r="E1261" t="s">
        <v>4445</v>
      </c>
      <c r="F1261" t="s">
        <v>4612</v>
      </c>
      <c r="G1261" t="s">
        <v>5568</v>
      </c>
      <c r="H1261" t="s">
        <v>4915</v>
      </c>
    </row>
    <row r="1262" spans="1:8" x14ac:dyDescent="0.25">
      <c r="A1262">
        <v>966476001</v>
      </c>
      <c r="B1262" t="s">
        <v>5468</v>
      </c>
      <c r="C1262" t="s">
        <v>4528</v>
      </c>
      <c r="D1262">
        <v>13</v>
      </c>
      <c r="E1262" t="s">
        <v>4445</v>
      </c>
      <c r="F1262" t="s">
        <v>5469</v>
      </c>
      <c r="H1262" t="s">
        <v>4915</v>
      </c>
    </row>
    <row r="1263" spans="1:8" x14ac:dyDescent="0.25">
      <c r="A1263">
        <v>966613505</v>
      </c>
      <c r="B1263" t="s">
        <v>3313</v>
      </c>
      <c r="C1263" t="s">
        <v>4460</v>
      </c>
      <c r="D1263">
        <v>8</v>
      </c>
      <c r="E1263" t="s">
        <v>4445</v>
      </c>
      <c r="F1263" t="s">
        <v>3312</v>
      </c>
      <c r="G1263" t="s">
        <v>5576</v>
      </c>
      <c r="H1263" t="s">
        <v>4915</v>
      </c>
    </row>
    <row r="1264" spans="1:8" x14ac:dyDescent="0.25">
      <c r="A1264" t="s">
        <v>157</v>
      </c>
      <c r="B1264" t="s">
        <v>158</v>
      </c>
      <c r="C1264" t="s">
        <v>4497</v>
      </c>
      <c r="D1264">
        <v>8</v>
      </c>
      <c r="E1264" t="s">
        <v>4464</v>
      </c>
      <c r="F1264" t="s">
        <v>1996</v>
      </c>
      <c r="G1264" t="s">
        <v>5570</v>
      </c>
      <c r="H1264" t="s">
        <v>4915</v>
      </c>
    </row>
    <row r="1265" spans="1:8" x14ac:dyDescent="0.25">
      <c r="A1265">
        <v>966624507</v>
      </c>
      <c r="B1265" t="s">
        <v>607</v>
      </c>
      <c r="C1265" t="s">
        <v>4178</v>
      </c>
      <c r="D1265">
        <v>6</v>
      </c>
      <c r="E1265" t="s">
        <v>5729</v>
      </c>
      <c r="F1265" t="s">
        <v>3655</v>
      </c>
      <c r="G1265" t="s">
        <v>5570</v>
      </c>
      <c r="H1265" t="s">
        <v>4915</v>
      </c>
    </row>
    <row r="1266" spans="1:8" x14ac:dyDescent="0.25">
      <c r="A1266">
        <v>966741708</v>
      </c>
      <c r="B1266" t="s">
        <v>130</v>
      </c>
      <c r="C1266" t="s">
        <v>4252</v>
      </c>
      <c r="D1266">
        <v>5</v>
      </c>
      <c r="E1266" t="s">
        <v>2372</v>
      </c>
      <c r="F1266" t="s">
        <v>2800</v>
      </c>
      <c r="G1266" t="s">
        <v>5570</v>
      </c>
      <c r="H1266" t="s">
        <v>4915</v>
      </c>
    </row>
    <row r="1267" spans="1:8" x14ac:dyDescent="0.25">
      <c r="A1267">
        <v>967051500</v>
      </c>
      <c r="B1267" t="s">
        <v>608</v>
      </c>
      <c r="C1267" t="s">
        <v>4395</v>
      </c>
      <c r="D1267">
        <v>13</v>
      </c>
      <c r="E1267" t="s">
        <v>4445</v>
      </c>
      <c r="F1267" t="s">
        <v>3322</v>
      </c>
      <c r="G1267" t="s">
        <v>5568</v>
      </c>
      <c r="H1267" t="s">
        <v>4915</v>
      </c>
    </row>
    <row r="1268" spans="1:8" x14ac:dyDescent="0.25">
      <c r="A1268" t="s">
        <v>739</v>
      </c>
      <c r="B1268" t="s">
        <v>884</v>
      </c>
      <c r="C1268" t="s">
        <v>4470</v>
      </c>
      <c r="D1268">
        <v>13</v>
      </c>
      <c r="E1268" t="s">
        <v>4445</v>
      </c>
      <c r="F1268" t="s">
        <v>3324</v>
      </c>
      <c r="G1268" t="s">
        <v>5568</v>
      </c>
      <c r="H1268" t="s">
        <v>4915</v>
      </c>
    </row>
    <row r="1269" spans="1:8" x14ac:dyDescent="0.25">
      <c r="A1269">
        <v>967599107</v>
      </c>
      <c r="B1269" t="s">
        <v>1022</v>
      </c>
      <c r="C1269" t="s">
        <v>4465</v>
      </c>
      <c r="D1269">
        <v>13</v>
      </c>
      <c r="E1269" t="s">
        <v>4445</v>
      </c>
      <c r="F1269" t="s">
        <v>3326</v>
      </c>
      <c r="G1269" t="s">
        <v>5570</v>
      </c>
      <c r="H1269" t="s">
        <v>4915</v>
      </c>
    </row>
    <row r="1270" spans="1:8" x14ac:dyDescent="0.25">
      <c r="A1270">
        <v>967666408</v>
      </c>
      <c r="B1270" t="s">
        <v>3474</v>
      </c>
      <c r="C1270" t="s">
        <v>4292</v>
      </c>
      <c r="D1270">
        <v>10</v>
      </c>
      <c r="E1270" t="s">
        <v>4454</v>
      </c>
      <c r="F1270" t="s">
        <v>3473</v>
      </c>
      <c r="G1270" t="s">
        <v>5570</v>
      </c>
      <c r="H1270" t="s">
        <v>4915</v>
      </c>
    </row>
    <row r="1271" spans="1:8" x14ac:dyDescent="0.25">
      <c r="A1271">
        <v>967667803</v>
      </c>
      <c r="B1271" t="s">
        <v>609</v>
      </c>
      <c r="C1271" t="s">
        <v>4460</v>
      </c>
      <c r="D1271">
        <v>8</v>
      </c>
      <c r="E1271" t="s">
        <v>4445</v>
      </c>
      <c r="F1271" t="s">
        <v>3331</v>
      </c>
      <c r="G1271" t="s">
        <v>5576</v>
      </c>
      <c r="H1271" t="s">
        <v>4915</v>
      </c>
    </row>
    <row r="1272" spans="1:8" x14ac:dyDescent="0.25">
      <c r="A1272">
        <v>967701009</v>
      </c>
      <c r="B1272" t="s">
        <v>131</v>
      </c>
      <c r="C1272" t="s">
        <v>4552</v>
      </c>
      <c r="D1272">
        <v>13</v>
      </c>
      <c r="E1272" t="s">
        <v>4457</v>
      </c>
      <c r="F1272" t="s">
        <v>1284</v>
      </c>
      <c r="G1272" t="s">
        <v>5570</v>
      </c>
      <c r="H1272" t="s">
        <v>4915</v>
      </c>
    </row>
    <row r="1273" spans="1:8" x14ac:dyDescent="0.25">
      <c r="A1273">
        <v>967745804</v>
      </c>
      <c r="B1273" t="s">
        <v>132</v>
      </c>
      <c r="C1273" t="s">
        <v>4218</v>
      </c>
      <c r="D1273">
        <v>9</v>
      </c>
      <c r="E1273" t="s">
        <v>4454</v>
      </c>
      <c r="F1273" t="s">
        <v>2140</v>
      </c>
      <c r="G1273" t="s">
        <v>5568</v>
      </c>
      <c r="H1273" t="s">
        <v>4915</v>
      </c>
    </row>
    <row r="1274" spans="1:8" x14ac:dyDescent="0.25">
      <c r="A1274">
        <v>967843806</v>
      </c>
      <c r="B1274" t="s">
        <v>4070</v>
      </c>
      <c r="C1274" t="s">
        <v>4186</v>
      </c>
      <c r="D1274">
        <v>1</v>
      </c>
      <c r="E1274" t="s">
        <v>4445</v>
      </c>
      <c r="F1274" t="s">
        <v>4069</v>
      </c>
      <c r="G1274" t="s">
        <v>5570</v>
      </c>
      <c r="H1274" t="s">
        <v>4915</v>
      </c>
    </row>
    <row r="1275" spans="1:8" x14ac:dyDescent="0.25">
      <c r="A1275">
        <v>967900400</v>
      </c>
      <c r="B1275" t="s">
        <v>610</v>
      </c>
      <c r="C1275" t="s">
        <v>4393</v>
      </c>
      <c r="D1275">
        <v>13</v>
      </c>
      <c r="E1275" t="s">
        <v>4445</v>
      </c>
      <c r="F1275" t="s">
        <v>3342</v>
      </c>
      <c r="G1275" t="s">
        <v>5570</v>
      </c>
      <c r="H1275" t="s">
        <v>4915</v>
      </c>
    </row>
    <row r="1276" spans="1:8" x14ac:dyDescent="0.25">
      <c r="A1276">
        <v>968028006</v>
      </c>
      <c r="B1276" t="s">
        <v>611</v>
      </c>
      <c r="C1276" t="s">
        <v>4237</v>
      </c>
      <c r="D1276">
        <v>2</v>
      </c>
      <c r="E1276" t="s">
        <v>4445</v>
      </c>
      <c r="F1276" t="s">
        <v>3344</v>
      </c>
      <c r="G1276" t="s">
        <v>5570</v>
      </c>
      <c r="H1276" t="s">
        <v>4915</v>
      </c>
    </row>
    <row r="1277" spans="1:8" x14ac:dyDescent="0.25">
      <c r="A1277">
        <v>968406108</v>
      </c>
      <c r="B1277" t="s">
        <v>612</v>
      </c>
      <c r="C1277" t="s">
        <v>4186</v>
      </c>
      <c r="D1277">
        <v>1</v>
      </c>
      <c r="E1277" t="s">
        <v>4453</v>
      </c>
      <c r="F1277" t="s">
        <v>1457</v>
      </c>
      <c r="G1277" t="s">
        <v>5570</v>
      </c>
      <c r="H1277" t="s">
        <v>4915</v>
      </c>
    </row>
    <row r="1278" spans="1:8" x14ac:dyDescent="0.25">
      <c r="A1278" t="s">
        <v>740</v>
      </c>
      <c r="B1278" t="s">
        <v>741</v>
      </c>
      <c r="C1278" t="s">
        <v>4189</v>
      </c>
      <c r="D1278">
        <v>13</v>
      </c>
      <c r="E1278" t="s">
        <v>4445</v>
      </c>
      <c r="F1278" t="s">
        <v>3315</v>
      </c>
      <c r="G1278" t="s">
        <v>5568</v>
      </c>
      <c r="H1278" t="s">
        <v>4915</v>
      </c>
    </row>
    <row r="1279" spans="1:8" x14ac:dyDescent="0.25">
      <c r="A1279">
        <v>968859307</v>
      </c>
      <c r="B1279" t="s">
        <v>2076</v>
      </c>
      <c r="C1279" t="s">
        <v>4452</v>
      </c>
      <c r="D1279">
        <v>13</v>
      </c>
      <c r="E1279" t="s">
        <v>4453</v>
      </c>
      <c r="F1279" t="s">
        <v>2075</v>
      </c>
      <c r="G1279" t="s">
        <v>5570</v>
      </c>
      <c r="H1279" t="s">
        <v>4915</v>
      </c>
    </row>
    <row r="1280" spans="1:8" x14ac:dyDescent="0.25">
      <c r="A1280">
        <v>968859404</v>
      </c>
      <c r="B1280" t="s">
        <v>134</v>
      </c>
      <c r="C1280" t="s">
        <v>4183</v>
      </c>
      <c r="D1280">
        <v>8</v>
      </c>
      <c r="E1280" t="s">
        <v>4464</v>
      </c>
      <c r="F1280" t="s">
        <v>4613</v>
      </c>
      <c r="G1280" t="s">
        <v>5570</v>
      </c>
      <c r="H1280" t="s">
        <v>4915</v>
      </c>
    </row>
    <row r="1281" spans="1:8" x14ac:dyDescent="0.25">
      <c r="A1281">
        <v>968859501</v>
      </c>
      <c r="B1281" t="s">
        <v>135</v>
      </c>
      <c r="C1281" t="s">
        <v>4175</v>
      </c>
      <c r="D1281">
        <v>5</v>
      </c>
      <c r="E1281" t="s">
        <v>2372</v>
      </c>
      <c r="F1281" t="s">
        <v>1693</v>
      </c>
      <c r="G1281" t="s">
        <v>5570</v>
      </c>
      <c r="H1281" t="s">
        <v>4915</v>
      </c>
    </row>
    <row r="1282" spans="1:8" x14ac:dyDescent="0.25">
      <c r="A1282">
        <v>968989804</v>
      </c>
      <c r="B1282" t="s">
        <v>757</v>
      </c>
      <c r="C1282" t="s">
        <v>4394</v>
      </c>
      <c r="D1282">
        <v>13</v>
      </c>
      <c r="E1282" t="s">
        <v>4453</v>
      </c>
      <c r="F1282" t="s">
        <v>3629</v>
      </c>
      <c r="G1282" t="s">
        <v>5570</v>
      </c>
      <c r="H1282" t="s">
        <v>4915</v>
      </c>
    </row>
    <row r="1283" spans="1:8" x14ac:dyDescent="0.25">
      <c r="A1283">
        <v>969102803</v>
      </c>
      <c r="B1283" t="s">
        <v>1048</v>
      </c>
      <c r="C1283" t="s">
        <v>4459</v>
      </c>
      <c r="D1283">
        <v>5</v>
      </c>
      <c r="E1283" t="s">
        <v>4445</v>
      </c>
      <c r="F1283" t="s">
        <v>3915</v>
      </c>
      <c r="G1283" t="s">
        <v>5568</v>
      </c>
      <c r="H1283" t="s">
        <v>4915</v>
      </c>
    </row>
    <row r="1284" spans="1:8" x14ac:dyDescent="0.25">
      <c r="A1284">
        <v>969216604</v>
      </c>
      <c r="B1284" t="s">
        <v>613</v>
      </c>
      <c r="C1284" t="s">
        <v>4452</v>
      </c>
      <c r="D1284">
        <v>13</v>
      </c>
      <c r="E1284" t="s">
        <v>4445</v>
      </c>
      <c r="F1284" t="s">
        <v>3094</v>
      </c>
      <c r="G1284" t="s">
        <v>5570</v>
      </c>
      <c r="H1284" t="s">
        <v>4915</v>
      </c>
    </row>
    <row r="1285" spans="1:8" x14ac:dyDescent="0.25">
      <c r="A1285">
        <v>969424002</v>
      </c>
      <c r="B1285" t="s">
        <v>614</v>
      </c>
      <c r="C1285" t="s">
        <v>4391</v>
      </c>
      <c r="D1285">
        <v>13</v>
      </c>
      <c r="E1285" t="s">
        <v>4445</v>
      </c>
      <c r="F1285" t="s">
        <v>1865</v>
      </c>
      <c r="G1285" t="s">
        <v>5568</v>
      </c>
      <c r="H1285" t="s">
        <v>4915</v>
      </c>
    </row>
    <row r="1286" spans="1:8" x14ac:dyDescent="0.25">
      <c r="A1286">
        <v>969636603</v>
      </c>
      <c r="B1286" t="s">
        <v>136</v>
      </c>
      <c r="C1286" t="s">
        <v>4175</v>
      </c>
      <c r="D1286">
        <v>5</v>
      </c>
      <c r="E1286" t="s">
        <v>2372</v>
      </c>
      <c r="F1286" t="s">
        <v>3260</v>
      </c>
      <c r="G1286" t="s">
        <v>5570</v>
      </c>
      <c r="H1286" t="s">
        <v>4915</v>
      </c>
    </row>
    <row r="1287" spans="1:8" x14ac:dyDescent="0.25">
      <c r="A1287">
        <v>969825201</v>
      </c>
      <c r="B1287" t="s">
        <v>3368</v>
      </c>
      <c r="C1287" t="s">
        <v>4391</v>
      </c>
      <c r="D1287">
        <v>13</v>
      </c>
      <c r="E1287" t="s">
        <v>4445</v>
      </c>
      <c r="F1287" t="s">
        <v>3367</v>
      </c>
      <c r="G1287" t="s">
        <v>5570</v>
      </c>
      <c r="H1287" t="s">
        <v>4915</v>
      </c>
    </row>
    <row r="1288" spans="1:8" x14ac:dyDescent="0.25">
      <c r="A1288">
        <v>969860503</v>
      </c>
      <c r="B1288" t="s">
        <v>1028</v>
      </c>
      <c r="C1288" t="s">
        <v>4394</v>
      </c>
      <c r="D1288">
        <v>13</v>
      </c>
      <c r="E1288" t="s">
        <v>4453</v>
      </c>
      <c r="F1288" t="s">
        <v>1964</v>
      </c>
      <c r="G1288" t="s">
        <v>5576</v>
      </c>
      <c r="H1288" t="s">
        <v>4915</v>
      </c>
    </row>
    <row r="1289" spans="1:8" x14ac:dyDescent="0.25">
      <c r="A1289">
        <v>969860708</v>
      </c>
      <c r="B1289" t="s">
        <v>5445</v>
      </c>
      <c r="C1289" t="s">
        <v>4458</v>
      </c>
      <c r="D1289">
        <v>13</v>
      </c>
      <c r="E1289" t="s">
        <v>4445</v>
      </c>
      <c r="F1289" t="s">
        <v>5446</v>
      </c>
      <c r="G1289" t="s">
        <v>5568</v>
      </c>
      <c r="H1289" t="s">
        <v>4915</v>
      </c>
    </row>
    <row r="1290" spans="1:8" x14ac:dyDescent="0.25">
      <c r="A1290">
        <v>969865505</v>
      </c>
      <c r="B1290" t="s">
        <v>874</v>
      </c>
      <c r="C1290" t="s">
        <v>4168</v>
      </c>
      <c r="D1290">
        <v>13</v>
      </c>
      <c r="E1290" t="s">
        <v>4445</v>
      </c>
      <c r="F1290" t="s">
        <v>3969</v>
      </c>
      <c r="G1290" t="s">
        <v>5569</v>
      </c>
      <c r="H1290" t="s">
        <v>4915</v>
      </c>
    </row>
    <row r="1291" spans="1:8" x14ac:dyDescent="0.25">
      <c r="A1291">
        <v>995071304</v>
      </c>
      <c r="B1291" t="s">
        <v>615</v>
      </c>
      <c r="C1291" t="s">
        <v>4391</v>
      </c>
      <c r="D1291">
        <v>8</v>
      </c>
      <c r="E1291" t="s">
        <v>4445</v>
      </c>
      <c r="F1291" t="s">
        <v>4072</v>
      </c>
      <c r="G1291" t="s">
        <v>5568</v>
      </c>
      <c r="H1291" t="s">
        <v>4915</v>
      </c>
    </row>
    <row r="1292" spans="1:8" x14ac:dyDescent="0.25">
      <c r="A1292">
        <v>995129507</v>
      </c>
      <c r="B1292" t="s">
        <v>4935</v>
      </c>
      <c r="C1292" t="s">
        <v>4528</v>
      </c>
      <c r="D1292">
        <v>13</v>
      </c>
      <c r="E1292" t="s">
        <v>4445</v>
      </c>
      <c r="F1292" t="s">
        <v>4936</v>
      </c>
      <c r="G1292" t="s">
        <v>5568</v>
      </c>
      <c r="H1292" t="s">
        <v>4915</v>
      </c>
    </row>
    <row r="1293" spans="1:8" x14ac:dyDescent="0.25">
      <c r="A1293">
        <v>995337908</v>
      </c>
      <c r="B1293" t="s">
        <v>137</v>
      </c>
      <c r="C1293" t="s">
        <v>4171</v>
      </c>
      <c r="D1293">
        <v>4</v>
      </c>
      <c r="E1293" t="s">
        <v>2372</v>
      </c>
      <c r="F1293" t="s">
        <v>3563</v>
      </c>
      <c r="G1293" t="s">
        <v>5570</v>
      </c>
      <c r="H1293" t="s">
        <v>4915</v>
      </c>
    </row>
    <row r="1294" spans="1:8" x14ac:dyDescent="0.25">
      <c r="A1294">
        <v>995356201</v>
      </c>
      <c r="B1294" t="s">
        <v>616</v>
      </c>
      <c r="C1294" t="s">
        <v>4460</v>
      </c>
      <c r="D1294">
        <v>8</v>
      </c>
      <c r="E1294" t="s">
        <v>4445</v>
      </c>
      <c r="F1294" t="s">
        <v>3974</v>
      </c>
      <c r="G1294" t="s">
        <v>5570</v>
      </c>
      <c r="H1294" t="s">
        <v>4915</v>
      </c>
    </row>
    <row r="1295" spans="1:8" x14ac:dyDescent="0.25">
      <c r="A1295">
        <v>995378000</v>
      </c>
      <c r="B1295" t="s">
        <v>617</v>
      </c>
      <c r="C1295" t="s">
        <v>4182</v>
      </c>
      <c r="D1295">
        <v>2</v>
      </c>
      <c r="E1295" t="s">
        <v>4445</v>
      </c>
      <c r="F1295" t="s">
        <v>2068</v>
      </c>
      <c r="G1295" t="s">
        <v>5570</v>
      </c>
      <c r="H1295" t="s">
        <v>4915</v>
      </c>
    </row>
    <row r="1296" spans="1:8" x14ac:dyDescent="0.25">
      <c r="A1296">
        <v>995417502</v>
      </c>
      <c r="B1296" t="s">
        <v>138</v>
      </c>
      <c r="C1296" t="s">
        <v>4198</v>
      </c>
      <c r="D1296">
        <v>5</v>
      </c>
      <c r="E1296" t="s">
        <v>2372</v>
      </c>
      <c r="F1296" t="s">
        <v>4108</v>
      </c>
      <c r="G1296" t="s">
        <v>5570</v>
      </c>
      <c r="H1296" t="s">
        <v>4915</v>
      </c>
    </row>
    <row r="1297" spans="1:8" x14ac:dyDescent="0.25">
      <c r="A1297">
        <v>995458705</v>
      </c>
      <c r="B1297" t="s">
        <v>3972</v>
      </c>
      <c r="C1297" t="s">
        <v>4186</v>
      </c>
      <c r="D1297">
        <v>1</v>
      </c>
      <c r="E1297" t="s">
        <v>4445</v>
      </c>
      <c r="F1297" t="s">
        <v>3971</v>
      </c>
      <c r="G1297" t="s">
        <v>5570</v>
      </c>
      <c r="H1297" t="s">
        <v>4915</v>
      </c>
    </row>
    <row r="1298" spans="1:8" x14ac:dyDescent="0.25">
      <c r="A1298">
        <v>995491303</v>
      </c>
      <c r="B1298" t="s">
        <v>618</v>
      </c>
      <c r="C1298" t="s">
        <v>4182</v>
      </c>
      <c r="D1298">
        <v>2</v>
      </c>
      <c r="E1298" t="s">
        <v>4445</v>
      </c>
      <c r="F1298" t="s">
        <v>2128</v>
      </c>
      <c r="G1298" t="s">
        <v>5570</v>
      </c>
      <c r="H1298" t="s">
        <v>4915</v>
      </c>
    </row>
    <row r="1299" spans="1:8" x14ac:dyDescent="0.25">
      <c r="A1299" t="s">
        <v>1019</v>
      </c>
      <c r="B1299" t="s">
        <v>1020</v>
      </c>
      <c r="C1299" t="s">
        <v>4391</v>
      </c>
      <c r="D1299">
        <v>13</v>
      </c>
      <c r="E1299" t="s">
        <v>4445</v>
      </c>
      <c r="F1299" t="s">
        <v>3982</v>
      </c>
      <c r="G1299" t="s">
        <v>5570</v>
      </c>
      <c r="H1299" t="s">
        <v>4915</v>
      </c>
    </row>
    <row r="1300" spans="1:8" x14ac:dyDescent="0.25">
      <c r="A1300">
        <v>995687208</v>
      </c>
      <c r="B1300" t="s">
        <v>139</v>
      </c>
      <c r="C1300" t="s">
        <v>4459</v>
      </c>
      <c r="D1300">
        <v>5</v>
      </c>
      <c r="E1300" t="s">
        <v>2372</v>
      </c>
      <c r="F1300" t="s">
        <v>2045</v>
      </c>
      <c r="G1300" t="s">
        <v>5570</v>
      </c>
      <c r="H1300" t="s">
        <v>4915</v>
      </c>
    </row>
    <row r="1301" spans="1:8" x14ac:dyDescent="0.25">
      <c r="A1301">
        <v>995696703</v>
      </c>
      <c r="B1301" t="s">
        <v>3635</v>
      </c>
      <c r="C1301" t="s">
        <v>4383</v>
      </c>
      <c r="D1301">
        <v>13</v>
      </c>
      <c r="E1301" t="s">
        <v>4445</v>
      </c>
      <c r="F1301" t="s">
        <v>3634</v>
      </c>
      <c r="G1301" t="s">
        <v>5568</v>
      </c>
      <c r="H1301" t="s">
        <v>4915</v>
      </c>
    </row>
    <row r="1302" spans="1:8" x14ac:dyDescent="0.25">
      <c r="A1302">
        <v>995734907</v>
      </c>
      <c r="B1302" t="s">
        <v>3985</v>
      </c>
      <c r="C1302" t="s">
        <v>4465</v>
      </c>
      <c r="D1302">
        <v>13</v>
      </c>
      <c r="E1302" t="s">
        <v>4457</v>
      </c>
      <c r="F1302" t="s">
        <v>3984</v>
      </c>
      <c r="G1302" t="s">
        <v>5570</v>
      </c>
      <c r="H1302" t="s">
        <v>4915</v>
      </c>
    </row>
    <row r="1303" spans="1:8" x14ac:dyDescent="0.25">
      <c r="A1303">
        <v>995736004</v>
      </c>
      <c r="B1303" t="s">
        <v>5750</v>
      </c>
      <c r="C1303" t="s">
        <v>4192</v>
      </c>
      <c r="D1303">
        <v>5</v>
      </c>
      <c r="E1303" t="s">
        <v>2372</v>
      </c>
      <c r="F1303" t="s">
        <v>3616</v>
      </c>
      <c r="G1303" t="s">
        <v>5570</v>
      </c>
      <c r="H1303" t="s">
        <v>4915</v>
      </c>
    </row>
    <row r="1304" spans="1:8" x14ac:dyDescent="0.25">
      <c r="A1304">
        <v>995792605</v>
      </c>
      <c r="B1304" t="s">
        <v>759</v>
      </c>
      <c r="C1304" t="s">
        <v>4561</v>
      </c>
      <c r="D1304">
        <v>13</v>
      </c>
      <c r="E1304" t="s">
        <v>4445</v>
      </c>
      <c r="F1304" t="s">
        <v>2153</v>
      </c>
      <c r="G1304" t="s">
        <v>5570</v>
      </c>
      <c r="H1304" t="s">
        <v>4915</v>
      </c>
    </row>
    <row r="1305" spans="1:8" x14ac:dyDescent="0.25">
      <c r="A1305">
        <v>995808307</v>
      </c>
      <c r="B1305" t="s">
        <v>4437</v>
      </c>
      <c r="C1305" t="s">
        <v>4391</v>
      </c>
      <c r="D1305">
        <v>13</v>
      </c>
      <c r="E1305" t="s">
        <v>4445</v>
      </c>
      <c r="F1305" t="s">
        <v>4614</v>
      </c>
      <c r="G1305" t="s">
        <v>5568</v>
      </c>
      <c r="H1305" t="s">
        <v>4915</v>
      </c>
    </row>
    <row r="1306" spans="1:8" x14ac:dyDescent="0.25">
      <c r="A1306">
        <v>995931702</v>
      </c>
      <c r="B1306" t="s">
        <v>619</v>
      </c>
      <c r="C1306" t="s">
        <v>4410</v>
      </c>
      <c r="D1306">
        <v>13</v>
      </c>
      <c r="E1306" t="s">
        <v>4445</v>
      </c>
      <c r="F1306" t="s">
        <v>3989</v>
      </c>
      <c r="G1306" t="s">
        <v>5568</v>
      </c>
      <c r="H1306" t="s">
        <v>4915</v>
      </c>
    </row>
    <row r="1307" spans="1:8" x14ac:dyDescent="0.25">
      <c r="A1307">
        <v>615130001</v>
      </c>
      <c r="B1307" t="s">
        <v>4997</v>
      </c>
      <c r="C1307" t="s">
        <v>4168</v>
      </c>
      <c r="D1307">
        <v>13</v>
      </c>
      <c r="E1307" t="s">
        <v>4445</v>
      </c>
      <c r="F1307" t="s">
        <v>4998</v>
      </c>
      <c r="G1307" t="s">
        <v>5571</v>
      </c>
      <c r="H1307" t="s">
        <v>4957</v>
      </c>
    </row>
    <row r="1308" spans="1:8" x14ac:dyDescent="0.25">
      <c r="A1308">
        <v>619799607</v>
      </c>
      <c r="B1308" t="s">
        <v>5525</v>
      </c>
      <c r="C1308" t="s">
        <v>4187</v>
      </c>
      <c r="D1308">
        <v>13</v>
      </c>
      <c r="E1308" t="s">
        <v>4445</v>
      </c>
      <c r="F1308" t="s">
        <v>5526</v>
      </c>
      <c r="G1308" t="s">
        <v>5571</v>
      </c>
      <c r="H1308" t="s">
        <v>4957</v>
      </c>
    </row>
    <row r="1309" spans="1:8" x14ac:dyDescent="0.25">
      <c r="A1309">
        <v>769264604</v>
      </c>
      <c r="B1309" t="s">
        <v>4999</v>
      </c>
      <c r="C1309" t="s">
        <v>4257</v>
      </c>
      <c r="D1309">
        <v>7</v>
      </c>
      <c r="E1309" t="s">
        <v>4445</v>
      </c>
      <c r="F1309" t="s">
        <v>5000</v>
      </c>
      <c r="G1309" t="s">
        <v>5568</v>
      </c>
      <c r="H1309" t="s">
        <v>4915</v>
      </c>
    </row>
    <row r="1310" spans="1:8" x14ac:dyDescent="0.25">
      <c r="A1310">
        <v>774097899</v>
      </c>
      <c r="B1310" t="s">
        <v>4977</v>
      </c>
      <c r="C1310" t="s">
        <v>4168</v>
      </c>
      <c r="D1310">
        <v>13</v>
      </c>
      <c r="E1310" t="s">
        <v>4445</v>
      </c>
      <c r="F1310" t="s">
        <v>4994</v>
      </c>
      <c r="G1310" t="s">
        <v>5568</v>
      </c>
      <c r="H1310" t="s">
        <v>4915</v>
      </c>
    </row>
    <row r="1311" spans="1:8" x14ac:dyDescent="0.25">
      <c r="A1311">
        <v>774493247</v>
      </c>
      <c r="B1311" t="s">
        <v>5751</v>
      </c>
      <c r="C1311" t="s">
        <v>4257</v>
      </c>
      <c r="D1311">
        <v>7</v>
      </c>
      <c r="E1311" t="s">
        <v>4445</v>
      </c>
      <c r="F1311" t="s">
        <v>5752</v>
      </c>
      <c r="G1311" t="s">
        <v>5570</v>
      </c>
      <c r="H1311" t="s">
        <v>4915</v>
      </c>
    </row>
    <row r="1312" spans="1:8" x14ac:dyDescent="0.25">
      <c r="A1312">
        <v>776873284</v>
      </c>
      <c r="B1312" t="s">
        <v>5773</v>
      </c>
      <c r="C1312" t="s">
        <v>4391</v>
      </c>
      <c r="E1312" t="s">
        <v>4445</v>
      </c>
      <c r="F1312" t="s">
        <v>5774</v>
      </c>
      <c r="G1312" t="s">
        <v>5568</v>
      </c>
      <c r="H1312" t="s">
        <v>4915</v>
      </c>
    </row>
    <row r="1313" spans="1:8" x14ac:dyDescent="0.25">
      <c r="A1313">
        <v>781843431</v>
      </c>
      <c r="B1313" t="s">
        <v>5775</v>
      </c>
      <c r="C1313" t="s">
        <v>4391</v>
      </c>
      <c r="E1313" t="s">
        <v>4445</v>
      </c>
      <c r="F1313" t="s">
        <v>5776</v>
      </c>
      <c r="G1313" t="s">
        <v>5568</v>
      </c>
      <c r="H1313" t="s">
        <v>4915</v>
      </c>
    </row>
    <row r="1314" spans="1:8" x14ac:dyDescent="0.25">
      <c r="A1314">
        <v>846096000</v>
      </c>
      <c r="B1314" t="s">
        <v>5001</v>
      </c>
      <c r="C1314" t="s">
        <v>4528</v>
      </c>
      <c r="D1314">
        <v>13</v>
      </c>
      <c r="E1314" t="s">
        <v>4445</v>
      </c>
      <c r="F1314" t="s">
        <v>5002</v>
      </c>
      <c r="G1314" t="s">
        <v>5568</v>
      </c>
      <c r="H1314" t="s">
        <v>4915</v>
      </c>
    </row>
  </sheetData>
  <autoFilter ref="A1:H1301" xr:uid="{9671DB05-36A4-45FF-81AF-447D4136E650}"/>
  <conditionalFormatting sqref="A1:A1199">
    <cfRule type="duplicateValues" dxfId="4" priority="2"/>
  </conditionalFormatting>
  <conditionalFormatting sqref="A1:A1048576">
    <cfRule type="duplicateValues" dxfId="3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235BF-7304-4369-8DED-DEF53019F02E}">
  <dimension ref="A1:N62"/>
  <sheetViews>
    <sheetView zoomScale="70" zoomScaleNormal="70" workbookViewId="0">
      <selection activeCell="E86" sqref="E86:E87"/>
    </sheetView>
  </sheetViews>
  <sheetFormatPr baseColWidth="10" defaultRowHeight="15" x14ac:dyDescent="0.25"/>
  <cols>
    <col min="1" max="1" width="6.140625" bestFit="1" customWidth="1"/>
    <col min="2" max="2" width="7.5703125" bestFit="1" customWidth="1"/>
    <col min="3" max="3" width="8.7109375" bestFit="1" customWidth="1"/>
    <col min="4" max="4" width="7.28515625" bestFit="1" customWidth="1"/>
    <col min="5" max="5" width="8.7109375" bestFit="1" customWidth="1"/>
    <col min="6" max="6" width="53.7109375" bestFit="1" customWidth="1"/>
    <col min="7" max="7" width="19.42578125" bestFit="1" customWidth="1"/>
    <col min="8" max="8" width="44.28515625" bestFit="1" customWidth="1"/>
    <col min="9" max="9" width="12.7109375" bestFit="1" customWidth="1"/>
    <col min="10" max="10" width="28.42578125" bestFit="1" customWidth="1"/>
    <col min="11" max="11" width="12.85546875" bestFit="1" customWidth="1"/>
    <col min="12" max="12" width="10.140625" bestFit="1" customWidth="1"/>
    <col min="13" max="13" width="63.28515625" bestFit="1" customWidth="1"/>
    <col min="14" max="14" width="5.5703125" bestFit="1" customWidth="1"/>
  </cols>
  <sheetData>
    <row r="1" spans="1:14" ht="24" x14ac:dyDescent="0.25">
      <c r="A1" s="56" t="s">
        <v>4615</v>
      </c>
      <c r="B1" s="57" t="s">
        <v>4616</v>
      </c>
      <c r="C1" s="57" t="s">
        <v>4617</v>
      </c>
      <c r="D1" s="57" t="s">
        <v>4618</v>
      </c>
      <c r="E1" s="58" t="s">
        <v>0</v>
      </c>
      <c r="F1" s="59" t="s">
        <v>4619</v>
      </c>
      <c r="G1" s="60" t="s">
        <v>4620</v>
      </c>
      <c r="H1" s="58" t="s">
        <v>4621</v>
      </c>
      <c r="I1" s="61" t="s">
        <v>4622</v>
      </c>
      <c r="J1" s="62" t="s">
        <v>4623</v>
      </c>
      <c r="K1" t="s">
        <v>4624</v>
      </c>
      <c r="L1" t="s">
        <v>4625</v>
      </c>
      <c r="M1" t="s">
        <v>4626</v>
      </c>
      <c r="N1" t="s">
        <v>4627</v>
      </c>
    </row>
    <row r="2" spans="1:14" x14ac:dyDescent="0.25">
      <c r="A2" s="63">
        <v>3</v>
      </c>
      <c r="B2" s="63" t="s">
        <v>4628</v>
      </c>
      <c r="C2" s="63" t="s">
        <v>4629</v>
      </c>
      <c r="D2" s="63" t="s">
        <v>4630</v>
      </c>
      <c r="E2" s="64">
        <v>820318005</v>
      </c>
      <c r="F2" s="65" t="s">
        <v>4631</v>
      </c>
      <c r="G2" s="63" t="s">
        <v>4632</v>
      </c>
      <c r="H2" s="66" t="s">
        <v>4633</v>
      </c>
      <c r="I2" s="64" t="s">
        <v>4634</v>
      </c>
      <c r="J2" s="64"/>
      <c r="K2" s="67">
        <v>45444</v>
      </c>
      <c r="L2">
        <v>820318005</v>
      </c>
      <c r="M2" t="s">
        <v>4631</v>
      </c>
      <c r="N2" t="str">
        <f>IF(L2=E2,"ok", "nooo")</f>
        <v>ok</v>
      </c>
    </row>
    <row r="3" spans="1:14" x14ac:dyDescent="0.25">
      <c r="A3" s="63">
        <v>1</v>
      </c>
      <c r="B3" s="63" t="s">
        <v>4628</v>
      </c>
      <c r="C3" s="63" t="s">
        <v>4629</v>
      </c>
      <c r="D3" s="63" t="s">
        <v>4635</v>
      </c>
      <c r="E3" s="64" t="s">
        <v>143</v>
      </c>
      <c r="F3" s="65" t="s">
        <v>4636</v>
      </c>
      <c r="G3" s="63" t="s">
        <v>4632</v>
      </c>
      <c r="H3" s="64"/>
      <c r="I3" s="64" t="s">
        <v>4634</v>
      </c>
      <c r="J3" s="64"/>
      <c r="K3" s="67">
        <v>45047</v>
      </c>
      <c r="L3" t="s">
        <v>143</v>
      </c>
      <c r="M3" t="s">
        <v>4636</v>
      </c>
      <c r="N3" t="str">
        <f t="shared" ref="N3:N62" si="0">IF(L3=E3,"ok", "nooo")</f>
        <v>ok</v>
      </c>
    </row>
    <row r="4" spans="1:14" x14ac:dyDescent="0.25">
      <c r="A4" s="63">
        <v>4</v>
      </c>
      <c r="B4" s="63" t="s">
        <v>4628</v>
      </c>
      <c r="C4" s="63" t="s">
        <v>4629</v>
      </c>
      <c r="D4" s="63" t="s">
        <v>4637</v>
      </c>
      <c r="E4" s="64">
        <v>762152606</v>
      </c>
      <c r="F4" s="65" t="s">
        <v>4638</v>
      </c>
      <c r="G4" s="63" t="s">
        <v>4436</v>
      </c>
      <c r="H4" s="64" t="s">
        <v>4639</v>
      </c>
      <c r="I4" s="64"/>
      <c r="J4" s="64"/>
      <c r="K4" s="67">
        <v>45536</v>
      </c>
      <c r="L4">
        <v>691512029</v>
      </c>
      <c r="N4" t="str">
        <f t="shared" si="0"/>
        <v>nooo</v>
      </c>
    </row>
    <row r="5" spans="1:14" x14ac:dyDescent="0.25">
      <c r="A5" s="63">
        <v>3</v>
      </c>
      <c r="B5" s="63" t="s">
        <v>4628</v>
      </c>
      <c r="C5" s="63" t="s">
        <v>4629</v>
      </c>
      <c r="D5" s="63" t="s">
        <v>4640</v>
      </c>
      <c r="E5" s="64" t="s">
        <v>143</v>
      </c>
      <c r="F5" s="65" t="s">
        <v>4636</v>
      </c>
      <c r="G5" s="63" t="s">
        <v>4632</v>
      </c>
      <c r="H5" s="64"/>
      <c r="I5" s="64" t="s">
        <v>4634</v>
      </c>
      <c r="J5" s="64"/>
      <c r="K5" s="67">
        <v>45047</v>
      </c>
      <c r="L5" t="s">
        <v>143</v>
      </c>
      <c r="M5" t="s">
        <v>4636</v>
      </c>
      <c r="N5" t="str">
        <f t="shared" si="0"/>
        <v>ok</v>
      </c>
    </row>
    <row r="6" spans="1:14" x14ac:dyDescent="0.25">
      <c r="A6" s="63">
        <v>2</v>
      </c>
      <c r="B6" s="63" t="s">
        <v>4628</v>
      </c>
      <c r="C6" s="63" t="s">
        <v>4629</v>
      </c>
      <c r="D6" s="63" t="s">
        <v>4641</v>
      </c>
      <c r="E6" s="64">
        <v>616021230</v>
      </c>
      <c r="F6" s="65" t="s">
        <v>17</v>
      </c>
      <c r="G6" s="63" t="s">
        <v>4632</v>
      </c>
      <c r="H6" s="64"/>
      <c r="I6" s="64" t="s">
        <v>4634</v>
      </c>
      <c r="J6" s="64"/>
      <c r="K6" s="67">
        <v>45306</v>
      </c>
      <c r="L6">
        <v>616021230</v>
      </c>
      <c r="M6" t="s">
        <v>17</v>
      </c>
      <c r="N6" t="str">
        <f t="shared" si="0"/>
        <v>ok</v>
      </c>
    </row>
    <row r="7" spans="1:14" x14ac:dyDescent="0.25">
      <c r="A7" s="63">
        <v>2</v>
      </c>
      <c r="B7" s="63" t="s">
        <v>4628</v>
      </c>
      <c r="C7" s="63" t="s">
        <v>4629</v>
      </c>
      <c r="D7" s="63" t="s">
        <v>4642</v>
      </c>
      <c r="E7" s="64">
        <v>616021982</v>
      </c>
      <c r="F7" s="65" t="s">
        <v>4643</v>
      </c>
      <c r="G7" s="63" t="s">
        <v>4632</v>
      </c>
      <c r="H7" s="64" t="s">
        <v>4644</v>
      </c>
      <c r="I7" s="64" t="s">
        <v>4634</v>
      </c>
      <c r="J7" s="64" t="s">
        <v>4645</v>
      </c>
      <c r="K7" s="67">
        <v>45096</v>
      </c>
      <c r="L7">
        <v>616021982</v>
      </c>
      <c r="M7" t="s">
        <v>4643</v>
      </c>
      <c r="N7" t="str">
        <f t="shared" si="0"/>
        <v>ok</v>
      </c>
    </row>
    <row r="8" spans="1:14" x14ac:dyDescent="0.25">
      <c r="A8" s="63">
        <v>2</v>
      </c>
      <c r="B8" s="63" t="s">
        <v>4628</v>
      </c>
      <c r="C8" s="63" t="s">
        <v>4629</v>
      </c>
      <c r="D8" s="63" t="s">
        <v>4646</v>
      </c>
      <c r="E8" s="64">
        <v>616021982</v>
      </c>
      <c r="F8" s="65" t="s">
        <v>4643</v>
      </c>
      <c r="G8" s="63" t="s">
        <v>4632</v>
      </c>
      <c r="H8" s="64" t="s">
        <v>4644</v>
      </c>
      <c r="I8" s="64" t="s">
        <v>4634</v>
      </c>
      <c r="J8" s="64" t="s">
        <v>4645</v>
      </c>
      <c r="K8" s="67">
        <v>45147</v>
      </c>
      <c r="L8">
        <v>616021982</v>
      </c>
      <c r="M8" t="s">
        <v>4643</v>
      </c>
      <c r="N8" t="str">
        <f t="shared" si="0"/>
        <v>ok</v>
      </c>
    </row>
    <row r="9" spans="1:14" x14ac:dyDescent="0.25">
      <c r="A9" s="63">
        <v>3</v>
      </c>
      <c r="B9" s="63" t="s">
        <v>4628</v>
      </c>
      <c r="C9" s="63" t="s">
        <v>4629</v>
      </c>
      <c r="D9" s="63" t="s">
        <v>4647</v>
      </c>
      <c r="E9" s="64">
        <v>616021982</v>
      </c>
      <c r="F9" s="65" t="s">
        <v>4643</v>
      </c>
      <c r="G9" s="63" t="s">
        <v>4632</v>
      </c>
      <c r="H9" s="64" t="s">
        <v>4644</v>
      </c>
      <c r="I9" s="64" t="s">
        <v>4634</v>
      </c>
      <c r="J9" s="64" t="s">
        <v>4645</v>
      </c>
      <c r="K9" s="67">
        <v>45514</v>
      </c>
      <c r="L9">
        <v>616021982</v>
      </c>
      <c r="M9" t="s">
        <v>4643</v>
      </c>
      <c r="N9" t="str">
        <f t="shared" si="0"/>
        <v>ok</v>
      </c>
    </row>
    <row r="10" spans="1:14" x14ac:dyDescent="0.25">
      <c r="A10" s="63">
        <v>1</v>
      </c>
      <c r="B10" s="63" t="s">
        <v>4628</v>
      </c>
      <c r="C10" s="63" t="s">
        <v>4629</v>
      </c>
      <c r="D10" s="63" t="s">
        <v>4648</v>
      </c>
      <c r="E10" s="64">
        <v>616066080</v>
      </c>
      <c r="F10" s="65" t="s">
        <v>4649</v>
      </c>
      <c r="G10" s="63" t="s">
        <v>4632</v>
      </c>
      <c r="H10" s="64"/>
      <c r="I10" s="64" t="s">
        <v>4634</v>
      </c>
      <c r="J10" s="64" t="s">
        <v>4645</v>
      </c>
      <c r="K10" s="67">
        <v>44924</v>
      </c>
      <c r="L10">
        <v>616066005</v>
      </c>
      <c r="M10" t="s">
        <v>4649</v>
      </c>
      <c r="N10" t="str">
        <f t="shared" si="0"/>
        <v>nooo</v>
      </c>
    </row>
    <row r="11" spans="1:14" x14ac:dyDescent="0.25">
      <c r="A11" s="63">
        <v>2</v>
      </c>
      <c r="B11" s="63" t="s">
        <v>4628</v>
      </c>
      <c r="C11" s="63" t="s">
        <v>4629</v>
      </c>
      <c r="D11" s="63" t="s">
        <v>4650</v>
      </c>
      <c r="E11" s="64">
        <v>616066080</v>
      </c>
      <c r="F11" s="65" t="s">
        <v>4649</v>
      </c>
      <c r="G11" s="63" t="s">
        <v>4632</v>
      </c>
      <c r="H11" s="64"/>
      <c r="I11" s="64" t="s">
        <v>4634</v>
      </c>
      <c r="J11" s="64" t="s">
        <v>4645</v>
      </c>
      <c r="K11" s="67">
        <v>44983</v>
      </c>
      <c r="L11">
        <v>616066005</v>
      </c>
      <c r="M11" t="s">
        <v>4649</v>
      </c>
      <c r="N11" t="str">
        <f t="shared" si="0"/>
        <v>nooo</v>
      </c>
    </row>
    <row r="12" spans="1:14" x14ac:dyDescent="0.25">
      <c r="A12" s="63">
        <v>5</v>
      </c>
      <c r="B12" s="63" t="s">
        <v>4628</v>
      </c>
      <c r="C12" s="63" t="s">
        <v>4629</v>
      </c>
      <c r="D12" s="63" t="s">
        <v>4651</v>
      </c>
      <c r="E12" s="64">
        <v>616066080</v>
      </c>
      <c r="F12" s="65" t="s">
        <v>4649</v>
      </c>
      <c r="G12" s="63" t="s">
        <v>4632</v>
      </c>
      <c r="H12" s="64" t="s">
        <v>4652</v>
      </c>
      <c r="I12" s="64"/>
      <c r="J12" s="64"/>
      <c r="K12" s="67">
        <v>45580</v>
      </c>
      <c r="L12">
        <v>616066005</v>
      </c>
      <c r="M12" t="s">
        <v>4649</v>
      </c>
      <c r="N12" t="str">
        <f t="shared" si="0"/>
        <v>nooo</v>
      </c>
    </row>
    <row r="13" spans="1:14" x14ac:dyDescent="0.25">
      <c r="A13" s="63">
        <v>2</v>
      </c>
      <c r="B13" s="63" t="s">
        <v>4628</v>
      </c>
      <c r="C13" s="63" t="s">
        <v>4629</v>
      </c>
      <c r="D13" s="63" t="s">
        <v>4653</v>
      </c>
      <c r="E13" s="64">
        <v>691508005</v>
      </c>
      <c r="F13" s="65" t="s">
        <v>4654</v>
      </c>
      <c r="G13" s="63" t="s">
        <v>4632</v>
      </c>
      <c r="H13" s="64">
        <v>691508005</v>
      </c>
      <c r="I13" s="64" t="s">
        <v>4634</v>
      </c>
      <c r="J13" s="64"/>
      <c r="K13" s="67">
        <v>45408</v>
      </c>
      <c r="L13">
        <v>616072005</v>
      </c>
      <c r="M13" t="s">
        <v>4654</v>
      </c>
      <c r="N13" t="str">
        <f t="shared" si="0"/>
        <v>nooo</v>
      </c>
    </row>
    <row r="14" spans="1:14" x14ac:dyDescent="0.25">
      <c r="A14" s="63">
        <v>4</v>
      </c>
      <c r="B14" s="63" t="s">
        <v>4628</v>
      </c>
      <c r="C14" s="63" t="s">
        <v>4629</v>
      </c>
      <c r="D14" s="63" t="s">
        <v>4655</v>
      </c>
      <c r="E14" s="64" t="s">
        <v>657</v>
      </c>
      <c r="F14" s="65" t="s">
        <v>4656</v>
      </c>
      <c r="G14" s="63" t="s">
        <v>4632</v>
      </c>
      <c r="H14" s="64" t="s">
        <v>4657</v>
      </c>
      <c r="I14" s="64" t="s">
        <v>4634</v>
      </c>
      <c r="J14" s="64"/>
      <c r="K14" s="67">
        <v>45414</v>
      </c>
      <c r="L14" t="s">
        <v>657</v>
      </c>
      <c r="M14" t="s">
        <v>4656</v>
      </c>
      <c r="N14" t="str">
        <f t="shared" si="0"/>
        <v>ok</v>
      </c>
    </row>
    <row r="15" spans="1:14" x14ac:dyDescent="0.25">
      <c r="A15" s="63">
        <v>2</v>
      </c>
      <c r="B15" s="63" t="s">
        <v>4628</v>
      </c>
      <c r="C15" s="63" t="s">
        <v>4629</v>
      </c>
      <c r="D15" s="63" t="s">
        <v>4658</v>
      </c>
      <c r="E15" s="64">
        <v>762152606</v>
      </c>
      <c r="F15" s="65" t="s">
        <v>4638</v>
      </c>
      <c r="G15" s="63" t="s">
        <v>4659</v>
      </c>
      <c r="H15" s="64" t="s">
        <v>4660</v>
      </c>
      <c r="I15" s="64" t="s">
        <v>4634</v>
      </c>
      <c r="J15" s="64" t="s">
        <v>4645</v>
      </c>
      <c r="K15" s="67">
        <v>45049</v>
      </c>
      <c r="L15" t="s">
        <v>5500</v>
      </c>
      <c r="M15" t="s">
        <v>5501</v>
      </c>
      <c r="N15" t="str">
        <f t="shared" si="0"/>
        <v>nooo</v>
      </c>
    </row>
    <row r="16" spans="1:14" x14ac:dyDescent="0.25">
      <c r="A16" s="63">
        <v>2</v>
      </c>
      <c r="B16" s="63" t="s">
        <v>4628</v>
      </c>
      <c r="C16" s="63" t="s">
        <v>4629</v>
      </c>
      <c r="D16" s="63" t="s">
        <v>4661</v>
      </c>
      <c r="E16" s="64">
        <v>691501027</v>
      </c>
      <c r="F16" s="65" t="s">
        <v>4662</v>
      </c>
      <c r="G16" s="63" t="s">
        <v>4632</v>
      </c>
      <c r="H16" s="64" t="s">
        <v>4663</v>
      </c>
      <c r="I16" s="64" t="s">
        <v>4634</v>
      </c>
      <c r="J16" s="64"/>
      <c r="K16" s="67">
        <v>45184</v>
      </c>
      <c r="L16">
        <v>691501027</v>
      </c>
      <c r="M16" t="s">
        <v>4662</v>
      </c>
      <c r="N16" t="str">
        <f t="shared" si="0"/>
        <v>ok</v>
      </c>
    </row>
    <row r="17" spans="1:14" x14ac:dyDescent="0.25">
      <c r="A17" s="63">
        <v>4</v>
      </c>
      <c r="B17" s="63" t="s">
        <v>4628</v>
      </c>
      <c r="C17" s="63" t="s">
        <v>4629</v>
      </c>
      <c r="D17" s="63" t="s">
        <v>4664</v>
      </c>
      <c r="E17" s="64" t="s">
        <v>4665</v>
      </c>
      <c r="F17" s="65" t="s">
        <v>4666</v>
      </c>
      <c r="G17" s="63" t="s">
        <v>4667</v>
      </c>
      <c r="H17" s="64" t="s">
        <v>4668</v>
      </c>
      <c r="I17" s="64"/>
      <c r="J17" s="64"/>
      <c r="K17" s="67">
        <v>45441</v>
      </c>
      <c r="L17" t="s">
        <v>4665</v>
      </c>
      <c r="M17" t="s">
        <v>4666</v>
      </c>
      <c r="N17" t="str">
        <f t="shared" si="0"/>
        <v>ok</v>
      </c>
    </row>
    <row r="18" spans="1:14" x14ac:dyDescent="0.25">
      <c r="A18" s="63">
        <v>4</v>
      </c>
      <c r="B18" s="63" t="s">
        <v>4628</v>
      </c>
      <c r="C18" s="63" t="s">
        <v>4629</v>
      </c>
      <c r="D18" s="63" t="s">
        <v>4669</v>
      </c>
      <c r="E18" s="64" t="s">
        <v>4665</v>
      </c>
      <c r="F18" s="65" t="s">
        <v>4666</v>
      </c>
      <c r="G18" s="63" t="s">
        <v>4667</v>
      </c>
      <c r="H18" s="64" t="s">
        <v>4668</v>
      </c>
      <c r="I18" s="64"/>
      <c r="J18" s="64"/>
      <c r="K18" s="67">
        <v>45441</v>
      </c>
      <c r="L18" t="s">
        <v>4665</v>
      </c>
      <c r="M18" t="s">
        <v>4666</v>
      </c>
      <c r="N18" t="str">
        <f t="shared" si="0"/>
        <v>ok</v>
      </c>
    </row>
    <row r="19" spans="1:14" x14ac:dyDescent="0.25">
      <c r="A19" s="63">
        <v>3</v>
      </c>
      <c r="B19" s="63" t="s">
        <v>4628</v>
      </c>
      <c r="C19" s="63" t="s">
        <v>4629</v>
      </c>
      <c r="D19" s="63" t="s">
        <v>4670</v>
      </c>
      <c r="E19" s="64">
        <v>691501027</v>
      </c>
      <c r="F19" s="65" t="s">
        <v>4662</v>
      </c>
      <c r="G19" s="63" t="s">
        <v>4632</v>
      </c>
      <c r="H19" s="64"/>
      <c r="I19" s="64" t="s">
        <v>4634</v>
      </c>
      <c r="J19" s="64"/>
      <c r="K19" s="67">
        <v>45184</v>
      </c>
      <c r="L19">
        <v>691501027</v>
      </c>
      <c r="M19" t="s">
        <v>4662</v>
      </c>
      <c r="N19" t="str">
        <f t="shared" si="0"/>
        <v>ok</v>
      </c>
    </row>
    <row r="20" spans="1:14" x14ac:dyDescent="0.25">
      <c r="A20" s="63">
        <v>4</v>
      </c>
      <c r="B20" s="63" t="s">
        <v>4628</v>
      </c>
      <c r="C20" s="63" t="s">
        <v>4629</v>
      </c>
      <c r="D20" s="63" t="s">
        <v>4671</v>
      </c>
      <c r="E20" s="64">
        <v>692569008</v>
      </c>
      <c r="F20" s="65" t="s">
        <v>4672</v>
      </c>
      <c r="G20" s="63" t="s">
        <v>4632</v>
      </c>
      <c r="H20" s="64"/>
      <c r="I20" s="64" t="s">
        <v>4634</v>
      </c>
      <c r="J20" s="64"/>
      <c r="K20" s="67">
        <v>45434</v>
      </c>
      <c r="L20">
        <v>692569008</v>
      </c>
      <c r="M20" t="s">
        <v>4672</v>
      </c>
      <c r="N20" t="str">
        <f t="shared" si="0"/>
        <v>ok</v>
      </c>
    </row>
    <row r="21" spans="1:14" x14ac:dyDescent="0.25">
      <c r="A21" s="63">
        <v>4</v>
      </c>
      <c r="B21" s="63" t="s">
        <v>4628</v>
      </c>
      <c r="C21" s="63" t="s">
        <v>4629</v>
      </c>
      <c r="D21" s="63" t="s">
        <v>4673</v>
      </c>
      <c r="E21" s="64">
        <v>692569008</v>
      </c>
      <c r="F21" s="65" t="s">
        <v>4674</v>
      </c>
      <c r="G21" s="63" t="s">
        <v>4632</v>
      </c>
      <c r="H21" s="64"/>
      <c r="I21" s="64" t="s">
        <v>4634</v>
      </c>
      <c r="J21" s="64"/>
      <c r="K21" s="67">
        <v>45434</v>
      </c>
      <c r="L21">
        <v>692569008</v>
      </c>
      <c r="M21" t="s">
        <v>4674</v>
      </c>
      <c r="N21" t="str">
        <f t="shared" si="0"/>
        <v>ok</v>
      </c>
    </row>
    <row r="22" spans="1:14" x14ac:dyDescent="0.25">
      <c r="A22" s="63">
        <v>3</v>
      </c>
      <c r="B22" s="63" t="s">
        <v>4628</v>
      </c>
      <c r="C22" s="63" t="s">
        <v>4629</v>
      </c>
      <c r="D22" s="63" t="s">
        <v>4675</v>
      </c>
      <c r="E22" s="64">
        <v>742696006</v>
      </c>
      <c r="F22" s="65" t="s">
        <v>4676</v>
      </c>
      <c r="G22" s="63" t="s">
        <v>4632</v>
      </c>
      <c r="H22" s="64"/>
      <c r="I22" s="64" t="s">
        <v>4634</v>
      </c>
      <c r="J22" s="64"/>
      <c r="K22" s="67">
        <v>45093</v>
      </c>
      <c r="L22">
        <v>742696006</v>
      </c>
      <c r="M22" t="s">
        <v>4676</v>
      </c>
      <c r="N22" t="str">
        <f t="shared" si="0"/>
        <v>ok</v>
      </c>
    </row>
    <row r="23" spans="1:14" x14ac:dyDescent="0.25">
      <c r="A23" s="63">
        <v>5</v>
      </c>
      <c r="B23" s="63" t="s">
        <v>4628</v>
      </c>
      <c r="C23" s="63" t="s">
        <v>4629</v>
      </c>
      <c r="D23" s="63" t="s">
        <v>4677</v>
      </c>
      <c r="E23" s="64">
        <v>605057233</v>
      </c>
      <c r="F23" s="65" t="s">
        <v>4678</v>
      </c>
      <c r="G23" s="63" t="s">
        <v>4679</v>
      </c>
      <c r="H23" s="64" t="s">
        <v>4680</v>
      </c>
      <c r="I23" s="64"/>
      <c r="J23" s="64" t="s">
        <v>4681</v>
      </c>
      <c r="K23" s="67">
        <v>45573</v>
      </c>
      <c r="L23">
        <v>605057233</v>
      </c>
      <c r="M23" t="s">
        <v>4678</v>
      </c>
      <c r="N23" t="str">
        <f t="shared" si="0"/>
        <v>ok</v>
      </c>
    </row>
    <row r="24" spans="1:14" x14ac:dyDescent="0.25">
      <c r="A24" s="63">
        <v>3</v>
      </c>
      <c r="B24" s="63" t="s">
        <v>4628</v>
      </c>
      <c r="C24" s="63" t="s">
        <v>4629</v>
      </c>
      <c r="D24" s="63" t="s">
        <v>4682</v>
      </c>
      <c r="E24" s="64">
        <v>742696006</v>
      </c>
      <c r="F24" s="65" t="s">
        <v>4676</v>
      </c>
      <c r="G24" s="63" t="s">
        <v>4632</v>
      </c>
      <c r="H24" s="64"/>
      <c r="I24" s="64" t="s">
        <v>4634</v>
      </c>
      <c r="J24" s="64"/>
      <c r="K24" s="67">
        <v>45093</v>
      </c>
      <c r="L24">
        <v>742696006</v>
      </c>
      <c r="M24" t="s">
        <v>4676</v>
      </c>
      <c r="N24" t="str">
        <f t="shared" si="0"/>
        <v>ok</v>
      </c>
    </row>
    <row r="25" spans="1:14" x14ac:dyDescent="0.25">
      <c r="A25" s="63">
        <v>2</v>
      </c>
      <c r="B25" s="63" t="s">
        <v>4628</v>
      </c>
      <c r="C25" s="63" t="s">
        <v>4629</v>
      </c>
      <c r="D25" s="63" t="s">
        <v>4683</v>
      </c>
      <c r="E25" s="64">
        <v>616020579</v>
      </c>
      <c r="F25" s="65" t="s">
        <v>4684</v>
      </c>
      <c r="G25" s="63" t="s">
        <v>4667</v>
      </c>
      <c r="H25" s="64" t="s">
        <v>4685</v>
      </c>
      <c r="I25" s="64" t="s">
        <v>4634</v>
      </c>
      <c r="J25" s="64" t="s">
        <v>4645</v>
      </c>
      <c r="K25" s="67">
        <v>45063</v>
      </c>
      <c r="L25">
        <v>616020579</v>
      </c>
      <c r="M25" t="s">
        <v>4684</v>
      </c>
      <c r="N25" t="str">
        <f t="shared" si="0"/>
        <v>ok</v>
      </c>
    </row>
    <row r="26" spans="1:14" x14ac:dyDescent="0.25">
      <c r="A26" s="63">
        <v>2</v>
      </c>
      <c r="B26" s="63" t="s">
        <v>4628</v>
      </c>
      <c r="C26" s="63" t="s">
        <v>4629</v>
      </c>
      <c r="D26" s="63" t="s">
        <v>4686</v>
      </c>
      <c r="E26" s="64">
        <v>616020579</v>
      </c>
      <c r="F26" s="65" t="s">
        <v>4684</v>
      </c>
      <c r="G26" s="63" t="s">
        <v>4667</v>
      </c>
      <c r="H26" s="64" t="s">
        <v>4685</v>
      </c>
      <c r="I26" s="64"/>
      <c r="J26" s="64" t="s">
        <v>4645</v>
      </c>
      <c r="K26" s="67">
        <v>45542</v>
      </c>
      <c r="L26">
        <v>616020579</v>
      </c>
      <c r="M26" t="s">
        <v>4684</v>
      </c>
      <c r="N26" t="str">
        <f t="shared" si="0"/>
        <v>ok</v>
      </c>
    </row>
    <row r="27" spans="1:14" x14ac:dyDescent="0.25">
      <c r="A27" s="63">
        <v>3</v>
      </c>
      <c r="B27" s="63" t="s">
        <v>4628</v>
      </c>
      <c r="C27" s="63" t="s">
        <v>4629</v>
      </c>
      <c r="D27" s="63" t="s">
        <v>4687</v>
      </c>
      <c r="E27" s="64">
        <v>742696006</v>
      </c>
      <c r="F27" s="65" t="s">
        <v>4676</v>
      </c>
      <c r="G27" s="63" t="s">
        <v>4632</v>
      </c>
      <c r="H27" s="64"/>
      <c r="I27" s="64" t="s">
        <v>4634</v>
      </c>
      <c r="J27" s="64"/>
      <c r="K27" s="67">
        <v>45184</v>
      </c>
      <c r="L27">
        <v>742696006</v>
      </c>
      <c r="M27" t="s">
        <v>4676</v>
      </c>
      <c r="N27" t="str">
        <f t="shared" si="0"/>
        <v>ok</v>
      </c>
    </row>
    <row r="28" spans="1:14" x14ac:dyDescent="0.25">
      <c r="A28" s="63">
        <v>5</v>
      </c>
      <c r="B28" s="63" t="s">
        <v>4628</v>
      </c>
      <c r="C28" s="63" t="s">
        <v>4629</v>
      </c>
      <c r="D28" s="63" t="s">
        <v>4688</v>
      </c>
      <c r="E28" s="64">
        <v>760579041</v>
      </c>
      <c r="F28" s="65" t="s">
        <v>4689</v>
      </c>
      <c r="G28" s="63" t="s">
        <v>4632</v>
      </c>
      <c r="H28" s="64" t="s">
        <v>4690</v>
      </c>
      <c r="I28" s="64" t="s">
        <v>4691</v>
      </c>
      <c r="J28" s="64"/>
      <c r="K28" s="67">
        <v>45518</v>
      </c>
      <c r="L28">
        <v>760579041</v>
      </c>
      <c r="M28" t="s">
        <v>4689</v>
      </c>
      <c r="N28" t="str">
        <f t="shared" si="0"/>
        <v>ok</v>
      </c>
    </row>
    <row r="29" spans="1:14" x14ac:dyDescent="0.25">
      <c r="A29" s="63">
        <v>3</v>
      </c>
      <c r="B29" s="63" t="s">
        <v>4628</v>
      </c>
      <c r="C29" s="63" t="s">
        <v>4629</v>
      </c>
      <c r="D29" s="63" t="s">
        <v>4692</v>
      </c>
      <c r="E29" s="64">
        <v>616072021</v>
      </c>
      <c r="F29" s="65" t="s">
        <v>4693</v>
      </c>
      <c r="G29" s="63" t="s">
        <v>4667</v>
      </c>
      <c r="H29" s="64" t="s">
        <v>4694</v>
      </c>
      <c r="I29" s="64"/>
      <c r="J29" s="64"/>
      <c r="K29" s="67">
        <v>45112</v>
      </c>
      <c r="L29">
        <v>616072021</v>
      </c>
      <c r="M29" t="s">
        <v>4693</v>
      </c>
      <c r="N29" t="str">
        <f t="shared" si="0"/>
        <v>ok</v>
      </c>
    </row>
    <row r="30" spans="1:14" x14ac:dyDescent="0.25">
      <c r="A30" s="63">
        <v>3</v>
      </c>
      <c r="B30" s="63" t="s">
        <v>4628</v>
      </c>
      <c r="C30" s="63" t="s">
        <v>4629</v>
      </c>
      <c r="D30" s="63" t="s">
        <v>4695</v>
      </c>
      <c r="E30" s="64">
        <v>616072021</v>
      </c>
      <c r="F30" s="65" t="s">
        <v>4693</v>
      </c>
      <c r="G30" s="63" t="s">
        <v>4667</v>
      </c>
      <c r="H30" s="64" t="s">
        <v>4694</v>
      </c>
      <c r="I30" s="64"/>
      <c r="J30" s="64"/>
      <c r="K30" s="67">
        <v>45112</v>
      </c>
      <c r="L30">
        <v>616072021</v>
      </c>
      <c r="M30" t="s">
        <v>4693</v>
      </c>
      <c r="N30" t="str">
        <f t="shared" si="0"/>
        <v>ok</v>
      </c>
    </row>
    <row r="31" spans="1:14" x14ac:dyDescent="0.25">
      <c r="A31" s="63">
        <v>4</v>
      </c>
      <c r="B31" s="63" t="s">
        <v>4628</v>
      </c>
      <c r="C31" s="63" t="s">
        <v>4629</v>
      </c>
      <c r="D31" s="63" t="s">
        <v>4696</v>
      </c>
      <c r="E31" s="64">
        <v>616072021</v>
      </c>
      <c r="F31" s="65" t="s">
        <v>4693</v>
      </c>
      <c r="G31" s="63" t="s">
        <v>4667</v>
      </c>
      <c r="H31" s="64" t="s">
        <v>4694</v>
      </c>
      <c r="I31" s="64"/>
      <c r="J31" s="64"/>
      <c r="K31" s="67">
        <v>45112</v>
      </c>
      <c r="L31">
        <v>616072021</v>
      </c>
      <c r="M31" t="s">
        <v>4693</v>
      </c>
      <c r="N31" t="str">
        <f t="shared" si="0"/>
        <v>ok</v>
      </c>
    </row>
    <row r="32" spans="1:14" x14ac:dyDescent="0.25">
      <c r="A32" s="63">
        <v>4</v>
      </c>
      <c r="B32" s="63" t="s">
        <v>4628</v>
      </c>
      <c r="C32" s="63" t="s">
        <v>4629</v>
      </c>
      <c r="D32" s="63" t="s">
        <v>4697</v>
      </c>
      <c r="E32" s="64">
        <v>616072021</v>
      </c>
      <c r="F32" s="65" t="s">
        <v>4693</v>
      </c>
      <c r="G32" s="63" t="s">
        <v>4667</v>
      </c>
      <c r="H32" s="64" t="s">
        <v>4694</v>
      </c>
      <c r="I32" s="64"/>
      <c r="J32" s="64"/>
      <c r="K32" s="67">
        <v>45112</v>
      </c>
      <c r="L32">
        <v>616072021</v>
      </c>
      <c r="M32" t="s">
        <v>5502</v>
      </c>
      <c r="N32" t="str">
        <f t="shared" si="0"/>
        <v>ok</v>
      </c>
    </row>
    <row r="33" spans="1:14" x14ac:dyDescent="0.25">
      <c r="A33" s="63">
        <v>4</v>
      </c>
      <c r="B33" s="63" t="s">
        <v>4628</v>
      </c>
      <c r="C33" s="63" t="s">
        <v>4629</v>
      </c>
      <c r="D33" s="63" t="s">
        <v>4698</v>
      </c>
      <c r="E33" s="64">
        <v>616072021</v>
      </c>
      <c r="F33" s="65" t="s">
        <v>4693</v>
      </c>
      <c r="G33" s="63" t="s">
        <v>4667</v>
      </c>
      <c r="H33" s="64" t="s">
        <v>4694</v>
      </c>
      <c r="I33" s="64"/>
      <c r="J33" s="64"/>
      <c r="K33" s="67">
        <v>45112</v>
      </c>
      <c r="L33">
        <v>616072021</v>
      </c>
      <c r="M33" t="s">
        <v>4693</v>
      </c>
      <c r="N33" t="str">
        <f t="shared" si="0"/>
        <v>ok</v>
      </c>
    </row>
    <row r="34" spans="1:14" x14ac:dyDescent="0.25">
      <c r="A34" s="63">
        <v>2</v>
      </c>
      <c r="B34" s="63" t="s">
        <v>4628</v>
      </c>
      <c r="C34" s="63" t="s">
        <v>4629</v>
      </c>
      <c r="D34" s="63" t="s">
        <v>4699</v>
      </c>
      <c r="E34" s="64">
        <v>616060015</v>
      </c>
      <c r="F34" s="65" t="s">
        <v>4700</v>
      </c>
      <c r="G34" s="63" t="s">
        <v>4667</v>
      </c>
      <c r="H34" s="64" t="s">
        <v>4701</v>
      </c>
      <c r="I34" s="64"/>
      <c r="J34" s="64"/>
      <c r="K34" s="67">
        <v>45496</v>
      </c>
      <c r="L34">
        <v>616060015</v>
      </c>
      <c r="M34" t="s">
        <v>4700</v>
      </c>
      <c r="N34" t="str">
        <f t="shared" si="0"/>
        <v>ok</v>
      </c>
    </row>
    <row r="35" spans="1:14" x14ac:dyDescent="0.25">
      <c r="A35" s="63">
        <v>3</v>
      </c>
      <c r="B35" s="63" t="s">
        <v>4628</v>
      </c>
      <c r="C35" s="63" t="s">
        <v>4629</v>
      </c>
      <c r="D35" s="63" t="s">
        <v>4702</v>
      </c>
      <c r="E35" s="64">
        <v>616060015</v>
      </c>
      <c r="F35" s="65" t="s">
        <v>4700</v>
      </c>
      <c r="G35" s="63" t="s">
        <v>4667</v>
      </c>
      <c r="H35" s="64" t="s">
        <v>4701</v>
      </c>
      <c r="I35" s="64"/>
      <c r="J35" s="64"/>
      <c r="K35" s="67">
        <v>45496</v>
      </c>
      <c r="L35">
        <v>616060015</v>
      </c>
      <c r="M35" t="s">
        <v>4700</v>
      </c>
      <c r="N35" t="str">
        <f t="shared" si="0"/>
        <v>ok</v>
      </c>
    </row>
    <row r="36" spans="1:14" x14ac:dyDescent="0.25">
      <c r="A36" s="63">
        <v>5</v>
      </c>
      <c r="B36" s="63" t="s">
        <v>4628</v>
      </c>
      <c r="C36" s="63" t="s">
        <v>4629</v>
      </c>
      <c r="D36" s="63" t="s">
        <v>4703</v>
      </c>
      <c r="E36" s="64">
        <v>611020252</v>
      </c>
      <c r="F36" s="65" t="s">
        <v>4704</v>
      </c>
      <c r="G36" s="63" t="s">
        <v>4679</v>
      </c>
      <c r="H36" s="64" t="s">
        <v>4705</v>
      </c>
      <c r="I36" s="64"/>
      <c r="J36" s="64" t="s">
        <v>4681</v>
      </c>
      <c r="K36" s="67">
        <v>45576</v>
      </c>
      <c r="L36">
        <v>691512029</v>
      </c>
      <c r="M36" t="s">
        <v>5503</v>
      </c>
      <c r="N36" t="str">
        <f t="shared" si="0"/>
        <v>nooo</v>
      </c>
    </row>
    <row r="37" spans="1:14" x14ac:dyDescent="0.25">
      <c r="A37" s="63">
        <v>1</v>
      </c>
      <c r="B37" s="63" t="s">
        <v>4628</v>
      </c>
      <c r="C37" s="63" t="s">
        <v>4629</v>
      </c>
      <c r="D37" s="63" t="s">
        <v>4706</v>
      </c>
      <c r="E37" s="64">
        <v>780353902</v>
      </c>
      <c r="F37" s="65" t="s">
        <v>4707</v>
      </c>
      <c r="G37" s="63" t="s">
        <v>4632</v>
      </c>
      <c r="H37" s="64"/>
      <c r="I37" s="64" t="s">
        <v>4634</v>
      </c>
      <c r="J37" s="64" t="s">
        <v>4645</v>
      </c>
      <c r="K37" s="67">
        <v>45217</v>
      </c>
      <c r="L37">
        <v>780353902</v>
      </c>
      <c r="M37" t="s">
        <v>4707</v>
      </c>
      <c r="N37" t="str">
        <f t="shared" si="0"/>
        <v>ok</v>
      </c>
    </row>
    <row r="38" spans="1:14" x14ac:dyDescent="0.25">
      <c r="A38" s="63">
        <v>2</v>
      </c>
      <c r="B38" s="63" t="s">
        <v>4628</v>
      </c>
      <c r="C38" s="63" t="s">
        <v>4629</v>
      </c>
      <c r="D38" s="68" t="s">
        <v>4708</v>
      </c>
      <c r="E38" s="64" t="s">
        <v>679</v>
      </c>
      <c r="F38" s="69" t="s">
        <v>4709</v>
      </c>
      <c r="G38" s="63" t="s">
        <v>4632</v>
      </c>
      <c r="H38" s="64" t="s">
        <v>679</v>
      </c>
      <c r="I38" s="64" t="s">
        <v>4634</v>
      </c>
      <c r="J38" s="64"/>
      <c r="K38" s="67">
        <v>45510</v>
      </c>
      <c r="L38" t="s">
        <v>679</v>
      </c>
      <c r="M38" t="s">
        <v>4709</v>
      </c>
      <c r="N38" t="str">
        <f t="shared" si="0"/>
        <v>ok</v>
      </c>
    </row>
    <row r="39" spans="1:14" x14ac:dyDescent="0.25">
      <c r="A39" s="63">
        <v>5</v>
      </c>
      <c r="B39" s="63" t="s">
        <v>4628</v>
      </c>
      <c r="C39" s="63" t="s">
        <v>4629</v>
      </c>
      <c r="D39" s="63" t="s">
        <v>4710</v>
      </c>
      <c r="E39" s="64">
        <v>762152606</v>
      </c>
      <c r="F39" s="65" t="s">
        <v>4638</v>
      </c>
      <c r="G39" s="63" t="s">
        <v>4659</v>
      </c>
      <c r="H39" s="65" t="s">
        <v>4711</v>
      </c>
      <c r="I39" s="64"/>
      <c r="J39" s="64"/>
      <c r="K39" s="67" t="s">
        <v>5428</v>
      </c>
      <c r="L39" t="s">
        <v>5500</v>
      </c>
      <c r="M39" t="s">
        <v>5501</v>
      </c>
      <c r="N39" t="str">
        <f t="shared" si="0"/>
        <v>nooo</v>
      </c>
    </row>
    <row r="40" spans="1:14" x14ac:dyDescent="0.25">
      <c r="A40" s="63">
        <v>5</v>
      </c>
      <c r="B40" s="63" t="s">
        <v>4628</v>
      </c>
      <c r="C40" s="63" t="s">
        <v>4629</v>
      </c>
      <c r="D40" s="63" t="s">
        <v>4712</v>
      </c>
      <c r="E40" s="64">
        <v>616075020</v>
      </c>
      <c r="F40" s="65" t="s">
        <v>4713</v>
      </c>
      <c r="G40" s="63" t="s">
        <v>4667</v>
      </c>
      <c r="H40" s="64"/>
      <c r="I40" s="64"/>
      <c r="J40" s="64"/>
      <c r="K40" s="67" t="s">
        <v>5428</v>
      </c>
      <c r="L40">
        <v>616075020</v>
      </c>
      <c r="M40" t="s">
        <v>4713</v>
      </c>
      <c r="N40" t="str">
        <f t="shared" si="0"/>
        <v>ok</v>
      </c>
    </row>
    <row r="41" spans="1:14" x14ac:dyDescent="0.25">
      <c r="A41" s="63">
        <v>5</v>
      </c>
      <c r="B41" s="63" t="s">
        <v>4628</v>
      </c>
      <c r="C41" s="63" t="s">
        <v>4629</v>
      </c>
      <c r="D41" s="63" t="s">
        <v>4714</v>
      </c>
      <c r="E41" s="70">
        <v>616021419</v>
      </c>
      <c r="F41" s="65" t="s">
        <v>4715</v>
      </c>
      <c r="G41" s="63" t="s">
        <v>4632</v>
      </c>
      <c r="H41" s="64"/>
      <c r="I41" s="64"/>
      <c r="J41" s="64"/>
      <c r="K41" s="67" t="s">
        <v>5428</v>
      </c>
      <c r="L41">
        <v>616021419</v>
      </c>
      <c r="M41" t="s">
        <v>4715</v>
      </c>
      <c r="N41" t="str">
        <f t="shared" si="0"/>
        <v>ok</v>
      </c>
    </row>
    <row r="42" spans="1:14" x14ac:dyDescent="0.25">
      <c r="A42" s="63">
        <v>5</v>
      </c>
      <c r="B42" s="63" t="s">
        <v>4628</v>
      </c>
      <c r="C42" s="63" t="s">
        <v>4629</v>
      </c>
      <c r="D42" s="63" t="s">
        <v>4716</v>
      </c>
      <c r="E42" s="64">
        <v>616075020</v>
      </c>
      <c r="F42" s="65" t="s">
        <v>4713</v>
      </c>
      <c r="G42" s="63" t="s">
        <v>4667</v>
      </c>
      <c r="H42" s="64"/>
      <c r="I42" s="64"/>
      <c r="J42" s="64"/>
      <c r="K42" s="67" t="s">
        <v>5428</v>
      </c>
      <c r="L42">
        <v>616075020</v>
      </c>
      <c r="M42" t="s">
        <v>4713</v>
      </c>
      <c r="N42" t="str">
        <f t="shared" si="0"/>
        <v>ok</v>
      </c>
    </row>
    <row r="43" spans="1:14" x14ac:dyDescent="0.25">
      <c r="A43" s="63">
        <v>5</v>
      </c>
      <c r="B43" s="63" t="s">
        <v>4628</v>
      </c>
      <c r="C43" s="63" t="s">
        <v>4629</v>
      </c>
      <c r="D43" s="63" t="s">
        <v>4717</v>
      </c>
      <c r="E43" s="64">
        <v>616086022</v>
      </c>
      <c r="F43" s="65" t="s">
        <v>4718</v>
      </c>
      <c r="G43" s="63" t="s">
        <v>4667</v>
      </c>
      <c r="H43" s="64"/>
      <c r="I43" s="64"/>
      <c r="J43" s="64"/>
      <c r="K43" s="67" t="s">
        <v>5428</v>
      </c>
      <c r="L43">
        <v>616086022</v>
      </c>
      <c r="M43" t="s">
        <v>4718</v>
      </c>
      <c r="N43" t="str">
        <f t="shared" si="0"/>
        <v>ok</v>
      </c>
    </row>
    <row r="44" spans="1:14" x14ac:dyDescent="0.25">
      <c r="A44" s="63">
        <v>5</v>
      </c>
      <c r="B44" s="63" t="s">
        <v>4628</v>
      </c>
      <c r="C44" s="63" t="s">
        <v>4629</v>
      </c>
      <c r="D44" s="63" t="s">
        <v>4719</v>
      </c>
      <c r="E44" s="64">
        <v>762152606</v>
      </c>
      <c r="F44" s="65" t="s">
        <v>4638</v>
      </c>
      <c r="G44" s="63" t="s">
        <v>4436</v>
      </c>
      <c r="H44" s="64"/>
      <c r="I44" s="64"/>
      <c r="J44" s="64"/>
      <c r="K44" s="67" t="s">
        <v>5428</v>
      </c>
      <c r="L44">
        <v>762152606</v>
      </c>
      <c r="M44" t="s">
        <v>5504</v>
      </c>
      <c r="N44" t="str">
        <f t="shared" si="0"/>
        <v>ok</v>
      </c>
    </row>
    <row r="45" spans="1:14" x14ac:dyDescent="0.25">
      <c r="A45" s="63">
        <v>5</v>
      </c>
      <c r="B45" s="63" t="s">
        <v>4628</v>
      </c>
      <c r="C45" s="63" t="s">
        <v>4629</v>
      </c>
      <c r="D45" s="63" t="s">
        <v>4720</v>
      </c>
      <c r="E45" s="64">
        <v>616086022</v>
      </c>
      <c r="F45" s="65" t="s">
        <v>4718</v>
      </c>
      <c r="G45" s="63" t="s">
        <v>4667</v>
      </c>
      <c r="H45" s="64"/>
      <c r="I45" s="64"/>
      <c r="J45" s="64"/>
      <c r="K45" s="67" t="s">
        <v>5428</v>
      </c>
      <c r="L45">
        <v>616086022</v>
      </c>
      <c r="M45" t="s">
        <v>4718</v>
      </c>
      <c r="N45" t="str">
        <f t="shared" si="0"/>
        <v>ok</v>
      </c>
    </row>
    <row r="46" spans="1:14" x14ac:dyDescent="0.25">
      <c r="A46" s="63">
        <v>5</v>
      </c>
      <c r="B46" s="63" t="s">
        <v>4628</v>
      </c>
      <c r="C46" s="63" t="s">
        <v>4629</v>
      </c>
      <c r="D46" s="63" t="s">
        <v>4721</v>
      </c>
      <c r="E46" s="64">
        <v>762152606</v>
      </c>
      <c r="F46" s="65" t="s">
        <v>4638</v>
      </c>
      <c r="G46" s="63" t="s">
        <v>4436</v>
      </c>
      <c r="H46" s="64"/>
      <c r="I46" s="64"/>
      <c r="J46" s="64"/>
      <c r="K46" s="67" t="s">
        <v>5428</v>
      </c>
      <c r="L46">
        <v>762152606</v>
      </c>
      <c r="M46" t="s">
        <v>5504</v>
      </c>
      <c r="N46" t="str">
        <f t="shared" si="0"/>
        <v>ok</v>
      </c>
    </row>
    <row r="47" spans="1:14" x14ac:dyDescent="0.25">
      <c r="A47" s="63">
        <v>5</v>
      </c>
      <c r="B47" s="63" t="s">
        <v>4628</v>
      </c>
      <c r="C47" s="63" t="s">
        <v>4629</v>
      </c>
      <c r="D47" s="63" t="s">
        <v>4722</v>
      </c>
      <c r="E47" s="64" t="s">
        <v>668</v>
      </c>
      <c r="F47" s="65" t="s">
        <v>4723</v>
      </c>
      <c r="G47" s="63" t="s">
        <v>4632</v>
      </c>
      <c r="H47" s="64"/>
      <c r="I47" s="64"/>
      <c r="J47" s="64"/>
      <c r="K47" s="67" t="s">
        <v>5428</v>
      </c>
      <c r="L47" t="s">
        <v>5500</v>
      </c>
      <c r="M47" t="s">
        <v>5505</v>
      </c>
      <c r="N47" t="str">
        <f t="shared" si="0"/>
        <v>ok</v>
      </c>
    </row>
    <row r="48" spans="1:14" x14ac:dyDescent="0.25">
      <c r="A48" s="63">
        <v>5</v>
      </c>
      <c r="B48" s="63" t="s">
        <v>4628</v>
      </c>
      <c r="C48" s="63" t="s">
        <v>4629</v>
      </c>
      <c r="D48" s="63" t="s">
        <v>4724</v>
      </c>
      <c r="E48" s="64">
        <v>692569008</v>
      </c>
      <c r="F48" s="65" t="s">
        <v>4638</v>
      </c>
      <c r="G48" s="63" t="s">
        <v>4632</v>
      </c>
      <c r="H48" s="64"/>
      <c r="I48" s="64"/>
      <c r="J48" s="64"/>
      <c r="K48" s="67" t="s">
        <v>5428</v>
      </c>
      <c r="L48">
        <v>692569008</v>
      </c>
      <c r="M48" t="s">
        <v>5506</v>
      </c>
      <c r="N48" t="str">
        <f t="shared" si="0"/>
        <v>ok</v>
      </c>
    </row>
    <row r="49" spans="1:14" x14ac:dyDescent="0.25">
      <c r="A49" s="63">
        <v>6</v>
      </c>
      <c r="B49" s="63" t="s">
        <v>4628</v>
      </c>
      <c r="C49" s="63" t="s">
        <v>4725</v>
      </c>
      <c r="D49" s="63" t="s">
        <v>4726</v>
      </c>
      <c r="E49" s="64">
        <v>616086022</v>
      </c>
      <c r="F49" s="65" t="s">
        <v>4727</v>
      </c>
      <c r="G49" s="63" t="s">
        <v>4667</v>
      </c>
      <c r="H49" s="65"/>
      <c r="I49" s="65"/>
      <c r="J49" s="65"/>
      <c r="K49" s="67" t="s">
        <v>5428</v>
      </c>
      <c r="L49">
        <v>616086022</v>
      </c>
      <c r="M49" t="s">
        <v>5507</v>
      </c>
      <c r="N49" t="str">
        <f t="shared" si="0"/>
        <v>ok</v>
      </c>
    </row>
    <row r="50" spans="1:14" x14ac:dyDescent="0.25">
      <c r="A50" s="63">
        <v>6</v>
      </c>
      <c r="B50" s="63" t="s">
        <v>4628</v>
      </c>
      <c r="C50" s="63" t="s">
        <v>4725</v>
      </c>
      <c r="D50" s="63" t="s">
        <v>4728</v>
      </c>
      <c r="E50" s="64">
        <v>605057233</v>
      </c>
      <c r="F50" s="65" t="s">
        <v>4729</v>
      </c>
      <c r="G50" s="63" t="s">
        <v>4679</v>
      </c>
      <c r="H50" s="65"/>
      <c r="I50" s="65"/>
      <c r="J50" s="65"/>
      <c r="K50" s="67" t="s">
        <v>5428</v>
      </c>
      <c r="L50">
        <v>605057233</v>
      </c>
      <c r="M50" t="s">
        <v>5</v>
      </c>
      <c r="N50" t="str">
        <f t="shared" si="0"/>
        <v>ok</v>
      </c>
    </row>
    <row r="51" spans="1:14" x14ac:dyDescent="0.25">
      <c r="A51" s="63">
        <v>7</v>
      </c>
      <c r="B51" s="63" t="s">
        <v>4730</v>
      </c>
      <c r="C51" s="63" t="s">
        <v>4731</v>
      </c>
      <c r="D51" s="63">
        <v>521633</v>
      </c>
      <c r="E51" s="64">
        <v>762152606</v>
      </c>
      <c r="F51" s="65" t="s">
        <v>4732</v>
      </c>
      <c r="G51" s="63" t="s">
        <v>4733</v>
      </c>
      <c r="H51" s="71"/>
      <c r="I51" s="71"/>
      <c r="J51" s="71"/>
      <c r="K51" s="67" t="s">
        <v>5428</v>
      </c>
      <c r="L51">
        <v>0</v>
      </c>
      <c r="M51" t="s">
        <v>4732</v>
      </c>
      <c r="N51" t="str">
        <f t="shared" si="0"/>
        <v>nooo</v>
      </c>
    </row>
    <row r="52" spans="1:14" x14ac:dyDescent="0.25">
      <c r="A52" s="63">
        <v>7</v>
      </c>
      <c r="B52" s="63" t="s">
        <v>4730</v>
      </c>
      <c r="C52" s="63" t="s">
        <v>4731</v>
      </c>
      <c r="D52" s="63">
        <v>535847</v>
      </c>
      <c r="E52" s="64">
        <v>762152606</v>
      </c>
      <c r="F52" s="65" t="s">
        <v>4732</v>
      </c>
      <c r="G52" s="63" t="s">
        <v>4733</v>
      </c>
      <c r="H52" s="71"/>
      <c r="I52" s="71"/>
      <c r="J52" s="71"/>
      <c r="K52" s="67" t="s">
        <v>5428</v>
      </c>
      <c r="L52">
        <v>0</v>
      </c>
      <c r="M52" t="s">
        <v>4732</v>
      </c>
      <c r="N52" t="str">
        <f t="shared" si="0"/>
        <v>nooo</v>
      </c>
    </row>
    <row r="53" spans="1:14" x14ac:dyDescent="0.25">
      <c r="A53" s="63">
        <v>8</v>
      </c>
      <c r="B53" s="63" t="s">
        <v>4628</v>
      </c>
      <c r="C53" s="63" t="s">
        <v>4734</v>
      </c>
      <c r="D53" s="63" t="s">
        <v>4735</v>
      </c>
      <c r="E53" s="64">
        <v>762152606</v>
      </c>
      <c r="F53" s="65" t="s">
        <v>4732</v>
      </c>
      <c r="G53" s="63" t="s">
        <v>4733</v>
      </c>
      <c r="H53" s="71"/>
      <c r="I53" s="71"/>
      <c r="J53" s="71"/>
      <c r="K53" s="67" t="s">
        <v>5428</v>
      </c>
      <c r="L53">
        <v>0</v>
      </c>
      <c r="M53" t="s">
        <v>4732</v>
      </c>
      <c r="N53" t="str">
        <f t="shared" si="0"/>
        <v>nooo</v>
      </c>
    </row>
    <row r="54" spans="1:14" x14ac:dyDescent="0.25">
      <c r="A54" s="63">
        <v>8</v>
      </c>
      <c r="B54" s="63" t="s">
        <v>4628</v>
      </c>
      <c r="C54" s="63" t="s">
        <v>4734</v>
      </c>
      <c r="D54" s="63" t="s">
        <v>4736</v>
      </c>
      <c r="E54" s="64">
        <v>762152606</v>
      </c>
      <c r="F54" s="65" t="s">
        <v>4732</v>
      </c>
      <c r="G54" s="63" t="s">
        <v>4733</v>
      </c>
      <c r="H54" s="71"/>
      <c r="I54" s="71"/>
      <c r="J54" s="71"/>
      <c r="K54" s="67" t="s">
        <v>5428</v>
      </c>
      <c r="L54">
        <v>0</v>
      </c>
      <c r="M54" t="s">
        <v>4732</v>
      </c>
      <c r="N54" t="str">
        <f t="shared" si="0"/>
        <v>nooo</v>
      </c>
    </row>
    <row r="55" spans="1:14" x14ac:dyDescent="0.25">
      <c r="A55" s="63">
        <v>8</v>
      </c>
      <c r="B55" s="63" t="s">
        <v>4628</v>
      </c>
      <c r="C55" s="63" t="s">
        <v>4734</v>
      </c>
      <c r="D55" s="63" t="s">
        <v>4737</v>
      </c>
      <c r="E55" s="64">
        <v>762152606</v>
      </c>
      <c r="F55" s="65" t="s">
        <v>4732</v>
      </c>
      <c r="G55" s="63" t="s">
        <v>4733</v>
      </c>
      <c r="H55" s="71"/>
      <c r="I55" s="71"/>
      <c r="J55" s="71"/>
      <c r="K55" s="67" t="s">
        <v>5428</v>
      </c>
      <c r="L55">
        <v>0</v>
      </c>
      <c r="M55" t="s">
        <v>4732</v>
      </c>
      <c r="N55" t="str">
        <f t="shared" si="0"/>
        <v>nooo</v>
      </c>
    </row>
    <row r="56" spans="1:14" x14ac:dyDescent="0.25">
      <c r="A56" s="63">
        <v>8</v>
      </c>
      <c r="B56" s="63" t="s">
        <v>4628</v>
      </c>
      <c r="C56" s="63" t="s">
        <v>4734</v>
      </c>
      <c r="D56" s="63" t="s">
        <v>4738</v>
      </c>
      <c r="E56" s="64">
        <v>762152606</v>
      </c>
      <c r="F56" s="65" t="s">
        <v>4732</v>
      </c>
      <c r="G56" s="63" t="s">
        <v>4733</v>
      </c>
      <c r="H56" s="71"/>
      <c r="I56" s="71"/>
      <c r="J56" s="71"/>
      <c r="K56" s="67" t="s">
        <v>5428</v>
      </c>
      <c r="L56">
        <v>0</v>
      </c>
      <c r="M56" t="s">
        <v>4732</v>
      </c>
      <c r="N56" t="str">
        <f t="shared" si="0"/>
        <v>nooo</v>
      </c>
    </row>
    <row r="57" spans="1:14" x14ac:dyDescent="0.25">
      <c r="A57" s="63">
        <v>8</v>
      </c>
      <c r="B57" s="63" t="s">
        <v>4628</v>
      </c>
      <c r="C57" s="63" t="s">
        <v>4734</v>
      </c>
      <c r="D57" s="63" t="s">
        <v>4739</v>
      </c>
      <c r="E57" s="64">
        <v>762152606</v>
      </c>
      <c r="F57" s="65" t="s">
        <v>4732</v>
      </c>
      <c r="G57" s="63" t="s">
        <v>4733</v>
      </c>
      <c r="H57" s="71"/>
      <c r="I57" s="71"/>
      <c r="J57" s="71"/>
      <c r="K57" s="67" t="s">
        <v>5428</v>
      </c>
      <c r="L57">
        <v>0</v>
      </c>
      <c r="M57" t="s">
        <v>4732</v>
      </c>
      <c r="N57" t="str">
        <f t="shared" si="0"/>
        <v>nooo</v>
      </c>
    </row>
    <row r="58" spans="1:14" x14ac:dyDescent="0.25">
      <c r="A58" s="63">
        <v>8</v>
      </c>
      <c r="B58" s="63" t="s">
        <v>4628</v>
      </c>
      <c r="C58" s="63" t="s">
        <v>4734</v>
      </c>
      <c r="D58" s="63" t="s">
        <v>4740</v>
      </c>
      <c r="E58" s="64">
        <v>762152606</v>
      </c>
      <c r="F58" s="65" t="s">
        <v>4732</v>
      </c>
      <c r="G58" s="63" t="s">
        <v>4733</v>
      </c>
      <c r="H58" s="71"/>
      <c r="I58" s="71"/>
      <c r="J58" s="71"/>
      <c r="K58" s="67" t="s">
        <v>5428</v>
      </c>
      <c r="L58">
        <v>0</v>
      </c>
      <c r="M58" t="s">
        <v>4732</v>
      </c>
      <c r="N58" t="str">
        <f t="shared" si="0"/>
        <v>nooo</v>
      </c>
    </row>
    <row r="59" spans="1:14" x14ac:dyDescent="0.25">
      <c r="A59" s="63">
        <v>1</v>
      </c>
      <c r="B59" s="63" t="s">
        <v>4628</v>
      </c>
      <c r="C59" s="63" t="s">
        <v>4629</v>
      </c>
      <c r="D59" s="72" t="s">
        <v>4741</v>
      </c>
      <c r="E59" s="64">
        <v>762152606</v>
      </c>
      <c r="F59" s="65" t="s">
        <v>4732</v>
      </c>
      <c r="G59" s="63" t="s">
        <v>4733</v>
      </c>
      <c r="H59" s="71"/>
      <c r="I59" s="71"/>
      <c r="J59" s="71"/>
      <c r="K59" s="67" t="s">
        <v>5428</v>
      </c>
      <c r="L59">
        <v>0</v>
      </c>
      <c r="M59" t="s">
        <v>4732</v>
      </c>
      <c r="N59" t="str">
        <f t="shared" si="0"/>
        <v>nooo</v>
      </c>
    </row>
    <row r="60" spans="1:14" x14ac:dyDescent="0.25">
      <c r="A60" s="63">
        <v>3</v>
      </c>
      <c r="B60" s="63" t="s">
        <v>4628</v>
      </c>
      <c r="C60" s="63" t="s">
        <v>4629</v>
      </c>
      <c r="D60" s="63" t="s">
        <v>4742</v>
      </c>
      <c r="E60" s="64">
        <v>762152606</v>
      </c>
      <c r="F60" s="65" t="s">
        <v>4732</v>
      </c>
      <c r="G60" s="63" t="s">
        <v>4733</v>
      </c>
      <c r="H60" s="71"/>
      <c r="I60" s="71"/>
      <c r="J60" s="71"/>
      <c r="K60" s="67" t="s">
        <v>5428</v>
      </c>
      <c r="L60">
        <v>0</v>
      </c>
      <c r="M60" t="s">
        <v>4732</v>
      </c>
      <c r="N60" t="str">
        <f t="shared" si="0"/>
        <v>nooo</v>
      </c>
    </row>
    <row r="61" spans="1:14" x14ac:dyDescent="0.25">
      <c r="A61" s="63">
        <v>1</v>
      </c>
      <c r="B61" s="63" t="s">
        <v>4628</v>
      </c>
      <c r="C61" s="63" t="s">
        <v>4629</v>
      </c>
      <c r="D61" s="63" t="s">
        <v>4743</v>
      </c>
      <c r="E61" s="64">
        <v>762152606</v>
      </c>
      <c r="F61" s="65" t="s">
        <v>4732</v>
      </c>
      <c r="G61" s="63" t="s">
        <v>4733</v>
      </c>
      <c r="H61" s="64" t="s">
        <v>4744</v>
      </c>
      <c r="I61" s="64"/>
      <c r="J61" s="64" t="s">
        <v>4733</v>
      </c>
      <c r="K61" s="67" t="s">
        <v>5428</v>
      </c>
      <c r="L61">
        <v>0</v>
      </c>
      <c r="M61" t="s">
        <v>5508</v>
      </c>
      <c r="N61" t="str">
        <f t="shared" si="0"/>
        <v>nooo</v>
      </c>
    </row>
    <row r="62" spans="1:14" x14ac:dyDescent="0.25">
      <c r="A62" s="63">
        <v>3</v>
      </c>
      <c r="B62" s="63" t="s">
        <v>4628</v>
      </c>
      <c r="C62" s="63" t="s">
        <v>4629</v>
      </c>
      <c r="D62" s="63" t="s">
        <v>4745</v>
      </c>
      <c r="E62" s="64">
        <v>762152606</v>
      </c>
      <c r="F62" s="65" t="s">
        <v>4746</v>
      </c>
      <c r="G62" s="63" t="s">
        <v>4733</v>
      </c>
      <c r="H62" s="71"/>
      <c r="I62" s="71"/>
      <c r="J62" s="71"/>
      <c r="L62">
        <v>0</v>
      </c>
      <c r="M62" t="s">
        <v>4746</v>
      </c>
      <c r="N62" t="str">
        <f t="shared" si="0"/>
        <v>nooo</v>
      </c>
    </row>
  </sheetData>
  <conditionalFormatting sqref="D1:D62">
    <cfRule type="duplicateValues" dxfId="2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3</vt:i4>
      </vt:variant>
    </vt:vector>
  </HeadingPairs>
  <TitlesOfParts>
    <vt:vector size="13" baseType="lpstr">
      <vt:lpstr>CARTERA 2024</vt:lpstr>
      <vt:lpstr>visitas ricardo</vt:lpstr>
      <vt:lpstr>clientes no en sap</vt:lpstr>
      <vt:lpstr>CARTERA 2025</vt:lpstr>
      <vt:lpstr>CARTERA 2025 (2)</vt:lpstr>
      <vt:lpstr>CARTERA 2026</vt:lpstr>
      <vt:lpstr>cnb</vt:lpstr>
      <vt:lpstr>dimensiones</vt:lpstr>
      <vt:lpstr>Hoja1</vt:lpstr>
      <vt:lpstr>sell</vt:lpstr>
      <vt:lpstr>'CARTERA 2025 (2)'!CARTERA_2025</vt:lpstr>
      <vt:lpstr>'CARTERA 2026'!CARTERA_2025</vt:lpstr>
      <vt:lpstr>CARTERA_2025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Belmar</dc:creator>
  <cp:lastModifiedBy>Samuel Belmar</cp:lastModifiedBy>
  <dcterms:created xsi:type="dcterms:W3CDTF">2015-06-05T18:19:34Z</dcterms:created>
  <dcterms:modified xsi:type="dcterms:W3CDTF">2026-03-20T15:35:06Z</dcterms:modified>
</cp:coreProperties>
</file>