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gsvsai-my.sharepoint.com/personal/samuel_belmar_nemochile_cl/Documents/Escritorio/PROYECTOS/INGRESO OC/"/>
    </mc:Choice>
  </mc:AlternateContent>
  <xr:revisionPtr revIDLastSave="4" documentId="11_F25DC773A252ABDACC1048CA911A77FC5BDE58EE" xr6:coauthVersionLast="47" xr6:coauthVersionMax="47" xr10:uidLastSave="{7EA01465-F0C0-4815-B4F0-2172240544B0}"/>
  <bookViews>
    <workbookView xWindow="-108" yWindow="-108" windowWidth="23256" windowHeight="1389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0" i="1" l="1"/>
  <c r="E240" i="1"/>
  <c r="I239" i="1"/>
  <c r="E239" i="1"/>
  <c r="I238" i="1"/>
  <c r="E238" i="1"/>
  <c r="I237" i="1"/>
  <c r="E237" i="1"/>
  <c r="I236" i="1"/>
  <c r="E236" i="1"/>
  <c r="I235" i="1"/>
  <c r="E235" i="1"/>
  <c r="I234" i="1"/>
  <c r="E234" i="1"/>
  <c r="I233" i="1"/>
  <c r="E233" i="1"/>
  <c r="I232" i="1"/>
  <c r="E232" i="1"/>
  <c r="I231" i="1"/>
  <c r="E231" i="1"/>
  <c r="I230" i="1"/>
  <c r="E230" i="1"/>
  <c r="I229" i="1"/>
  <c r="E229" i="1"/>
  <c r="I228" i="1"/>
  <c r="E228" i="1"/>
  <c r="I227" i="1"/>
  <c r="E227" i="1"/>
  <c r="I226" i="1"/>
  <c r="E226" i="1"/>
  <c r="I225" i="1"/>
  <c r="E225" i="1"/>
  <c r="I224" i="1"/>
  <c r="E224" i="1"/>
  <c r="I223" i="1"/>
  <c r="E223" i="1"/>
  <c r="I222" i="1"/>
  <c r="E222" i="1"/>
  <c r="I221" i="1"/>
  <c r="E221" i="1"/>
  <c r="I220" i="1"/>
  <c r="I219" i="1"/>
  <c r="E219" i="1"/>
  <c r="I218" i="1"/>
  <c r="E218" i="1"/>
  <c r="I217" i="1"/>
  <c r="E217" i="1"/>
  <c r="I216" i="1"/>
  <c r="E216" i="1"/>
  <c r="I215" i="1"/>
  <c r="E215" i="1"/>
  <c r="I214" i="1"/>
  <c r="E214" i="1"/>
  <c r="I213" i="1"/>
  <c r="E213" i="1"/>
  <c r="I212" i="1"/>
  <c r="E212" i="1"/>
  <c r="I211" i="1"/>
  <c r="E211" i="1"/>
  <c r="I210" i="1"/>
  <c r="E210" i="1"/>
  <c r="I209" i="1"/>
  <c r="E209" i="1"/>
  <c r="I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1" i="1"/>
  <c r="E201" i="1"/>
  <c r="I200" i="1"/>
  <c r="E200" i="1"/>
  <c r="I199" i="1"/>
  <c r="I198" i="1"/>
  <c r="I197" i="1"/>
  <c r="E197" i="1"/>
  <c r="I196" i="1"/>
  <c r="E196" i="1"/>
  <c r="I195" i="1"/>
  <c r="E195" i="1"/>
  <c r="I194" i="1"/>
  <c r="E194" i="1"/>
  <c r="I193" i="1"/>
  <c r="I192" i="1"/>
  <c r="E192" i="1"/>
  <c r="I191" i="1"/>
  <c r="E191" i="1"/>
  <c r="I190" i="1"/>
  <c r="E190" i="1"/>
  <c r="I189" i="1"/>
  <c r="E189" i="1"/>
  <c r="I188" i="1"/>
  <c r="E188" i="1"/>
  <c r="I187" i="1"/>
  <c r="E187" i="1"/>
  <c r="I186" i="1"/>
  <c r="E186" i="1"/>
  <c r="I185" i="1"/>
  <c r="E185" i="1"/>
  <c r="I184" i="1"/>
  <c r="E184" i="1"/>
  <c r="I183" i="1"/>
  <c r="E183" i="1"/>
  <c r="I182" i="1"/>
  <c r="I181" i="1"/>
  <c r="E181" i="1"/>
  <c r="I180" i="1"/>
  <c r="E180" i="1"/>
  <c r="I179" i="1"/>
  <c r="I178" i="1"/>
  <c r="E178" i="1"/>
  <c r="I177" i="1"/>
  <c r="E177" i="1"/>
  <c r="I176" i="1"/>
  <c r="E176" i="1"/>
  <c r="I175" i="1"/>
  <c r="I174" i="1"/>
  <c r="E174" i="1"/>
  <c r="I173" i="1"/>
  <c r="E173" i="1"/>
  <c r="I172" i="1"/>
  <c r="I171" i="1"/>
  <c r="E171" i="1"/>
  <c r="I170" i="1"/>
  <c r="E170" i="1"/>
  <c r="I169" i="1"/>
  <c r="I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4" i="1"/>
  <c r="E144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I134" i="1"/>
  <c r="E134" i="1"/>
  <c r="I133" i="1"/>
  <c r="E133" i="1"/>
  <c r="I132" i="1"/>
  <c r="E132" i="1"/>
  <c r="I131" i="1"/>
  <c r="E131" i="1"/>
  <c r="I130" i="1"/>
  <c r="E130" i="1"/>
  <c r="I129" i="1"/>
  <c r="E129" i="1"/>
  <c r="I128" i="1"/>
  <c r="E128" i="1"/>
  <c r="I127" i="1"/>
  <c r="E127" i="1"/>
  <c r="I126" i="1"/>
  <c r="E126" i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1" i="1"/>
  <c r="E101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I90" i="1"/>
  <c r="E90" i="1"/>
  <c r="I89" i="1"/>
  <c r="E89" i="1"/>
  <c r="I88" i="1"/>
  <c r="E88" i="1"/>
  <c r="I87" i="1"/>
  <c r="E87" i="1"/>
  <c r="I86" i="1"/>
  <c r="E86" i="1"/>
  <c r="I85" i="1"/>
  <c r="E85" i="1"/>
  <c r="I84" i="1"/>
  <c r="E84" i="1"/>
  <c r="I83" i="1"/>
  <c r="E83" i="1"/>
  <c r="I82" i="1"/>
  <c r="E82" i="1"/>
  <c r="I81" i="1"/>
  <c r="E81" i="1"/>
  <c r="I80" i="1"/>
  <c r="E80" i="1"/>
  <c r="I79" i="1"/>
  <c r="E79" i="1"/>
  <c r="I78" i="1"/>
  <c r="E78" i="1"/>
  <c r="I77" i="1"/>
  <c r="E77" i="1"/>
  <c r="I76" i="1"/>
  <c r="E76" i="1"/>
  <c r="I75" i="1"/>
  <c r="E75" i="1"/>
  <c r="I74" i="1"/>
  <c r="E74" i="1"/>
  <c r="I73" i="1"/>
  <c r="E73" i="1"/>
  <c r="I72" i="1"/>
  <c r="E72" i="1"/>
  <c r="I71" i="1"/>
  <c r="E71" i="1"/>
  <c r="I70" i="1"/>
  <c r="E70" i="1"/>
  <c r="I69" i="1"/>
  <c r="E69" i="1"/>
  <c r="I68" i="1"/>
  <c r="E68" i="1"/>
  <c r="I67" i="1"/>
  <c r="E67" i="1"/>
  <c r="I66" i="1"/>
  <c r="E66" i="1"/>
  <c r="I65" i="1"/>
  <c r="E65" i="1"/>
  <c r="I64" i="1"/>
  <c r="E64" i="1"/>
  <c r="I63" i="1"/>
  <c r="E63" i="1"/>
  <c r="I62" i="1"/>
  <c r="E62" i="1"/>
  <c r="I61" i="1"/>
  <c r="E61" i="1"/>
  <c r="I60" i="1"/>
  <c r="E60" i="1"/>
  <c r="I59" i="1"/>
  <c r="E59" i="1"/>
  <c r="I58" i="1"/>
  <c r="E58" i="1"/>
  <c r="I57" i="1"/>
  <c r="E57" i="1"/>
  <c r="I56" i="1"/>
  <c r="E56" i="1"/>
  <c r="I55" i="1"/>
  <c r="E55" i="1"/>
  <c r="I54" i="1"/>
  <c r="E54" i="1"/>
  <c r="I53" i="1"/>
  <c r="E53" i="1"/>
  <c r="I52" i="1"/>
  <c r="E52" i="1"/>
  <c r="I51" i="1"/>
  <c r="E51" i="1"/>
  <c r="I50" i="1"/>
  <c r="E50" i="1"/>
  <c r="I49" i="1"/>
  <c r="E49" i="1"/>
  <c r="I48" i="1"/>
  <c r="E48" i="1"/>
  <c r="I47" i="1"/>
  <c r="E47" i="1"/>
  <c r="I46" i="1"/>
  <c r="E46" i="1"/>
  <c r="I45" i="1"/>
  <c r="E45" i="1"/>
  <c r="I44" i="1"/>
  <c r="E44" i="1"/>
  <c r="I43" i="1"/>
  <c r="E43" i="1"/>
  <c r="I42" i="1"/>
  <c r="E42" i="1"/>
  <c r="I41" i="1"/>
  <c r="E41" i="1"/>
  <c r="I40" i="1"/>
  <c r="E40" i="1"/>
  <c r="I39" i="1"/>
  <c r="E39" i="1"/>
  <c r="I38" i="1"/>
  <c r="E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I28" i="1"/>
  <c r="I27" i="1"/>
  <c r="E27" i="1"/>
  <c r="I26" i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7" i="1"/>
  <c r="E17" i="1"/>
  <c r="I16" i="1"/>
  <c r="E16" i="1"/>
  <c r="I15" i="1"/>
  <c r="E15" i="1"/>
  <c r="I14" i="1"/>
  <c r="E14" i="1"/>
  <c r="I13" i="1"/>
  <c r="E13" i="1"/>
  <c r="I12" i="1"/>
  <c r="I11" i="1"/>
  <c r="E11" i="1"/>
  <c r="I10" i="1"/>
  <c r="E10" i="1"/>
  <c r="I9" i="1"/>
  <c r="E9" i="1"/>
  <c r="I8" i="1"/>
  <c r="E8" i="1"/>
  <c r="I7" i="1"/>
  <c r="I6" i="1"/>
  <c r="E6" i="1"/>
  <c r="I5" i="1"/>
  <c r="E5" i="1"/>
  <c r="I4" i="1"/>
  <c r="E4" i="1"/>
  <c r="I3" i="1"/>
  <c r="E3" i="1"/>
  <c r="I2" i="1"/>
  <c r="E2" i="1"/>
</calcChain>
</file>

<file path=xl/sharedStrings.xml><?xml version="1.0" encoding="utf-8"?>
<sst xmlns="http://schemas.openxmlformats.org/spreadsheetml/2006/main" count="1220" uniqueCount="429">
  <si>
    <t>ID</t>
  </si>
  <si>
    <t>TIPO</t>
  </si>
  <si>
    <t>MARCA</t>
  </si>
  <si>
    <t>COD NEMO</t>
  </si>
  <si>
    <t>COD SAP</t>
  </si>
  <si>
    <t>MODELO</t>
  </si>
  <si>
    <t>PRECIO ID</t>
  </si>
  <si>
    <t>F. EMP</t>
  </si>
  <si>
    <t>PRECIO UNI</t>
  </si>
  <si>
    <t>Activo</t>
  </si>
  <si>
    <t>Algodón</t>
  </si>
  <si>
    <t>Nemo</t>
  </si>
  <si>
    <t>ALG00002</t>
  </si>
  <si>
    <t>TÓRULA CHICA 0.5 GR BOLSA 100 UNIDADES</t>
  </si>
  <si>
    <t>SI</t>
  </si>
  <si>
    <t>ALG00003</t>
  </si>
  <si>
    <t>TÓRULA 1 GR BOLSA 100 UNIDADES</t>
  </si>
  <si>
    <t>Mascarilla desechable</t>
  </si>
  <si>
    <t>MAS00001</t>
  </si>
  <si>
    <t>QUIRÁšRGICA DE TRES CAPAS UNIDAD</t>
  </si>
  <si>
    <t>NO</t>
  </si>
  <si>
    <t>Guante nitrilo</t>
  </si>
  <si>
    <t>Nemocare</t>
  </si>
  <si>
    <t>GNP00002</t>
  </si>
  <si>
    <t>EXAMINACIÓN-PROCEDIMIENTO S/POLVO TALLA S CAJA 100 UNIDADES</t>
  </si>
  <si>
    <t>GNP00003</t>
  </si>
  <si>
    <t>AZULS/POLVOL/LATEXEXAMENY/OPROCEDIMIENTO NO ESTÉRIL TALLAM CAJA 100UNIDADES</t>
  </si>
  <si>
    <t>SOBRE BILAMINADO</t>
  </si>
  <si>
    <t>EM13713</t>
  </si>
  <si>
    <t>SOB00035</t>
  </si>
  <si>
    <t>PAPEL MIXTO CON FUELLE 25 CM X 38 CM 500 UNIDADES</t>
  </si>
  <si>
    <t>Gasa</t>
  </si>
  <si>
    <t>GSA00004</t>
  </si>
  <si>
    <t>NO TEJIDA ESTÉRIL 5 X 5 CM CAJA 50 UNIDADES</t>
  </si>
  <si>
    <t>Tapa de obturación</t>
  </si>
  <si>
    <t>(TAP)-R</t>
  </si>
  <si>
    <t>ROJA LUER LOCK MACHO-HEMBRA CAJA 200 UNIDADES</t>
  </si>
  <si>
    <t>ROJA LUER LOCK MACHO-HEMBRA CAJA 100 UNIDADES</t>
  </si>
  <si>
    <t>GNP00004</t>
  </si>
  <si>
    <t>EXAMINACIÓN-PROCEDIMIENTO S/POLVO TALLA L CAJA 100 UNIDADES</t>
  </si>
  <si>
    <t>GNP00007</t>
  </si>
  <si>
    <t>MORADO S/POLVOL/LATEXEXAMEN/PROCEDIMIENTOSNO ESTÉRIL TALLAM CAJA 100UNIDADES</t>
  </si>
  <si>
    <t>NO TEJIDA ESTÉRIL 5 X 5 CM SOBRE 2 UNIDADES</t>
  </si>
  <si>
    <t>TAPA DE OBTURACIÓN NEMO ROJA LUER LOCK MACHO-HEMBRA CAJA 500 UNIDADES</t>
  </si>
  <si>
    <t>CINTA INDICADORA</t>
  </si>
  <si>
    <t>IND00004</t>
  </si>
  <si>
    <t>CINTA INDICADORA NEMO PARA VAPOR AUTOCLAVE 250 UNIDADES</t>
  </si>
  <si>
    <t>Cinta esterilización</t>
  </si>
  <si>
    <t>TIRA MULTIPARÁMETRO 20 X 15 CM CAJA 250 UNIDADES</t>
  </si>
  <si>
    <t>ALG00004</t>
  </si>
  <si>
    <t>TÓRULA GRANDE 3.5 GR BOLSA 100 UNIDADES</t>
  </si>
  <si>
    <t>EO16312</t>
  </si>
  <si>
    <t>TIRAS INDICADORAS ÓXIDO ETILENO 20 X 1.5 CM CAJA 240 UNIDADES</t>
  </si>
  <si>
    <t>ROJA LUER LOCK MACHO-HEMBRA CAJA 50 UNIDADES</t>
  </si>
  <si>
    <t>GSA00005</t>
  </si>
  <si>
    <t>NO TEJIDA ESTÉRIL 7.5 X 7.5 CM SOBRE 2 UNIDADES</t>
  </si>
  <si>
    <t>(TAP)-A</t>
  </si>
  <si>
    <t>AMARILLA HEPARINIZADA PARA INYECCIÓN CAJA 100 UNIDADES</t>
  </si>
  <si>
    <t>Gorro</t>
  </si>
  <si>
    <t>GED00001</t>
  </si>
  <si>
    <t>TIPO COFIA CELESTE DE POLIPROPILENO 26 CM CAJA 100 UNIDADES</t>
  </si>
  <si>
    <t>TIPO COFIA PLISADA 53 CM BOLSA 100 UNIDADES</t>
  </si>
  <si>
    <t>ÓXIDO DE ETILENO MULTIPARÁMETRO 240 UNIDADES</t>
  </si>
  <si>
    <t>VESTUARIO MÉDICO</t>
  </si>
  <si>
    <t>CCD00001</t>
  </si>
  <si>
    <t>CUBRE CALZADO PLÁSTICO BOLSA 100 UNIDADES</t>
  </si>
  <si>
    <t>AMARILLA HEPARINIZADA PARA INYECCIÓN CAJA 200 UNIDADES</t>
  </si>
  <si>
    <t>GSA00006</t>
  </si>
  <si>
    <t>NO TEJIDA ESTÉRIL 10 X 10 CM SOBRE 2 UNIDADES</t>
  </si>
  <si>
    <t>EM19113</t>
  </si>
  <si>
    <t>SOB00024</t>
  </si>
  <si>
    <t>PAPEL MIXTO 20 CM X 40 CM 1000 UNIDADES</t>
  </si>
  <si>
    <t>SOB00019</t>
  </si>
  <si>
    <t>PAPEL MIXTO 7.5 CM X 15 CM 8000 UNIDADES</t>
  </si>
  <si>
    <t>Papel para esterilización</t>
  </si>
  <si>
    <t>CRE00004</t>
  </si>
  <si>
    <t>PRIMERA GENERACION 60 X 60 CM 250 UNIDADES</t>
  </si>
  <si>
    <t>EN16112</t>
  </si>
  <si>
    <t>POLIPROPILENO 60 X 60 CM 500 UNIDADES</t>
  </si>
  <si>
    <t>GSA00008</t>
  </si>
  <si>
    <t>TEJIDA HIDRÓFILA ESTÉRIL 70 X 5 CM CAJA 5 UNIDADES</t>
  </si>
  <si>
    <t>Llave de tres pasos</t>
  </si>
  <si>
    <t>LNL</t>
  </si>
  <si>
    <t>ROTACIÓN 360Â° 3 TAPAS UNIDAD</t>
  </si>
  <si>
    <t>Molde quirurgico</t>
  </si>
  <si>
    <t>PEC00363</t>
  </si>
  <si>
    <t>PECHERA PLÁSTICA MANGA LARGA UNIDAD</t>
  </si>
  <si>
    <t>Apósito</t>
  </si>
  <si>
    <t>ABS00002</t>
  </si>
  <si>
    <t>GASA NO TEJIDA CON ALGODÓN ESTÉRIL 10 X 20 CM UNIDAD</t>
  </si>
  <si>
    <t>PECHERA POLIETILENO 48G M/LARGA C/OJAL A/CINTURA 120 CM X 190 CM 100 UNIDADES</t>
  </si>
  <si>
    <t>BATA PLÁSTICA DESECHABLE POLIETILENO AZUL UNIDAD</t>
  </si>
  <si>
    <t>PECHERA PLÁSTICA C/MANGA LARGA. OJAL Y AJUSTE CINTURA UNIDAD</t>
  </si>
  <si>
    <t>PECHERA PLÁSTICA DESECHABLE C/ MANGA. OJAL Y AMARRAS UNIDAD</t>
  </si>
  <si>
    <t>PECHERA POLIETILENO 35G MANGA LARGA C/OJAL AJUSTE CINTURA 120 CMX80 CM UNIDAD</t>
  </si>
  <si>
    <t>PECHERA POLIETILENO MANGA LARGA C/ OJAL Y AJUSTE CINTURA TALLA L UNIDAD</t>
  </si>
  <si>
    <t>PECHERA TUBULAR 360Â° UNIDAD</t>
  </si>
  <si>
    <t>PECHERA PLASTICA MANGA LARGA AJUSTE PULGAR BOLSA 100 UNIDADES</t>
  </si>
  <si>
    <t>PECHERA PLÁSTICA MANGA LARGA C/ OJAL. TIRAS AJUSTE CINTURA UNIDAD</t>
  </si>
  <si>
    <t>PECHERA PLÁSTICA DESECHABLE CON MANGA. OJAL Y AMARRAS 100 UNIDADES</t>
  </si>
  <si>
    <t>BATA DE AISLAMIENTO UNIDAD</t>
  </si>
  <si>
    <t>PECHERA PLÁSTICA DESECHABLE CON MANGA Y AMARRAS UNIDAD</t>
  </si>
  <si>
    <t>PECHERA PLÁSTICA DESECHABLE MANGA LARGA UNIDAD</t>
  </si>
  <si>
    <t>PECHERA DESECHABLE 50 UNIDADES</t>
  </si>
  <si>
    <t>BATA PLÁSTICA DESECHABLE POLIETILENO AZUL 100 UNIDADES</t>
  </si>
  <si>
    <t>PECHERA POLIETILENO M/LARGA C/OJAL AJUSTE CINTURA 120 CM X 80 CM 100 UNIDADES</t>
  </si>
  <si>
    <t>Venda</t>
  </si>
  <si>
    <t>VDA00003</t>
  </si>
  <si>
    <t>GASA ELASTICADA 4 X 400 CM CAJA 20 UNIDADES</t>
  </si>
  <si>
    <t>L</t>
  </si>
  <si>
    <t>RESISTENTE A LÁPIDOS CON GIRO DE 360Â° 50 UNIDADES</t>
  </si>
  <si>
    <t>PECHERA AZUL POLIETILENO ALTAS TEMPERATURA C/ AJUSTE PULGAR 100 UNIDADES</t>
  </si>
  <si>
    <t>PECHERA DE POLIETILENO 112 X 90 X 52 CM 100 UNIDADES</t>
  </si>
  <si>
    <t>PECHERA PLÁSTICA DESECHABLE CON MANGA Y AMARRAS 100 UNIDADES</t>
  </si>
  <si>
    <t>PECHERA PLÁSTICA TUBULAR UNIDAD</t>
  </si>
  <si>
    <t>PECHERA PLÁSTICA TUBULAR 70 X 110 CM 100 UNIDADES</t>
  </si>
  <si>
    <t>Equipo para administrar soluciones</t>
  </si>
  <si>
    <t>BDS00001</t>
  </si>
  <si>
    <t>BAJADA DE SUERO CON CONEXIÓN LUER LOCK ROTATORIO UNIDAD</t>
  </si>
  <si>
    <t>BAJADA DE SUERO MACROGOTA 170 CM UNIDAD</t>
  </si>
  <si>
    <t>BAJADA DE SUERO MACROGOTA 170 CM 25 UNIDADES</t>
  </si>
  <si>
    <t>EQUIPO DE INFUSIÓN INTRAVENOSA</t>
  </si>
  <si>
    <t>SET MACROGOTA LUERLOCK 150 CM 25 UNIDADES</t>
  </si>
  <si>
    <t>BAJADA DE SUERO 180 CM 25 UNIDADES</t>
  </si>
  <si>
    <t>RESISTENTE A LÁPIDOS CON GIRO DE 360Â° UNIDAD</t>
  </si>
  <si>
    <t>ROTACIÓN 360Â° 3 TAPAS 50 UNIDADES</t>
  </si>
  <si>
    <t>CRE00005</t>
  </si>
  <si>
    <t>CREPADO 75 X 75 CM 250 UNIDADES</t>
  </si>
  <si>
    <t>COMPRESA RADIOPACA</t>
  </si>
  <si>
    <t>LAP00002</t>
  </si>
  <si>
    <t>GASA NO ESTÉRIL TIRA AZUL 45 X 45 CM UNIDAD</t>
  </si>
  <si>
    <t>MACROGOTEO TOMA DE AIRE PUNTO DE INYECCIÓN 150 CM UNIDAD</t>
  </si>
  <si>
    <t>BAJADA DE SUERO CON CONEXIÓN LUER LOCK ROTATORIO 25 UNIDADES</t>
  </si>
  <si>
    <t>GASA NO ESTÉRIL 45 X 45 CM 100 UNIDADES</t>
  </si>
  <si>
    <t>VDA00004</t>
  </si>
  <si>
    <t>GASA ELASTICADA 8 X 400 CM CAJA 20 UNIDADES</t>
  </si>
  <si>
    <t>GASA NO ESTÉRIL TIRA AZUL 45 X 45 CM 200 UNIDADES</t>
  </si>
  <si>
    <t>PECHERA PLÁSTICA BOLSA INDIVIDUAL MANGA LARGA C/ OJAL 100 UNIDADES</t>
  </si>
  <si>
    <t>MACROGOTA 20 X ML C/ESPIGA Y TOMA DE AIRE 1.71M 500 UNIDADES</t>
  </si>
  <si>
    <t>LAG00001</t>
  </si>
  <si>
    <t>LAPARATOMIA ESTÉRIL 45 X 45 CM 100 UNIDADES</t>
  </si>
  <si>
    <t>LAPARATOMIA ESTÉRIL TIRA AZUL 45 X 45 CM UNIDAD</t>
  </si>
  <si>
    <t>MACROGOTEO TOMA DE AIRE PUNTO DE INYECCIÓN 150CM 25 UNIDADES</t>
  </si>
  <si>
    <t>ESTÉRIL TIRA AZUL 45 X 45 CM 5 UNIDADES</t>
  </si>
  <si>
    <t>PECHERA MANGA LARGA CON OJAL 70 CM X 110 CM 10 UNIDADES</t>
  </si>
  <si>
    <t>VDA00001</t>
  </si>
  <si>
    <t>GASA ELASTICADA 10 X 400 CM CAJA 20 UNIDADES</t>
  </si>
  <si>
    <t>PECHERA MANGA LARGA C/ OJAL 70 X 110 CM TALLA XL UNIDAD</t>
  </si>
  <si>
    <t>MACROGOTA 20 X ML C/ ESPIGA Y TOMA DE AIRE 1.71M UNIDAD</t>
  </si>
  <si>
    <t>LAPARATOMIA ESTÉRIL 45 X 45 CM 50 UNIDADES</t>
  </si>
  <si>
    <t>ABS00005</t>
  </si>
  <si>
    <t>ALGODÓN HIDRÓFILO ESTÉRIL 10 X 10 CM ENVASE UNIDAD</t>
  </si>
  <si>
    <t>VDA00002</t>
  </si>
  <si>
    <t>GASA ELASTICADA 12 X 400 CM CAJA 20 UNIDADES</t>
  </si>
  <si>
    <t>BAJADA DE SUERO 180 CM UNIDAD</t>
  </si>
  <si>
    <t>RECOLECTOR</t>
  </si>
  <si>
    <t>KRU-2000</t>
  </si>
  <si>
    <t>ORINA ADULTO ESTÉRIL CAPACIDAD 2000 ML CAJA 10 UNIDADES</t>
  </si>
  <si>
    <t>ORINA ADULTO ESTÉRIL CON GANCHO 2000 ML UNIDAD</t>
  </si>
  <si>
    <t>Alargador venoso</t>
  </si>
  <si>
    <t>VL-010</t>
  </si>
  <si>
    <t>CON LLAVE 3 PASOS 10 CM CAJA 50 UNIDADES</t>
  </si>
  <si>
    <t>CON LLAVE 3 PASOS 10 CM CAJA UNIDAD</t>
  </si>
  <si>
    <t>VMH-010</t>
  </si>
  <si>
    <t>MACHO-HEMBRA 10 CM CAJA 200 UNIDADES</t>
  </si>
  <si>
    <t>VMH-150</t>
  </si>
  <si>
    <t>LINE IV STANDARD 150 CM CAJA 100 UNIDADES</t>
  </si>
  <si>
    <t>ABS00004</t>
  </si>
  <si>
    <t>GASA NATURAL CON ALGODÓN ESTÉRIL 7 X 20 CM UNIDAD</t>
  </si>
  <si>
    <t>Envoltura</t>
  </si>
  <si>
    <t>EN16390</t>
  </si>
  <si>
    <t>POLIPROPILENO SMS PARA ESTÉRILIZAR 90 X 90 CM CAJA 250 UNIDADES</t>
  </si>
  <si>
    <t>BQU00009</t>
  </si>
  <si>
    <t>BATA AISLAMIENTO UNIDAD</t>
  </si>
  <si>
    <t>BATA DE AISLAMIENTO AMARILLA 100 UNIDADES</t>
  </si>
  <si>
    <t>VL-060</t>
  </si>
  <si>
    <t>CON LLAVE 3 PASOS 60 CM CAJA 40 UNIDADES</t>
  </si>
  <si>
    <t>VMH-100</t>
  </si>
  <si>
    <t>CONEXIÓN LUER LOCK MACHO-HEMBRA 100 CM CAJA 50 UNIDADES</t>
  </si>
  <si>
    <t>BATA AISLAMIENTO IMPERMEABLE DE POLIPROPILENO AMARILLA TALLA M UNIDAD</t>
  </si>
  <si>
    <t>BATA AISLAMIENTO IMPERMEABLE DE POLIPROPILENO AMARILLA TALLA L UNIDAD</t>
  </si>
  <si>
    <t>VL-100</t>
  </si>
  <si>
    <t>CON LLAVE 3 PASOS 100 CM CAJA 40 UNIDADES</t>
  </si>
  <si>
    <t>CRE00008</t>
  </si>
  <si>
    <t>GRADO MEDICO 120 X 120 CM 100 UNIDADES</t>
  </si>
  <si>
    <t>Alargador arterial</t>
  </si>
  <si>
    <t>AMH-060</t>
  </si>
  <si>
    <t>ESTÉRIL CONEXIÓN LUER LOCK MACHO-HEMBRA 60 CM LARGO CAJA 80 UNIDADES</t>
  </si>
  <si>
    <t>CON LLAVE 3 PASOS 100 CM CAJA 50 UNIDADES</t>
  </si>
  <si>
    <t>AMH-120</t>
  </si>
  <si>
    <t>ESTÉRIL CONEXIÓN LUER LOCK MACHO-HEMBRA 120 CM LARGO CAJA 50 UNIDADES</t>
  </si>
  <si>
    <t>ABS00006</t>
  </si>
  <si>
    <t>GASA NATURAL CON ALGODÓN ESTÉRIL 20 X 20 CM UNIDAD</t>
  </si>
  <si>
    <t>AMH-090</t>
  </si>
  <si>
    <t>ESTÉRIL CONEXIÓN LUER LOCK MACHO-HEMBRA 90 CM LARGO CAJA 60 UNIDADES</t>
  </si>
  <si>
    <t>ESTÉRIL CONEXIÓN LUER LOCK MACHO-HEMBRA 60 CM LARGO CAJA 60 UNIDADES</t>
  </si>
  <si>
    <t>AMH-030</t>
  </si>
  <si>
    <t>ESTÉRIL CONEXIÓN LUER LOCK MACHO-HEMBRA 30 CM LARGO CAJA 90 UNIDADES</t>
  </si>
  <si>
    <t>MNT-015</t>
  </si>
  <si>
    <t>NEONATAL 15 CM CAJA 100 UNIDADES</t>
  </si>
  <si>
    <t>EN16392</t>
  </si>
  <si>
    <t>POLIPROPILENO SMS PARA ESTÉRILIZAR 120 X 120 CM CAJA 250 UNIDADES</t>
  </si>
  <si>
    <t>CRE00007</t>
  </si>
  <si>
    <t>PRIMERA GENERACION 100 X 100 CM 250 UNIDADES</t>
  </si>
  <si>
    <t>CREPADO 120 X 120 CM 125 UNIDADES</t>
  </si>
  <si>
    <t>MS-150</t>
  </si>
  <si>
    <t>NEONATAL 150 CM CAJA 80 UNIDADES</t>
  </si>
  <si>
    <t>BQU00376</t>
  </si>
  <si>
    <t>BATA SMS MANGA CORTA 112 CM X 90 CM UNIDAD</t>
  </si>
  <si>
    <t>BATA PACIENTE TELA SMS MANGA CORTA UNIDAD</t>
  </si>
  <si>
    <t>Canula</t>
  </si>
  <si>
    <t>YANK-VENTED</t>
  </si>
  <si>
    <t>YANKAUER 24 FR UNIDAD</t>
  </si>
  <si>
    <t>MS-120</t>
  </si>
  <si>
    <t>NEONATAL 120 CM CAJA 90 UNIDADES</t>
  </si>
  <si>
    <t>Bandeja de curación</t>
  </si>
  <si>
    <t>RIE00001</t>
  </si>
  <si>
    <t>RIÁ‘ÓN ESTÉRIL CAJA 50 UNIDADES</t>
  </si>
  <si>
    <t>MS-100</t>
  </si>
  <si>
    <t>NEONATAL 100 CM CAJA 90 UNIDADES</t>
  </si>
  <si>
    <t>Venda con yeso</t>
  </si>
  <si>
    <t>VDA00006</t>
  </si>
  <si>
    <t>NO ESTÉRIL 270 X 10 CM UNIDAD</t>
  </si>
  <si>
    <t>RIÁ‘ÓN ESTÉRIL CAJA UNIDAD</t>
  </si>
  <si>
    <t>N/F</t>
  </si>
  <si>
    <t>ANTIREFLUJO CAJA 100 UNIDADES</t>
  </si>
  <si>
    <t>AMM-150</t>
  </si>
  <si>
    <t>ESTÉRIL CONEXIÓN LUER LOCK MACHO-MACHO 150 CM LARGO CAJA 40 UNIDADES</t>
  </si>
  <si>
    <t>AMH-150</t>
  </si>
  <si>
    <t>ESTÉRIL CONEXIÓN LUER LOCK MACHO-HEMBRA 150 CM LARGO CAJA 40 UNIDADES</t>
  </si>
  <si>
    <t>AMH-100</t>
  </si>
  <si>
    <t>ESTÉRIL CONEXIÓN LUER LOCK MACHO-HEMBRA 100 CM LARGO CAJA 50 UNIDADES</t>
  </si>
  <si>
    <t>LIBRE DE AGUJA CAJA 50 UNIDADES</t>
  </si>
  <si>
    <t>AMH-183</t>
  </si>
  <si>
    <t>ESTÉRIL CONEXIÓN LUER LOCK MACHO-HEMBRA 183 CM LARGO CAJA 40 UNIDADES</t>
  </si>
  <si>
    <t>Catéter de succión</t>
  </si>
  <si>
    <t>(TAC) 6x9-180</t>
  </si>
  <si>
    <t>TUBO DE ASPIRACIÓN 1.8 M 50 UNIDADES</t>
  </si>
  <si>
    <t>M-150</t>
  </si>
  <si>
    <t>EXTENSIÓN SET 152 CM CAJA 50 UNIDADES</t>
  </si>
  <si>
    <t>ANTIREFLUJO CAJA UNIDAD</t>
  </si>
  <si>
    <t>RFI-045</t>
  </si>
  <si>
    <t>CON REGULADOR DE FLUJO/GOTEO 7 CM CAJA 50 UNIDADES</t>
  </si>
  <si>
    <t>BG-100</t>
  </si>
  <si>
    <t>SET PEDIÁTRICO C/BURETA MICROGOTA 100 UNIDADES</t>
  </si>
  <si>
    <t>TUBO DE ASPIRACIÓN 6 X 9 MM 1.8 M 100 UNIDADES</t>
  </si>
  <si>
    <t>ESTÉRIL CONEXIÓN LUER LOCK MACHO-HEMBRA 100 CM LARGO CAJA 60 UNIDADES</t>
  </si>
  <si>
    <t>CON REGULADOR DE FLUJO/GOTEO 45 CM CAJA UNIDAD</t>
  </si>
  <si>
    <t>KNE00466</t>
  </si>
  <si>
    <t>ALUMINIO CAJA UNIDAD</t>
  </si>
  <si>
    <t>MF-150</t>
  </si>
  <si>
    <t>NEONATAL FOTOPROTEGIDO 150 CM CAJA 80 UNIDADES</t>
  </si>
  <si>
    <t>CON REGULADOR DE FLUJO/GOTEO 45 CM CAJA 30 UNIDADES</t>
  </si>
  <si>
    <t>CON REGULADOR DE FLUJO/GOTEO 30 CM CAJA 50 UNIDADES</t>
  </si>
  <si>
    <t>CON REGULADOR DE FLUJO/GOTEO 60 CM CAJA UNIDAD</t>
  </si>
  <si>
    <t>KNE00430</t>
  </si>
  <si>
    <t>ALUMINIO CAJA 30 UNIDADES</t>
  </si>
  <si>
    <t>ABS00007</t>
  </si>
  <si>
    <t>GASA NEMO NATURAL ALGODÓN HIDRÓFILO ESTÉRIL 40 X 40 CM ENVASE UNIDAD</t>
  </si>
  <si>
    <t>CON REGULADOR DE FLUJO/GOTEO 30 CM CAJA UNIDAD</t>
  </si>
  <si>
    <t>(TAC-SM) 6X9-300</t>
  </si>
  <si>
    <t>TUBO DE ASPIRACIÓN 6 X 9 MM 3 M 60 UNIDADES</t>
  </si>
  <si>
    <t>ASPIRACIÓN 3 M UNIDAD</t>
  </si>
  <si>
    <t>V4-015</t>
  </si>
  <si>
    <t>4 VÁAS CUÁDRUPLE LUMEN 15 CM CAJA 60 UNIDADES</t>
  </si>
  <si>
    <t>TUBO DE ASPIRACIÓN 3 M 50 UNIDADES</t>
  </si>
  <si>
    <t>KIT DE CURACIÓN</t>
  </si>
  <si>
    <t>KNE00426</t>
  </si>
  <si>
    <t>DESECHABLE ATENCION PRIMARIA EMPAQUE 50 UNIDADES</t>
  </si>
  <si>
    <t>KNE00278IN</t>
  </si>
  <si>
    <t>BANDEJA DESECHABLE CON COPELA Y SMS EMPAQUE 50 UNIDADES</t>
  </si>
  <si>
    <t>KNE00319IN</t>
  </si>
  <si>
    <t>KIT CURACIÓN CAJA 50 UNIDADES</t>
  </si>
  <si>
    <t>KNE00277IN</t>
  </si>
  <si>
    <t>KIT CURACIÓN CAJA UNIDAD</t>
  </si>
  <si>
    <t>DESECHABLE ATENCIÓN PRIMARIA EMPAQUE 120 UNIDADES</t>
  </si>
  <si>
    <t>ABP-150</t>
  </si>
  <si>
    <t>ESTÉRIL BAJA PRESIÓN CONEXIÓN LUER LOCK MACHO-HEMBRA 150 CM CAJA 40 UNIDADES</t>
  </si>
  <si>
    <t>Alcohol</t>
  </si>
  <si>
    <t>GEL00002</t>
  </si>
  <si>
    <t>GEL 340 ML FRASCO 30 UNIDADES</t>
  </si>
  <si>
    <t>GEL 340 ML FRASCO UNIDAD</t>
  </si>
  <si>
    <t>VML-N/F 020</t>
  </si>
  <si>
    <t>EXTENSOR SIMPLE 18 CM CAJA 50 UNIDADES</t>
  </si>
  <si>
    <t>BQU00371</t>
  </si>
  <si>
    <t>PACK BATA QUIRURGICA TELA CON TOALLA ESTÉRIL TALLA M UNIDAD</t>
  </si>
  <si>
    <t>BQU00377</t>
  </si>
  <si>
    <t>AMBO CIRUJANO NO ESTÉRIL UNIDAD</t>
  </si>
  <si>
    <t>BQU00370</t>
  </si>
  <si>
    <t>PACK BATA QUIRURGICA TELA CON TOALLA ESTÉRIL TALLA S UNIDAD</t>
  </si>
  <si>
    <t>SIMPLE 18 CM CAJA 50 UNIDADES</t>
  </si>
  <si>
    <t>BQU00372</t>
  </si>
  <si>
    <t>PACK BATA QUIRURGICA TELA CON TOALLA ESTÉRIL TALLA L UNIDAD</t>
  </si>
  <si>
    <t>BQU00373</t>
  </si>
  <si>
    <t>BATA QUIRURGICA TALLA XL 100 UNIDADES</t>
  </si>
  <si>
    <t>BQU00375</t>
  </si>
  <si>
    <t>BATA QUIRURGICA ESTÉRIL REFORZADA TALLA XL PAQUETE 30 UNIDADES</t>
  </si>
  <si>
    <t>BQU00374</t>
  </si>
  <si>
    <t>BATA QUIRURGICA ESTÉRIL REFORZADA TALLA L UNIDAD</t>
  </si>
  <si>
    <t>ABP(CM)-200</t>
  </si>
  <si>
    <t>ESTÉRIL BAJA PRESIÓN CONEXIÓN LUER LOCK MACHO-HEMBRA 200 CM CAJA 30 UNIDADES</t>
  </si>
  <si>
    <t>(TAC) 6x9-600</t>
  </si>
  <si>
    <t>TUBO DE ASPIRACIÓN 6 X 9 MM 6 M 30 UNIDADES</t>
  </si>
  <si>
    <t/>
  </si>
  <si>
    <t>Algoplaque</t>
  </si>
  <si>
    <t>CODIGO URGO</t>
  </si>
  <si>
    <t>NO APLICA</t>
  </si>
  <si>
    <t>HIDROCOLOIDE CUADRADO 10 X 10 CM 5 UNIDADES</t>
  </si>
  <si>
    <t>HIDROCOLOIDE CUADRADO STANDARD 10 X 12 CM 5 UNIDADES</t>
  </si>
  <si>
    <t>UR502881</t>
  </si>
  <si>
    <t>HIDROCOLOIDE 10 X 10 CM 10 UNIDADES</t>
  </si>
  <si>
    <t>HIDROCOLOIDE CUADRADO 10 X 10 CM 10 UNIDADES</t>
  </si>
  <si>
    <t>HIDROCOLOIDE 10 X 10 CM UNIDAD</t>
  </si>
  <si>
    <t>UR502832</t>
  </si>
  <si>
    <t>HIDROCOLOIDE FINO FILM 10 X 10 CM UNIDAD</t>
  </si>
  <si>
    <t>FILM HIDROCOLOIDE FINO 10 X 10 CM 10 UNIDADES</t>
  </si>
  <si>
    <t>FILM HIDROCOLOIDE FINO 10 X 10 CM 16 UNIDADES</t>
  </si>
  <si>
    <t>INDICADOR QUÍMICO</t>
  </si>
  <si>
    <t>IND00003</t>
  </si>
  <si>
    <t>BOWIE-DICK TEST CAJA 50 UNIDADES</t>
  </si>
  <si>
    <t>IND00006</t>
  </si>
  <si>
    <t>AUTOCLAVE 12 MM X 55 M ROLLO UNIDAD</t>
  </si>
  <si>
    <t>ESTÉRILIZACIÓN A VAPOR 12 MM X 55 M ROLLO UNIDAD</t>
  </si>
  <si>
    <t>KNE00104</t>
  </si>
  <si>
    <t>KIT CURACIÓN CAJA 30 UNIDADES</t>
  </si>
  <si>
    <t>KNE00281IN</t>
  </si>
  <si>
    <t>BANDEJA PIE DIABÉTICO 2 EMPAQUES 20 UNIDADES</t>
  </si>
  <si>
    <t>BANDEJA PIE DIABÉTICO 2 EMPAQUES 48 UNIDADES</t>
  </si>
  <si>
    <t>Urgo</t>
  </si>
  <si>
    <t>TUBO 15 GR CAJA 10 UNIDADES</t>
  </si>
  <si>
    <t>PIE DIABÉTICO CAJA 10 UNIDADES</t>
  </si>
  <si>
    <t>BOWIE-DICK TEST PACK 50 UNIDADES</t>
  </si>
  <si>
    <t>GEL00001</t>
  </si>
  <si>
    <t>GEL 1 LITRO FRASCO 10 UNIDADES</t>
  </si>
  <si>
    <t>GEL 1 LITRO FRASCO UNIDAD</t>
  </si>
  <si>
    <t>BOWIE-DICK TEST AZUL UNIDAD</t>
  </si>
  <si>
    <t>BANDEJA PIE DIABÉTICO 4 EMPAQUES 40 UNIDADES</t>
  </si>
  <si>
    <t>BOWIE-DICK TEST PACK 30 UNIDADES</t>
  </si>
  <si>
    <t>KNE00112</t>
  </si>
  <si>
    <t>SUTURA ESTÉRIL CAJA 50 UNIDADES</t>
  </si>
  <si>
    <t>Urgosorb</t>
  </si>
  <si>
    <t>UR501663</t>
  </si>
  <si>
    <t>ALGINATO DE CALCIO 10 X 10 CM 10 UNIDADES</t>
  </si>
  <si>
    <t>BOWIE-DICK TEST CAJA 30 UNIDADES</t>
  </si>
  <si>
    <t>Urgotul</t>
  </si>
  <si>
    <t>URG08538</t>
  </si>
  <si>
    <t>LÁMINA DE CONTACTO 7.5 X 10 CM PAQUETE 10 UNIDADES</t>
  </si>
  <si>
    <t>IND00005</t>
  </si>
  <si>
    <t>AUTOCLAVE 18 MM X 55 M ROLLO UNIDAD</t>
  </si>
  <si>
    <t>ESTÉRILIZACIÓN A VAPOR 18 MM X 55 M CAJA 28 UNIDADES</t>
  </si>
  <si>
    <t>ESTERILIZACIÓN A VAPOR 18 MM X 55 M ROLLO UNIDAD</t>
  </si>
  <si>
    <t>ESTÉRILIZACIÓN A VAPOR 18 MM X 55 M CAJA UNIDAD</t>
  </si>
  <si>
    <t>Brazalete Tensiometro</t>
  </si>
  <si>
    <t>MAN00002</t>
  </si>
  <si>
    <t>PEDIÁTRICO UNIDAD</t>
  </si>
  <si>
    <t>HIDROCOLOIDE SACRO 12 X 14 CM 6 UNIDADES</t>
  </si>
  <si>
    <t>UR553031</t>
  </si>
  <si>
    <t>ALGINATO DE CALCIO EN MECHA 30.4 CM 5 UNIDADES</t>
  </si>
  <si>
    <t>ALGINATO DE CALCIO EN MECHA 5 UNIDADES</t>
  </si>
  <si>
    <t>ALG00001</t>
  </si>
  <si>
    <t>HIDRÓFILO PRENSADO 1 KG ROLLO UNIDAD</t>
  </si>
  <si>
    <t>KNE00464</t>
  </si>
  <si>
    <t>SUTURA ESTÉRIL CAJA 30 UNIDADES</t>
  </si>
  <si>
    <t>UR508393</t>
  </si>
  <si>
    <t>ESPUMA LIPOCOLOIDE CON PLATA 10 X 12 CM 16 UNIDADES</t>
  </si>
  <si>
    <t>Bobina de esterilización</t>
  </si>
  <si>
    <t>EST00011</t>
  </si>
  <si>
    <t>SIN FUELLE 5 CM X 200 M UNIDAD</t>
  </si>
  <si>
    <t>MIXTO SIN FUELLE 5 CM X 200 M UNIDAD</t>
  </si>
  <si>
    <t>EST00012</t>
  </si>
  <si>
    <t>SIN FUELLE 75 CM X 200 M UNIDAD</t>
  </si>
  <si>
    <t>KNE00902</t>
  </si>
  <si>
    <t>LACERACIÓN Y SUTURA ESTÉRIL CAJA 20 UNIDADES</t>
  </si>
  <si>
    <t>EST00001</t>
  </si>
  <si>
    <t>CON FUELLE 10 CM X 100 M UNIDAD</t>
  </si>
  <si>
    <t>GEL00003</t>
  </si>
  <si>
    <t>GEL 5 LITROS FRASCO UNIDAD</t>
  </si>
  <si>
    <t>GEL 5 LITROS FRASCO 2 UNIDADES</t>
  </si>
  <si>
    <t>Plana quirúrgica</t>
  </si>
  <si>
    <t>PAQ00001</t>
  </si>
  <si>
    <t>KIT UNIVERSAL UNIDAD</t>
  </si>
  <si>
    <t>ROPA QUIRURGICA CIRUGÁA UNIVERSAL PAQUETE 3 UNIDADES</t>
  </si>
  <si>
    <t>Detergentes enzimáticos</t>
  </si>
  <si>
    <t>DET00001</t>
  </si>
  <si>
    <t>PENTAENZIMÁTICO LIMPIEZA INSTRUMENTAL QUIRÁšRGICO 5 LITROS BIDÓN UNIDAD</t>
  </si>
  <si>
    <t>BATA UNIVERSAL PAQUETE 3 UNIDADES</t>
  </si>
  <si>
    <t>MIXTO CON FUELLE 10 CM X 100 M 3 UNIDADES</t>
  </si>
  <si>
    <t>KIT UNIVERSAL 6 UNIDADES</t>
  </si>
  <si>
    <t>(TAS) 5X8</t>
  </si>
  <si>
    <t>SET DE SILICONA 25 M UNIDAD</t>
  </si>
  <si>
    <t>EST00009</t>
  </si>
  <si>
    <t>SIN FUELLE 10 CM X 200 M UNIDAD</t>
  </si>
  <si>
    <t>Limpiador de heridas</t>
  </si>
  <si>
    <t>Vashe Nzt 5.5</t>
  </si>
  <si>
    <t>VA000312</t>
  </si>
  <si>
    <t>SOLUCIÓN LIMPIADORAACIDOHIPOCLOROSOPUROPH5.5 40MLFRASCO24UNIDADES</t>
  </si>
  <si>
    <t>Urgoclean</t>
  </si>
  <si>
    <t>UR552155</t>
  </si>
  <si>
    <t>ALGINATO DE PLATA 10 X 10 CM 10 UNIDADES</t>
  </si>
  <si>
    <t>EST00002</t>
  </si>
  <si>
    <t>CON FUELLE 15 CM X 100 M UNIDAD</t>
  </si>
  <si>
    <t>PENTAENZIMÁTICO 5 LITROS BIDÓN 4 UNIDADES</t>
  </si>
  <si>
    <t>Urgo K2</t>
  </si>
  <si>
    <t>UR552916</t>
  </si>
  <si>
    <t>SISTEMA COMPRESIVO 18 A 25 CM CAJA UNIDAD</t>
  </si>
  <si>
    <t>DETERGENTE INSTRUMENTAL</t>
  </si>
  <si>
    <t>ENZIMÁTICO 5 LITROS BIDÓN UNIDAD</t>
  </si>
  <si>
    <t>LAVADO MANUAL Y AUTOMÁTICO DE INSTRUMENTAL QUIRÁšRGICO 5 L BIDÓN UNIDAD</t>
  </si>
  <si>
    <t>LIMPIEZA INSTRUMENTAL 5 LITROS BIDÓN UNIDAD</t>
  </si>
  <si>
    <t>PENTAENZIMÁTICO 5 LITROS BIDÓN UNIDAD</t>
  </si>
  <si>
    <t>PH NEUTRO MATERIAL QUIRÁšRGICO Y ENDOSCOPIOS 5 LITROS BIDÓN UNIDAD</t>
  </si>
  <si>
    <t>RECIPIENTES DE REMOJO ULTRASÓNICOS O EN MÁQUINAS 5 LITROS BIDÓN UNIDAD</t>
  </si>
  <si>
    <t>EST00003</t>
  </si>
  <si>
    <t>CON FUELLE 20 CM X 100 M UNIDAD</t>
  </si>
  <si>
    <t>EST00014</t>
  </si>
  <si>
    <t>SIN FUELLE 15 CM X 200 M UNIDAD</t>
  </si>
  <si>
    <t>(TAS) 8X12</t>
  </si>
  <si>
    <t>TUBO SILICONA 8 X 12 MM 25 M UNIDAD</t>
  </si>
  <si>
    <t>EST00008</t>
  </si>
  <si>
    <t>CON FUELLE 25 CM X 100 M UNIDAD</t>
  </si>
  <si>
    <t>EST00010</t>
  </si>
  <si>
    <t>SIN FUELLE 20 CM X 200 M UNIDAD</t>
  </si>
  <si>
    <t>EST00004</t>
  </si>
  <si>
    <t>CON FUELLE 30 CM X 100 M UNIDAD</t>
  </si>
  <si>
    <t>EST00016</t>
  </si>
  <si>
    <t>SIN FUELLE 25 CM X 200 M UNIDAD</t>
  </si>
  <si>
    <t>EST00017</t>
  </si>
  <si>
    <t>SIN FUELLE 30 CM X 200 M UNIDAD</t>
  </si>
  <si>
    <t>GUANTE NITRILO NEMOCARE EXAMINACIÓN-PROCEDIMIENTO S/POLVO TALLA M CAJA 100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</si>
</sst>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[$-101340A]General"/>
    <numFmt numFmtId="165" formatCode="_ &quot;$&quot;* #,##0.0_ ;_ &quot;$&quot;* \-#,##0.0_ ;_ &quot;$&quot;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venir Next LT Pro"/>
      <family val="2"/>
    </font>
    <font>
      <sz val="11"/>
      <name val="Avenir Next LT Pro"/>
      <family val="2"/>
    </font>
    <font>
      <sz val="11"/>
      <color rgb="FF000000"/>
      <name val="Avenir Next LT Pro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9">
    <xf numFmtId="0" fontId="0" fillId="0" borderId="0" xfId="0"/>
    <xf numFmtId="164" fontId="3" fillId="0" borderId="1" xfId="0" applyNumberFormat="1" applyFont="1" applyBorder="1" applyAlignment="1">
      <alignment vertical="top" readingOrder="1"/>
    </xf>
    <xf numFmtId="164" fontId="3" fillId="0" borderId="1" xfId="0" applyNumberFormat="1" applyFont="1" applyBorder="1" applyAlignment="1">
      <alignment horizontal="left" vertical="top" readingOrder="1"/>
    </xf>
    <xf numFmtId="0" fontId="3" fillId="0" borderId="1" xfId="0" applyFont="1" applyBorder="1" applyAlignment="1">
      <alignment readingOrder="1"/>
    </xf>
    <xf numFmtId="164" fontId="2" fillId="2" borderId="1" xfId="0" applyNumberFormat="1" applyFont="1" applyFill="1" applyBorder="1" applyAlignment="1">
      <alignment horizontal="left" vertical="center" readingOrder="1"/>
    </xf>
    <xf numFmtId="0" fontId="2" fillId="2" borderId="1" xfId="0" applyFont="1" applyFill="1" applyBorder="1" applyAlignment="1"/>
    <xf numFmtId="164" fontId="2" fillId="2" borderId="1" xfId="0" applyNumberFormat="1" applyFont="1" applyFill="1" applyBorder="1" applyAlignment="1">
      <alignment horizontal="center" vertical="center" readingOrder="1"/>
    </xf>
    <xf numFmtId="0" fontId="2" fillId="2" borderId="0" xfId="0" applyFont="1" applyFill="1" applyAlignment="1"/>
    <xf numFmtId="42" fontId="3" fillId="0" borderId="1" xfId="1" applyFont="1" applyBorder="1" applyAlignment="1">
      <alignment horizontal="right" vertical="top" readingOrder="1"/>
    </xf>
    <xf numFmtId="165" fontId="3" fillId="0" borderId="1" xfId="1" applyNumberFormat="1" applyFont="1" applyFill="1" applyBorder="1" applyAlignment="1">
      <alignment readingOrder="1"/>
    </xf>
    <xf numFmtId="164" fontId="4" fillId="0" borderId="1" xfId="0" applyNumberFormat="1" applyFont="1" applyBorder="1" applyAlignment="1">
      <alignment horizontal="left" vertical="top" readingOrder="1"/>
    </xf>
    <xf numFmtId="165" fontId="3" fillId="0" borderId="1" xfId="1" applyNumberFormat="1" applyFont="1" applyBorder="1" applyAlignment="1">
      <alignment readingOrder="1"/>
    </xf>
    <xf numFmtId="164" fontId="3" fillId="3" borderId="1" xfId="0" applyNumberFormat="1" applyFont="1" applyFill="1" applyBorder="1" applyAlignment="1">
      <alignment horizontal="left" vertical="top" readingOrder="1"/>
    </xf>
    <xf numFmtId="164" fontId="3" fillId="4" borderId="1" xfId="0" applyNumberFormat="1" applyFont="1" applyFill="1" applyBorder="1" applyAlignment="1">
      <alignment vertical="top" readingOrder="1"/>
    </xf>
    <xf numFmtId="164" fontId="3" fillId="4" borderId="1" xfId="0" applyNumberFormat="1" applyFont="1" applyFill="1" applyBorder="1" applyAlignment="1">
      <alignment horizontal="left" vertical="top" readingOrder="1"/>
    </xf>
    <xf numFmtId="164" fontId="3" fillId="5" borderId="1" xfId="0" applyNumberFormat="1" applyFont="1" applyFill="1" applyBorder="1" applyAlignment="1">
      <alignment vertical="top" readingOrder="1"/>
    </xf>
    <xf numFmtId="164" fontId="3" fillId="5" borderId="1" xfId="0" applyNumberFormat="1" applyFont="1" applyFill="1" applyBorder="1" applyAlignment="1">
      <alignment horizontal="left" vertical="top" readingOrder="1"/>
    </xf>
    <xf numFmtId="0" fontId="3" fillId="5" borderId="1" xfId="0" applyFont="1" applyFill="1" applyBorder="1" applyAlignment="1">
      <alignment readingOrder="1"/>
    </xf>
    <xf numFmtId="42" fontId="3" fillId="5" borderId="1" xfId="1" applyFont="1" applyFill="1" applyBorder="1" applyAlignment="1">
      <alignment horizontal="right" vertical="top" readingOrder="1"/>
    </xf>
  </cellXfs>
  <cellStyles count="2">
    <cellStyle name="Moneda [0]" xfId="1" builtinId="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gsvsai.sharepoint.com/sites/Ventas/Documentos%20compartidos/Compartidos%20Area%20Ventas/MAESTRA%20CM..xlsx" TargetMode="External"/><Relationship Id="rId1" Type="http://schemas.openxmlformats.org/officeDocument/2006/relationships/externalLinkPath" Target="https://agsvsai.sharepoint.com/sites/Ventas/Documentos%20compartidos/Compartidos%20Area%20Ventas/MAESTRA%20CM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materiales"/>
      <sheetName val="TODOS"/>
      <sheetName val="LAG"/>
      <sheetName val="ofertas"/>
      <sheetName val="NEMO CM"/>
      <sheetName val="NEMO CM (2)"/>
      <sheetName val="MAESTRA"/>
      <sheetName val="NEMO (2)"/>
      <sheetName val="LUNES-MIERCOLES"/>
      <sheetName val="MARTES-VIERNE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COD SAP</v>
          </cell>
          <cell r="D1" t="str">
            <v>Código Historico</v>
          </cell>
        </row>
        <row r="2">
          <cell r="A2" t="str">
            <v>ABS00001</v>
          </cell>
          <cell r="D2" t="str">
            <v>ABS00001</v>
          </cell>
        </row>
        <row r="3">
          <cell r="A3" t="str">
            <v>ABS00002</v>
          </cell>
          <cell r="D3" t="str">
            <v>ABS00002</v>
          </cell>
        </row>
        <row r="4">
          <cell r="A4" t="str">
            <v>ABS00003</v>
          </cell>
          <cell r="D4" t="str">
            <v>ABS00003</v>
          </cell>
        </row>
        <row r="5">
          <cell r="A5" t="str">
            <v>ABS00004</v>
          </cell>
          <cell r="D5" t="str">
            <v>ABS00004</v>
          </cell>
        </row>
        <row r="6">
          <cell r="A6" t="str">
            <v>ABS00005</v>
          </cell>
          <cell r="D6" t="str">
            <v>ABS00005</v>
          </cell>
        </row>
        <row r="7">
          <cell r="A7" t="str">
            <v>ABS00006</v>
          </cell>
          <cell r="D7" t="str">
            <v>ABS00006</v>
          </cell>
        </row>
        <row r="8">
          <cell r="A8" t="str">
            <v>ABS00007</v>
          </cell>
          <cell r="D8" t="str">
            <v>ABS00007</v>
          </cell>
        </row>
        <row r="9">
          <cell r="A9" t="str">
            <v>AGJ00001</v>
          </cell>
          <cell r="D9" t="str">
            <v>AGJ00001</v>
          </cell>
        </row>
        <row r="10">
          <cell r="A10" t="str">
            <v>AGJ00002</v>
          </cell>
          <cell r="D10" t="str">
            <v>AGJ00002</v>
          </cell>
        </row>
        <row r="11">
          <cell r="A11" t="str">
            <v>AGJ00003</v>
          </cell>
          <cell r="D11" t="str">
            <v>AGJ00003</v>
          </cell>
        </row>
        <row r="12">
          <cell r="A12" t="str">
            <v>ALG00001</v>
          </cell>
          <cell r="D12" t="str">
            <v>ALG00001</v>
          </cell>
        </row>
        <row r="13">
          <cell r="A13" t="str">
            <v>ALG00002</v>
          </cell>
          <cell r="D13" t="str">
            <v>ALG00002</v>
          </cell>
        </row>
        <row r="14">
          <cell r="A14" t="str">
            <v>ALG00003</v>
          </cell>
          <cell r="D14" t="str">
            <v>ALG00003</v>
          </cell>
        </row>
        <row r="15">
          <cell r="A15" t="str">
            <v>ALG00004</v>
          </cell>
          <cell r="D15" t="str">
            <v>ALG00004</v>
          </cell>
        </row>
        <row r="16">
          <cell r="A16" t="str">
            <v>APU00001</v>
          </cell>
          <cell r="D16" t="str">
            <v>INF-500</v>
          </cell>
        </row>
        <row r="17">
          <cell r="A17" t="str">
            <v>APU00002</v>
          </cell>
          <cell r="D17" t="str">
            <v>INFR-500</v>
          </cell>
        </row>
        <row r="18">
          <cell r="A18" t="str">
            <v>ART00001</v>
          </cell>
          <cell r="D18" t="str">
            <v>ABP-150</v>
          </cell>
        </row>
        <row r="19">
          <cell r="A19" t="str">
            <v>ART00002</v>
          </cell>
          <cell r="D19" t="str">
            <v>ABP(CM)-150</v>
          </cell>
        </row>
        <row r="20">
          <cell r="A20" t="str">
            <v>ART00003</v>
          </cell>
          <cell r="D20" t="str">
            <v>ABP(CM)-200</v>
          </cell>
        </row>
        <row r="21">
          <cell r="A21" t="str">
            <v>ART00004</v>
          </cell>
          <cell r="D21" t="str">
            <v>ABP-200</v>
          </cell>
        </row>
        <row r="22">
          <cell r="A22" t="str">
            <v>ART00005</v>
          </cell>
          <cell r="D22" t="str">
            <v>AMH-010</v>
          </cell>
        </row>
        <row r="23">
          <cell r="A23" t="str">
            <v>ART00006</v>
          </cell>
          <cell r="D23" t="str">
            <v>AMH-015</v>
          </cell>
        </row>
        <row r="24">
          <cell r="A24" t="str">
            <v>ART00007</v>
          </cell>
          <cell r="D24" t="str">
            <v>AMH-020</v>
          </cell>
        </row>
        <row r="25">
          <cell r="A25" t="str">
            <v>ART00008</v>
          </cell>
          <cell r="D25" t="str">
            <v>AMH-025</v>
          </cell>
        </row>
        <row r="26">
          <cell r="A26" t="str">
            <v>ART00009</v>
          </cell>
          <cell r="D26" t="str">
            <v>AMH-030</v>
          </cell>
        </row>
        <row r="27">
          <cell r="A27" t="str">
            <v>ART00010</v>
          </cell>
          <cell r="D27" t="str">
            <v>AMH-050</v>
          </cell>
        </row>
        <row r="28">
          <cell r="A28" t="str">
            <v>ART00011</v>
          </cell>
          <cell r="D28" t="str">
            <v>AMH-060</v>
          </cell>
        </row>
        <row r="29">
          <cell r="A29" t="str">
            <v>ART00012</v>
          </cell>
          <cell r="D29" t="str">
            <v>AMH-090</v>
          </cell>
        </row>
        <row r="30">
          <cell r="A30" t="str">
            <v>ART00013</v>
          </cell>
          <cell r="D30" t="str">
            <v>AMH-100</v>
          </cell>
        </row>
        <row r="31">
          <cell r="A31" t="str">
            <v>ART00014</v>
          </cell>
          <cell r="D31" t="str">
            <v>AMH-120</v>
          </cell>
        </row>
        <row r="32">
          <cell r="A32" t="str">
            <v>ART00015</v>
          </cell>
          <cell r="D32" t="str">
            <v>AMH-150</v>
          </cell>
        </row>
        <row r="33">
          <cell r="A33" t="str">
            <v>ART00016</v>
          </cell>
          <cell r="D33" t="str">
            <v>AMH-183</v>
          </cell>
        </row>
        <row r="34">
          <cell r="A34" t="str">
            <v>ART00017</v>
          </cell>
          <cell r="D34" t="str">
            <v>AMH-200</v>
          </cell>
        </row>
        <row r="35">
          <cell r="A35" t="str">
            <v>ART00018</v>
          </cell>
          <cell r="D35" t="str">
            <v>AHH-200</v>
          </cell>
        </row>
        <row r="36">
          <cell r="A36" t="str">
            <v>ART00019</v>
          </cell>
          <cell r="D36" t="str">
            <v>AMM-005</v>
          </cell>
        </row>
        <row r="37">
          <cell r="A37" t="str">
            <v>ART00020</v>
          </cell>
          <cell r="D37" t="str">
            <v>AMM-010</v>
          </cell>
        </row>
        <row r="38">
          <cell r="A38" t="str">
            <v>ART00021</v>
          </cell>
          <cell r="D38" t="str">
            <v>AMM-015</v>
          </cell>
        </row>
        <row r="39">
          <cell r="A39" t="str">
            <v>ART00022</v>
          </cell>
          <cell r="D39" t="str">
            <v>AMM-020</v>
          </cell>
        </row>
        <row r="40">
          <cell r="A40" t="str">
            <v>ART00023</v>
          </cell>
          <cell r="D40" t="str">
            <v>AMM-030</v>
          </cell>
        </row>
        <row r="41">
          <cell r="A41" t="str">
            <v>ART00024</v>
          </cell>
          <cell r="D41" t="str">
            <v>AMM-050</v>
          </cell>
        </row>
        <row r="42">
          <cell r="A42" t="str">
            <v>ART00025</v>
          </cell>
          <cell r="D42" t="str">
            <v>AMM-060</v>
          </cell>
        </row>
        <row r="43">
          <cell r="A43" t="str">
            <v>ART00026</v>
          </cell>
          <cell r="D43" t="str">
            <v>AMM-075</v>
          </cell>
        </row>
        <row r="44">
          <cell r="A44" t="str">
            <v>ART00027</v>
          </cell>
          <cell r="D44" t="str">
            <v>AMM-090</v>
          </cell>
        </row>
        <row r="45">
          <cell r="A45" t="str">
            <v>ART00028</v>
          </cell>
          <cell r="D45" t="str">
            <v>AMM-100</v>
          </cell>
        </row>
        <row r="46">
          <cell r="A46" t="str">
            <v>ART00029</v>
          </cell>
          <cell r="D46" t="str">
            <v>AMM-120</v>
          </cell>
        </row>
        <row r="47">
          <cell r="A47" t="str">
            <v>ART00030</v>
          </cell>
          <cell r="D47" t="str">
            <v>AMM-150</v>
          </cell>
        </row>
        <row r="48">
          <cell r="A48" t="str">
            <v>ART00031</v>
          </cell>
          <cell r="D48" t="str">
            <v>AMM-200</v>
          </cell>
        </row>
        <row r="49">
          <cell r="A49" t="str">
            <v>ART00032</v>
          </cell>
          <cell r="D49" t="str">
            <v>AL-010</v>
          </cell>
        </row>
        <row r="50">
          <cell r="A50" t="str">
            <v>ART00033</v>
          </cell>
          <cell r="D50" t="str">
            <v>AL-020</v>
          </cell>
        </row>
        <row r="51">
          <cell r="A51" t="str">
            <v>ART00034</v>
          </cell>
          <cell r="D51" t="str">
            <v>AL-060</v>
          </cell>
        </row>
        <row r="52">
          <cell r="A52" t="str">
            <v>ART00035</v>
          </cell>
          <cell r="D52" t="str">
            <v>AL-150</v>
          </cell>
        </row>
        <row r="53">
          <cell r="A53" t="str">
            <v>ART00036</v>
          </cell>
          <cell r="D53" t="str">
            <v>ABP(REF)-150</v>
          </cell>
        </row>
        <row r="54">
          <cell r="A54" t="str">
            <v>ART00037</v>
          </cell>
          <cell r="D54" t="str">
            <v>ABP-030B</v>
          </cell>
        </row>
        <row r="55">
          <cell r="A55" t="str">
            <v>ART00038</v>
          </cell>
          <cell r="D55" t="str">
            <v>ABP-150B</v>
          </cell>
        </row>
        <row r="56">
          <cell r="A56" t="str">
            <v>ART00039</v>
          </cell>
          <cell r="D56" t="str">
            <v>ABP-200B</v>
          </cell>
        </row>
        <row r="57">
          <cell r="A57" t="str">
            <v>ART00040</v>
          </cell>
          <cell r="D57" t="str">
            <v>AL-183</v>
          </cell>
        </row>
        <row r="58">
          <cell r="A58" t="str">
            <v>ART00041</v>
          </cell>
          <cell r="D58" t="str">
            <v>ABP(CMI)-150</v>
          </cell>
        </row>
        <row r="59">
          <cell r="A59" t="str">
            <v>ART00042</v>
          </cell>
          <cell r="D59" t="str">
            <v>ABP-030</v>
          </cell>
        </row>
        <row r="60">
          <cell r="A60" t="str">
            <v>ART00043</v>
          </cell>
          <cell r="D60" t="str">
            <v>(TA) 1.5X3.5-2,5</v>
          </cell>
        </row>
        <row r="61">
          <cell r="A61" t="str">
            <v>ART00044</v>
          </cell>
          <cell r="D61" t="str">
            <v>AL-120</v>
          </cell>
        </row>
        <row r="62">
          <cell r="A62" t="str">
            <v>ART00045</v>
          </cell>
          <cell r="D62" t="str">
            <v>AMH-005</v>
          </cell>
        </row>
        <row r="63">
          <cell r="A63" t="str">
            <v>ART00046</v>
          </cell>
          <cell r="D63" t="str">
            <v>ABP-150OR</v>
          </cell>
        </row>
        <row r="64">
          <cell r="A64" t="str">
            <v>ART00047</v>
          </cell>
          <cell r="D64" t="str">
            <v>ABP-200OR</v>
          </cell>
        </row>
        <row r="65">
          <cell r="A65" t="str">
            <v>BDS00001</v>
          </cell>
          <cell r="D65" t="str">
            <v>BDS00001</v>
          </cell>
        </row>
        <row r="66">
          <cell r="A66" t="str">
            <v>BND00001</v>
          </cell>
          <cell r="D66" t="str">
            <v>BA16512</v>
          </cell>
        </row>
        <row r="67">
          <cell r="A67" t="str">
            <v>BND00002</v>
          </cell>
          <cell r="D67" t="str">
            <v>BA17112</v>
          </cell>
        </row>
        <row r="68">
          <cell r="A68" t="str">
            <v>BND00003</v>
          </cell>
          <cell r="D68" t="str">
            <v>BRD00233</v>
          </cell>
        </row>
        <row r="69">
          <cell r="A69" t="str">
            <v>BND00004</v>
          </cell>
          <cell r="D69" t="str">
            <v>BRD00232</v>
          </cell>
        </row>
        <row r="70">
          <cell r="A70" t="str">
            <v>BND00005</v>
          </cell>
          <cell r="D70" t="str">
            <v>BND-C16</v>
          </cell>
        </row>
        <row r="71">
          <cell r="A71" t="str">
            <v>BND00006</v>
          </cell>
          <cell r="D71" t="str">
            <v>BND00300</v>
          </cell>
        </row>
        <row r="72">
          <cell r="A72" t="str">
            <v>BND00007</v>
          </cell>
          <cell r="D72" t="str">
            <v>BND00301</v>
          </cell>
        </row>
        <row r="73">
          <cell r="A73" t="str">
            <v>BND00008</v>
          </cell>
          <cell r="D73" t="str">
            <v>BRD00234</v>
          </cell>
        </row>
        <row r="74">
          <cell r="A74" t="str">
            <v>BND00009</v>
          </cell>
          <cell r="D74" t="str">
            <v>BND00302</v>
          </cell>
        </row>
        <row r="75">
          <cell r="A75" t="str">
            <v>BND00010</v>
          </cell>
          <cell r="D75" t="str">
            <v>BND00303</v>
          </cell>
        </row>
        <row r="76">
          <cell r="A76" t="str">
            <v>BND00011</v>
          </cell>
          <cell r="D76" t="str">
            <v>BND00012</v>
          </cell>
        </row>
        <row r="77">
          <cell r="A77" t="str">
            <v>BOL00001</v>
          </cell>
          <cell r="D77" t="str">
            <v>EM00208</v>
          </cell>
        </row>
        <row r="78">
          <cell r="A78" t="str">
            <v>BOL00002</v>
          </cell>
          <cell r="D78" t="str">
            <v>EM00308</v>
          </cell>
        </row>
        <row r="79">
          <cell r="A79" t="str">
            <v>BOL00003</v>
          </cell>
          <cell r="D79" t="str">
            <v>EM00408</v>
          </cell>
        </row>
        <row r="80">
          <cell r="A80" t="str">
            <v>BOR00001</v>
          </cell>
          <cell r="D80" t="str">
            <v>KRO(U)-2000</v>
          </cell>
        </row>
        <row r="81">
          <cell r="A81" t="str">
            <v>BOR00002</v>
          </cell>
          <cell r="D81" t="str">
            <v>KRO(U)-2000ST</v>
          </cell>
        </row>
        <row r="82">
          <cell r="A82" t="str">
            <v>BOR00003</v>
          </cell>
          <cell r="D82" t="str">
            <v>KRU-2000</v>
          </cell>
        </row>
        <row r="83">
          <cell r="A83" t="str">
            <v>BOR00004</v>
          </cell>
          <cell r="D83" t="str">
            <v>KROG(U)-2000</v>
          </cell>
        </row>
        <row r="84">
          <cell r="A84" t="str">
            <v>BOR00005</v>
          </cell>
          <cell r="D84" t="str">
            <v>BO09903</v>
          </cell>
        </row>
        <row r="85">
          <cell r="A85" t="str">
            <v>BOR00006</v>
          </cell>
          <cell r="D85" t="str">
            <v>BO10012</v>
          </cell>
        </row>
        <row r="86">
          <cell r="A86" t="str">
            <v>BQU00001</v>
          </cell>
          <cell r="D86" t="str">
            <v>BQU00370</v>
          </cell>
        </row>
        <row r="87">
          <cell r="A87" t="str">
            <v>BQU00002</v>
          </cell>
          <cell r="D87" t="str">
            <v>BQU00371</v>
          </cell>
        </row>
        <row r="88">
          <cell r="A88" t="str">
            <v>BQU00003</v>
          </cell>
          <cell r="D88" t="str">
            <v>BQU00372</v>
          </cell>
        </row>
        <row r="89">
          <cell r="A89" t="str">
            <v>BQU00004</v>
          </cell>
          <cell r="D89" t="str">
            <v>BQU00373</v>
          </cell>
        </row>
        <row r="90">
          <cell r="A90" t="str">
            <v>BQU00005</v>
          </cell>
          <cell r="D90" t="str">
            <v>BQU00374</v>
          </cell>
        </row>
        <row r="91">
          <cell r="A91" t="str">
            <v>BQU00006</v>
          </cell>
          <cell r="D91" t="str">
            <v>BQU00375</v>
          </cell>
        </row>
        <row r="92">
          <cell r="A92" t="str">
            <v>BQU00007</v>
          </cell>
          <cell r="D92" t="str">
            <v>BQU00376</v>
          </cell>
        </row>
        <row r="93">
          <cell r="A93" t="str">
            <v>BQU00008</v>
          </cell>
          <cell r="D93" t="str">
            <v>BQU00377</v>
          </cell>
        </row>
        <row r="94">
          <cell r="A94" t="str">
            <v>BQU00009</v>
          </cell>
          <cell r="D94" t="str">
            <v>BQU00009</v>
          </cell>
        </row>
        <row r="95">
          <cell r="A95" t="str">
            <v>BUR00001</v>
          </cell>
          <cell r="D95" t="str">
            <v>BG-100</v>
          </cell>
        </row>
        <row r="96">
          <cell r="A96" t="str">
            <v>BUR00003</v>
          </cell>
          <cell r="D96" t="str">
            <v>BG-150</v>
          </cell>
        </row>
        <row r="97">
          <cell r="A97" t="str">
            <v>BUR00004</v>
          </cell>
          <cell r="D97" t="str">
            <v>CM00612</v>
          </cell>
        </row>
        <row r="98">
          <cell r="A98" t="str">
            <v>BUR00005</v>
          </cell>
          <cell r="D98" t="str">
            <v>CM00712</v>
          </cell>
        </row>
        <row r="99">
          <cell r="A99" t="str">
            <v>BUR00006</v>
          </cell>
          <cell r="D99" t="str">
            <v>CM00812</v>
          </cell>
        </row>
        <row r="100">
          <cell r="A100" t="str">
            <v>CAA00001</v>
          </cell>
          <cell r="D100" t="str">
            <v>CAA00001</v>
          </cell>
        </row>
        <row r="101">
          <cell r="A101" t="str">
            <v>CAD00001</v>
          </cell>
          <cell r="D101" t="str">
            <v>CAD00001</v>
          </cell>
        </row>
        <row r="102">
          <cell r="A102" t="str">
            <v>CAD00002</v>
          </cell>
          <cell r="D102" t="str">
            <v>CAD00002</v>
          </cell>
        </row>
        <row r="103">
          <cell r="A103" t="str">
            <v>CAD00003</v>
          </cell>
          <cell r="D103" t="str">
            <v>CAD00003</v>
          </cell>
        </row>
        <row r="104">
          <cell r="A104" t="str">
            <v>CAD00004</v>
          </cell>
          <cell r="D104" t="str">
            <v>CAD00004</v>
          </cell>
        </row>
        <row r="105">
          <cell r="A105" t="str">
            <v>CAD00005</v>
          </cell>
          <cell r="D105" t="str">
            <v>CAD00005</v>
          </cell>
        </row>
        <row r="106">
          <cell r="A106" t="str">
            <v>CAJ00001</v>
          </cell>
          <cell r="D106" t="str">
            <v>EM00909</v>
          </cell>
        </row>
        <row r="107">
          <cell r="A107" t="str">
            <v>CAJ00002</v>
          </cell>
          <cell r="D107" t="str">
            <v>EM01009</v>
          </cell>
        </row>
        <row r="108">
          <cell r="A108" t="str">
            <v>CAJ00003</v>
          </cell>
          <cell r="D108" t="str">
            <v>EM01010</v>
          </cell>
        </row>
        <row r="109">
          <cell r="A109" t="str">
            <v>CAJ00004</v>
          </cell>
          <cell r="D109" t="str">
            <v>EM13809</v>
          </cell>
        </row>
        <row r="110">
          <cell r="A110" t="str">
            <v>CAM00001</v>
          </cell>
          <cell r="D110" t="str">
            <v>CM01207</v>
          </cell>
        </row>
        <row r="111">
          <cell r="A111" t="str">
            <v>CAM00002</v>
          </cell>
          <cell r="D111" t="str">
            <v>CM09514</v>
          </cell>
        </row>
        <row r="112">
          <cell r="A112" t="str">
            <v>CAN00001</v>
          </cell>
          <cell r="D112" t="str">
            <v>YANK-VENTED</v>
          </cell>
        </row>
        <row r="113">
          <cell r="A113" t="str">
            <v>CAR00001</v>
          </cell>
          <cell r="D113" t="str">
            <v>CAR00001</v>
          </cell>
        </row>
        <row r="114">
          <cell r="A114" t="str">
            <v>CHA00001</v>
          </cell>
          <cell r="D114" t="str">
            <v>CH17425</v>
          </cell>
        </row>
        <row r="115">
          <cell r="A115" t="str">
            <v>CHA00002</v>
          </cell>
          <cell r="D115" t="str">
            <v>CH17525</v>
          </cell>
        </row>
        <row r="116">
          <cell r="A116" t="str">
            <v>CHA00003</v>
          </cell>
          <cell r="D116" t="str">
            <v>CH17625</v>
          </cell>
        </row>
        <row r="117">
          <cell r="A117" t="str">
            <v>CIU00001</v>
          </cell>
          <cell r="D117" t="str">
            <v>CIU00277</v>
          </cell>
        </row>
        <row r="118">
          <cell r="A118" t="str">
            <v>CLA00001</v>
          </cell>
          <cell r="D118" t="str">
            <v>(CL)-A</v>
          </cell>
        </row>
        <row r="119">
          <cell r="A119" t="str">
            <v>CLA00002</v>
          </cell>
          <cell r="D119" t="str">
            <v>CL06014</v>
          </cell>
        </row>
        <row r="120">
          <cell r="A120" t="str">
            <v>CLA00003</v>
          </cell>
          <cell r="D120" t="str">
            <v>CL06614</v>
          </cell>
        </row>
        <row r="121">
          <cell r="A121" t="str">
            <v>CLA00004</v>
          </cell>
          <cell r="D121" t="str">
            <v>CL06716</v>
          </cell>
        </row>
        <row r="122">
          <cell r="A122" t="str">
            <v>CLA00005</v>
          </cell>
          <cell r="D122" t="str">
            <v>CL06912</v>
          </cell>
        </row>
        <row r="123">
          <cell r="A123" t="str">
            <v>CLA00006</v>
          </cell>
          <cell r="D123" t="str">
            <v>CL07014</v>
          </cell>
        </row>
        <row r="124">
          <cell r="A124" t="str">
            <v>CNBBQU00002</v>
          </cell>
          <cell r="D124" t="str">
            <v>CNB-BQU00371</v>
          </cell>
        </row>
        <row r="125">
          <cell r="A125" t="str">
            <v>CNBDET00001</v>
          </cell>
          <cell r="D125" t="str">
            <v>CNB-DET00001</v>
          </cell>
        </row>
        <row r="126">
          <cell r="A126" t="str">
            <v>CNBEST00004</v>
          </cell>
          <cell r="D126" t="str">
            <v>CNB-EST00020</v>
          </cell>
        </row>
        <row r="127">
          <cell r="A127" t="str">
            <v>CNBIND00005</v>
          </cell>
          <cell r="D127" t="str">
            <v>CNB-IND00005</v>
          </cell>
        </row>
        <row r="128">
          <cell r="A128" t="str">
            <v>CNBLLA00003</v>
          </cell>
          <cell r="D128" t="str">
            <v>CNB-L</v>
          </cell>
        </row>
        <row r="129">
          <cell r="A129" t="str">
            <v>CNBTAP00001</v>
          </cell>
          <cell r="D129" t="str">
            <v>CNB (TAP)-A</v>
          </cell>
        </row>
        <row r="130">
          <cell r="A130" t="str">
            <v>CNBTAP00004</v>
          </cell>
          <cell r="D130" t="str">
            <v>CNB (TAP)-R</v>
          </cell>
        </row>
        <row r="131">
          <cell r="A131" t="str">
            <v>CNBTSI00005</v>
          </cell>
          <cell r="D131" t="str">
            <v>CNB(TAS) 5X8</v>
          </cell>
        </row>
        <row r="132">
          <cell r="A132" t="str">
            <v>CNBTSI00009</v>
          </cell>
          <cell r="D132" t="str">
            <v>CNB (TAS) 7X10</v>
          </cell>
        </row>
        <row r="133">
          <cell r="A133" t="str">
            <v>CNBTSI00011</v>
          </cell>
          <cell r="D133" t="str">
            <v>CNB (TAS) 8X12</v>
          </cell>
        </row>
        <row r="134">
          <cell r="A134" t="str">
            <v>CNBVDA00004</v>
          </cell>
          <cell r="D134" t="str">
            <v>CNB-VDA00004</v>
          </cell>
        </row>
        <row r="135">
          <cell r="A135" t="str">
            <v>CON00001</v>
          </cell>
          <cell r="D135" t="str">
            <v>CO01612</v>
          </cell>
        </row>
        <row r="136">
          <cell r="A136" t="str">
            <v>CON00002</v>
          </cell>
          <cell r="D136" t="str">
            <v>VL01704</v>
          </cell>
        </row>
        <row r="137">
          <cell r="A137" t="str">
            <v>CON00003</v>
          </cell>
          <cell r="D137" t="str">
            <v>VL01705</v>
          </cell>
        </row>
        <row r="138">
          <cell r="A138" t="str">
            <v>CON00004</v>
          </cell>
          <cell r="D138" t="str">
            <v>CO02014</v>
          </cell>
        </row>
        <row r="139">
          <cell r="A139" t="str">
            <v>CON00005</v>
          </cell>
          <cell r="D139" t="str">
            <v>CO02014T</v>
          </cell>
        </row>
        <row r="140">
          <cell r="A140" t="str">
            <v>CON00006</v>
          </cell>
          <cell r="D140" t="str">
            <v>CO02114</v>
          </cell>
        </row>
        <row r="141">
          <cell r="A141" t="str">
            <v>CON00007</v>
          </cell>
          <cell r="D141" t="str">
            <v>CO02114T</v>
          </cell>
        </row>
        <row r="142">
          <cell r="A142" t="str">
            <v>CON00008</v>
          </cell>
          <cell r="D142" t="str">
            <v>CO02214</v>
          </cell>
        </row>
        <row r="143">
          <cell r="A143" t="str">
            <v>CON00009</v>
          </cell>
          <cell r="D143" t="str">
            <v>CO02214T</v>
          </cell>
        </row>
        <row r="144">
          <cell r="A144" t="str">
            <v>CON00010</v>
          </cell>
          <cell r="D144" t="str">
            <v>CO02514</v>
          </cell>
        </row>
        <row r="145">
          <cell r="A145" t="str">
            <v>CON00011</v>
          </cell>
          <cell r="D145" t="str">
            <v>CO02614</v>
          </cell>
        </row>
        <row r="146">
          <cell r="A146" t="str">
            <v>CON00012</v>
          </cell>
          <cell r="D146" t="str">
            <v>CO02714</v>
          </cell>
        </row>
        <row r="147">
          <cell r="A147" t="str">
            <v>CON00013</v>
          </cell>
          <cell r="D147" t="str">
            <v>CO02814</v>
          </cell>
        </row>
        <row r="148">
          <cell r="A148" t="str">
            <v>CON00014</v>
          </cell>
          <cell r="D148" t="str">
            <v>CO03012</v>
          </cell>
        </row>
        <row r="149">
          <cell r="A149" t="str">
            <v>CON00015</v>
          </cell>
          <cell r="D149" t="str">
            <v>CO03114</v>
          </cell>
        </row>
        <row r="150">
          <cell r="A150" t="str">
            <v>CON00016</v>
          </cell>
          <cell r="D150" t="str">
            <v>CO03212</v>
          </cell>
        </row>
        <row r="151">
          <cell r="A151" t="str">
            <v>CON00017</v>
          </cell>
          <cell r="D151" t="str">
            <v>VL03304</v>
          </cell>
        </row>
        <row r="152">
          <cell r="A152" t="str">
            <v>CON00018</v>
          </cell>
          <cell r="D152" t="str">
            <v>CO03407</v>
          </cell>
        </row>
        <row r="153">
          <cell r="A153" t="str">
            <v>CON00019</v>
          </cell>
          <cell r="D153" t="str">
            <v>CO09112</v>
          </cell>
        </row>
        <row r="154">
          <cell r="A154" t="str">
            <v>CON00020</v>
          </cell>
          <cell r="D154" t="str">
            <v>CO09314</v>
          </cell>
        </row>
        <row r="155">
          <cell r="A155" t="str">
            <v>CON00021</v>
          </cell>
          <cell r="D155" t="str">
            <v>VL10202</v>
          </cell>
        </row>
        <row r="156">
          <cell r="A156" t="str">
            <v>CON00022</v>
          </cell>
          <cell r="D156" t="str">
            <v>CO10314</v>
          </cell>
        </row>
        <row r="157">
          <cell r="A157" t="str">
            <v>CON00023</v>
          </cell>
          <cell r="D157" t="str">
            <v>CO10414</v>
          </cell>
        </row>
        <row r="158">
          <cell r="A158" t="str">
            <v>CON00024</v>
          </cell>
          <cell r="D158" t="str">
            <v>CO10414T</v>
          </cell>
        </row>
        <row r="159">
          <cell r="A159" t="str">
            <v>CON00025</v>
          </cell>
          <cell r="D159" t="str">
            <v>CO13218</v>
          </cell>
        </row>
        <row r="160">
          <cell r="A160" t="str">
            <v>CON00026</v>
          </cell>
          <cell r="D160" t="str">
            <v>CO13318</v>
          </cell>
        </row>
        <row r="161">
          <cell r="A161" t="str">
            <v>CON00027</v>
          </cell>
          <cell r="D161" t="str">
            <v>CO13418</v>
          </cell>
        </row>
        <row r="162">
          <cell r="A162" t="str">
            <v>CON00028</v>
          </cell>
          <cell r="D162" t="str">
            <v>CO13518</v>
          </cell>
        </row>
        <row r="163">
          <cell r="A163" t="str">
            <v>CON00029</v>
          </cell>
          <cell r="D163" t="str">
            <v>CO13618</v>
          </cell>
        </row>
        <row r="164">
          <cell r="A164" t="str">
            <v>CON00030</v>
          </cell>
          <cell r="D164" t="str">
            <v>CON00030</v>
          </cell>
        </row>
        <row r="165">
          <cell r="A165" t="str">
            <v>COP00001</v>
          </cell>
          <cell r="D165" t="str">
            <v>COP00001</v>
          </cell>
        </row>
        <row r="166">
          <cell r="A166" t="str">
            <v>COP00002</v>
          </cell>
          <cell r="D166" t="str">
            <v>COP00002</v>
          </cell>
        </row>
        <row r="167">
          <cell r="A167" t="str">
            <v>COP00003</v>
          </cell>
          <cell r="D167" t="str">
            <v>COP00003</v>
          </cell>
        </row>
        <row r="168">
          <cell r="A168" t="str">
            <v>CRE00001</v>
          </cell>
          <cell r="D168" t="str">
            <v>CRE00001</v>
          </cell>
        </row>
        <row r="169">
          <cell r="A169" t="str">
            <v>CRE00002</v>
          </cell>
          <cell r="D169" t="str">
            <v>CRE00002</v>
          </cell>
        </row>
        <row r="170">
          <cell r="A170" t="str">
            <v>CRE00003</v>
          </cell>
          <cell r="D170" t="str">
            <v>CRE00003</v>
          </cell>
        </row>
        <row r="171">
          <cell r="A171" t="str">
            <v>CRE00004</v>
          </cell>
          <cell r="D171" t="str">
            <v>CRE00004</v>
          </cell>
        </row>
        <row r="172">
          <cell r="A172" t="str">
            <v>CRE00005</v>
          </cell>
          <cell r="D172" t="str">
            <v>CRE00005</v>
          </cell>
        </row>
        <row r="173">
          <cell r="A173" t="str">
            <v>CRE00006</v>
          </cell>
          <cell r="D173" t="str">
            <v>CRE00006</v>
          </cell>
        </row>
        <row r="174">
          <cell r="A174" t="str">
            <v>CRE00007</v>
          </cell>
          <cell r="D174" t="str">
            <v>CRE00007</v>
          </cell>
        </row>
        <row r="175">
          <cell r="A175" t="str">
            <v>CRE00008</v>
          </cell>
          <cell r="D175" t="str">
            <v>CRE00008</v>
          </cell>
        </row>
        <row r="176">
          <cell r="A176" t="str">
            <v>CTR00001</v>
          </cell>
          <cell r="D176" t="str">
            <v>CTRANS</v>
          </cell>
        </row>
        <row r="177">
          <cell r="A177" t="str">
            <v>CTT00001</v>
          </cell>
          <cell r="D177" t="str">
            <v>CTT00001</v>
          </cell>
        </row>
        <row r="178">
          <cell r="A178" t="str">
            <v>CTT00002</v>
          </cell>
          <cell r="D178" t="str">
            <v>CTT00002</v>
          </cell>
        </row>
        <row r="179">
          <cell r="A179" t="str">
            <v>CTT00003</v>
          </cell>
          <cell r="D179" t="str">
            <v>CTT00003</v>
          </cell>
        </row>
        <row r="180">
          <cell r="A180" t="str">
            <v>CUN00001</v>
          </cell>
          <cell r="D180" t="str">
            <v>LUC</v>
          </cell>
        </row>
        <row r="181">
          <cell r="A181" t="str">
            <v>DET00001</v>
          </cell>
          <cell r="D181" t="str">
            <v>DET00001</v>
          </cell>
        </row>
        <row r="182">
          <cell r="A182" t="str">
            <v>DET00002</v>
          </cell>
          <cell r="D182" t="str">
            <v>DET00002</v>
          </cell>
        </row>
        <row r="183">
          <cell r="A183" t="str">
            <v>EMP00001</v>
          </cell>
          <cell r="D183" t="str">
            <v>EM00909</v>
          </cell>
        </row>
        <row r="184">
          <cell r="A184" t="str">
            <v>EMP00002</v>
          </cell>
          <cell r="D184" t="str">
            <v>EM01009</v>
          </cell>
        </row>
        <row r="185">
          <cell r="A185" t="str">
            <v>EMP00003</v>
          </cell>
          <cell r="D185" t="str">
            <v>EM01010</v>
          </cell>
        </row>
        <row r="186">
          <cell r="A186" t="str">
            <v>EMP00004</v>
          </cell>
          <cell r="D186" t="str">
            <v>EM13809</v>
          </cell>
        </row>
        <row r="187">
          <cell r="A187" t="str">
            <v>ENV00001</v>
          </cell>
          <cell r="D187" t="str">
            <v>EN16012</v>
          </cell>
        </row>
        <row r="188">
          <cell r="A188" t="str">
            <v>ENV00002</v>
          </cell>
          <cell r="D188" t="str">
            <v>EN16112</v>
          </cell>
        </row>
        <row r="189">
          <cell r="A189" t="str">
            <v>ENV00003</v>
          </cell>
          <cell r="D189" t="str">
            <v>EN16387</v>
          </cell>
        </row>
        <row r="190">
          <cell r="A190" t="str">
            <v>ENV00004</v>
          </cell>
          <cell r="D190" t="str">
            <v>EN16389</v>
          </cell>
        </row>
        <row r="191">
          <cell r="A191" t="str">
            <v>ENV00005</v>
          </cell>
          <cell r="D191" t="str">
            <v>EN16390</v>
          </cell>
        </row>
        <row r="192">
          <cell r="A192" t="str">
            <v>ENV00006</v>
          </cell>
          <cell r="D192" t="str">
            <v>EN16391</v>
          </cell>
        </row>
        <row r="193">
          <cell r="A193" t="str">
            <v>ENV00007</v>
          </cell>
          <cell r="D193" t="str">
            <v>EN16392</v>
          </cell>
        </row>
        <row r="194">
          <cell r="A194" t="str">
            <v>EPP00001</v>
          </cell>
          <cell r="D194" t="str">
            <v>CCD00001</v>
          </cell>
        </row>
        <row r="195">
          <cell r="A195" t="str">
            <v>EPP00002</v>
          </cell>
          <cell r="D195" t="str">
            <v>GED00001</v>
          </cell>
        </row>
        <row r="196">
          <cell r="A196" t="str">
            <v>EPP00003</v>
          </cell>
          <cell r="D196" t="str">
            <v>MAS00001</v>
          </cell>
        </row>
        <row r="197">
          <cell r="A197" t="str">
            <v>EPP00004</v>
          </cell>
          <cell r="D197" t="str">
            <v>MAS00002</v>
          </cell>
        </row>
        <row r="198">
          <cell r="A198" t="str">
            <v>EPP00005</v>
          </cell>
          <cell r="D198" t="str">
            <v>PEC00001</v>
          </cell>
        </row>
        <row r="199">
          <cell r="A199" t="str">
            <v>EPP00006</v>
          </cell>
          <cell r="D199" t="str">
            <v>PEC00363</v>
          </cell>
        </row>
        <row r="200">
          <cell r="A200" t="str">
            <v>EPP00007</v>
          </cell>
          <cell r="D200" t="str">
            <v>PEC00364</v>
          </cell>
        </row>
        <row r="201">
          <cell r="A201" t="str">
            <v>EPP00008</v>
          </cell>
          <cell r="D201" t="str">
            <v>PEC00365</v>
          </cell>
        </row>
        <row r="202">
          <cell r="A202" t="str">
            <v>EST00001</v>
          </cell>
          <cell r="D202" t="str">
            <v>EST00019</v>
          </cell>
        </row>
        <row r="203">
          <cell r="A203" t="str">
            <v>EST00002</v>
          </cell>
          <cell r="D203" t="str">
            <v>EST00001</v>
          </cell>
        </row>
        <row r="204">
          <cell r="A204" t="str">
            <v>EST00003</v>
          </cell>
          <cell r="D204" t="str">
            <v>EST00002</v>
          </cell>
        </row>
        <row r="205">
          <cell r="A205" t="str">
            <v>EST00004</v>
          </cell>
          <cell r="D205" t="str">
            <v>EST00003</v>
          </cell>
        </row>
        <row r="206">
          <cell r="A206" t="str">
            <v>EST00005</v>
          </cell>
          <cell r="D206" t="str">
            <v>EST00008</v>
          </cell>
        </row>
        <row r="207">
          <cell r="A207" t="str">
            <v>EST00006</v>
          </cell>
          <cell r="D207" t="str">
            <v>EST00004</v>
          </cell>
        </row>
        <row r="208">
          <cell r="A208" t="str">
            <v>EST00007</v>
          </cell>
          <cell r="D208" t="str">
            <v>EST00021</v>
          </cell>
        </row>
        <row r="209">
          <cell r="A209" t="str">
            <v>EST00008</v>
          </cell>
          <cell r="D209" t="str">
            <v>EST00020</v>
          </cell>
        </row>
        <row r="210">
          <cell r="A210" t="str">
            <v>EST00009</v>
          </cell>
          <cell r="D210" t="str">
            <v>EST00011</v>
          </cell>
        </row>
        <row r="211">
          <cell r="A211" t="str">
            <v>EST00010</v>
          </cell>
          <cell r="D211" t="str">
            <v>EST00012</v>
          </cell>
        </row>
        <row r="212">
          <cell r="A212" t="str">
            <v>EST00011</v>
          </cell>
          <cell r="D212" t="str">
            <v>EST00009</v>
          </cell>
        </row>
        <row r="213">
          <cell r="A213" t="str">
            <v>EST00012</v>
          </cell>
          <cell r="D213" t="str">
            <v>EST00014</v>
          </cell>
        </row>
        <row r="214">
          <cell r="A214" t="str">
            <v>EST00013</v>
          </cell>
          <cell r="D214" t="str">
            <v>EST00010</v>
          </cell>
        </row>
        <row r="215">
          <cell r="A215" t="str">
            <v>EST00014</v>
          </cell>
          <cell r="D215" t="str">
            <v>EST00016</v>
          </cell>
        </row>
        <row r="216">
          <cell r="A216" t="str">
            <v>EST00015</v>
          </cell>
          <cell r="D216" t="str">
            <v>EST00017</v>
          </cell>
        </row>
        <row r="217">
          <cell r="A217" t="str">
            <v>EST00016</v>
          </cell>
          <cell r="D217" t="str">
            <v>EST00022</v>
          </cell>
        </row>
        <row r="218">
          <cell r="A218" t="str">
            <v>EST00017</v>
          </cell>
          <cell r="D218" t="str">
            <v>EST00018</v>
          </cell>
        </row>
        <row r="219">
          <cell r="A219" t="str">
            <v>ETI00001</v>
          </cell>
          <cell r="D219" t="str">
            <v>EM03505</v>
          </cell>
        </row>
        <row r="220">
          <cell r="A220" t="str">
            <v>ETI00002</v>
          </cell>
          <cell r="D220" t="str">
            <v>EM03605</v>
          </cell>
        </row>
        <row r="221">
          <cell r="A221" t="str">
            <v>ETI00003</v>
          </cell>
          <cell r="D221" t="str">
            <v>EM03705</v>
          </cell>
        </row>
        <row r="222">
          <cell r="A222" t="str">
            <v>ETI00004</v>
          </cell>
          <cell r="D222" t="str">
            <v>EM03805</v>
          </cell>
        </row>
        <row r="223">
          <cell r="A223" t="str">
            <v>ETI00005</v>
          </cell>
          <cell r="D223" t="str">
            <v>EM14005</v>
          </cell>
        </row>
        <row r="224">
          <cell r="A224" t="str">
            <v>ETI00006</v>
          </cell>
          <cell r="D224" t="str">
            <v>ETI00006</v>
          </cell>
        </row>
        <row r="225">
          <cell r="A225" t="str">
            <v>FIL00001</v>
          </cell>
          <cell r="D225" t="str">
            <v>CO09703</v>
          </cell>
        </row>
        <row r="226">
          <cell r="A226" t="str">
            <v>FIL00002</v>
          </cell>
          <cell r="D226" t="str">
            <v>CO18703</v>
          </cell>
        </row>
        <row r="227">
          <cell r="A227" t="str">
            <v>FNE00001</v>
          </cell>
          <cell r="D227" t="str">
            <v>FNPC-300</v>
          </cell>
        </row>
        <row r="228">
          <cell r="A228" t="str">
            <v>FNE00002</v>
          </cell>
          <cell r="D228" t="str">
            <v>FNP-300</v>
          </cell>
        </row>
        <row r="229">
          <cell r="A229" t="str">
            <v>GAN00001</v>
          </cell>
          <cell r="D229" t="str">
            <v>GAN00338</v>
          </cell>
        </row>
        <row r="230">
          <cell r="A230" t="str">
            <v>GEL00001</v>
          </cell>
          <cell r="D230" t="str">
            <v>GEL00001</v>
          </cell>
        </row>
        <row r="231">
          <cell r="A231" t="str">
            <v>GEL00002</v>
          </cell>
          <cell r="D231" t="str">
            <v>GEL00002</v>
          </cell>
        </row>
        <row r="232">
          <cell r="A232" t="str">
            <v>GEL00003</v>
          </cell>
          <cell r="D232" t="str">
            <v>GEL00003</v>
          </cell>
        </row>
        <row r="233">
          <cell r="A233" t="str">
            <v>GLE00001</v>
          </cell>
          <cell r="D233" t="str">
            <v>GLE00001</v>
          </cell>
        </row>
        <row r="234">
          <cell r="A234" t="str">
            <v>GLE00002</v>
          </cell>
          <cell r="D234" t="str">
            <v>GLE00002</v>
          </cell>
        </row>
        <row r="235">
          <cell r="A235" t="str">
            <v>GLE00003</v>
          </cell>
          <cell r="D235" t="str">
            <v>GLE00003</v>
          </cell>
        </row>
        <row r="236">
          <cell r="A236" t="str">
            <v>GLE00004</v>
          </cell>
          <cell r="D236" t="str">
            <v>GLE00004</v>
          </cell>
        </row>
        <row r="237">
          <cell r="A237" t="str">
            <v>GLE00005</v>
          </cell>
          <cell r="D237" t="str">
            <v>IN11413</v>
          </cell>
        </row>
        <row r="238">
          <cell r="A238" t="str">
            <v>GLP00001</v>
          </cell>
          <cell r="D238" t="str">
            <v>GLP00001</v>
          </cell>
        </row>
        <row r="239">
          <cell r="A239" t="str">
            <v>GLP00002</v>
          </cell>
          <cell r="D239" t="str">
            <v>GLP00002</v>
          </cell>
        </row>
        <row r="240">
          <cell r="A240" t="str">
            <v>GLP00003</v>
          </cell>
          <cell r="D240" t="str">
            <v>GLP00003</v>
          </cell>
        </row>
        <row r="241">
          <cell r="A241" t="str">
            <v>GLP00004</v>
          </cell>
          <cell r="D241" t="str">
            <v>GLP00004</v>
          </cell>
        </row>
        <row r="242">
          <cell r="A242" t="str">
            <v>GNP00001</v>
          </cell>
          <cell r="D242" t="str">
            <v>GNP00001</v>
          </cell>
        </row>
        <row r="243">
          <cell r="A243" t="str">
            <v>GNP00002</v>
          </cell>
          <cell r="D243" t="str">
            <v>GNP00002</v>
          </cell>
        </row>
        <row r="244">
          <cell r="A244" t="str">
            <v>GNP00003</v>
          </cell>
          <cell r="D244" t="str">
            <v>GNP00003</v>
          </cell>
        </row>
        <row r="245">
          <cell r="A245" t="str">
            <v>GNP00004</v>
          </cell>
          <cell r="D245" t="str">
            <v>GNP00004</v>
          </cell>
        </row>
        <row r="246">
          <cell r="A246" t="str">
            <v>GNP00005</v>
          </cell>
          <cell r="D246" t="str">
            <v>GNP00005</v>
          </cell>
        </row>
        <row r="247">
          <cell r="A247" t="str">
            <v>GSA00001</v>
          </cell>
          <cell r="D247" t="str">
            <v>GSA00004</v>
          </cell>
        </row>
        <row r="248">
          <cell r="A248" t="str">
            <v>GSA00002</v>
          </cell>
          <cell r="D248" t="str">
            <v>GSA00005</v>
          </cell>
        </row>
        <row r="249">
          <cell r="A249" t="str">
            <v>GSA00003</v>
          </cell>
          <cell r="D249" t="str">
            <v>GSA00006</v>
          </cell>
        </row>
        <row r="250">
          <cell r="A250" t="str">
            <v>GSA00004</v>
          </cell>
          <cell r="D250" t="str">
            <v>GA15812</v>
          </cell>
        </row>
        <row r="251">
          <cell r="A251" t="str">
            <v>GSA00005</v>
          </cell>
          <cell r="D251" t="str">
            <v>GA15912</v>
          </cell>
        </row>
        <row r="252">
          <cell r="A252" t="str">
            <v>GSA00006</v>
          </cell>
          <cell r="D252" t="str">
            <v>GSA00007</v>
          </cell>
        </row>
        <row r="253">
          <cell r="A253" t="str">
            <v>GSA00007</v>
          </cell>
          <cell r="D253" t="str">
            <v>GSA00008</v>
          </cell>
        </row>
        <row r="254">
          <cell r="A254" t="str">
            <v>GSA00008</v>
          </cell>
          <cell r="D254" t="str">
            <v>GSA00009</v>
          </cell>
        </row>
        <row r="255">
          <cell r="A255" t="str">
            <v>GSA00009</v>
          </cell>
          <cell r="D255" t="str">
            <v>GSA00009</v>
          </cell>
        </row>
        <row r="256">
          <cell r="A256" t="str">
            <v>GUN00001</v>
          </cell>
          <cell r="D256" t="str">
            <v>GU18313</v>
          </cell>
        </row>
        <row r="257">
          <cell r="A257" t="str">
            <v>GUN00002</v>
          </cell>
          <cell r="D257" t="str">
            <v>GU18813</v>
          </cell>
        </row>
        <row r="258">
          <cell r="A258" t="str">
            <v>HIS00001</v>
          </cell>
          <cell r="D258" t="str">
            <v>HIS00001</v>
          </cell>
        </row>
        <row r="259">
          <cell r="A259" t="str">
            <v>HIS00002</v>
          </cell>
          <cell r="D259" t="str">
            <v>HIS00002</v>
          </cell>
        </row>
        <row r="260">
          <cell r="A260" t="str">
            <v>ICM00001</v>
          </cell>
          <cell r="D260" t="str">
            <v>ICM00001</v>
          </cell>
        </row>
        <row r="261">
          <cell r="A261" t="str">
            <v>IND00001</v>
          </cell>
          <cell r="D261" t="str">
            <v>IND00002</v>
          </cell>
        </row>
        <row r="262">
          <cell r="A262" t="str">
            <v>IND00002</v>
          </cell>
          <cell r="D262" t="str">
            <v>IND00003</v>
          </cell>
        </row>
        <row r="263">
          <cell r="A263" t="str">
            <v>IND00003</v>
          </cell>
          <cell r="D263" t="str">
            <v>IND00004</v>
          </cell>
        </row>
        <row r="264">
          <cell r="A264" t="str">
            <v>IND00004</v>
          </cell>
          <cell r="D264" t="str">
            <v>EO16312</v>
          </cell>
        </row>
        <row r="265">
          <cell r="A265" t="str">
            <v>IND00005</v>
          </cell>
          <cell r="D265" t="str">
            <v>IND00005</v>
          </cell>
        </row>
        <row r="266">
          <cell r="A266" t="str">
            <v>IND00006</v>
          </cell>
          <cell r="D266" t="str">
            <v>IND00006</v>
          </cell>
        </row>
        <row r="267">
          <cell r="A267" t="str">
            <v>IND00007</v>
          </cell>
          <cell r="D267" t="str">
            <v>IND00007</v>
          </cell>
        </row>
        <row r="268">
          <cell r="A268" t="str">
            <v>INF00001</v>
          </cell>
          <cell r="D268" t="str">
            <v>INF00001</v>
          </cell>
        </row>
        <row r="269">
          <cell r="A269" t="str">
            <v>INF00002</v>
          </cell>
          <cell r="D269" t="str">
            <v>INF00002</v>
          </cell>
        </row>
        <row r="270">
          <cell r="A270" t="str">
            <v>INK00001</v>
          </cell>
          <cell r="D270" t="str">
            <v>INK00001</v>
          </cell>
        </row>
        <row r="271">
          <cell r="A271" t="str">
            <v>INK00002</v>
          </cell>
          <cell r="D271" t="str">
            <v>INK00002</v>
          </cell>
        </row>
        <row r="272">
          <cell r="A272" t="str">
            <v>INP00001</v>
          </cell>
          <cell r="D272" t="str">
            <v>INP00001</v>
          </cell>
        </row>
        <row r="273">
          <cell r="A273" t="str">
            <v>INP00002</v>
          </cell>
          <cell r="D273" t="str">
            <v>INP00002</v>
          </cell>
        </row>
        <row r="274">
          <cell r="A274" t="str">
            <v>INP00003</v>
          </cell>
          <cell r="D274" t="str">
            <v>INP00003</v>
          </cell>
        </row>
        <row r="275">
          <cell r="A275" t="str">
            <v>INP00004</v>
          </cell>
          <cell r="D275" t="str">
            <v>INP00004</v>
          </cell>
        </row>
        <row r="276">
          <cell r="A276" t="str">
            <v>INP00005</v>
          </cell>
          <cell r="D276" t="str">
            <v>INP00005</v>
          </cell>
        </row>
        <row r="277">
          <cell r="A277" t="str">
            <v>INQ00001</v>
          </cell>
          <cell r="D277" t="str">
            <v>LJF00001</v>
          </cell>
        </row>
        <row r="278">
          <cell r="A278" t="str">
            <v>INQ00002</v>
          </cell>
          <cell r="D278" t="str">
            <v>LJF00002</v>
          </cell>
        </row>
        <row r="279">
          <cell r="A279" t="str">
            <v>INQ00003</v>
          </cell>
          <cell r="D279" t="str">
            <v>TI15512</v>
          </cell>
        </row>
        <row r="280">
          <cell r="A280" t="str">
            <v>INQ00004</v>
          </cell>
          <cell r="D280" t="str">
            <v>LJF00003</v>
          </cell>
        </row>
        <row r="281">
          <cell r="A281" t="str">
            <v>INQ00005</v>
          </cell>
          <cell r="D281" t="str">
            <v>LJF00004</v>
          </cell>
        </row>
        <row r="282">
          <cell r="A282" t="str">
            <v>INQ00006</v>
          </cell>
          <cell r="D282" t="str">
            <v>TABD0477</v>
          </cell>
        </row>
        <row r="283">
          <cell r="A283" t="str">
            <v>INQ00007</v>
          </cell>
          <cell r="D283" t="str">
            <v>TABH1111</v>
          </cell>
        </row>
        <row r="284">
          <cell r="A284" t="str">
            <v>INQ00008</v>
          </cell>
          <cell r="D284" t="str">
            <v>TABM2355</v>
          </cell>
        </row>
        <row r="285">
          <cell r="A285" t="str">
            <v>INQ00009</v>
          </cell>
          <cell r="D285" t="str">
            <v>TABD5577</v>
          </cell>
        </row>
        <row r="286">
          <cell r="A286" t="str">
            <v>INQ00010</v>
          </cell>
          <cell r="D286" t="str">
            <v>TABC6055</v>
          </cell>
        </row>
        <row r="287">
          <cell r="A287" t="str">
            <v>INQ00011</v>
          </cell>
          <cell r="D287" t="str">
            <v>BIS00001</v>
          </cell>
        </row>
        <row r="288">
          <cell r="A288" t="str">
            <v>INQ00012</v>
          </cell>
          <cell r="D288" t="str">
            <v>TABH1355</v>
          </cell>
        </row>
        <row r="289">
          <cell r="A289" t="str">
            <v>INQ00013</v>
          </cell>
          <cell r="D289" t="str">
            <v>PI18812</v>
          </cell>
        </row>
        <row r="290">
          <cell r="A290" t="str">
            <v>INQ00014</v>
          </cell>
          <cell r="D290" t="str">
            <v>INQ00014</v>
          </cell>
        </row>
        <row r="291">
          <cell r="A291" t="str">
            <v>INQ00015</v>
          </cell>
          <cell r="D291" t="str">
            <v>INQ00015</v>
          </cell>
        </row>
        <row r="292">
          <cell r="A292" t="str">
            <v>INQ00016</v>
          </cell>
          <cell r="D292" t="str">
            <v>INQ00016</v>
          </cell>
        </row>
        <row r="293">
          <cell r="A293" t="str">
            <v>INQ00017</v>
          </cell>
          <cell r="D293" t="str">
            <v>INQ00017</v>
          </cell>
        </row>
        <row r="294">
          <cell r="A294" t="str">
            <v>INS00001</v>
          </cell>
          <cell r="D294" t="str">
            <v>IN10705</v>
          </cell>
        </row>
        <row r="295">
          <cell r="A295" t="str">
            <v>INS00002</v>
          </cell>
          <cell r="D295" t="str">
            <v>IN10819</v>
          </cell>
        </row>
        <row r="296">
          <cell r="A296" t="str">
            <v>INS00003</v>
          </cell>
          <cell r="D296" t="str">
            <v>IN10919</v>
          </cell>
        </row>
        <row r="297">
          <cell r="A297" t="str">
            <v>INS00004</v>
          </cell>
          <cell r="D297" t="str">
            <v>IN11920</v>
          </cell>
        </row>
        <row r="298">
          <cell r="A298" t="str">
            <v>INS00005</v>
          </cell>
          <cell r="D298" t="str">
            <v>IN12020</v>
          </cell>
        </row>
        <row r="299">
          <cell r="A299" t="str">
            <v>INS00006</v>
          </cell>
          <cell r="D299" t="str">
            <v>IN14513</v>
          </cell>
        </row>
        <row r="300">
          <cell r="A300" t="str">
            <v>INS00007</v>
          </cell>
          <cell r="D300" t="str">
            <v>INS00007</v>
          </cell>
        </row>
        <row r="301">
          <cell r="A301" t="str">
            <v>INS00008</v>
          </cell>
          <cell r="D301" t="str">
            <v>INS00008</v>
          </cell>
        </row>
        <row r="302">
          <cell r="A302" t="str">
            <v>INS00009</v>
          </cell>
          <cell r="D302" t="str">
            <v>INS00009</v>
          </cell>
        </row>
        <row r="303">
          <cell r="A303" t="str">
            <v>INS00010</v>
          </cell>
          <cell r="D303" t="str">
            <v>INS00010</v>
          </cell>
        </row>
        <row r="304">
          <cell r="A304" t="str">
            <v>INS00011</v>
          </cell>
          <cell r="D304" t="str">
            <v>INS00011</v>
          </cell>
        </row>
        <row r="305">
          <cell r="A305" t="str">
            <v>INS00012</v>
          </cell>
        </row>
        <row r="306">
          <cell r="A306" t="str">
            <v>INS00013</v>
          </cell>
        </row>
        <row r="307">
          <cell r="A307" t="str">
            <v>INS00014</v>
          </cell>
        </row>
        <row r="308">
          <cell r="A308" t="str">
            <v>INS00015</v>
          </cell>
        </row>
        <row r="309">
          <cell r="A309" t="str">
            <v>INS00016</v>
          </cell>
        </row>
        <row r="310">
          <cell r="A310" t="str">
            <v>INS00017</v>
          </cell>
          <cell r="D310" t="str">
            <v>INS00017</v>
          </cell>
        </row>
        <row r="311">
          <cell r="A311" t="str">
            <v>JER00001</v>
          </cell>
          <cell r="D311" t="str">
            <v>JER00001</v>
          </cell>
        </row>
        <row r="312">
          <cell r="A312" t="str">
            <v>JER00002</v>
          </cell>
          <cell r="D312" t="str">
            <v>JER00002</v>
          </cell>
        </row>
        <row r="313">
          <cell r="A313" t="str">
            <v>JER00003</v>
          </cell>
          <cell r="D313" t="str">
            <v>JER00003</v>
          </cell>
        </row>
        <row r="314">
          <cell r="A314" t="str">
            <v>JER00004</v>
          </cell>
          <cell r="D314" t="str">
            <v>JER00004</v>
          </cell>
        </row>
        <row r="315">
          <cell r="A315" t="str">
            <v>JER00005</v>
          </cell>
          <cell r="D315" t="str">
            <v>JER00005</v>
          </cell>
        </row>
        <row r="316">
          <cell r="A316" t="str">
            <v>JER00006</v>
          </cell>
          <cell r="D316" t="str">
            <v>JER00006</v>
          </cell>
        </row>
        <row r="317">
          <cell r="A317" t="str">
            <v>JER00007</v>
          </cell>
          <cell r="D317" t="str">
            <v>JER00007</v>
          </cell>
        </row>
        <row r="318">
          <cell r="A318" t="str">
            <v>JER00008</v>
          </cell>
          <cell r="D318" t="str">
            <v>JER00008</v>
          </cell>
        </row>
        <row r="319">
          <cell r="A319" t="str">
            <v>JER00009</v>
          </cell>
          <cell r="D319" t="str">
            <v>JER00009</v>
          </cell>
        </row>
        <row r="320">
          <cell r="A320" t="str">
            <v>JER00010</v>
          </cell>
          <cell r="D320" t="str">
            <v>JER00010</v>
          </cell>
        </row>
        <row r="321">
          <cell r="A321" t="str">
            <v>JER00011</v>
          </cell>
          <cell r="D321" t="str">
            <v>JER00011</v>
          </cell>
        </row>
        <row r="322">
          <cell r="A322" t="str">
            <v>JER00012</v>
          </cell>
          <cell r="D322" t="str">
            <v>JER00012</v>
          </cell>
        </row>
        <row r="323">
          <cell r="A323" t="str">
            <v>JER00013</v>
          </cell>
          <cell r="D323" t="str">
            <v>JER00013</v>
          </cell>
        </row>
        <row r="324">
          <cell r="A324" t="str">
            <v>JER00014</v>
          </cell>
          <cell r="D324" t="str">
            <v>JER00014</v>
          </cell>
        </row>
        <row r="325">
          <cell r="A325" t="str">
            <v>JER00015</v>
          </cell>
          <cell r="D325" t="str">
            <v>JER00015</v>
          </cell>
        </row>
        <row r="326">
          <cell r="A326" t="str">
            <v>JER00016</v>
          </cell>
          <cell r="D326" t="str">
            <v>JER00016</v>
          </cell>
        </row>
        <row r="327">
          <cell r="A327" t="str">
            <v>JER00017</v>
          </cell>
          <cell r="D327" t="str">
            <v>JER00017</v>
          </cell>
        </row>
        <row r="328">
          <cell r="A328" t="str">
            <v>JER00018</v>
          </cell>
          <cell r="D328" t="str">
            <v>JER00018</v>
          </cell>
        </row>
        <row r="329">
          <cell r="A329" t="str">
            <v>KNE00001</v>
          </cell>
          <cell r="D329" t="str">
            <v>RIE00001</v>
          </cell>
        </row>
        <row r="330">
          <cell r="A330" t="str">
            <v>KNE00002</v>
          </cell>
          <cell r="D330" t="str">
            <v>RIE00001E</v>
          </cell>
        </row>
        <row r="331">
          <cell r="A331" t="str">
            <v>KNE00003</v>
          </cell>
          <cell r="D331" t="str">
            <v>KNE00275</v>
          </cell>
        </row>
        <row r="332">
          <cell r="A332" t="str">
            <v>KNE00004</v>
          </cell>
          <cell r="D332" t="str">
            <v>KNE00277IN</v>
          </cell>
        </row>
        <row r="333">
          <cell r="A333" t="str">
            <v>KNE00005</v>
          </cell>
          <cell r="D333" t="str">
            <v>KNE00277B</v>
          </cell>
        </row>
        <row r="334">
          <cell r="A334" t="str">
            <v>KNE00006</v>
          </cell>
          <cell r="D334" t="str">
            <v>KNE00278IN</v>
          </cell>
        </row>
        <row r="335">
          <cell r="A335" t="str">
            <v>KNE00007</v>
          </cell>
          <cell r="D335" t="str">
            <v>KNE00278ACH</v>
          </cell>
        </row>
        <row r="336">
          <cell r="A336" t="str">
            <v>KNE00008</v>
          </cell>
          <cell r="D336" t="str">
            <v>KNE00279</v>
          </cell>
        </row>
        <row r="337">
          <cell r="A337" t="str">
            <v>KNE00009</v>
          </cell>
          <cell r="D337" t="str">
            <v>KNE00279OR</v>
          </cell>
        </row>
        <row r="338">
          <cell r="A338" t="str">
            <v>KNE00010</v>
          </cell>
          <cell r="D338" t="str">
            <v>KNE00280</v>
          </cell>
        </row>
        <row r="339">
          <cell r="A339" t="str">
            <v>KNE00011</v>
          </cell>
          <cell r="D339" t="str">
            <v>KNE00280OR</v>
          </cell>
        </row>
        <row r="340">
          <cell r="A340" t="str">
            <v>KNE00012</v>
          </cell>
          <cell r="D340" t="str">
            <v>KNE00281IN</v>
          </cell>
        </row>
        <row r="341">
          <cell r="A341" t="str">
            <v>KNE00013</v>
          </cell>
          <cell r="D341" t="str">
            <v>KNE00282</v>
          </cell>
        </row>
        <row r="342">
          <cell r="A342" t="str">
            <v>KNE00014</v>
          </cell>
          <cell r="D342" t="str">
            <v>KNE00283</v>
          </cell>
        </row>
        <row r="343">
          <cell r="A343" t="str">
            <v>KNE00015</v>
          </cell>
          <cell r="D343" t="str">
            <v>KNE00314</v>
          </cell>
        </row>
        <row r="344">
          <cell r="A344" t="str">
            <v>KNE00016</v>
          </cell>
          <cell r="D344" t="str">
            <v>KNE00316</v>
          </cell>
        </row>
        <row r="345">
          <cell r="A345" t="str">
            <v>KNE00017</v>
          </cell>
          <cell r="D345" t="str">
            <v>KNE00317</v>
          </cell>
        </row>
        <row r="346">
          <cell r="A346" t="str">
            <v>KNE00018</v>
          </cell>
          <cell r="D346" t="str">
            <v>KNE00318</v>
          </cell>
        </row>
        <row r="347">
          <cell r="A347" t="str">
            <v>KNE00019</v>
          </cell>
          <cell r="D347" t="str">
            <v>KNE00319IN</v>
          </cell>
        </row>
        <row r="348">
          <cell r="A348" t="str">
            <v>KNE00020</v>
          </cell>
          <cell r="D348" t="str">
            <v>KNE00319B</v>
          </cell>
        </row>
        <row r="349">
          <cell r="A349" t="str">
            <v>KNE00021</v>
          </cell>
          <cell r="D349" t="str">
            <v>KNE00322IN</v>
          </cell>
        </row>
        <row r="350">
          <cell r="A350" t="str">
            <v>KNE00022</v>
          </cell>
          <cell r="D350" t="str">
            <v>KNE00323</v>
          </cell>
        </row>
        <row r="351">
          <cell r="A351" t="str">
            <v>KNE00023</v>
          </cell>
          <cell r="D351" t="str">
            <v>KNE00324IN</v>
          </cell>
        </row>
        <row r="352">
          <cell r="A352" t="str">
            <v>KNE00024</v>
          </cell>
          <cell r="D352" t="str">
            <v>KNE00325IN</v>
          </cell>
        </row>
        <row r="353">
          <cell r="A353" t="str">
            <v>KNE00025</v>
          </cell>
          <cell r="D353" t="str">
            <v>KNE00326</v>
          </cell>
        </row>
        <row r="354">
          <cell r="A354" t="str">
            <v>KNE00026</v>
          </cell>
          <cell r="D354" t="str">
            <v>KNE00335</v>
          </cell>
        </row>
        <row r="355">
          <cell r="A355" t="str">
            <v>KNE00027</v>
          </cell>
          <cell r="D355" t="str">
            <v>KNE00336IN</v>
          </cell>
        </row>
        <row r="356">
          <cell r="A356" t="str">
            <v>KNE00028</v>
          </cell>
          <cell r="D356" t="str">
            <v>KNE00337IN</v>
          </cell>
        </row>
        <row r="357">
          <cell r="A357" t="str">
            <v>KNE00029</v>
          </cell>
          <cell r="D357" t="str">
            <v>KNE00339</v>
          </cell>
        </row>
        <row r="358">
          <cell r="A358" t="str">
            <v>KNE00030</v>
          </cell>
          <cell r="D358" t="str">
            <v>KNE00342</v>
          </cell>
        </row>
        <row r="359">
          <cell r="A359" t="str">
            <v>KNE00031</v>
          </cell>
          <cell r="D359" t="str">
            <v>KNE00343</v>
          </cell>
        </row>
        <row r="360">
          <cell r="A360" t="str">
            <v>KNE00032</v>
          </cell>
          <cell r="D360" t="str">
            <v>KNE00344</v>
          </cell>
        </row>
        <row r="361">
          <cell r="A361" t="str">
            <v>KNE00033</v>
          </cell>
          <cell r="D361" t="str">
            <v>KNE00350</v>
          </cell>
        </row>
        <row r="362">
          <cell r="A362" t="str">
            <v>KNE00034</v>
          </cell>
          <cell r="D362" t="str">
            <v>KNE00354</v>
          </cell>
        </row>
        <row r="363">
          <cell r="A363" t="str">
            <v>KNE00035</v>
          </cell>
          <cell r="D363" t="str">
            <v>KNE00355</v>
          </cell>
        </row>
        <row r="364">
          <cell r="A364" t="str">
            <v>KNE00036</v>
          </cell>
          <cell r="D364" t="str">
            <v>KNE00367</v>
          </cell>
        </row>
        <row r="365">
          <cell r="A365" t="str">
            <v>KNE00037</v>
          </cell>
          <cell r="D365" t="str">
            <v>KNE00369</v>
          </cell>
        </row>
        <row r="366">
          <cell r="A366" t="str">
            <v>KNE00038</v>
          </cell>
          <cell r="D366" t="str">
            <v>KNE00375</v>
          </cell>
        </row>
        <row r="367">
          <cell r="A367" t="str">
            <v>KNE00039</v>
          </cell>
          <cell r="D367" t="str">
            <v>KNE00378</v>
          </cell>
        </row>
        <row r="368">
          <cell r="A368" t="str">
            <v>KNE00040</v>
          </cell>
          <cell r="D368" t="str">
            <v>KNE00379</v>
          </cell>
        </row>
        <row r="369">
          <cell r="A369" t="str">
            <v>KNE00041</v>
          </cell>
          <cell r="D369" t="str">
            <v>KNE00383IN</v>
          </cell>
        </row>
        <row r="370">
          <cell r="A370" t="str">
            <v>KNE00042</v>
          </cell>
          <cell r="D370" t="str">
            <v>KNE00398</v>
          </cell>
        </row>
        <row r="371">
          <cell r="A371" t="str">
            <v>KNE00043</v>
          </cell>
          <cell r="D371" t="str">
            <v>KNE00398OR</v>
          </cell>
        </row>
        <row r="372">
          <cell r="A372" t="str">
            <v>KNE00044</v>
          </cell>
          <cell r="D372" t="str">
            <v>KNE00399</v>
          </cell>
        </row>
        <row r="373">
          <cell r="A373" t="str">
            <v>KNE00045</v>
          </cell>
          <cell r="D373" t="str">
            <v>KNE00399OR</v>
          </cell>
        </row>
        <row r="374">
          <cell r="A374" t="str">
            <v>KNE00046</v>
          </cell>
          <cell r="D374" t="str">
            <v>KNE00400</v>
          </cell>
        </row>
        <row r="375">
          <cell r="A375" t="str">
            <v>KNE00047</v>
          </cell>
          <cell r="D375" t="str">
            <v>KNE00400OR</v>
          </cell>
        </row>
        <row r="376">
          <cell r="A376" t="str">
            <v>KNE00048</v>
          </cell>
          <cell r="D376" t="str">
            <v>KNE00401</v>
          </cell>
        </row>
        <row r="377">
          <cell r="A377" t="str">
            <v>KNE00049</v>
          </cell>
          <cell r="D377" t="str">
            <v>KNE00402</v>
          </cell>
        </row>
        <row r="378">
          <cell r="A378" t="str">
            <v>KNE00050</v>
          </cell>
          <cell r="D378" t="str">
            <v>KNE00404</v>
          </cell>
        </row>
        <row r="379">
          <cell r="A379" t="str">
            <v>KNE00051</v>
          </cell>
          <cell r="D379" t="str">
            <v>KNE00404OR</v>
          </cell>
        </row>
        <row r="380">
          <cell r="A380" t="str">
            <v>KNE00052</v>
          </cell>
          <cell r="D380" t="str">
            <v>KNE00405</v>
          </cell>
        </row>
        <row r="381">
          <cell r="A381" t="str">
            <v>KNE00053</v>
          </cell>
          <cell r="D381" t="str">
            <v>KNE00405OR</v>
          </cell>
        </row>
        <row r="382">
          <cell r="A382" t="str">
            <v>KNE00054</v>
          </cell>
          <cell r="D382" t="str">
            <v>KNE00406IN</v>
          </cell>
        </row>
        <row r="383">
          <cell r="A383" t="str">
            <v>KNE00055</v>
          </cell>
          <cell r="D383" t="str">
            <v>KNE00407</v>
          </cell>
        </row>
        <row r="384">
          <cell r="A384" t="str">
            <v>KNE00056</v>
          </cell>
          <cell r="D384" t="str">
            <v>KNE00408</v>
          </cell>
        </row>
        <row r="385">
          <cell r="A385" t="str">
            <v>KNE00057</v>
          </cell>
          <cell r="D385" t="str">
            <v>KNE00412IN</v>
          </cell>
        </row>
        <row r="386">
          <cell r="A386" t="str">
            <v>KNE00058</v>
          </cell>
          <cell r="D386" t="str">
            <v>KNE00413</v>
          </cell>
        </row>
        <row r="387">
          <cell r="A387" t="str">
            <v>KNE00059</v>
          </cell>
          <cell r="D387" t="str">
            <v>KNE00415</v>
          </cell>
        </row>
        <row r="388">
          <cell r="A388" t="str">
            <v>KNE00060</v>
          </cell>
          <cell r="D388" t="str">
            <v>KNE00416</v>
          </cell>
        </row>
        <row r="389">
          <cell r="A389" t="str">
            <v>KNE00061</v>
          </cell>
          <cell r="D389" t="str">
            <v>KNE00419</v>
          </cell>
        </row>
        <row r="390">
          <cell r="A390" t="str">
            <v>KNE00062</v>
          </cell>
          <cell r="D390" t="str">
            <v>KNE00420</v>
          </cell>
        </row>
        <row r="391">
          <cell r="A391" t="str">
            <v>KNE00063</v>
          </cell>
          <cell r="D391" t="str">
            <v>KNE00421</v>
          </cell>
        </row>
        <row r="392">
          <cell r="A392" t="str">
            <v>KNE00064</v>
          </cell>
          <cell r="D392" t="str">
            <v>KNE00422</v>
          </cell>
        </row>
        <row r="393">
          <cell r="A393" t="str">
            <v>KNE00065</v>
          </cell>
          <cell r="D393" t="str">
            <v>KNE00423</v>
          </cell>
        </row>
        <row r="394">
          <cell r="A394" t="str">
            <v>KNE00066</v>
          </cell>
          <cell r="D394" t="str">
            <v>KNE00424</v>
          </cell>
        </row>
        <row r="395">
          <cell r="A395" t="str">
            <v>KNE00067</v>
          </cell>
          <cell r="D395" t="str">
            <v>KNE00425</v>
          </cell>
        </row>
        <row r="396">
          <cell r="A396" t="str">
            <v>KNE00068</v>
          </cell>
          <cell r="D396" t="str">
            <v>KNE00426</v>
          </cell>
        </row>
        <row r="397">
          <cell r="A397" t="str">
            <v>KNE00069</v>
          </cell>
          <cell r="D397" t="str">
            <v>KNE00427</v>
          </cell>
        </row>
        <row r="398">
          <cell r="A398" t="str">
            <v>KNE00070</v>
          </cell>
          <cell r="D398" t="str">
            <v>KNE00428</v>
          </cell>
        </row>
        <row r="399">
          <cell r="A399" t="str">
            <v>KNE00071</v>
          </cell>
          <cell r="D399" t="str">
            <v>KNE00429</v>
          </cell>
        </row>
        <row r="400">
          <cell r="A400" t="str">
            <v>KNE00072</v>
          </cell>
          <cell r="D400" t="str">
            <v>KNE00430</v>
          </cell>
        </row>
        <row r="401">
          <cell r="A401" t="str">
            <v>KNE00073</v>
          </cell>
          <cell r="D401" t="str">
            <v>KNE00436</v>
          </cell>
        </row>
        <row r="402">
          <cell r="A402" t="str">
            <v>KNE00074</v>
          </cell>
          <cell r="D402" t="str">
            <v>KNE00437</v>
          </cell>
        </row>
        <row r="403">
          <cell r="A403" t="str">
            <v>KNE00075</v>
          </cell>
          <cell r="D403" t="str">
            <v>KNE00438</v>
          </cell>
        </row>
        <row r="404">
          <cell r="A404" t="str">
            <v>KNE00076</v>
          </cell>
          <cell r="D404" t="str">
            <v>KNE00439</v>
          </cell>
        </row>
        <row r="405">
          <cell r="A405" t="str">
            <v>KNE00077</v>
          </cell>
          <cell r="D405" t="str">
            <v>KNE00440</v>
          </cell>
        </row>
        <row r="406">
          <cell r="A406" t="str">
            <v>KNE00078</v>
          </cell>
          <cell r="D406" t="str">
            <v>KNE00441</v>
          </cell>
        </row>
        <row r="407">
          <cell r="A407" t="str">
            <v>KNE00079</v>
          </cell>
          <cell r="D407" t="str">
            <v>KNE00442</v>
          </cell>
        </row>
        <row r="408">
          <cell r="A408" t="str">
            <v>KNE00080</v>
          </cell>
          <cell r="D408" t="str">
            <v>KNE00443</v>
          </cell>
        </row>
        <row r="409">
          <cell r="A409" t="str">
            <v>KNE00081</v>
          </cell>
          <cell r="D409" t="str">
            <v>KNE00444</v>
          </cell>
        </row>
        <row r="410">
          <cell r="A410" t="str">
            <v>KNE00082</v>
          </cell>
          <cell r="D410" t="str">
            <v>KNE00445</v>
          </cell>
        </row>
        <row r="411">
          <cell r="A411" t="str">
            <v>KNE00083</v>
          </cell>
          <cell r="D411" t="str">
            <v>KNE00446</v>
          </cell>
        </row>
        <row r="412">
          <cell r="A412" t="str">
            <v>KNE00084</v>
          </cell>
          <cell r="D412" t="str">
            <v>KNE00447</v>
          </cell>
        </row>
        <row r="413">
          <cell r="A413" t="str">
            <v>KNE00085</v>
          </cell>
          <cell r="D413" t="str">
            <v>KNE00448</v>
          </cell>
        </row>
        <row r="414">
          <cell r="A414" t="str">
            <v>KNE00086</v>
          </cell>
          <cell r="D414" t="str">
            <v>KNE00449</v>
          </cell>
        </row>
        <row r="415">
          <cell r="A415" t="str">
            <v>KNE00087</v>
          </cell>
          <cell r="D415" t="str">
            <v>KNE00450</v>
          </cell>
        </row>
        <row r="416">
          <cell r="A416" t="str">
            <v>KNE00088</v>
          </cell>
          <cell r="D416" t="str">
            <v>KNE00451</v>
          </cell>
        </row>
        <row r="417">
          <cell r="A417" t="str">
            <v>KNE00089</v>
          </cell>
          <cell r="D417" t="str">
            <v>KNE00452</v>
          </cell>
        </row>
        <row r="418">
          <cell r="A418" t="str">
            <v>KNE00090</v>
          </cell>
          <cell r="D418" t="str">
            <v>KNE00453</v>
          </cell>
        </row>
        <row r="419">
          <cell r="A419" t="str">
            <v>KNE00091</v>
          </cell>
          <cell r="D419" t="str">
            <v>KNE00454</v>
          </cell>
        </row>
        <row r="420">
          <cell r="A420" t="str">
            <v>KNE00092</v>
          </cell>
          <cell r="D420" t="str">
            <v>KNE00455</v>
          </cell>
        </row>
        <row r="421">
          <cell r="A421" t="str">
            <v>KNE00093</v>
          </cell>
          <cell r="D421" t="str">
            <v>KNE00456</v>
          </cell>
        </row>
        <row r="422">
          <cell r="A422" t="str">
            <v>KNE00094</v>
          </cell>
          <cell r="D422" t="str">
            <v>KNE00457</v>
          </cell>
        </row>
        <row r="423">
          <cell r="A423" t="str">
            <v>KNE00095</v>
          </cell>
          <cell r="D423" t="str">
            <v>KNE00997</v>
          </cell>
        </row>
        <row r="424">
          <cell r="A424" t="str">
            <v>KNE00096</v>
          </cell>
          <cell r="D424" t="str">
            <v>KNE00998</v>
          </cell>
        </row>
        <row r="425">
          <cell r="A425" t="str">
            <v>KNE00097</v>
          </cell>
          <cell r="D425" t="str">
            <v>KNE00458</v>
          </cell>
        </row>
        <row r="426">
          <cell r="A426" t="str">
            <v>KNE00098</v>
          </cell>
          <cell r="D426" t="str">
            <v>KNE00459</v>
          </cell>
        </row>
        <row r="427">
          <cell r="A427" t="str">
            <v>KNE00099</v>
          </cell>
          <cell r="D427" t="str">
            <v>KNE00460</v>
          </cell>
        </row>
        <row r="428">
          <cell r="A428" t="str">
            <v>KNE00100</v>
          </cell>
          <cell r="D428" t="str">
            <v>BND-C30</v>
          </cell>
        </row>
        <row r="429">
          <cell r="A429" t="str">
            <v>KNE00101</v>
          </cell>
          <cell r="D429" t="str">
            <v>BND-C20</v>
          </cell>
        </row>
        <row r="430">
          <cell r="A430" t="str">
            <v>KNE00102</v>
          </cell>
          <cell r="D430" t="str">
            <v>BND-C05</v>
          </cell>
        </row>
        <row r="431">
          <cell r="A431" t="str">
            <v>KNE00103</v>
          </cell>
          <cell r="D431" t="str">
            <v>KNE00463</v>
          </cell>
        </row>
        <row r="432">
          <cell r="A432" t="str">
            <v>KNE00104</v>
          </cell>
          <cell r="D432" t="str">
            <v>KNE00462</v>
          </cell>
        </row>
        <row r="433">
          <cell r="A433" t="str">
            <v>KNE00105</v>
          </cell>
          <cell r="D433" t="str">
            <v>KNE00464</v>
          </cell>
        </row>
        <row r="434">
          <cell r="A434" t="str">
            <v>KNE00106</v>
          </cell>
          <cell r="D434" t="str">
            <v>KNE00106</v>
          </cell>
        </row>
        <row r="435">
          <cell r="A435" t="str">
            <v>KNE00107</v>
          </cell>
          <cell r="D435" t="str">
            <v>KNE00107</v>
          </cell>
        </row>
        <row r="436">
          <cell r="A436" t="str">
            <v>KNE00108</v>
          </cell>
          <cell r="D436" t="str">
            <v>KNE00461</v>
          </cell>
        </row>
        <row r="437">
          <cell r="A437" t="str">
            <v>KNE00109</v>
          </cell>
          <cell r="D437" t="str">
            <v>KNE00465</v>
          </cell>
        </row>
        <row r="438">
          <cell r="A438" t="str">
            <v>KNE00110</v>
          </cell>
          <cell r="D438" t="str">
            <v>KNE00466</v>
          </cell>
        </row>
        <row r="439">
          <cell r="A439" t="str">
            <v>KNE00111</v>
          </cell>
          <cell r="D439" t="str">
            <v>KNE00467</v>
          </cell>
        </row>
        <row r="440">
          <cell r="A440" t="str">
            <v>KNE00112</v>
          </cell>
          <cell r="D440" t="str">
            <v>KNE00112</v>
          </cell>
        </row>
        <row r="441">
          <cell r="A441" t="str">
            <v>KNE00113</v>
          </cell>
          <cell r="D441" t="str">
            <v>KNE00113</v>
          </cell>
        </row>
        <row r="442">
          <cell r="A442" t="str">
            <v>KNE00114</v>
          </cell>
          <cell r="D442" t="str">
            <v>KNE00114</v>
          </cell>
        </row>
        <row r="443">
          <cell r="A443" t="str">
            <v>LAG00001</v>
          </cell>
          <cell r="D443" t="str">
            <v>LAG00001</v>
          </cell>
        </row>
        <row r="444">
          <cell r="A444" t="str">
            <v>LAP00001</v>
          </cell>
          <cell r="D444" t="str">
            <v>LAP00002</v>
          </cell>
        </row>
        <row r="445">
          <cell r="A445" t="str">
            <v>LAP00002</v>
          </cell>
          <cell r="D445" t="str">
            <v>LAP00003</v>
          </cell>
        </row>
        <row r="446">
          <cell r="A446" t="str">
            <v>LIA00001</v>
          </cell>
          <cell r="D446" t="str">
            <v>N/F</v>
          </cell>
        </row>
        <row r="447">
          <cell r="A447" t="str">
            <v>LIA00002</v>
          </cell>
          <cell r="D447" t="str">
            <v>N/F-HR</v>
          </cell>
        </row>
        <row r="448">
          <cell r="A448" t="str">
            <v>LIA00003</v>
          </cell>
          <cell r="D448" t="str">
            <v>N/F-BL</v>
          </cell>
        </row>
        <row r="449">
          <cell r="A449" t="str">
            <v>LIA00004</v>
          </cell>
          <cell r="D449" t="str">
            <v>N/F-NACZ</v>
          </cell>
        </row>
        <row r="450">
          <cell r="A450" t="str">
            <v>LLA00001</v>
          </cell>
          <cell r="D450" t="str">
            <v>L+P</v>
          </cell>
        </row>
        <row r="451">
          <cell r="A451" t="str">
            <v>LLA00002</v>
          </cell>
          <cell r="D451" t="str">
            <v>L2M+P</v>
          </cell>
        </row>
        <row r="452">
          <cell r="A452" t="str">
            <v>LLA00003</v>
          </cell>
          <cell r="D452" t="str">
            <v>L</v>
          </cell>
        </row>
        <row r="453">
          <cell r="A453" t="str">
            <v>LLA00004</v>
          </cell>
          <cell r="D453" t="str">
            <v>VL03906</v>
          </cell>
        </row>
        <row r="454">
          <cell r="A454" t="str">
            <v>LLA00005</v>
          </cell>
          <cell r="D454" t="str">
            <v>VL04102</v>
          </cell>
        </row>
        <row r="455">
          <cell r="A455" t="str">
            <v>LLA00006</v>
          </cell>
          <cell r="D455" t="str">
            <v>VL04206</v>
          </cell>
        </row>
        <row r="456">
          <cell r="A456" t="str">
            <v>LLA00007</v>
          </cell>
          <cell r="D456" t="str">
            <v>VL04207</v>
          </cell>
        </row>
        <row r="457">
          <cell r="A457" t="str">
            <v>LLA00008</v>
          </cell>
          <cell r="D457" t="str">
            <v>L3M</v>
          </cell>
        </row>
        <row r="458">
          <cell r="A458" t="str">
            <v>LLA00009</v>
          </cell>
          <cell r="D458" t="str">
            <v>VL05706</v>
          </cell>
        </row>
        <row r="459">
          <cell r="A459" t="str">
            <v>LLA00010</v>
          </cell>
          <cell r="D459" t="str">
            <v>VL05806</v>
          </cell>
        </row>
        <row r="460">
          <cell r="A460" t="str">
            <v>LLA00011</v>
          </cell>
          <cell r="D460" t="str">
            <v>VL10106</v>
          </cell>
        </row>
        <row r="461">
          <cell r="A461" t="str">
            <v>LLA00012</v>
          </cell>
          <cell r="D461" t="str">
            <v>LNL</v>
          </cell>
        </row>
        <row r="462">
          <cell r="A462" t="str">
            <v>MAN00001</v>
          </cell>
          <cell r="D462" t="str">
            <v>1320HP</v>
          </cell>
        </row>
        <row r="463">
          <cell r="A463" t="str">
            <v>MAN00002</v>
          </cell>
          <cell r="D463" t="str">
            <v>1826HP</v>
          </cell>
        </row>
        <row r="464">
          <cell r="A464" t="str">
            <v>MAN00003</v>
          </cell>
          <cell r="D464" t="str">
            <v>2635HP</v>
          </cell>
        </row>
        <row r="465">
          <cell r="A465" t="str">
            <v>MAN00004</v>
          </cell>
          <cell r="D465" t="str">
            <v>3242HP</v>
          </cell>
        </row>
        <row r="466">
          <cell r="A466" t="str">
            <v>MAN00005</v>
          </cell>
          <cell r="D466" t="str">
            <v>2635MQMF</v>
          </cell>
        </row>
        <row r="467">
          <cell r="A467" t="str">
            <v>MAN00006</v>
          </cell>
          <cell r="D467" t="str">
            <v>0713ML2</v>
          </cell>
        </row>
        <row r="468">
          <cell r="A468" t="str">
            <v>MAN00008</v>
          </cell>
          <cell r="D468" t="str">
            <v>2635DM2</v>
          </cell>
        </row>
        <row r="469">
          <cell r="A469" t="str">
            <v>MAN00009</v>
          </cell>
          <cell r="D469" t="str">
            <v>2635ML2</v>
          </cell>
        </row>
        <row r="470">
          <cell r="A470" t="str">
            <v>MAN00010</v>
          </cell>
          <cell r="D470" t="str">
            <v>2635HP2</v>
          </cell>
        </row>
        <row r="471">
          <cell r="A471" t="str">
            <v>MAN00011</v>
          </cell>
          <cell r="D471" t="str">
            <v>MA12418</v>
          </cell>
        </row>
        <row r="472">
          <cell r="A472" t="str">
            <v>MAN00012</v>
          </cell>
          <cell r="D472" t="str">
            <v>MA12618</v>
          </cell>
        </row>
        <row r="473">
          <cell r="A473" t="str">
            <v>MAN00013</v>
          </cell>
          <cell r="D473" t="str">
            <v>MA12718</v>
          </cell>
        </row>
        <row r="474">
          <cell r="A474" t="str">
            <v>MAN00014</v>
          </cell>
          <cell r="D474" t="str">
            <v>MA12818</v>
          </cell>
        </row>
        <row r="475">
          <cell r="A475" t="str">
            <v>MAN00015</v>
          </cell>
          <cell r="D475" t="str">
            <v>MA12918</v>
          </cell>
        </row>
        <row r="476">
          <cell r="A476" t="str">
            <v>MAN00016</v>
          </cell>
          <cell r="D476" t="str">
            <v>0408ML2</v>
          </cell>
        </row>
        <row r="477">
          <cell r="A477" t="str">
            <v>MAQ00001</v>
          </cell>
        </row>
        <row r="478">
          <cell r="A478" t="str">
            <v>MAR00001</v>
          </cell>
          <cell r="D478" t="str">
            <v>MAR00001</v>
          </cell>
        </row>
        <row r="479">
          <cell r="A479" t="str">
            <v>MIC00001</v>
          </cell>
          <cell r="D479" t="str">
            <v>M-120</v>
          </cell>
        </row>
        <row r="480">
          <cell r="A480" t="str">
            <v>MIC00002</v>
          </cell>
          <cell r="D480" t="str">
            <v>M-150</v>
          </cell>
        </row>
        <row r="481">
          <cell r="A481" t="str">
            <v>MIC00003</v>
          </cell>
          <cell r="D481" t="str">
            <v>M-100</v>
          </cell>
        </row>
        <row r="482">
          <cell r="A482" t="str">
            <v>MIF00001</v>
          </cell>
          <cell r="D482" t="str">
            <v>MF-150</v>
          </cell>
        </row>
        <row r="483">
          <cell r="A483" t="str">
            <v>MIF00002</v>
          </cell>
          <cell r="D483" t="str">
            <v>MF-075</v>
          </cell>
        </row>
        <row r="484">
          <cell r="A484" t="str">
            <v>MIF00003</v>
          </cell>
          <cell r="D484" t="str">
            <v>MF-100</v>
          </cell>
        </row>
        <row r="485">
          <cell r="A485" t="str">
            <v>MIF00004</v>
          </cell>
          <cell r="D485" t="str">
            <v>MF-120</v>
          </cell>
        </row>
        <row r="486">
          <cell r="A486" t="str">
            <v>MIF00005</v>
          </cell>
          <cell r="D486" t="str">
            <v>MF-140</v>
          </cell>
        </row>
        <row r="487">
          <cell r="A487" t="str">
            <v>MIF00006</v>
          </cell>
          <cell r="D487" t="str">
            <v>MF-015</v>
          </cell>
        </row>
        <row r="488">
          <cell r="A488" t="str">
            <v>MIF00007</v>
          </cell>
          <cell r="D488" t="str">
            <v>MF-240</v>
          </cell>
        </row>
        <row r="489">
          <cell r="A489" t="str">
            <v>MIN00001</v>
          </cell>
          <cell r="D489" t="str">
            <v>MS-015</v>
          </cell>
        </row>
        <row r="490">
          <cell r="A490" t="str">
            <v>MIN00002</v>
          </cell>
          <cell r="D490" t="str">
            <v>MS-075</v>
          </cell>
        </row>
        <row r="491">
          <cell r="A491" t="str">
            <v>MIN00003</v>
          </cell>
          <cell r="D491" t="str">
            <v>MS-100</v>
          </cell>
        </row>
        <row r="492">
          <cell r="A492" t="str">
            <v>MIN00004</v>
          </cell>
          <cell r="D492" t="str">
            <v>MS-120</v>
          </cell>
        </row>
        <row r="493">
          <cell r="A493" t="str">
            <v>MIN00005</v>
          </cell>
          <cell r="D493" t="str">
            <v>MS-150</v>
          </cell>
        </row>
        <row r="494">
          <cell r="A494" t="str">
            <v>MIN00006</v>
          </cell>
          <cell r="D494" t="str">
            <v>MS-200</v>
          </cell>
        </row>
        <row r="495">
          <cell r="A495" t="str">
            <v>MIN00007</v>
          </cell>
          <cell r="D495" t="str">
            <v>MNT-015</v>
          </cell>
        </row>
        <row r="496">
          <cell r="A496" t="str">
            <v>MIN00008</v>
          </cell>
          <cell r="D496" t="str">
            <v>MNT N/F-015</v>
          </cell>
        </row>
        <row r="497">
          <cell r="A497" t="str">
            <v>MIN00009</v>
          </cell>
          <cell r="D497" t="str">
            <v>C-200</v>
          </cell>
        </row>
        <row r="498">
          <cell r="A498" t="str">
            <v>MIN00010</v>
          </cell>
          <cell r="D498" t="str">
            <v>C-300</v>
          </cell>
        </row>
        <row r="499">
          <cell r="A499" t="str">
            <v>MIN00011</v>
          </cell>
          <cell r="D499" t="str">
            <v>C-600</v>
          </cell>
        </row>
        <row r="500">
          <cell r="A500" t="str">
            <v>MIN00012</v>
          </cell>
          <cell r="D500" t="str">
            <v>MNT REF-015</v>
          </cell>
        </row>
        <row r="501">
          <cell r="A501" t="str">
            <v>MIN00013</v>
          </cell>
          <cell r="D501" t="str">
            <v>CMM-300</v>
          </cell>
        </row>
        <row r="502">
          <cell r="A502" t="str">
            <v>MIN00014</v>
          </cell>
          <cell r="D502" t="str">
            <v>MIN00014</v>
          </cell>
        </row>
        <row r="503">
          <cell r="A503" t="str">
            <v>MUE001</v>
          </cell>
        </row>
        <row r="504">
          <cell r="A504" t="str">
            <v>NCA00001</v>
          </cell>
        </row>
        <row r="505">
          <cell r="A505" t="str">
            <v>OFI00001</v>
          </cell>
          <cell r="D505" t="str">
            <v>OFI00001</v>
          </cell>
        </row>
        <row r="506">
          <cell r="A506" t="str">
            <v>OPB00001</v>
          </cell>
          <cell r="D506" t="str">
            <v>OPBASE</v>
          </cell>
        </row>
        <row r="507">
          <cell r="A507" t="str">
            <v>PAL00001</v>
          </cell>
          <cell r="D507" t="str">
            <v>PALLET</v>
          </cell>
        </row>
        <row r="508">
          <cell r="A508" t="str">
            <v>PAL00002</v>
          </cell>
          <cell r="D508" t="str">
            <v>INB00001</v>
          </cell>
        </row>
        <row r="509">
          <cell r="A509" t="str">
            <v>PAQ00001</v>
          </cell>
          <cell r="D509" t="str">
            <v>PAQ00001</v>
          </cell>
        </row>
        <row r="510">
          <cell r="A510" t="str">
            <v>PAQ00002</v>
          </cell>
          <cell r="D510" t="str">
            <v>PAQ00002</v>
          </cell>
        </row>
        <row r="511">
          <cell r="A511" t="str">
            <v>POP00001</v>
          </cell>
          <cell r="D511" t="str">
            <v>POP00001</v>
          </cell>
        </row>
        <row r="512">
          <cell r="A512" t="str">
            <v>POP00002</v>
          </cell>
          <cell r="D512" t="str">
            <v>POP00002</v>
          </cell>
        </row>
        <row r="513">
          <cell r="A513" t="str">
            <v>POP00003</v>
          </cell>
          <cell r="D513" t="str">
            <v>POP00003</v>
          </cell>
        </row>
        <row r="514">
          <cell r="A514" t="str">
            <v>POP00004</v>
          </cell>
          <cell r="D514" t="str">
            <v>POP00004</v>
          </cell>
        </row>
        <row r="515">
          <cell r="A515" t="str">
            <v>PRV00001</v>
          </cell>
          <cell r="D515" t="str">
            <v>PRV00001</v>
          </cell>
        </row>
        <row r="516">
          <cell r="A516" t="str">
            <v>PTR00001</v>
          </cell>
          <cell r="D516" t="str">
            <v>PTR00001</v>
          </cell>
        </row>
        <row r="517">
          <cell r="A517" t="str">
            <v>PUN00001</v>
          </cell>
          <cell r="D517" t="str">
            <v>P N/F</v>
          </cell>
        </row>
        <row r="518">
          <cell r="A518" t="str">
            <v>PUN00002</v>
          </cell>
          <cell r="D518" t="str">
            <v>PF N/F</v>
          </cell>
        </row>
        <row r="519">
          <cell r="A519" t="str">
            <v>PUN00003</v>
          </cell>
          <cell r="D519" t="str">
            <v>PF N/F-REF</v>
          </cell>
        </row>
        <row r="520">
          <cell r="A520" t="str">
            <v>PUN00004</v>
          </cell>
          <cell r="D520" t="str">
            <v>CO06312</v>
          </cell>
        </row>
        <row r="521">
          <cell r="A521" t="str">
            <v>PUN00005</v>
          </cell>
          <cell r="D521" t="str">
            <v>CO09214</v>
          </cell>
        </row>
        <row r="522">
          <cell r="A522" t="str">
            <v>PUN00006</v>
          </cell>
          <cell r="D522" t="str">
            <v>PF L</v>
          </cell>
        </row>
        <row r="523">
          <cell r="A523" t="str">
            <v>PVC00001</v>
          </cell>
          <cell r="D523" t="str">
            <v>D130</v>
          </cell>
        </row>
        <row r="524">
          <cell r="A524" t="str">
            <v>PVC00002</v>
          </cell>
          <cell r="D524" t="str">
            <v>D120</v>
          </cell>
        </row>
        <row r="525">
          <cell r="A525" t="str">
            <v>PVC00003</v>
          </cell>
          <cell r="D525" t="str">
            <v>D113</v>
          </cell>
        </row>
        <row r="526">
          <cell r="A526" t="str">
            <v>PVC00004</v>
          </cell>
          <cell r="D526" t="str">
            <v>PUR00001</v>
          </cell>
        </row>
        <row r="527">
          <cell r="A527" t="str">
            <v>REG00001</v>
          </cell>
          <cell r="D527" t="str">
            <v>RFI-045</v>
          </cell>
        </row>
        <row r="528">
          <cell r="A528" t="str">
            <v>RGL00001</v>
          </cell>
          <cell r="D528" t="str">
            <v>RG17315</v>
          </cell>
        </row>
        <row r="529">
          <cell r="A529" t="str">
            <v>RTO00001</v>
          </cell>
          <cell r="D529" t="str">
            <v>RTO00001</v>
          </cell>
        </row>
        <row r="530">
          <cell r="A530" t="str">
            <v>RTO00002</v>
          </cell>
          <cell r="D530" t="str">
            <v>RTO00002</v>
          </cell>
        </row>
        <row r="531">
          <cell r="A531" t="str">
            <v>RTO00003</v>
          </cell>
          <cell r="D531" t="str">
            <v>RTO00003</v>
          </cell>
        </row>
        <row r="532">
          <cell r="A532" t="str">
            <v>RTO00004</v>
          </cell>
          <cell r="D532" t="str">
            <v>RTO00004</v>
          </cell>
        </row>
        <row r="533">
          <cell r="A533" t="str">
            <v>RTO00005</v>
          </cell>
          <cell r="D533" t="str">
            <v>RTO00005</v>
          </cell>
        </row>
        <row r="534">
          <cell r="A534" t="str">
            <v>RTO00006</v>
          </cell>
          <cell r="D534" t="str">
            <v>RTO00006</v>
          </cell>
        </row>
        <row r="535">
          <cell r="A535" t="str">
            <v>RTO00007</v>
          </cell>
          <cell r="D535" t="str">
            <v>RTO00007</v>
          </cell>
        </row>
        <row r="536">
          <cell r="A536" t="str">
            <v>RTO00008</v>
          </cell>
          <cell r="D536" t="str">
            <v>RTO00008</v>
          </cell>
        </row>
        <row r="537">
          <cell r="A537" t="str">
            <v>RTV00001</v>
          </cell>
          <cell r="D537" t="str">
            <v>RTV00001</v>
          </cell>
        </row>
        <row r="538">
          <cell r="A538" t="str">
            <v>RTV00002</v>
          </cell>
          <cell r="D538" t="str">
            <v>RTV00002</v>
          </cell>
        </row>
        <row r="539">
          <cell r="A539" t="str">
            <v>SEA00001</v>
          </cell>
          <cell r="D539" t="str">
            <v>SEA00001</v>
          </cell>
        </row>
        <row r="540">
          <cell r="A540" t="str">
            <v>SEG00001</v>
          </cell>
          <cell r="D540" t="str">
            <v>SEG00002</v>
          </cell>
        </row>
        <row r="541">
          <cell r="A541" t="str">
            <v>SEG00002</v>
          </cell>
          <cell r="D541" t="str">
            <v>SEG00005</v>
          </cell>
        </row>
        <row r="542">
          <cell r="A542" t="str">
            <v>SEL00001</v>
          </cell>
          <cell r="D542" t="str">
            <v>SEL00001</v>
          </cell>
        </row>
        <row r="543">
          <cell r="A543" t="str">
            <v>SEL00002</v>
          </cell>
          <cell r="D543" t="str">
            <v>SEL00002</v>
          </cell>
        </row>
        <row r="544">
          <cell r="A544" t="str">
            <v>SEL00003</v>
          </cell>
          <cell r="D544" t="str">
            <v>SEL00003</v>
          </cell>
        </row>
        <row r="545">
          <cell r="A545" t="str">
            <v>SER00001</v>
          </cell>
          <cell r="D545" t="str">
            <v>SER00001</v>
          </cell>
        </row>
        <row r="546">
          <cell r="A546" t="str">
            <v>SER00002</v>
          </cell>
          <cell r="D546" t="str">
            <v>SER00002</v>
          </cell>
        </row>
        <row r="547">
          <cell r="A547" t="str">
            <v>SER00003</v>
          </cell>
          <cell r="D547" t="str">
            <v>SER00003</v>
          </cell>
        </row>
        <row r="548">
          <cell r="A548" t="str">
            <v>SER00004</v>
          </cell>
          <cell r="D548" t="str">
            <v>SER00004</v>
          </cell>
        </row>
        <row r="549">
          <cell r="A549" t="str">
            <v>SER00005</v>
          </cell>
          <cell r="D549" t="str">
            <v>SER00005</v>
          </cell>
        </row>
        <row r="550">
          <cell r="A550" t="str">
            <v>SER00006</v>
          </cell>
          <cell r="D550" t="str">
            <v>SER00006</v>
          </cell>
        </row>
        <row r="551">
          <cell r="A551" t="str">
            <v>SER00007</v>
          </cell>
          <cell r="D551" t="str">
            <v>SER00007</v>
          </cell>
        </row>
        <row r="552">
          <cell r="A552" t="str">
            <v>SER00008</v>
          </cell>
          <cell r="D552" t="str">
            <v>SER00008</v>
          </cell>
        </row>
        <row r="553">
          <cell r="A553" t="str">
            <v>SER00009</v>
          </cell>
          <cell r="D553" t="str">
            <v>SER00009</v>
          </cell>
        </row>
        <row r="554">
          <cell r="A554" t="str">
            <v>SER00010</v>
          </cell>
          <cell r="D554" t="str">
            <v>SER00010</v>
          </cell>
        </row>
        <row r="555">
          <cell r="A555" t="str">
            <v>SER00011</v>
          </cell>
          <cell r="D555" t="str">
            <v>SER00011</v>
          </cell>
        </row>
        <row r="556">
          <cell r="A556" t="str">
            <v>SER00012</v>
          </cell>
          <cell r="D556" t="str">
            <v>SER00012</v>
          </cell>
        </row>
        <row r="557">
          <cell r="A557" t="str">
            <v>SER00013</v>
          </cell>
          <cell r="D557" t="str">
            <v>SER00013</v>
          </cell>
        </row>
        <row r="558">
          <cell r="A558" t="str">
            <v>SER00014</v>
          </cell>
          <cell r="D558" t="str">
            <v>SER00014</v>
          </cell>
        </row>
        <row r="559">
          <cell r="A559" t="str">
            <v>SER00015</v>
          </cell>
          <cell r="D559" t="str">
            <v>SER00015</v>
          </cell>
        </row>
        <row r="560">
          <cell r="A560" t="str">
            <v>SER00016</v>
          </cell>
          <cell r="D560" t="str">
            <v>SER00016</v>
          </cell>
        </row>
        <row r="561">
          <cell r="A561" t="str">
            <v>SER00017</v>
          </cell>
          <cell r="D561" t="str">
            <v>SER00017</v>
          </cell>
        </row>
        <row r="562">
          <cell r="A562" t="str">
            <v>SER00018</v>
          </cell>
          <cell r="D562" t="str">
            <v>SER00018</v>
          </cell>
        </row>
        <row r="563">
          <cell r="A563" t="str">
            <v>SER00019</v>
          </cell>
          <cell r="D563" t="str">
            <v>SER00019</v>
          </cell>
        </row>
        <row r="564">
          <cell r="A564" t="str">
            <v>SER00020</v>
          </cell>
          <cell r="D564" t="str">
            <v>SER00020</v>
          </cell>
        </row>
        <row r="565">
          <cell r="A565" t="str">
            <v>SER00021</v>
          </cell>
          <cell r="D565" t="str">
            <v>SER00021</v>
          </cell>
        </row>
        <row r="566">
          <cell r="A566" t="str">
            <v>SER00022</v>
          </cell>
          <cell r="D566" t="str">
            <v>SER00022</v>
          </cell>
        </row>
        <row r="567">
          <cell r="A567" t="str">
            <v>SER00023</v>
          </cell>
          <cell r="D567" t="str">
            <v>SER00023</v>
          </cell>
        </row>
        <row r="568">
          <cell r="A568" t="str">
            <v>SER00024</v>
          </cell>
          <cell r="D568" t="str">
            <v>SER00024</v>
          </cell>
        </row>
        <row r="569">
          <cell r="A569" t="str">
            <v>SER00025</v>
          </cell>
          <cell r="D569" t="str">
            <v>SER00025</v>
          </cell>
        </row>
        <row r="570">
          <cell r="A570" t="str">
            <v>SER00026</v>
          </cell>
          <cell r="D570" t="str">
            <v>SER00026</v>
          </cell>
        </row>
        <row r="571">
          <cell r="A571" t="str">
            <v>SER00027</v>
          </cell>
          <cell r="D571" t="str">
            <v>SER00027</v>
          </cell>
        </row>
        <row r="572">
          <cell r="A572" t="str">
            <v>SERV0028</v>
          </cell>
          <cell r="D572" t="str">
            <v>SERV00028</v>
          </cell>
        </row>
        <row r="573">
          <cell r="A573" t="str">
            <v>SERV0029</v>
          </cell>
          <cell r="D573" t="str">
            <v>SERV00029</v>
          </cell>
        </row>
        <row r="574">
          <cell r="A574" t="str">
            <v>SES00001</v>
          </cell>
          <cell r="D574" t="str">
            <v>ES06813</v>
          </cell>
        </row>
        <row r="575">
          <cell r="A575" t="str">
            <v>SOB00001</v>
          </cell>
          <cell r="D575" t="str">
            <v>EM01112</v>
          </cell>
        </row>
        <row r="576">
          <cell r="A576" t="str">
            <v>SOB00002</v>
          </cell>
          <cell r="D576" t="str">
            <v>EM04312</v>
          </cell>
        </row>
        <row r="577">
          <cell r="A577" t="str">
            <v>SOB00003</v>
          </cell>
          <cell r="D577" t="str">
            <v>EM04412</v>
          </cell>
        </row>
        <row r="578">
          <cell r="A578" t="str">
            <v>SOB00004</v>
          </cell>
          <cell r="D578" t="str">
            <v>EM04512</v>
          </cell>
        </row>
        <row r="579">
          <cell r="A579" t="str">
            <v>SOB00005</v>
          </cell>
          <cell r="D579" t="str">
            <v>EM04613</v>
          </cell>
        </row>
        <row r="580">
          <cell r="A580" t="str">
            <v>SOB00006</v>
          </cell>
          <cell r="D580" t="str">
            <v>EM04713</v>
          </cell>
        </row>
        <row r="581">
          <cell r="A581" t="str">
            <v>SOB00007</v>
          </cell>
          <cell r="D581" t="str">
            <v>EM04813</v>
          </cell>
        </row>
        <row r="582">
          <cell r="A582" t="str">
            <v>SOB00008</v>
          </cell>
          <cell r="D582" t="str">
            <v>EM04912</v>
          </cell>
        </row>
        <row r="583">
          <cell r="A583" t="str">
            <v>SOB00009</v>
          </cell>
          <cell r="D583" t="str">
            <v>EM05012</v>
          </cell>
        </row>
        <row r="584">
          <cell r="A584" t="str">
            <v>SOB00010</v>
          </cell>
          <cell r="D584" t="str">
            <v>EM05112</v>
          </cell>
        </row>
        <row r="585">
          <cell r="A585" t="str">
            <v>SOB00011</v>
          </cell>
          <cell r="D585" t="str">
            <v>EM05212</v>
          </cell>
        </row>
        <row r="586">
          <cell r="A586" t="str">
            <v>SOB00012</v>
          </cell>
          <cell r="D586" t="str">
            <v>EM05313</v>
          </cell>
        </row>
        <row r="587">
          <cell r="A587" t="str">
            <v>SOB00013</v>
          </cell>
          <cell r="D587" t="str">
            <v>EM05412</v>
          </cell>
        </row>
        <row r="588">
          <cell r="A588" t="str">
            <v>SOB00014</v>
          </cell>
          <cell r="D588" t="str">
            <v>EM05512</v>
          </cell>
        </row>
        <row r="589">
          <cell r="A589" t="str">
            <v>SOB00015</v>
          </cell>
          <cell r="D589" t="str">
            <v>EM05612</v>
          </cell>
        </row>
        <row r="590">
          <cell r="A590" t="str">
            <v>SOB00016</v>
          </cell>
          <cell r="D590" t="str">
            <v>EM05712</v>
          </cell>
        </row>
        <row r="591">
          <cell r="A591" t="str">
            <v>SOB00017</v>
          </cell>
          <cell r="D591" t="str">
            <v>EM10612</v>
          </cell>
        </row>
        <row r="592">
          <cell r="A592" t="str">
            <v>SOB00018</v>
          </cell>
          <cell r="D592" t="str">
            <v>EM13712</v>
          </cell>
        </row>
        <row r="593">
          <cell r="A593" t="str">
            <v>SOB00019</v>
          </cell>
          <cell r="D593" t="str">
            <v>EM13713</v>
          </cell>
        </row>
        <row r="594">
          <cell r="A594" t="str">
            <v>SOB00020</v>
          </cell>
          <cell r="D594" t="str">
            <v>EM15412</v>
          </cell>
        </row>
        <row r="595">
          <cell r="A595" t="str">
            <v>SOB00021</v>
          </cell>
          <cell r="D595" t="str">
            <v>EM17613</v>
          </cell>
        </row>
        <row r="596">
          <cell r="A596" t="str">
            <v>SOB00022</v>
          </cell>
          <cell r="D596" t="str">
            <v>EM18413</v>
          </cell>
        </row>
        <row r="597">
          <cell r="A597" t="str">
            <v>SOB00023</v>
          </cell>
          <cell r="D597" t="str">
            <v>EM18612</v>
          </cell>
        </row>
        <row r="598">
          <cell r="A598" t="str">
            <v>SOB00024</v>
          </cell>
          <cell r="D598" t="str">
            <v>EM19113</v>
          </cell>
        </row>
        <row r="599">
          <cell r="A599" t="str">
            <v>SOB00025</v>
          </cell>
          <cell r="D599" t="str">
            <v>EM19114</v>
          </cell>
        </row>
        <row r="600">
          <cell r="A600" t="str">
            <v>SOB00026</v>
          </cell>
          <cell r="D600" t="str">
            <v>EM19512</v>
          </cell>
        </row>
        <row r="601">
          <cell r="A601" t="str">
            <v>SOB00027</v>
          </cell>
          <cell r="D601" t="str">
            <v>EM19513</v>
          </cell>
        </row>
        <row r="602">
          <cell r="A602" t="str">
            <v>SOB00028</v>
          </cell>
          <cell r="D602" t="str">
            <v>EM19514</v>
          </cell>
        </row>
        <row r="603">
          <cell r="A603" t="str">
            <v>SOB00029</v>
          </cell>
          <cell r="D603" t="str">
            <v>EM19516</v>
          </cell>
        </row>
        <row r="604">
          <cell r="A604" t="str">
            <v>SOB00030</v>
          </cell>
          <cell r="D604" t="str">
            <v>EM19517</v>
          </cell>
        </row>
        <row r="605">
          <cell r="A605" t="str">
            <v>SOB00031</v>
          </cell>
          <cell r="D605" t="str">
            <v>EM19518</v>
          </cell>
        </row>
        <row r="606">
          <cell r="A606" t="str">
            <v>SOB00032</v>
          </cell>
          <cell r="D606" t="str">
            <v>EM19519</v>
          </cell>
        </row>
        <row r="607">
          <cell r="A607" t="str">
            <v>SOB00033</v>
          </cell>
          <cell r="D607" t="str">
            <v>EM20000</v>
          </cell>
        </row>
        <row r="608">
          <cell r="A608" t="str">
            <v>SOB00034</v>
          </cell>
          <cell r="D608" t="str">
            <v>EM19515</v>
          </cell>
        </row>
        <row r="609">
          <cell r="A609" t="str">
            <v>SOB00035</v>
          </cell>
          <cell r="D609" t="str">
            <v>SOB00035</v>
          </cell>
        </row>
        <row r="610">
          <cell r="A610" t="str">
            <v>SOR00001</v>
          </cell>
          <cell r="D610" t="str">
            <v>SOR00001</v>
          </cell>
        </row>
        <row r="611">
          <cell r="A611" t="str">
            <v>SOR00002</v>
          </cell>
          <cell r="D611" t="str">
            <v>SOR00002</v>
          </cell>
        </row>
        <row r="612">
          <cell r="A612" t="str">
            <v>SOR00003</v>
          </cell>
          <cell r="D612" t="str">
            <v>SOR00003</v>
          </cell>
        </row>
        <row r="613">
          <cell r="A613" t="str">
            <v>SOR00004</v>
          </cell>
          <cell r="D613" t="str">
            <v>SOR00001I</v>
          </cell>
        </row>
        <row r="614">
          <cell r="A614" t="str">
            <v>SOR00005</v>
          </cell>
          <cell r="D614" t="str">
            <v>SOR00002I</v>
          </cell>
        </row>
        <row r="615">
          <cell r="A615" t="str">
            <v>SOR00006</v>
          </cell>
          <cell r="D615" t="str">
            <v>SOR00003I</v>
          </cell>
        </row>
        <row r="616">
          <cell r="A616" t="str">
            <v>TAC00001</v>
          </cell>
          <cell r="D616" t="str">
            <v>TAC00001</v>
          </cell>
        </row>
        <row r="617">
          <cell r="A617" t="str">
            <v>TAC00002</v>
          </cell>
          <cell r="D617" t="str">
            <v>(TAC) 5x8-180</v>
          </cell>
        </row>
        <row r="618">
          <cell r="A618" t="str">
            <v>TAC00003</v>
          </cell>
          <cell r="D618" t="str">
            <v>(TAC) 6x9-180</v>
          </cell>
        </row>
        <row r="619">
          <cell r="A619" t="str">
            <v>TAC00004</v>
          </cell>
          <cell r="D619" t="str">
            <v>(TAC-SM) 6x9-180</v>
          </cell>
        </row>
        <row r="620">
          <cell r="A620" t="str">
            <v>TAC00005</v>
          </cell>
          <cell r="D620" t="str">
            <v>(TAC) 6x9-200</v>
          </cell>
        </row>
        <row r="621">
          <cell r="A621" t="str">
            <v>TAC00006</v>
          </cell>
          <cell r="D621" t="str">
            <v>(TAC) 6x9-300</v>
          </cell>
        </row>
        <row r="622">
          <cell r="A622" t="str">
            <v>TAC00007</v>
          </cell>
          <cell r="D622" t="str">
            <v>(TAC) 6x9-400</v>
          </cell>
        </row>
        <row r="623">
          <cell r="A623" t="str">
            <v>TAC00008</v>
          </cell>
          <cell r="D623" t="str">
            <v>(TAC-SM) 6x9-300</v>
          </cell>
        </row>
        <row r="624">
          <cell r="A624" t="str">
            <v>TAC00009</v>
          </cell>
          <cell r="D624" t="str">
            <v>(TA) 8x12-200</v>
          </cell>
        </row>
        <row r="625">
          <cell r="A625" t="str">
            <v>TAC00010</v>
          </cell>
          <cell r="D625" t="str">
            <v>(TA) 9x15-120</v>
          </cell>
        </row>
        <row r="626">
          <cell r="A626" t="str">
            <v>TAC00011</v>
          </cell>
          <cell r="D626" t="str">
            <v>(TAC-EO) 6x9-180</v>
          </cell>
        </row>
        <row r="627">
          <cell r="A627" t="str">
            <v>TAC00012</v>
          </cell>
          <cell r="D627" t="str">
            <v>(TAC-SMS) 6x9-180</v>
          </cell>
        </row>
        <row r="628">
          <cell r="A628" t="str">
            <v>TAC00013</v>
          </cell>
          <cell r="D628" t="str">
            <v>(TAC) 8x12-300</v>
          </cell>
        </row>
        <row r="629">
          <cell r="A629" t="str">
            <v>TAC00014</v>
          </cell>
          <cell r="D629" t="str">
            <v>(TAC) 5x8-300</v>
          </cell>
        </row>
        <row r="630">
          <cell r="A630" t="str">
            <v>TAC00015</v>
          </cell>
          <cell r="D630" t="str">
            <v>(TA) 8x12</v>
          </cell>
        </row>
        <row r="631">
          <cell r="A631" t="str">
            <v>TAC00016</v>
          </cell>
          <cell r="D631" t="str">
            <v>(TA) 6x9</v>
          </cell>
        </row>
        <row r="632">
          <cell r="A632" t="str">
            <v>TAC00017</v>
          </cell>
          <cell r="D632" t="str">
            <v>TIL-400</v>
          </cell>
        </row>
        <row r="633">
          <cell r="A633" t="str">
            <v>TAC00018</v>
          </cell>
          <cell r="D633" t="str">
            <v>FNPT-300</v>
          </cell>
        </row>
        <row r="634">
          <cell r="A634" t="str">
            <v>TAC00019</v>
          </cell>
          <cell r="D634" t="str">
            <v>(TA) 7x10-100M</v>
          </cell>
        </row>
        <row r="635">
          <cell r="A635" t="str">
            <v>TAC00020</v>
          </cell>
          <cell r="D635" t="str">
            <v>(TAC-EO) 6x9-100</v>
          </cell>
        </row>
        <row r="636">
          <cell r="A636" t="str">
            <v>TAC00021</v>
          </cell>
          <cell r="D636" t="str">
            <v>(TAC-EO) 6x9-120</v>
          </cell>
        </row>
        <row r="637">
          <cell r="A637" t="str">
            <v>TAC00022</v>
          </cell>
          <cell r="D637" t="str">
            <v>TILS-400</v>
          </cell>
        </row>
        <row r="638">
          <cell r="A638" t="str">
            <v>TAC00023</v>
          </cell>
          <cell r="D638" t="str">
            <v>(TAC) 8X12-250</v>
          </cell>
        </row>
        <row r="639">
          <cell r="A639" t="str">
            <v>TAC00024</v>
          </cell>
          <cell r="D639" t="str">
            <v>(TACL) 6X9-300</v>
          </cell>
        </row>
        <row r="640">
          <cell r="A640" t="str">
            <v>TAC00025</v>
          </cell>
          <cell r="D640" t="str">
            <v>(TAC-EO) 6X9-250</v>
          </cell>
        </row>
        <row r="641">
          <cell r="A641" t="str">
            <v>TAC00026</v>
          </cell>
          <cell r="D641" t="str">
            <v>(TAC) 6X9-070</v>
          </cell>
        </row>
        <row r="642">
          <cell r="A642" t="str">
            <v>TAC00027</v>
          </cell>
          <cell r="D642" t="str">
            <v>(TAC) 6x9-180AL</v>
          </cell>
        </row>
        <row r="643">
          <cell r="A643" t="str">
            <v>TAC00028</v>
          </cell>
          <cell r="D643" t="str">
            <v>(TAC-SM) 6X9-300AL</v>
          </cell>
        </row>
        <row r="644">
          <cell r="A644" t="str">
            <v>TAC00029</v>
          </cell>
          <cell r="D644" t="str">
            <v>(TAC-TAS)-300</v>
          </cell>
        </row>
        <row r="645">
          <cell r="A645" t="str">
            <v>TAC00030</v>
          </cell>
          <cell r="D645" t="str">
            <v>TAC00030</v>
          </cell>
        </row>
        <row r="646">
          <cell r="A646" t="str">
            <v>TAC00031</v>
          </cell>
          <cell r="D646" t="str">
            <v>(TAC) 6x9-600</v>
          </cell>
        </row>
        <row r="647">
          <cell r="A647" t="str">
            <v>TAP00001</v>
          </cell>
          <cell r="D647" t="str">
            <v>(TAP)-A</v>
          </cell>
        </row>
        <row r="648">
          <cell r="A648" t="str">
            <v>TAP00002</v>
          </cell>
          <cell r="D648" t="str">
            <v>(TAP)-B</v>
          </cell>
        </row>
        <row r="649">
          <cell r="A649" t="str">
            <v>TAP00003</v>
          </cell>
          <cell r="D649" t="str">
            <v>(TAP)-AZ</v>
          </cell>
        </row>
        <row r="650">
          <cell r="A650" t="str">
            <v>TAP00004</v>
          </cell>
          <cell r="D650" t="str">
            <v>(TAP)-R</v>
          </cell>
        </row>
        <row r="651">
          <cell r="A651" t="str">
            <v>TAP00005</v>
          </cell>
          <cell r="D651" t="str">
            <v>TP07214</v>
          </cell>
        </row>
        <row r="652">
          <cell r="A652" t="str">
            <v>TAP00006</v>
          </cell>
          <cell r="D652" t="str">
            <v>TP07314</v>
          </cell>
        </row>
        <row r="653">
          <cell r="A653" t="str">
            <v>TAP00007</v>
          </cell>
          <cell r="D653" t="str">
            <v>TP07407</v>
          </cell>
        </row>
        <row r="654">
          <cell r="A654" t="str">
            <v>TAP00008</v>
          </cell>
          <cell r="D654" t="str">
            <v>TP07514</v>
          </cell>
        </row>
        <row r="655">
          <cell r="A655" t="str">
            <v>TAP00009</v>
          </cell>
          <cell r="D655" t="str">
            <v>TP09414</v>
          </cell>
        </row>
        <row r="656">
          <cell r="A656" t="str">
            <v>TAP00010</v>
          </cell>
          <cell r="D656" t="str">
            <v>TP09614</v>
          </cell>
        </row>
        <row r="657">
          <cell r="A657" t="str">
            <v>TGD00001</v>
          </cell>
          <cell r="D657" t="str">
            <v>TGO00001</v>
          </cell>
        </row>
        <row r="658">
          <cell r="A658" t="str">
            <v>TIA00001</v>
          </cell>
          <cell r="D658" t="str">
            <v>(TIAL)-300</v>
          </cell>
        </row>
        <row r="659">
          <cell r="A659" t="str">
            <v>TIA00002</v>
          </cell>
          <cell r="D659" t="str">
            <v>(TIAL-UCH)-300</v>
          </cell>
        </row>
        <row r="660">
          <cell r="A660" t="str">
            <v>TIA00003</v>
          </cell>
          <cell r="D660" t="str">
            <v>(TIAL-CAN)-300</v>
          </cell>
        </row>
        <row r="661">
          <cell r="A661" t="str">
            <v>TOR00001</v>
          </cell>
          <cell r="D661" t="str">
            <v>TO16212</v>
          </cell>
        </row>
        <row r="662">
          <cell r="A662" t="str">
            <v>TOR00002</v>
          </cell>
          <cell r="D662" t="str">
            <v>TOR00002</v>
          </cell>
        </row>
        <row r="663">
          <cell r="A663" t="str">
            <v>TSI00001</v>
          </cell>
          <cell r="D663" t="str">
            <v>(TAS) 1X2</v>
          </cell>
        </row>
        <row r="664">
          <cell r="A664" t="str">
            <v>TSI00002</v>
          </cell>
          <cell r="D664" t="str">
            <v>(TAS) 2X4</v>
          </cell>
        </row>
        <row r="665">
          <cell r="A665" t="str">
            <v>TSI00003</v>
          </cell>
          <cell r="D665" t="str">
            <v>(TAS) 3X5</v>
          </cell>
        </row>
        <row r="666">
          <cell r="A666" t="str">
            <v>TSI00004</v>
          </cell>
          <cell r="D666" t="str">
            <v>(TAS) 4X7</v>
          </cell>
        </row>
        <row r="667">
          <cell r="A667" t="str">
            <v>TSI00005</v>
          </cell>
          <cell r="D667" t="str">
            <v>(TAS) 5X8</v>
          </cell>
        </row>
        <row r="668">
          <cell r="A668" t="str">
            <v>TSI00006</v>
          </cell>
          <cell r="D668" t="str">
            <v>(TAS) 6X9</v>
          </cell>
        </row>
        <row r="669">
          <cell r="A669" t="str">
            <v>TSI00007</v>
          </cell>
          <cell r="D669" t="str">
            <v>(TAS) 7X10AL</v>
          </cell>
        </row>
        <row r="670">
          <cell r="A670" t="str">
            <v>TSI00008</v>
          </cell>
          <cell r="D670" t="str">
            <v>(TAS) 7X10</v>
          </cell>
        </row>
        <row r="671">
          <cell r="A671" t="str">
            <v>TSI00009</v>
          </cell>
          <cell r="D671" t="str">
            <v>(TAS) 8X12</v>
          </cell>
        </row>
        <row r="672">
          <cell r="A672" t="str">
            <v>TSI00010</v>
          </cell>
          <cell r="D672" t="str">
            <v>(TAS) 6X9AL</v>
          </cell>
        </row>
        <row r="673">
          <cell r="A673" t="str">
            <v>TSI00011</v>
          </cell>
          <cell r="D673" t="str">
            <v>(TAS) 8X12AL</v>
          </cell>
        </row>
        <row r="674">
          <cell r="A674" t="str">
            <v>TSI00012</v>
          </cell>
          <cell r="D674" t="str">
            <v>(TAS) 6X9-100</v>
          </cell>
        </row>
        <row r="675">
          <cell r="A675" t="str">
            <v>TSI00013</v>
          </cell>
          <cell r="D675" t="str">
            <v>(TAS) 5X8-040</v>
          </cell>
        </row>
        <row r="676">
          <cell r="A676" t="str">
            <v>TSI00014</v>
          </cell>
          <cell r="D676" t="str">
            <v>(TAS) 5X8-100</v>
          </cell>
        </row>
        <row r="677">
          <cell r="A677" t="str">
            <v>TSI00015</v>
          </cell>
          <cell r="D677" t="str">
            <v>(TAS) 5X8-030</v>
          </cell>
        </row>
        <row r="678">
          <cell r="A678" t="str">
            <v>TSI00016</v>
          </cell>
          <cell r="D678" t="str">
            <v>(TAS) 8X12-300</v>
          </cell>
        </row>
        <row r="679">
          <cell r="A679" t="str">
            <v>TSI00017</v>
          </cell>
          <cell r="D679" t="str">
            <v>(TAS) 4X7-070</v>
          </cell>
        </row>
        <row r="680">
          <cell r="A680" t="str">
            <v>TSI00018</v>
          </cell>
          <cell r="D680" t="str">
            <v>(TAS) 5X8-070</v>
          </cell>
        </row>
        <row r="681">
          <cell r="A681" t="str">
            <v>TSI00019</v>
          </cell>
          <cell r="D681" t="str">
            <v>(TAS) 6x9-040</v>
          </cell>
        </row>
        <row r="682">
          <cell r="A682" t="str">
            <v>TSI00020</v>
          </cell>
          <cell r="D682" t="str">
            <v>(TAS) 5X8-080</v>
          </cell>
        </row>
        <row r="683">
          <cell r="A683" t="str">
            <v>TSI00021</v>
          </cell>
          <cell r="D683" t="str">
            <v>(TAS) 8X12-040</v>
          </cell>
        </row>
        <row r="684">
          <cell r="A684" t="str">
            <v>TSI00022</v>
          </cell>
          <cell r="D684" t="str">
            <v>(TAS) 5x8-300</v>
          </cell>
        </row>
        <row r="685">
          <cell r="A685" t="str">
            <v>TSI00023</v>
          </cell>
          <cell r="D685" t="str">
            <v>(TAS) 8X12-250</v>
          </cell>
        </row>
        <row r="686">
          <cell r="A686" t="str">
            <v>TSI00024</v>
          </cell>
          <cell r="D686" t="str">
            <v>(TAS) 8X12-100</v>
          </cell>
        </row>
        <row r="687">
          <cell r="A687" t="str">
            <v>TSI00025</v>
          </cell>
          <cell r="D687" t="str">
            <v>(TAS) 7x10-040</v>
          </cell>
        </row>
        <row r="688">
          <cell r="A688" t="str">
            <v>TSI00026</v>
          </cell>
          <cell r="D688" t="str">
            <v>(TAS) 6x9-070</v>
          </cell>
        </row>
        <row r="689">
          <cell r="A689" t="str">
            <v>TSI00027</v>
          </cell>
          <cell r="D689" t="str">
            <v>(TAS) 6x9-300</v>
          </cell>
        </row>
        <row r="690">
          <cell r="A690" t="str">
            <v>TSI00028</v>
          </cell>
          <cell r="D690" t="str">
            <v>(TAS) 4X7-200</v>
          </cell>
        </row>
        <row r="691">
          <cell r="A691" t="str">
            <v>TSI00029</v>
          </cell>
          <cell r="D691" t="str">
            <v>(TAS) 7X10-250</v>
          </cell>
        </row>
        <row r="692">
          <cell r="A692" t="str">
            <v>TSI00030</v>
          </cell>
          <cell r="D692" t="str">
            <v>(TAS) 7X10-180</v>
          </cell>
        </row>
        <row r="693">
          <cell r="A693" t="str">
            <v>TSI00031</v>
          </cell>
          <cell r="D693" t="str">
            <v>(TAS) 5x8-250</v>
          </cell>
        </row>
        <row r="694">
          <cell r="A694" t="str">
            <v>TSI00032</v>
          </cell>
          <cell r="D694" t="str">
            <v>(TAS) 5x8-200</v>
          </cell>
        </row>
        <row r="695">
          <cell r="A695" t="str">
            <v>TSI00033</v>
          </cell>
          <cell r="D695" t="str">
            <v>(TAS) 4X7-250</v>
          </cell>
        </row>
        <row r="696">
          <cell r="A696" t="str">
            <v>TSI00034</v>
          </cell>
          <cell r="D696" t="str">
            <v>(TAS) 6X9-120</v>
          </cell>
        </row>
        <row r="697">
          <cell r="A697" t="str">
            <v>TYV00001</v>
          </cell>
          <cell r="D697" t="str">
            <v>TYV00001</v>
          </cell>
        </row>
        <row r="698">
          <cell r="A698" t="str">
            <v>TYV00002</v>
          </cell>
          <cell r="D698" t="str">
            <v>TYV00002</v>
          </cell>
        </row>
        <row r="699">
          <cell r="A699" t="str">
            <v>TYV00003</v>
          </cell>
          <cell r="D699" t="str">
            <v>TYV00003</v>
          </cell>
        </row>
        <row r="700">
          <cell r="A700" t="str">
            <v>TYV00004</v>
          </cell>
          <cell r="D700" t="str">
            <v>TYV00004</v>
          </cell>
        </row>
        <row r="701">
          <cell r="A701" t="str">
            <v>TYV00005</v>
          </cell>
          <cell r="D701" t="str">
            <v>TYV00005</v>
          </cell>
        </row>
        <row r="702">
          <cell r="A702" t="str">
            <v>TYV00006</v>
          </cell>
          <cell r="D702" t="str">
            <v>TYV00006</v>
          </cell>
        </row>
        <row r="703">
          <cell r="A703" t="str">
            <v>TYV00007</v>
          </cell>
          <cell r="D703" t="str">
            <v>TYV00007</v>
          </cell>
        </row>
        <row r="704">
          <cell r="A704" t="str">
            <v>TYV00008</v>
          </cell>
          <cell r="D704" t="str">
            <v>TYV00008</v>
          </cell>
        </row>
        <row r="705">
          <cell r="A705" t="str">
            <v>UR501663</v>
          </cell>
        </row>
        <row r="706">
          <cell r="A706" t="str">
            <v>URG01663</v>
          </cell>
          <cell r="D706" t="str">
            <v>UR501663</v>
          </cell>
        </row>
        <row r="707">
          <cell r="A707" t="str">
            <v>URG02832</v>
          </cell>
          <cell r="D707" t="str">
            <v>UR502832</v>
          </cell>
        </row>
        <row r="708">
          <cell r="A708" t="str">
            <v>URG02881</v>
          </cell>
          <cell r="D708" t="str">
            <v>UR502881</v>
          </cell>
        </row>
        <row r="709">
          <cell r="A709" t="str">
            <v>URG03133</v>
          </cell>
          <cell r="D709" t="str">
            <v>UR503133</v>
          </cell>
        </row>
        <row r="710">
          <cell r="A710" t="str">
            <v>URG03134</v>
          </cell>
          <cell r="D710" t="str">
            <v>UR503134</v>
          </cell>
        </row>
        <row r="711">
          <cell r="A711" t="str">
            <v>URG06446</v>
          </cell>
          <cell r="D711" t="str">
            <v>UR506446</v>
          </cell>
        </row>
        <row r="712">
          <cell r="A712" t="str">
            <v>URG08393</v>
          </cell>
          <cell r="D712" t="str">
            <v>UR508393</v>
          </cell>
        </row>
        <row r="713">
          <cell r="A713" t="str">
            <v>URG08538</v>
          </cell>
          <cell r="D713" t="str">
            <v>UR508538</v>
          </cell>
        </row>
        <row r="714">
          <cell r="A714" t="str">
            <v>URG51331</v>
          </cell>
          <cell r="D714" t="str">
            <v>UR551331</v>
          </cell>
        </row>
        <row r="715">
          <cell r="A715" t="str">
            <v>URG52155</v>
          </cell>
          <cell r="D715" t="str">
            <v>UR552155</v>
          </cell>
        </row>
        <row r="716">
          <cell r="A716" t="str">
            <v>URG52591</v>
          </cell>
          <cell r="D716" t="str">
            <v>UR552591</v>
          </cell>
        </row>
        <row r="717">
          <cell r="A717" t="str">
            <v>URG52852</v>
          </cell>
          <cell r="D717" t="str">
            <v>UR552852</v>
          </cell>
        </row>
        <row r="718">
          <cell r="A718" t="str">
            <v>URG52916</v>
          </cell>
          <cell r="D718" t="str">
            <v>UR552916</v>
          </cell>
        </row>
        <row r="719">
          <cell r="A719" t="str">
            <v>URG53031</v>
          </cell>
          <cell r="D719" t="str">
            <v>UR553031</v>
          </cell>
        </row>
        <row r="720">
          <cell r="A720" t="str">
            <v>URG54102</v>
          </cell>
          <cell r="D720" t="str">
            <v>UR754102</v>
          </cell>
        </row>
        <row r="721">
          <cell r="A721" t="str">
            <v>VA00312</v>
          </cell>
          <cell r="D721" t="str">
            <v>VA00312</v>
          </cell>
        </row>
        <row r="722">
          <cell r="A722" t="str">
            <v>VAL00001</v>
          </cell>
          <cell r="D722" t="str">
            <v>VL08812</v>
          </cell>
        </row>
        <row r="723">
          <cell r="A723" t="str">
            <v>VAL00002</v>
          </cell>
          <cell r="D723" t="str">
            <v>VL08912</v>
          </cell>
        </row>
        <row r="724">
          <cell r="A724" t="str">
            <v>VDA00001</v>
          </cell>
          <cell r="D724" t="str">
            <v>VDA00001</v>
          </cell>
        </row>
        <row r="725">
          <cell r="A725" t="str">
            <v>VDA00002</v>
          </cell>
          <cell r="D725" t="str">
            <v>VDA00002</v>
          </cell>
        </row>
        <row r="726">
          <cell r="A726" t="str">
            <v>VDA00003</v>
          </cell>
          <cell r="D726" t="str">
            <v>VDA00003</v>
          </cell>
        </row>
        <row r="727">
          <cell r="A727" t="str">
            <v>VDA00004</v>
          </cell>
          <cell r="D727" t="str">
            <v>VDA00004</v>
          </cell>
        </row>
        <row r="728">
          <cell r="A728" t="str">
            <v>VDA00006</v>
          </cell>
          <cell r="D728" t="str">
            <v>VDA00006</v>
          </cell>
        </row>
        <row r="729">
          <cell r="A729" t="str">
            <v>VDA00007</v>
          </cell>
          <cell r="D729" t="str">
            <v>VDA00007</v>
          </cell>
        </row>
        <row r="730">
          <cell r="A730" t="str">
            <v>VEN00001</v>
          </cell>
          <cell r="D730" t="str">
            <v>VMH-010</v>
          </cell>
        </row>
        <row r="731">
          <cell r="A731" t="str">
            <v>VEN00002</v>
          </cell>
          <cell r="D731" t="str">
            <v>VMH-015</v>
          </cell>
        </row>
        <row r="732">
          <cell r="A732" t="str">
            <v>VEN00003</v>
          </cell>
          <cell r="D732" t="str">
            <v>VMH-020</v>
          </cell>
        </row>
        <row r="733">
          <cell r="A733" t="str">
            <v>VEN00004</v>
          </cell>
          <cell r="D733" t="str">
            <v>VMH-025</v>
          </cell>
        </row>
        <row r="734">
          <cell r="A734" t="str">
            <v>VEN00005</v>
          </cell>
          <cell r="D734" t="str">
            <v>VMH-030</v>
          </cell>
        </row>
        <row r="735">
          <cell r="A735" t="str">
            <v>VEN00006</v>
          </cell>
          <cell r="D735" t="str">
            <v>VMH-040</v>
          </cell>
        </row>
        <row r="736">
          <cell r="A736" t="str">
            <v>VEN00007</v>
          </cell>
          <cell r="D736" t="str">
            <v>VMH-050</v>
          </cell>
        </row>
        <row r="737">
          <cell r="A737" t="str">
            <v>VEN00008</v>
          </cell>
          <cell r="D737" t="str">
            <v>VMH-060</v>
          </cell>
        </row>
        <row r="738">
          <cell r="A738" t="str">
            <v>VEN00009</v>
          </cell>
          <cell r="D738" t="str">
            <v>VMH-070</v>
          </cell>
        </row>
        <row r="739">
          <cell r="A739" t="str">
            <v>VEN00010</v>
          </cell>
          <cell r="D739" t="str">
            <v>VMH-075</v>
          </cell>
        </row>
        <row r="740">
          <cell r="A740" t="str">
            <v>VEN00011</v>
          </cell>
          <cell r="D740" t="str">
            <v>VMH-090</v>
          </cell>
        </row>
        <row r="741">
          <cell r="A741" t="str">
            <v>VEN00012</v>
          </cell>
          <cell r="D741" t="str">
            <v>VMH-100</v>
          </cell>
        </row>
        <row r="742">
          <cell r="A742" t="str">
            <v>VEN00013</v>
          </cell>
          <cell r="D742" t="str">
            <v>VMH-120</v>
          </cell>
        </row>
        <row r="743">
          <cell r="A743" t="str">
            <v>VEN00014</v>
          </cell>
          <cell r="D743" t="str">
            <v>VMH-125</v>
          </cell>
        </row>
        <row r="744">
          <cell r="A744" t="str">
            <v>VEN00015</v>
          </cell>
          <cell r="D744" t="str">
            <v>VMH-140</v>
          </cell>
        </row>
        <row r="745">
          <cell r="A745" t="str">
            <v>VEN00016</v>
          </cell>
          <cell r="D745" t="str">
            <v>VMH-150</v>
          </cell>
        </row>
        <row r="746">
          <cell r="A746" t="str">
            <v>VEN00017</v>
          </cell>
          <cell r="D746" t="str">
            <v>VMH-200</v>
          </cell>
        </row>
        <row r="747">
          <cell r="A747" t="str">
            <v>VEN00018</v>
          </cell>
          <cell r="D747" t="str">
            <v>VMM-010</v>
          </cell>
        </row>
        <row r="748">
          <cell r="A748" t="str">
            <v>VEN00019</v>
          </cell>
          <cell r="D748" t="str">
            <v>VMM-020</v>
          </cell>
        </row>
        <row r="749">
          <cell r="A749" t="str">
            <v>VEN00020</v>
          </cell>
          <cell r="D749" t="str">
            <v>VMM-030</v>
          </cell>
        </row>
        <row r="750">
          <cell r="A750" t="str">
            <v>VEN00021</v>
          </cell>
          <cell r="D750" t="str">
            <v>VMM-060</v>
          </cell>
        </row>
        <row r="751">
          <cell r="A751" t="str">
            <v>VEN00022</v>
          </cell>
          <cell r="D751" t="str">
            <v>VMM-075</v>
          </cell>
        </row>
        <row r="752">
          <cell r="A752" t="str">
            <v>VEN00023</v>
          </cell>
          <cell r="D752" t="str">
            <v>VMM-100</v>
          </cell>
        </row>
        <row r="753">
          <cell r="A753" t="str">
            <v>VEN00024</v>
          </cell>
          <cell r="D753" t="str">
            <v>VMM-120</v>
          </cell>
        </row>
        <row r="754">
          <cell r="A754" t="str">
            <v>VEN00025</v>
          </cell>
          <cell r="D754" t="str">
            <v>VMM-150</v>
          </cell>
        </row>
        <row r="755">
          <cell r="A755" t="str">
            <v>VEN00026</v>
          </cell>
          <cell r="D755" t="str">
            <v>VL-007</v>
          </cell>
        </row>
        <row r="756">
          <cell r="A756" t="str">
            <v>VEN00027</v>
          </cell>
          <cell r="D756" t="str">
            <v>VL-010</v>
          </cell>
        </row>
        <row r="757">
          <cell r="A757" t="str">
            <v>VEN00028</v>
          </cell>
          <cell r="D757" t="str">
            <v>VL-015</v>
          </cell>
        </row>
        <row r="758">
          <cell r="A758" t="str">
            <v>VEN00029</v>
          </cell>
          <cell r="D758" t="str">
            <v>VL-020</v>
          </cell>
        </row>
        <row r="759">
          <cell r="A759" t="str">
            <v>VEN00030</v>
          </cell>
          <cell r="D759" t="str">
            <v>VL-025</v>
          </cell>
        </row>
        <row r="760">
          <cell r="A760" t="str">
            <v>VEN00031</v>
          </cell>
          <cell r="D760" t="str">
            <v>VL-030</v>
          </cell>
        </row>
        <row r="761">
          <cell r="A761" t="str">
            <v>VEN00032</v>
          </cell>
          <cell r="D761" t="str">
            <v>VL-050</v>
          </cell>
        </row>
        <row r="762">
          <cell r="A762" t="str">
            <v>VEN00033</v>
          </cell>
          <cell r="D762" t="str">
            <v>VL-060</v>
          </cell>
        </row>
        <row r="763">
          <cell r="A763" t="str">
            <v>VEN00034</v>
          </cell>
          <cell r="D763" t="str">
            <v>VL-075</v>
          </cell>
        </row>
        <row r="764">
          <cell r="A764" t="str">
            <v>VEN00035</v>
          </cell>
          <cell r="D764" t="str">
            <v>VL-090</v>
          </cell>
        </row>
        <row r="765">
          <cell r="A765" t="str">
            <v>VEN00036</v>
          </cell>
          <cell r="D765" t="str">
            <v>VL-100</v>
          </cell>
        </row>
        <row r="766">
          <cell r="A766" t="str">
            <v>VEN00037</v>
          </cell>
          <cell r="D766" t="str">
            <v>VL-120</v>
          </cell>
        </row>
        <row r="767">
          <cell r="A767" t="str">
            <v>VEN00038</v>
          </cell>
          <cell r="D767" t="str">
            <v>VL-140</v>
          </cell>
        </row>
        <row r="768">
          <cell r="A768" t="str">
            <v>VEN00039</v>
          </cell>
          <cell r="D768" t="str">
            <v>VL-150</v>
          </cell>
        </row>
        <row r="769">
          <cell r="A769" t="str">
            <v>VEN00040</v>
          </cell>
          <cell r="D769" t="str">
            <v>VL-200</v>
          </cell>
        </row>
        <row r="770">
          <cell r="A770" t="str">
            <v>VEN00041</v>
          </cell>
          <cell r="D770" t="str">
            <v>VML-N/F 010</v>
          </cell>
        </row>
        <row r="771">
          <cell r="A771" t="str">
            <v>VEN00042</v>
          </cell>
          <cell r="D771" t="str">
            <v>VML-N/F 030</v>
          </cell>
        </row>
        <row r="772">
          <cell r="A772" t="str">
            <v>VEN00043</v>
          </cell>
          <cell r="D772" t="str">
            <v>VML-N/F 050</v>
          </cell>
        </row>
        <row r="773">
          <cell r="A773" t="str">
            <v>VEN00044</v>
          </cell>
          <cell r="D773" t="str">
            <v>VML-N/F 060</v>
          </cell>
        </row>
        <row r="774">
          <cell r="A774" t="str">
            <v>VEN00045</v>
          </cell>
          <cell r="D774" t="str">
            <v>VML-N/F 100</v>
          </cell>
        </row>
        <row r="775">
          <cell r="A775" t="str">
            <v>VEN00046</v>
          </cell>
          <cell r="D775" t="str">
            <v>V2-010</v>
          </cell>
        </row>
        <row r="776">
          <cell r="A776" t="str">
            <v>VEN00047</v>
          </cell>
          <cell r="D776" t="str">
            <v>V2 N/F 016</v>
          </cell>
        </row>
        <row r="777">
          <cell r="A777" t="str">
            <v>VEN00048</v>
          </cell>
          <cell r="D777" t="str">
            <v>V4-015</v>
          </cell>
        </row>
        <row r="778">
          <cell r="A778" t="str">
            <v>VEN00049</v>
          </cell>
          <cell r="D778" t="str">
            <v>V2(UN)-010</v>
          </cell>
        </row>
        <row r="779">
          <cell r="A779" t="str">
            <v>VEN00050</v>
          </cell>
          <cell r="D779" t="str">
            <v>VHH</v>
          </cell>
        </row>
        <row r="780">
          <cell r="A780" t="str">
            <v>VEN00051</v>
          </cell>
          <cell r="D780" t="str">
            <v>VL2 N/F 016</v>
          </cell>
        </row>
        <row r="781">
          <cell r="A781" t="str">
            <v>VEN00052</v>
          </cell>
          <cell r="D781" t="str">
            <v>FBA-150</v>
          </cell>
        </row>
        <row r="782">
          <cell r="A782" t="str">
            <v>VEN00053</v>
          </cell>
          <cell r="D782" t="str">
            <v>VMH-300</v>
          </cell>
        </row>
        <row r="783">
          <cell r="A783" t="str">
            <v>VEN00054</v>
          </cell>
          <cell r="D783" t="str">
            <v>VL-400</v>
          </cell>
        </row>
        <row r="784">
          <cell r="A784" t="str">
            <v>VEN00055</v>
          </cell>
          <cell r="D784" t="str">
            <v>VL-010M</v>
          </cell>
        </row>
        <row r="785">
          <cell r="A785" t="str">
            <v>VEN00056</v>
          </cell>
          <cell r="D785" t="str">
            <v>VL-120B</v>
          </cell>
        </row>
        <row r="786">
          <cell r="A786" t="str">
            <v>VEN00057</v>
          </cell>
          <cell r="D786" t="str">
            <v>VML-N/F 020</v>
          </cell>
        </row>
        <row r="787">
          <cell r="A787" t="str">
            <v>WIN00001</v>
          </cell>
          <cell r="D787" t="str">
            <v>WINE</v>
          </cell>
        </row>
        <row r="788">
          <cell r="A788" t="str">
            <v>YAR00001</v>
          </cell>
          <cell r="D788" t="str">
            <v>(YAR)-300</v>
          </cell>
        </row>
        <row r="789">
          <cell r="A789" t="str">
            <v>YAR00002</v>
          </cell>
          <cell r="D789" t="str">
            <v>(YAR) 2TAC-300</v>
          </cell>
        </row>
        <row r="790">
          <cell r="A790" t="str">
            <v>YAR00003</v>
          </cell>
          <cell r="D790" t="str">
            <v>AR-300</v>
          </cell>
        </row>
        <row r="791">
          <cell r="A791" t="str">
            <v>YAR00004</v>
          </cell>
          <cell r="D791" t="str">
            <v>AR-150</v>
          </cell>
        </row>
        <row r="792">
          <cell r="A792" t="str">
            <v>YUR00001</v>
          </cell>
          <cell r="D792" t="str">
            <v>(YUR-AF)-250</v>
          </cell>
        </row>
        <row r="793">
          <cell r="A793" t="str">
            <v>YUR00002</v>
          </cell>
          <cell r="D793" t="str">
            <v>(YUR-AF)-300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0"/>
  <sheetViews>
    <sheetView tabSelected="1" workbookViewId="0">
      <selection activeCell="I2" sqref="I2"/>
    </sheetView>
  </sheetViews>
  <sheetFormatPr baseColWidth="10" defaultColWidth="8.88671875" defaultRowHeight="14.4" x14ac:dyDescent="0.3"/>
  <cols>
    <col min="9" max="9" width="11.44140625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6" t="s">
        <v>6</v>
      </c>
      <c r="H1" s="5" t="s">
        <v>7</v>
      </c>
      <c r="I1" s="5" t="s">
        <v>8</v>
      </c>
      <c r="J1" s="7" t="s">
        <v>9</v>
      </c>
    </row>
    <row r="2" spans="1:10" x14ac:dyDescent="0.3">
      <c r="A2" s="1">
        <v>2228579</v>
      </c>
      <c r="B2" s="2" t="s">
        <v>10</v>
      </c>
      <c r="C2" s="2" t="s">
        <v>11</v>
      </c>
      <c r="D2" s="3" t="s">
        <v>12</v>
      </c>
      <c r="E2" s="3" t="str">
        <f>_xlfn.XLOOKUP(D2,[1]MAESTRA!D:D,[1]MAESTRA!A:A,"")</f>
        <v>ALG00002</v>
      </c>
      <c r="F2" s="2" t="s">
        <v>13</v>
      </c>
      <c r="G2" s="8">
        <v>388</v>
      </c>
      <c r="H2" s="3">
        <v>100</v>
      </c>
      <c r="I2" s="9">
        <f t="shared" ref="I2:I65" si="0">G2/H2</f>
        <v>3.88</v>
      </c>
      <c r="J2" s="2" t="s">
        <v>14</v>
      </c>
    </row>
    <row r="3" spans="1:10" x14ac:dyDescent="0.3">
      <c r="A3" s="1">
        <v>2228578</v>
      </c>
      <c r="B3" s="2" t="s">
        <v>10</v>
      </c>
      <c r="C3" s="2" t="s">
        <v>11</v>
      </c>
      <c r="D3" s="3" t="s">
        <v>15</v>
      </c>
      <c r="E3" s="3" t="str">
        <f>_xlfn.XLOOKUP(D3,[1]MAESTRA!D:D,[1]MAESTRA!A:A,"")</f>
        <v>ALG00003</v>
      </c>
      <c r="F3" s="2" t="s">
        <v>16</v>
      </c>
      <c r="G3" s="8">
        <v>817</v>
      </c>
      <c r="H3" s="3">
        <v>100</v>
      </c>
      <c r="I3" s="9">
        <f t="shared" si="0"/>
        <v>8.17</v>
      </c>
      <c r="J3" s="2" t="s">
        <v>14</v>
      </c>
    </row>
    <row r="4" spans="1:10" x14ac:dyDescent="0.3">
      <c r="A4" s="1">
        <v>2232148</v>
      </c>
      <c r="B4" s="2" t="s">
        <v>17</v>
      </c>
      <c r="C4" s="2" t="s">
        <v>11</v>
      </c>
      <c r="D4" s="3" t="s">
        <v>18</v>
      </c>
      <c r="E4" s="3" t="str">
        <f>_xlfn.XLOOKUP(D4,[1]MAESTRA!D:D,[1]MAESTRA!A:A,"")</f>
        <v>EPP00003</v>
      </c>
      <c r="F4" s="2" t="s">
        <v>19</v>
      </c>
      <c r="G4" s="8">
        <v>16</v>
      </c>
      <c r="H4" s="3">
        <v>1</v>
      </c>
      <c r="I4" s="9">
        <f t="shared" si="0"/>
        <v>16</v>
      </c>
      <c r="J4" s="2" t="s">
        <v>20</v>
      </c>
    </row>
    <row r="5" spans="1:10" x14ac:dyDescent="0.3">
      <c r="A5" s="1">
        <v>2231181</v>
      </c>
      <c r="B5" s="2" t="s">
        <v>21</v>
      </c>
      <c r="C5" s="2" t="s">
        <v>22</v>
      </c>
      <c r="D5" s="3" t="s">
        <v>23</v>
      </c>
      <c r="E5" s="3" t="str">
        <f>_xlfn.XLOOKUP(D5,[1]MAESTRA!D:D,[1]MAESTRA!A:A,"")</f>
        <v>GNP00002</v>
      </c>
      <c r="F5" s="2" t="s">
        <v>24</v>
      </c>
      <c r="G5" s="8">
        <v>2030</v>
      </c>
      <c r="H5" s="3">
        <v>100</v>
      </c>
      <c r="I5" s="9">
        <f t="shared" si="0"/>
        <v>20.3</v>
      </c>
      <c r="J5" s="2" t="s">
        <v>14</v>
      </c>
    </row>
    <row r="6" spans="1:10" x14ac:dyDescent="0.3">
      <c r="A6" s="1">
        <v>2231178</v>
      </c>
      <c r="B6" s="2" t="s">
        <v>21</v>
      </c>
      <c r="C6" s="2" t="s">
        <v>22</v>
      </c>
      <c r="D6" s="3" t="s">
        <v>25</v>
      </c>
      <c r="E6" s="3" t="str">
        <f>_xlfn.XLOOKUP(D6,[1]MAESTRA!D:D,[1]MAESTRA!A:A,"")</f>
        <v>GNP00003</v>
      </c>
      <c r="F6" s="2" t="s">
        <v>26</v>
      </c>
      <c r="G6" s="8">
        <v>2041</v>
      </c>
      <c r="H6" s="3">
        <v>100</v>
      </c>
      <c r="I6" s="9">
        <f t="shared" si="0"/>
        <v>20.41</v>
      </c>
      <c r="J6" s="2" t="s">
        <v>14</v>
      </c>
    </row>
    <row r="7" spans="1:10" x14ac:dyDescent="0.3">
      <c r="A7" s="1">
        <v>2233076</v>
      </c>
      <c r="B7" s="10" t="s">
        <v>27</v>
      </c>
      <c r="C7" s="10" t="s">
        <v>11</v>
      </c>
      <c r="D7" s="3" t="s">
        <v>28</v>
      </c>
      <c r="E7" s="1" t="s">
        <v>29</v>
      </c>
      <c r="F7" s="10" t="s">
        <v>30</v>
      </c>
      <c r="G7" s="1">
        <v>35710</v>
      </c>
      <c r="H7" s="1">
        <v>500</v>
      </c>
      <c r="I7" s="11">
        <f t="shared" si="0"/>
        <v>71.42</v>
      </c>
      <c r="J7" s="1" t="s">
        <v>14</v>
      </c>
    </row>
    <row r="8" spans="1:10" x14ac:dyDescent="0.3">
      <c r="A8" s="1">
        <v>2230914</v>
      </c>
      <c r="B8" s="2" t="s">
        <v>31</v>
      </c>
      <c r="C8" s="2" t="s">
        <v>11</v>
      </c>
      <c r="D8" s="3" t="s">
        <v>32</v>
      </c>
      <c r="E8" s="3" t="str">
        <f>_xlfn.XLOOKUP(D8,[1]MAESTRA!D:D,[1]MAESTRA!A:A,"")</f>
        <v>GSA00001</v>
      </c>
      <c r="F8" s="2" t="s">
        <v>33</v>
      </c>
      <c r="G8" s="8">
        <v>1071</v>
      </c>
      <c r="H8" s="3">
        <v>50</v>
      </c>
      <c r="I8" s="9">
        <f t="shared" si="0"/>
        <v>21.42</v>
      </c>
      <c r="J8" s="2" t="s">
        <v>14</v>
      </c>
    </row>
    <row r="9" spans="1:10" x14ac:dyDescent="0.3">
      <c r="A9" s="1">
        <v>2233874</v>
      </c>
      <c r="B9" s="2" t="s">
        <v>34</v>
      </c>
      <c r="C9" s="2" t="s">
        <v>11</v>
      </c>
      <c r="D9" s="3" t="s">
        <v>35</v>
      </c>
      <c r="E9" s="3" t="str">
        <f>_xlfn.XLOOKUP(D9,[1]MAESTRA!D:D,[1]MAESTRA!A:A,"")</f>
        <v>TAP00004</v>
      </c>
      <c r="F9" s="2" t="s">
        <v>36</v>
      </c>
      <c r="G9" s="8">
        <v>4285</v>
      </c>
      <c r="H9" s="3">
        <v>200</v>
      </c>
      <c r="I9" s="9">
        <f t="shared" si="0"/>
        <v>21.425000000000001</v>
      </c>
      <c r="J9" s="2" t="s">
        <v>14</v>
      </c>
    </row>
    <row r="10" spans="1:10" x14ac:dyDescent="0.3">
      <c r="A10" s="1">
        <v>2233873</v>
      </c>
      <c r="B10" s="2" t="s">
        <v>34</v>
      </c>
      <c r="C10" s="2" t="s">
        <v>11</v>
      </c>
      <c r="D10" s="3" t="s">
        <v>35</v>
      </c>
      <c r="E10" s="3" t="str">
        <f>_xlfn.XLOOKUP(D10,[1]MAESTRA!D:D,[1]MAESTRA!A:A,"")</f>
        <v>TAP00004</v>
      </c>
      <c r="F10" s="2" t="s">
        <v>37</v>
      </c>
      <c r="G10" s="8">
        <v>2143</v>
      </c>
      <c r="H10" s="3">
        <v>100</v>
      </c>
      <c r="I10" s="9">
        <f t="shared" si="0"/>
        <v>21.43</v>
      </c>
      <c r="J10" s="2" t="s">
        <v>14</v>
      </c>
    </row>
    <row r="11" spans="1:10" x14ac:dyDescent="0.3">
      <c r="A11" s="1">
        <v>2231179</v>
      </c>
      <c r="B11" s="2" t="s">
        <v>21</v>
      </c>
      <c r="C11" s="2" t="s">
        <v>22</v>
      </c>
      <c r="D11" s="3" t="s">
        <v>38</v>
      </c>
      <c r="E11" s="3" t="str">
        <f>_xlfn.XLOOKUP(D11,[1]MAESTRA!D:D,[1]MAESTRA!A:A,"")</f>
        <v>GNP00004</v>
      </c>
      <c r="F11" s="2" t="s">
        <v>39</v>
      </c>
      <c r="G11" s="8">
        <v>2143</v>
      </c>
      <c r="H11" s="3">
        <v>100</v>
      </c>
      <c r="I11" s="9">
        <f t="shared" si="0"/>
        <v>21.43</v>
      </c>
      <c r="J11" s="2" t="s">
        <v>20</v>
      </c>
    </row>
    <row r="12" spans="1:10" x14ac:dyDescent="0.3">
      <c r="A12" s="1">
        <v>2231182</v>
      </c>
      <c r="B12" s="2" t="s">
        <v>21</v>
      </c>
      <c r="C12" s="2" t="s">
        <v>22</v>
      </c>
      <c r="D12" s="3" t="s">
        <v>40</v>
      </c>
      <c r="E12" s="3" t="s">
        <v>40</v>
      </c>
      <c r="F12" s="2" t="s">
        <v>41</v>
      </c>
      <c r="G12" s="8">
        <v>2234</v>
      </c>
      <c r="H12" s="3">
        <v>100</v>
      </c>
      <c r="I12" s="9">
        <f t="shared" si="0"/>
        <v>22.34</v>
      </c>
      <c r="J12" s="2" t="s">
        <v>20</v>
      </c>
    </row>
    <row r="13" spans="1:10" x14ac:dyDescent="0.3">
      <c r="A13" s="1">
        <v>2230915</v>
      </c>
      <c r="B13" s="2" t="s">
        <v>31</v>
      </c>
      <c r="C13" s="2" t="s">
        <v>11</v>
      </c>
      <c r="D13" s="3" t="s">
        <v>32</v>
      </c>
      <c r="E13" s="3" t="str">
        <f>_xlfn.XLOOKUP(D13,[1]MAESTRA!D:D,[1]MAESTRA!A:A,"")</f>
        <v>GSA00001</v>
      </c>
      <c r="F13" s="2" t="s">
        <v>42</v>
      </c>
      <c r="G13" s="8">
        <v>23</v>
      </c>
      <c r="H13" s="3">
        <v>1</v>
      </c>
      <c r="I13" s="9">
        <f t="shared" si="0"/>
        <v>23</v>
      </c>
      <c r="J13" s="2" t="s">
        <v>14</v>
      </c>
    </row>
    <row r="14" spans="1:10" x14ac:dyDescent="0.3">
      <c r="A14" s="1">
        <v>2233876</v>
      </c>
      <c r="B14" s="2" t="s">
        <v>34</v>
      </c>
      <c r="C14" s="2" t="s">
        <v>11</v>
      </c>
      <c r="D14" s="3" t="s">
        <v>35</v>
      </c>
      <c r="E14" s="3" t="str">
        <f>_xlfn.XLOOKUP(D14,[1]MAESTRA!D:D,[1]MAESTRA!A:A,"")</f>
        <v>TAP00004</v>
      </c>
      <c r="F14" s="2" t="s">
        <v>43</v>
      </c>
      <c r="G14" s="8">
        <v>11734</v>
      </c>
      <c r="H14" s="3">
        <v>500</v>
      </c>
      <c r="I14" s="9">
        <f t="shared" si="0"/>
        <v>23.468</v>
      </c>
      <c r="J14" s="2" t="s">
        <v>14</v>
      </c>
    </row>
    <row r="15" spans="1:10" x14ac:dyDescent="0.3">
      <c r="A15" s="1">
        <v>2229976</v>
      </c>
      <c r="B15" s="2" t="s">
        <v>44</v>
      </c>
      <c r="C15" s="2" t="s">
        <v>11</v>
      </c>
      <c r="D15" s="3" t="s">
        <v>45</v>
      </c>
      <c r="E15" s="3" t="str">
        <f>_xlfn.XLOOKUP(D15,[1]MAESTRA!D:D,[1]MAESTRA!A:A,"")</f>
        <v>IND00003</v>
      </c>
      <c r="F15" s="2" t="s">
        <v>46</v>
      </c>
      <c r="G15" s="8">
        <v>6122</v>
      </c>
      <c r="H15" s="3">
        <v>250</v>
      </c>
      <c r="I15" s="9">
        <f t="shared" si="0"/>
        <v>24.488</v>
      </c>
      <c r="J15" s="2" t="s">
        <v>14</v>
      </c>
    </row>
    <row r="16" spans="1:10" x14ac:dyDescent="0.3">
      <c r="A16" s="1">
        <v>2229915</v>
      </c>
      <c r="B16" s="2" t="s">
        <v>47</v>
      </c>
      <c r="C16" s="2" t="s">
        <v>11</v>
      </c>
      <c r="D16" s="3" t="s">
        <v>45</v>
      </c>
      <c r="E16" s="3" t="str">
        <f>_xlfn.XLOOKUP(D16,[1]MAESTRA!D:D,[1]MAESTRA!A:A,"")</f>
        <v>IND00003</v>
      </c>
      <c r="F16" s="2" t="s">
        <v>48</v>
      </c>
      <c r="G16" s="8">
        <v>6632</v>
      </c>
      <c r="H16" s="3">
        <v>250</v>
      </c>
      <c r="I16" s="9">
        <f t="shared" si="0"/>
        <v>26.527999999999999</v>
      </c>
      <c r="J16" s="2" t="s">
        <v>14</v>
      </c>
    </row>
    <row r="17" spans="1:10" x14ac:dyDescent="0.3">
      <c r="A17" s="1">
        <v>2228580</v>
      </c>
      <c r="B17" s="2" t="s">
        <v>10</v>
      </c>
      <c r="C17" s="2" t="s">
        <v>11</v>
      </c>
      <c r="D17" s="3" t="s">
        <v>49</v>
      </c>
      <c r="E17" s="3" t="str">
        <f>_xlfn.XLOOKUP(D17,[1]MAESTRA!D:D,[1]MAESTRA!A:A,"")</f>
        <v>ALG00004</v>
      </c>
      <c r="F17" s="2" t="s">
        <v>50</v>
      </c>
      <c r="G17" s="8">
        <v>2704</v>
      </c>
      <c r="H17" s="3">
        <v>100</v>
      </c>
      <c r="I17" s="9">
        <f t="shared" si="0"/>
        <v>27.04</v>
      </c>
      <c r="J17" s="2" t="s">
        <v>14</v>
      </c>
    </row>
    <row r="18" spans="1:10" x14ac:dyDescent="0.3">
      <c r="A18" s="1">
        <v>2229916</v>
      </c>
      <c r="B18" s="2" t="s">
        <v>47</v>
      </c>
      <c r="C18" s="2" t="s">
        <v>11</v>
      </c>
      <c r="D18" s="3" t="s">
        <v>51</v>
      </c>
      <c r="E18" s="3" t="str">
        <f>_xlfn.XLOOKUP(D18,[1]MAESTRA!D:D,[1]MAESTRA!A:A,"")</f>
        <v>IND00004</v>
      </c>
      <c r="F18" s="2" t="s">
        <v>52</v>
      </c>
      <c r="G18" s="8">
        <v>7346</v>
      </c>
      <c r="H18" s="3">
        <v>240</v>
      </c>
      <c r="I18" s="9">
        <f t="shared" si="0"/>
        <v>30.608333333333334</v>
      </c>
      <c r="J18" s="2" t="s">
        <v>14</v>
      </c>
    </row>
    <row r="19" spans="1:10" x14ac:dyDescent="0.3">
      <c r="A19" s="1">
        <v>2233875</v>
      </c>
      <c r="B19" s="2" t="s">
        <v>34</v>
      </c>
      <c r="C19" s="2" t="s">
        <v>11</v>
      </c>
      <c r="D19" s="3" t="s">
        <v>35</v>
      </c>
      <c r="E19" s="3" t="str">
        <f>_xlfn.XLOOKUP(D19,[1]MAESTRA!D:D,[1]MAESTRA!A:A,"")</f>
        <v>TAP00004</v>
      </c>
      <c r="F19" s="2" t="s">
        <v>53</v>
      </c>
      <c r="G19" s="8">
        <v>1582</v>
      </c>
      <c r="H19" s="3">
        <v>50</v>
      </c>
      <c r="I19" s="9">
        <f t="shared" si="0"/>
        <v>31.64</v>
      </c>
      <c r="J19" s="2" t="s">
        <v>14</v>
      </c>
    </row>
    <row r="20" spans="1:10" x14ac:dyDescent="0.3">
      <c r="A20" s="1">
        <v>2230916</v>
      </c>
      <c r="B20" s="2" t="s">
        <v>31</v>
      </c>
      <c r="C20" s="2" t="s">
        <v>11</v>
      </c>
      <c r="D20" s="3" t="s">
        <v>54</v>
      </c>
      <c r="E20" s="3" t="str">
        <f>_xlfn.XLOOKUP(D20,[1]MAESTRA!D:D,[1]MAESTRA!A:A,"")</f>
        <v>GSA00002</v>
      </c>
      <c r="F20" s="2" t="s">
        <v>55</v>
      </c>
      <c r="G20" s="8">
        <v>33</v>
      </c>
      <c r="H20" s="3">
        <v>1</v>
      </c>
      <c r="I20" s="9">
        <f t="shared" si="0"/>
        <v>33</v>
      </c>
      <c r="J20" s="2" t="s">
        <v>14</v>
      </c>
    </row>
    <row r="21" spans="1:10" x14ac:dyDescent="0.3">
      <c r="A21" s="1">
        <v>2233868</v>
      </c>
      <c r="B21" s="2" t="s">
        <v>34</v>
      </c>
      <c r="C21" s="2" t="s">
        <v>11</v>
      </c>
      <c r="D21" s="3" t="s">
        <v>56</v>
      </c>
      <c r="E21" s="3" t="str">
        <f>_xlfn.XLOOKUP(D21,[1]MAESTRA!D:D,[1]MAESTRA!A:A,"")</f>
        <v>TAP00001</v>
      </c>
      <c r="F21" s="2" t="s">
        <v>57</v>
      </c>
      <c r="G21" s="8">
        <v>3367</v>
      </c>
      <c r="H21" s="3">
        <v>100</v>
      </c>
      <c r="I21" s="9">
        <f t="shared" si="0"/>
        <v>33.67</v>
      </c>
      <c r="J21" s="2" t="s">
        <v>14</v>
      </c>
    </row>
    <row r="22" spans="1:10" x14ac:dyDescent="0.3">
      <c r="A22" s="1">
        <v>2230980</v>
      </c>
      <c r="B22" s="2" t="s">
        <v>58</v>
      </c>
      <c r="C22" s="2" t="s">
        <v>11</v>
      </c>
      <c r="D22" s="3" t="s">
        <v>59</v>
      </c>
      <c r="E22" s="3" t="str">
        <f>_xlfn.XLOOKUP(D22,[1]MAESTRA!D:D,[1]MAESTRA!A:A,"")</f>
        <v>EPP00002</v>
      </c>
      <c r="F22" s="2" t="s">
        <v>60</v>
      </c>
      <c r="G22" s="8">
        <v>3367</v>
      </c>
      <c r="H22" s="3">
        <v>100</v>
      </c>
      <c r="I22" s="9">
        <f t="shared" si="0"/>
        <v>33.67</v>
      </c>
      <c r="J22" s="2" t="s">
        <v>14</v>
      </c>
    </row>
    <row r="23" spans="1:10" x14ac:dyDescent="0.3">
      <c r="A23" s="1">
        <v>2230981</v>
      </c>
      <c r="B23" s="2" t="s">
        <v>58</v>
      </c>
      <c r="C23" s="2" t="s">
        <v>11</v>
      </c>
      <c r="D23" s="3" t="s">
        <v>59</v>
      </c>
      <c r="E23" s="3" t="str">
        <f>_xlfn.XLOOKUP(D23,[1]MAESTRA!D:D,[1]MAESTRA!A:A,"")</f>
        <v>EPP00002</v>
      </c>
      <c r="F23" s="2" t="s">
        <v>61</v>
      </c>
      <c r="G23" s="8">
        <v>3367</v>
      </c>
      <c r="H23" s="3">
        <v>100</v>
      </c>
      <c r="I23" s="9">
        <f t="shared" si="0"/>
        <v>33.67</v>
      </c>
      <c r="J23" s="2" t="s">
        <v>14</v>
      </c>
    </row>
    <row r="24" spans="1:10" x14ac:dyDescent="0.3">
      <c r="A24" s="1">
        <v>2229975</v>
      </c>
      <c r="B24" s="2" t="s">
        <v>44</v>
      </c>
      <c r="C24" s="2" t="s">
        <v>11</v>
      </c>
      <c r="D24" s="3" t="s">
        <v>51</v>
      </c>
      <c r="E24" s="3" t="str">
        <f>_xlfn.XLOOKUP(D24,[1]MAESTRA!D:D,[1]MAESTRA!A:A,"")</f>
        <v>IND00004</v>
      </c>
      <c r="F24" s="2" t="s">
        <v>62</v>
      </c>
      <c r="G24" s="8">
        <v>8571</v>
      </c>
      <c r="H24" s="3">
        <v>240</v>
      </c>
      <c r="I24" s="9">
        <f t="shared" si="0"/>
        <v>35.712499999999999</v>
      </c>
      <c r="J24" s="2" t="s">
        <v>14</v>
      </c>
    </row>
    <row r="25" spans="1:10" x14ac:dyDescent="0.3">
      <c r="A25" s="1">
        <v>2234417</v>
      </c>
      <c r="B25" s="2" t="s">
        <v>63</v>
      </c>
      <c r="C25" s="2" t="s">
        <v>11</v>
      </c>
      <c r="D25" s="3" t="s">
        <v>64</v>
      </c>
      <c r="E25" s="3" t="str">
        <f>_xlfn.XLOOKUP(D25,[1]MAESTRA!D:D,[1]MAESTRA!A:A,"")</f>
        <v>EPP00001</v>
      </c>
      <c r="F25" s="2" t="s">
        <v>65</v>
      </c>
      <c r="G25" s="8">
        <v>3572</v>
      </c>
      <c r="H25" s="3">
        <v>100</v>
      </c>
      <c r="I25" s="9">
        <f t="shared" si="0"/>
        <v>35.72</v>
      </c>
      <c r="J25" s="2" t="s">
        <v>14</v>
      </c>
    </row>
    <row r="26" spans="1:10" x14ac:dyDescent="0.3">
      <c r="A26" s="1">
        <v>2233869</v>
      </c>
      <c r="B26" s="2" t="s">
        <v>34</v>
      </c>
      <c r="C26" s="2" t="s">
        <v>11</v>
      </c>
      <c r="D26" s="3" t="s">
        <v>56</v>
      </c>
      <c r="E26" s="3" t="str">
        <f>_xlfn.XLOOKUP(D26,[1]MAESTRA!D:D,[1]MAESTRA!A:A,"")</f>
        <v>TAP00001</v>
      </c>
      <c r="F26" s="2" t="s">
        <v>66</v>
      </c>
      <c r="G26" s="8">
        <v>7959</v>
      </c>
      <c r="H26" s="3">
        <v>200</v>
      </c>
      <c r="I26" s="9">
        <f t="shared" si="0"/>
        <v>39.795000000000002</v>
      </c>
      <c r="J26" s="2" t="s">
        <v>14</v>
      </c>
    </row>
    <row r="27" spans="1:10" x14ac:dyDescent="0.3">
      <c r="A27" s="1">
        <v>2230913</v>
      </c>
      <c r="B27" s="2" t="s">
        <v>31</v>
      </c>
      <c r="C27" s="2" t="s">
        <v>11</v>
      </c>
      <c r="D27" s="3" t="s">
        <v>67</v>
      </c>
      <c r="E27" s="3" t="str">
        <f>_xlfn.XLOOKUP(D27,[1]MAESTRA!D:D,[1]MAESTRA!A:A,"")</f>
        <v>GSA00003</v>
      </c>
      <c r="F27" s="2" t="s">
        <v>68</v>
      </c>
      <c r="G27" s="8">
        <v>52</v>
      </c>
      <c r="H27" s="3">
        <v>1</v>
      </c>
      <c r="I27" s="9">
        <f t="shared" si="0"/>
        <v>52</v>
      </c>
      <c r="J27" s="2" t="s">
        <v>14</v>
      </c>
    </row>
    <row r="28" spans="1:10" x14ac:dyDescent="0.3">
      <c r="A28" s="1">
        <v>2233075</v>
      </c>
      <c r="B28" s="10" t="s">
        <v>27</v>
      </c>
      <c r="C28" s="10" t="s">
        <v>11</v>
      </c>
      <c r="D28" s="3" t="s">
        <v>69</v>
      </c>
      <c r="E28" s="1" t="s">
        <v>70</v>
      </c>
      <c r="F28" s="10" t="s">
        <v>71</v>
      </c>
      <c r="G28" s="1">
        <v>61218</v>
      </c>
      <c r="H28" s="1">
        <v>1000</v>
      </c>
      <c r="I28" s="11">
        <f t="shared" si="0"/>
        <v>61.218000000000004</v>
      </c>
      <c r="J28" s="1" t="s">
        <v>14</v>
      </c>
    </row>
    <row r="29" spans="1:10" x14ac:dyDescent="0.3">
      <c r="A29" s="1">
        <v>2233077</v>
      </c>
      <c r="B29" s="10" t="s">
        <v>27</v>
      </c>
      <c r="C29" s="10" t="s">
        <v>11</v>
      </c>
      <c r="D29" s="3" t="s">
        <v>29</v>
      </c>
      <c r="E29" s="1" t="s">
        <v>72</v>
      </c>
      <c r="F29" s="10" t="s">
        <v>73</v>
      </c>
      <c r="G29" s="1">
        <v>163247</v>
      </c>
      <c r="H29" s="1">
        <v>8000</v>
      </c>
      <c r="I29" s="11">
        <f t="shared" si="0"/>
        <v>20.405875000000002</v>
      </c>
      <c r="J29" s="1" t="s">
        <v>14</v>
      </c>
    </row>
    <row r="30" spans="1:10" x14ac:dyDescent="0.3">
      <c r="A30" s="1">
        <v>2232542</v>
      </c>
      <c r="B30" s="2" t="s">
        <v>74</v>
      </c>
      <c r="C30" s="2" t="s">
        <v>11</v>
      </c>
      <c r="D30" s="3" t="s">
        <v>75</v>
      </c>
      <c r="E30" s="3" t="str">
        <f>_xlfn.XLOOKUP(D30,[1]MAESTRA!D:D,[1]MAESTRA!A:A,"")</f>
        <v>CRE00004</v>
      </c>
      <c r="F30" s="2" t="s">
        <v>76</v>
      </c>
      <c r="G30" s="8">
        <v>20406</v>
      </c>
      <c r="H30" s="3">
        <v>250</v>
      </c>
      <c r="I30" s="9">
        <f t="shared" si="0"/>
        <v>81.623999999999995</v>
      </c>
      <c r="J30" s="2" t="s">
        <v>20</v>
      </c>
    </row>
    <row r="31" spans="1:10" x14ac:dyDescent="0.3">
      <c r="A31" s="1">
        <v>2232540</v>
      </c>
      <c r="B31" s="2" t="s">
        <v>74</v>
      </c>
      <c r="C31" s="2" t="s">
        <v>11</v>
      </c>
      <c r="D31" s="3" t="s">
        <v>77</v>
      </c>
      <c r="E31" s="3" t="str">
        <f>_xlfn.XLOOKUP(D31,[1]MAESTRA!D:D,[1]MAESTRA!A:A,"")</f>
        <v>ENV00002</v>
      </c>
      <c r="F31" s="2" t="s">
        <v>78</v>
      </c>
      <c r="G31" s="8">
        <v>48464</v>
      </c>
      <c r="H31" s="3">
        <v>500</v>
      </c>
      <c r="I31" s="9">
        <f t="shared" si="0"/>
        <v>96.927999999999997</v>
      </c>
      <c r="J31" s="2" t="s">
        <v>14</v>
      </c>
    </row>
    <row r="32" spans="1:10" x14ac:dyDescent="0.3">
      <c r="A32" s="1">
        <v>2230917</v>
      </c>
      <c r="B32" s="2" t="s">
        <v>31</v>
      </c>
      <c r="C32" s="2" t="s">
        <v>11</v>
      </c>
      <c r="D32" s="3" t="s">
        <v>79</v>
      </c>
      <c r="E32" s="3" t="str">
        <f>_xlfn.XLOOKUP(D32,[1]MAESTRA!D:D,[1]MAESTRA!A:A,"")</f>
        <v>GSA00007</v>
      </c>
      <c r="F32" s="2" t="s">
        <v>80</v>
      </c>
      <c r="G32" s="8">
        <v>536</v>
      </c>
      <c r="H32" s="3">
        <v>5</v>
      </c>
      <c r="I32" s="9">
        <f t="shared" si="0"/>
        <v>107.2</v>
      </c>
      <c r="J32" s="2" t="s">
        <v>14</v>
      </c>
    </row>
    <row r="33" spans="1:10" x14ac:dyDescent="0.3">
      <c r="A33" s="1">
        <v>2231919</v>
      </c>
      <c r="B33" s="2" t="s">
        <v>81</v>
      </c>
      <c r="C33" s="2" t="s">
        <v>11</v>
      </c>
      <c r="D33" s="3" t="s">
        <v>82</v>
      </c>
      <c r="E33" s="3" t="str">
        <f>_xlfn.XLOOKUP(D33,[1]MAESTRA!D:D,[1]MAESTRA!A:A,"")</f>
        <v>LLA00012</v>
      </c>
      <c r="F33" s="2" t="s">
        <v>83</v>
      </c>
      <c r="G33" s="8">
        <v>114</v>
      </c>
      <c r="H33" s="3">
        <v>1</v>
      </c>
      <c r="I33" s="9">
        <f t="shared" si="0"/>
        <v>114</v>
      </c>
      <c r="J33" s="2" t="s">
        <v>14</v>
      </c>
    </row>
    <row r="34" spans="1:10" x14ac:dyDescent="0.3">
      <c r="A34" s="1">
        <v>2232359</v>
      </c>
      <c r="B34" s="2" t="s">
        <v>84</v>
      </c>
      <c r="C34" s="2" t="s">
        <v>11</v>
      </c>
      <c r="D34" s="3" t="s">
        <v>85</v>
      </c>
      <c r="E34" s="3" t="str">
        <f>_xlfn.XLOOKUP(D34,[1]MAESTRA!D:D,[1]MAESTRA!A:A,"")</f>
        <v>EPP00006</v>
      </c>
      <c r="F34" s="2" t="s">
        <v>86</v>
      </c>
      <c r="G34" s="8">
        <v>128</v>
      </c>
      <c r="H34" s="3">
        <v>1</v>
      </c>
      <c r="I34" s="9">
        <f t="shared" si="0"/>
        <v>128</v>
      </c>
      <c r="J34" s="2" t="s">
        <v>14</v>
      </c>
    </row>
    <row r="35" spans="1:10" x14ac:dyDescent="0.3">
      <c r="A35" s="1">
        <v>2228908</v>
      </c>
      <c r="B35" s="2" t="s">
        <v>87</v>
      </c>
      <c r="C35" s="2" t="s">
        <v>11</v>
      </c>
      <c r="D35" s="3" t="s">
        <v>88</v>
      </c>
      <c r="E35" s="3" t="str">
        <f>_xlfn.XLOOKUP(D35,[1]MAESTRA!D:D,[1]MAESTRA!A:A,"")</f>
        <v>ABS00002</v>
      </c>
      <c r="F35" s="2" t="s">
        <v>89</v>
      </c>
      <c r="G35" s="8">
        <v>132</v>
      </c>
      <c r="H35" s="3">
        <v>1</v>
      </c>
      <c r="I35" s="9">
        <f t="shared" si="0"/>
        <v>132</v>
      </c>
      <c r="J35" s="2" t="s">
        <v>14</v>
      </c>
    </row>
    <row r="36" spans="1:10" x14ac:dyDescent="0.3">
      <c r="A36" s="1">
        <v>2232363</v>
      </c>
      <c r="B36" s="2" t="s">
        <v>84</v>
      </c>
      <c r="C36" s="2" t="s">
        <v>11</v>
      </c>
      <c r="D36" s="3" t="s">
        <v>85</v>
      </c>
      <c r="E36" s="3" t="str">
        <f>_xlfn.XLOOKUP(D36,[1]MAESTRA!D:D,[1]MAESTRA!A:A,"")</f>
        <v>EPP00006</v>
      </c>
      <c r="F36" s="2" t="s">
        <v>90</v>
      </c>
      <c r="G36" s="8">
        <v>13264</v>
      </c>
      <c r="H36" s="3">
        <v>100</v>
      </c>
      <c r="I36" s="9">
        <f t="shared" si="0"/>
        <v>132.63999999999999</v>
      </c>
      <c r="J36" s="2" t="s">
        <v>14</v>
      </c>
    </row>
    <row r="37" spans="1:10" x14ac:dyDescent="0.3">
      <c r="A37" s="1">
        <v>2232342</v>
      </c>
      <c r="B37" s="2" t="s">
        <v>84</v>
      </c>
      <c r="C37" s="2" t="s">
        <v>11</v>
      </c>
      <c r="D37" s="3" t="s">
        <v>85</v>
      </c>
      <c r="E37" s="3" t="str">
        <f>_xlfn.XLOOKUP(D37,[1]MAESTRA!D:D,[1]MAESTRA!A:A,"")</f>
        <v>EPP00006</v>
      </c>
      <c r="F37" s="2" t="s">
        <v>91</v>
      </c>
      <c r="G37" s="8">
        <v>133</v>
      </c>
      <c r="H37" s="3">
        <v>1</v>
      </c>
      <c r="I37" s="9">
        <f t="shared" si="0"/>
        <v>133</v>
      </c>
      <c r="J37" s="2" t="s">
        <v>14</v>
      </c>
    </row>
    <row r="38" spans="1:10" x14ac:dyDescent="0.3">
      <c r="A38" s="1">
        <v>2232351</v>
      </c>
      <c r="B38" s="2" t="s">
        <v>84</v>
      </c>
      <c r="C38" s="2" t="s">
        <v>11</v>
      </c>
      <c r="D38" s="3" t="s">
        <v>85</v>
      </c>
      <c r="E38" s="3" t="str">
        <f>_xlfn.XLOOKUP(D38,[1]MAESTRA!D:D,[1]MAESTRA!A:A,"")</f>
        <v>EPP00006</v>
      </c>
      <c r="F38" s="2" t="s">
        <v>92</v>
      </c>
      <c r="G38" s="8">
        <v>133</v>
      </c>
      <c r="H38" s="3">
        <v>1</v>
      </c>
      <c r="I38" s="9">
        <f t="shared" si="0"/>
        <v>133</v>
      </c>
      <c r="J38" s="2" t="s">
        <v>14</v>
      </c>
    </row>
    <row r="39" spans="1:10" x14ac:dyDescent="0.3">
      <c r="A39" s="1">
        <v>2232352</v>
      </c>
      <c r="B39" s="2" t="s">
        <v>84</v>
      </c>
      <c r="C39" s="2" t="s">
        <v>11</v>
      </c>
      <c r="D39" s="3" t="s">
        <v>85</v>
      </c>
      <c r="E39" s="3" t="str">
        <f>_xlfn.XLOOKUP(D39,[1]MAESTRA!D:D,[1]MAESTRA!A:A,"")</f>
        <v>EPP00006</v>
      </c>
      <c r="F39" s="2" t="s">
        <v>93</v>
      </c>
      <c r="G39" s="8">
        <v>133</v>
      </c>
      <c r="H39" s="3">
        <v>1</v>
      </c>
      <c r="I39" s="9">
        <f t="shared" si="0"/>
        <v>133</v>
      </c>
      <c r="J39" s="2" t="s">
        <v>14</v>
      </c>
    </row>
    <row r="40" spans="1:10" x14ac:dyDescent="0.3">
      <c r="A40" s="1">
        <v>2232362</v>
      </c>
      <c r="B40" s="2" t="s">
        <v>84</v>
      </c>
      <c r="C40" s="2" t="s">
        <v>11</v>
      </c>
      <c r="D40" s="3" t="s">
        <v>85</v>
      </c>
      <c r="E40" s="3" t="str">
        <f>_xlfn.XLOOKUP(D40,[1]MAESTRA!D:D,[1]MAESTRA!A:A,"")</f>
        <v>EPP00006</v>
      </c>
      <c r="F40" s="2" t="s">
        <v>94</v>
      </c>
      <c r="G40" s="8">
        <v>133</v>
      </c>
      <c r="H40" s="3">
        <v>1</v>
      </c>
      <c r="I40" s="9">
        <f t="shared" si="0"/>
        <v>133</v>
      </c>
      <c r="J40" s="2" t="s">
        <v>14</v>
      </c>
    </row>
    <row r="41" spans="1:10" x14ac:dyDescent="0.3">
      <c r="A41" s="1">
        <v>2232365</v>
      </c>
      <c r="B41" s="2" t="s">
        <v>84</v>
      </c>
      <c r="C41" s="2" t="s">
        <v>11</v>
      </c>
      <c r="D41" s="3" t="s">
        <v>85</v>
      </c>
      <c r="E41" s="3" t="str">
        <f>_xlfn.XLOOKUP(D41,[1]MAESTRA!D:D,[1]MAESTRA!A:A,"")</f>
        <v>EPP00006</v>
      </c>
      <c r="F41" s="2" t="s">
        <v>95</v>
      </c>
      <c r="G41" s="8">
        <v>133</v>
      </c>
      <c r="H41" s="3">
        <v>1</v>
      </c>
      <c r="I41" s="9">
        <f t="shared" si="0"/>
        <v>133</v>
      </c>
      <c r="J41" s="2" t="s">
        <v>14</v>
      </c>
    </row>
    <row r="42" spans="1:10" x14ac:dyDescent="0.3">
      <c r="A42" s="1">
        <v>2232366</v>
      </c>
      <c r="B42" s="2" t="s">
        <v>84</v>
      </c>
      <c r="C42" s="2" t="s">
        <v>11</v>
      </c>
      <c r="D42" s="3" t="s">
        <v>85</v>
      </c>
      <c r="E42" s="3" t="str">
        <f>_xlfn.XLOOKUP(D42,[1]MAESTRA!D:D,[1]MAESTRA!A:A,"")</f>
        <v>EPP00006</v>
      </c>
      <c r="F42" s="2" t="s">
        <v>96</v>
      </c>
      <c r="G42" s="8">
        <v>133</v>
      </c>
      <c r="H42" s="3">
        <v>1</v>
      </c>
      <c r="I42" s="9">
        <f t="shared" si="0"/>
        <v>133</v>
      </c>
      <c r="J42" s="2" t="s">
        <v>14</v>
      </c>
    </row>
    <row r="43" spans="1:10" x14ac:dyDescent="0.3">
      <c r="A43" s="1">
        <v>2232357</v>
      </c>
      <c r="B43" s="2" t="s">
        <v>84</v>
      </c>
      <c r="C43" s="2" t="s">
        <v>11</v>
      </c>
      <c r="D43" s="3" t="s">
        <v>85</v>
      </c>
      <c r="E43" s="3" t="str">
        <f>_xlfn.XLOOKUP(D43,[1]MAESTRA!D:D,[1]MAESTRA!A:A,"")</f>
        <v>EPP00006</v>
      </c>
      <c r="F43" s="2" t="s">
        <v>97</v>
      </c>
      <c r="G43" s="8">
        <v>13417</v>
      </c>
      <c r="H43" s="3">
        <v>100</v>
      </c>
      <c r="I43" s="9">
        <f t="shared" si="0"/>
        <v>134.16999999999999</v>
      </c>
      <c r="J43" s="2" t="s">
        <v>14</v>
      </c>
    </row>
    <row r="44" spans="1:10" x14ac:dyDescent="0.3">
      <c r="A44" s="1">
        <v>2232358</v>
      </c>
      <c r="B44" s="2" t="s">
        <v>84</v>
      </c>
      <c r="C44" s="2" t="s">
        <v>11</v>
      </c>
      <c r="D44" s="3" t="s">
        <v>85</v>
      </c>
      <c r="E44" s="3" t="str">
        <f>_xlfn.XLOOKUP(D44,[1]MAESTRA!D:D,[1]MAESTRA!A:A,"")</f>
        <v>EPP00006</v>
      </c>
      <c r="F44" s="12" t="s">
        <v>98</v>
      </c>
      <c r="G44" s="8">
        <v>136</v>
      </c>
      <c r="H44" s="3">
        <v>1</v>
      </c>
      <c r="I44" s="9">
        <f t="shared" si="0"/>
        <v>136</v>
      </c>
      <c r="J44" s="2" t="s">
        <v>14</v>
      </c>
    </row>
    <row r="45" spans="1:10" x14ac:dyDescent="0.3">
      <c r="A45" s="1">
        <v>2232355</v>
      </c>
      <c r="B45" s="2" t="s">
        <v>84</v>
      </c>
      <c r="C45" s="2" t="s">
        <v>11</v>
      </c>
      <c r="D45" s="3" t="s">
        <v>85</v>
      </c>
      <c r="E45" s="3" t="str">
        <f>_xlfn.XLOOKUP(D45,[1]MAESTRA!D:D,[1]MAESTRA!A:A,"")</f>
        <v>EPP00006</v>
      </c>
      <c r="F45" s="2" t="s">
        <v>99</v>
      </c>
      <c r="G45" s="8">
        <v>13774</v>
      </c>
      <c r="H45" s="3">
        <v>100</v>
      </c>
      <c r="I45" s="9">
        <f t="shared" si="0"/>
        <v>137.74</v>
      </c>
      <c r="J45" s="2" t="s">
        <v>14</v>
      </c>
    </row>
    <row r="46" spans="1:10" x14ac:dyDescent="0.3">
      <c r="A46" s="1">
        <v>2232340</v>
      </c>
      <c r="B46" s="2" t="s">
        <v>84</v>
      </c>
      <c r="C46" s="2" t="s">
        <v>11</v>
      </c>
      <c r="D46" s="3" t="s">
        <v>85</v>
      </c>
      <c r="E46" s="3" t="str">
        <f>_xlfn.XLOOKUP(D46,[1]MAESTRA!D:D,[1]MAESTRA!A:A,"")</f>
        <v>EPP00006</v>
      </c>
      <c r="F46" s="2" t="s">
        <v>100</v>
      </c>
      <c r="G46" s="8">
        <v>138</v>
      </c>
      <c r="H46" s="3">
        <v>1</v>
      </c>
      <c r="I46" s="9">
        <f t="shared" si="0"/>
        <v>138</v>
      </c>
      <c r="J46" s="2" t="s">
        <v>14</v>
      </c>
    </row>
    <row r="47" spans="1:10" x14ac:dyDescent="0.3">
      <c r="A47" s="1">
        <v>2232354</v>
      </c>
      <c r="B47" s="2" t="s">
        <v>84</v>
      </c>
      <c r="C47" s="2" t="s">
        <v>11</v>
      </c>
      <c r="D47" s="3" t="s">
        <v>85</v>
      </c>
      <c r="E47" s="3" t="str">
        <f>_xlfn.XLOOKUP(D47,[1]MAESTRA!D:D,[1]MAESTRA!A:A,"")</f>
        <v>EPP00006</v>
      </c>
      <c r="F47" s="2" t="s">
        <v>101</v>
      </c>
      <c r="G47" s="8">
        <v>138</v>
      </c>
      <c r="H47" s="3">
        <v>1</v>
      </c>
      <c r="I47" s="9">
        <f t="shared" si="0"/>
        <v>138</v>
      </c>
      <c r="J47" s="2" t="s">
        <v>14</v>
      </c>
    </row>
    <row r="48" spans="1:10" x14ac:dyDescent="0.3">
      <c r="A48" s="1">
        <v>2232356</v>
      </c>
      <c r="B48" s="2" t="s">
        <v>84</v>
      </c>
      <c r="C48" s="2" t="s">
        <v>11</v>
      </c>
      <c r="D48" s="3" t="s">
        <v>85</v>
      </c>
      <c r="E48" s="3" t="str">
        <f>_xlfn.XLOOKUP(D48,[1]MAESTRA!D:D,[1]MAESTRA!A:A,"")</f>
        <v>EPP00006</v>
      </c>
      <c r="F48" s="2" t="s">
        <v>102</v>
      </c>
      <c r="G48" s="8">
        <v>138</v>
      </c>
      <c r="H48" s="3">
        <v>1</v>
      </c>
      <c r="I48" s="9">
        <f t="shared" si="0"/>
        <v>138</v>
      </c>
      <c r="J48" s="2" t="s">
        <v>14</v>
      </c>
    </row>
    <row r="49" spans="1:10" x14ac:dyDescent="0.3">
      <c r="A49" s="1">
        <v>2232347</v>
      </c>
      <c r="B49" s="2" t="s">
        <v>84</v>
      </c>
      <c r="C49" s="2" t="s">
        <v>11</v>
      </c>
      <c r="D49" s="3" t="s">
        <v>85</v>
      </c>
      <c r="E49" s="3" t="str">
        <f>_xlfn.XLOOKUP(D49,[1]MAESTRA!D:D,[1]MAESTRA!A:A,"")</f>
        <v>EPP00006</v>
      </c>
      <c r="F49" s="2" t="s">
        <v>103</v>
      </c>
      <c r="G49" s="8">
        <v>7040</v>
      </c>
      <c r="H49" s="3">
        <v>50</v>
      </c>
      <c r="I49" s="9">
        <f t="shared" si="0"/>
        <v>140.80000000000001</v>
      </c>
      <c r="J49" s="2" t="s">
        <v>14</v>
      </c>
    </row>
    <row r="50" spans="1:10" x14ac:dyDescent="0.3">
      <c r="A50" s="1">
        <v>2232341</v>
      </c>
      <c r="B50" s="2" t="s">
        <v>84</v>
      </c>
      <c r="C50" s="2" t="s">
        <v>11</v>
      </c>
      <c r="D50" s="3" t="s">
        <v>85</v>
      </c>
      <c r="E50" s="3" t="str">
        <f>_xlfn.XLOOKUP(D50,[1]MAESTRA!D:D,[1]MAESTRA!A:A,"")</f>
        <v>EPP00006</v>
      </c>
      <c r="F50" s="2" t="s">
        <v>104</v>
      </c>
      <c r="G50" s="8">
        <v>14284</v>
      </c>
      <c r="H50" s="3">
        <v>100</v>
      </c>
      <c r="I50" s="9">
        <f t="shared" si="0"/>
        <v>142.84</v>
      </c>
      <c r="J50" s="2" t="s">
        <v>14</v>
      </c>
    </row>
    <row r="51" spans="1:10" x14ac:dyDescent="0.3">
      <c r="A51" s="1">
        <v>2232364</v>
      </c>
      <c r="B51" s="2" t="s">
        <v>84</v>
      </c>
      <c r="C51" s="2" t="s">
        <v>11</v>
      </c>
      <c r="D51" s="3" t="s">
        <v>85</v>
      </c>
      <c r="E51" s="3" t="str">
        <f>_xlfn.XLOOKUP(D51,[1]MAESTRA!D:D,[1]MAESTRA!A:A,"")</f>
        <v>EPP00006</v>
      </c>
      <c r="F51" s="2" t="s">
        <v>105</v>
      </c>
      <c r="G51" s="8">
        <v>14284</v>
      </c>
      <c r="H51" s="3">
        <v>100</v>
      </c>
      <c r="I51" s="9">
        <f t="shared" si="0"/>
        <v>142.84</v>
      </c>
      <c r="J51" s="2" t="s">
        <v>14</v>
      </c>
    </row>
    <row r="52" spans="1:10" x14ac:dyDescent="0.3">
      <c r="A52" s="1">
        <v>2234307</v>
      </c>
      <c r="B52" s="2" t="s">
        <v>106</v>
      </c>
      <c r="C52" s="2" t="s">
        <v>11</v>
      </c>
      <c r="D52" s="3" t="s">
        <v>107</v>
      </c>
      <c r="E52" s="3" t="str">
        <f>_xlfn.XLOOKUP(D52,[1]MAESTRA!D:D,[1]MAESTRA!A:A,"")</f>
        <v>VDA00003</v>
      </c>
      <c r="F52" s="2" t="s">
        <v>108</v>
      </c>
      <c r="G52" s="8">
        <v>2857</v>
      </c>
      <c r="H52" s="3">
        <v>20</v>
      </c>
      <c r="I52" s="9">
        <f t="shared" si="0"/>
        <v>142.85</v>
      </c>
      <c r="J52" s="2" t="s">
        <v>14</v>
      </c>
    </row>
    <row r="53" spans="1:10" x14ac:dyDescent="0.3">
      <c r="A53" s="3">
        <v>2231916</v>
      </c>
      <c r="B53" s="3" t="s">
        <v>81</v>
      </c>
      <c r="C53" s="3" t="s">
        <v>11</v>
      </c>
      <c r="D53" s="3" t="s">
        <v>109</v>
      </c>
      <c r="E53" s="3" t="str">
        <f>_xlfn.XLOOKUP(D53,[1]MAESTRA!D:D,[1]MAESTRA!A:A,"")</f>
        <v>LLA00003</v>
      </c>
      <c r="F53" s="3" t="s">
        <v>110</v>
      </c>
      <c r="G53" s="3">
        <v>7397</v>
      </c>
      <c r="H53" s="3">
        <v>50</v>
      </c>
      <c r="I53" s="9">
        <f t="shared" si="0"/>
        <v>147.94</v>
      </c>
      <c r="J53" s="2" t="s">
        <v>14</v>
      </c>
    </row>
    <row r="54" spans="1:10" x14ac:dyDescent="0.3">
      <c r="A54" s="1">
        <v>2232345</v>
      </c>
      <c r="B54" s="2" t="s">
        <v>84</v>
      </c>
      <c r="C54" s="2" t="s">
        <v>11</v>
      </c>
      <c r="D54" s="3" t="s">
        <v>85</v>
      </c>
      <c r="E54" s="3" t="str">
        <f>_xlfn.XLOOKUP(D54,[1]MAESTRA!D:D,[1]MAESTRA!A:A,"")</f>
        <v>EPP00006</v>
      </c>
      <c r="F54" s="2" t="s">
        <v>111</v>
      </c>
      <c r="G54" s="8">
        <v>14795</v>
      </c>
      <c r="H54" s="3">
        <v>100</v>
      </c>
      <c r="I54" s="9">
        <f t="shared" si="0"/>
        <v>147.94999999999999</v>
      </c>
      <c r="J54" s="2" t="s">
        <v>14</v>
      </c>
    </row>
    <row r="55" spans="1:10" x14ac:dyDescent="0.3">
      <c r="A55" s="1">
        <v>2232346</v>
      </c>
      <c r="B55" s="2" t="s">
        <v>84</v>
      </c>
      <c r="C55" s="2" t="s">
        <v>11</v>
      </c>
      <c r="D55" s="3" t="s">
        <v>85</v>
      </c>
      <c r="E55" s="3" t="str">
        <f>_xlfn.XLOOKUP(D55,[1]MAESTRA!D:D,[1]MAESTRA!A:A,"")</f>
        <v>EPP00006</v>
      </c>
      <c r="F55" s="2" t="s">
        <v>112</v>
      </c>
      <c r="G55" s="8">
        <v>15101</v>
      </c>
      <c r="H55" s="3">
        <v>100</v>
      </c>
      <c r="I55" s="9">
        <f t="shared" si="0"/>
        <v>151.01</v>
      </c>
      <c r="J55" s="2" t="s">
        <v>14</v>
      </c>
    </row>
    <row r="56" spans="1:10" x14ac:dyDescent="0.3">
      <c r="A56" s="1">
        <v>2232353</v>
      </c>
      <c r="B56" s="2" t="s">
        <v>84</v>
      </c>
      <c r="C56" s="2" t="s">
        <v>11</v>
      </c>
      <c r="D56" s="3" t="s">
        <v>85</v>
      </c>
      <c r="E56" s="3" t="str">
        <f>_xlfn.XLOOKUP(D56,[1]MAESTRA!D:D,[1]MAESTRA!A:A,"")</f>
        <v>EPP00006</v>
      </c>
      <c r="F56" s="2" t="s">
        <v>113</v>
      </c>
      <c r="G56" s="8">
        <v>15202</v>
      </c>
      <c r="H56" s="3">
        <v>100</v>
      </c>
      <c r="I56" s="9">
        <f t="shared" si="0"/>
        <v>152.02000000000001</v>
      </c>
      <c r="J56" s="2" t="s">
        <v>14</v>
      </c>
    </row>
    <row r="57" spans="1:10" x14ac:dyDescent="0.3">
      <c r="A57" s="1">
        <v>2232361</v>
      </c>
      <c r="B57" s="2" t="s">
        <v>84</v>
      </c>
      <c r="C57" s="2" t="s">
        <v>11</v>
      </c>
      <c r="D57" s="3" t="s">
        <v>85</v>
      </c>
      <c r="E57" s="3" t="str">
        <f>_xlfn.XLOOKUP(D57,[1]MAESTRA!D:D,[1]MAESTRA!A:A,"")</f>
        <v>EPP00006</v>
      </c>
      <c r="F57" s="2" t="s">
        <v>114</v>
      </c>
      <c r="G57" s="8">
        <v>153</v>
      </c>
      <c r="H57" s="3">
        <v>1</v>
      </c>
      <c r="I57" s="9">
        <f t="shared" si="0"/>
        <v>153</v>
      </c>
      <c r="J57" s="2" t="s">
        <v>14</v>
      </c>
    </row>
    <row r="58" spans="1:10" x14ac:dyDescent="0.3">
      <c r="A58" s="1">
        <v>2232360</v>
      </c>
      <c r="B58" s="2" t="s">
        <v>84</v>
      </c>
      <c r="C58" s="2" t="s">
        <v>11</v>
      </c>
      <c r="D58" s="3" t="s">
        <v>85</v>
      </c>
      <c r="E58" s="3" t="str">
        <f>_xlfn.XLOOKUP(D58,[1]MAESTRA!D:D,[1]MAESTRA!A:A,"")</f>
        <v>EPP00006</v>
      </c>
      <c r="F58" s="2" t="s">
        <v>115</v>
      </c>
      <c r="G58" s="8">
        <v>15304</v>
      </c>
      <c r="H58" s="3">
        <v>100</v>
      </c>
      <c r="I58" s="9">
        <f t="shared" si="0"/>
        <v>153.04</v>
      </c>
      <c r="J58" s="2" t="s">
        <v>14</v>
      </c>
    </row>
    <row r="59" spans="1:10" x14ac:dyDescent="0.3">
      <c r="A59" s="1">
        <v>2230647</v>
      </c>
      <c r="B59" s="2" t="s">
        <v>116</v>
      </c>
      <c r="C59" s="2" t="s">
        <v>11</v>
      </c>
      <c r="D59" s="3" t="s">
        <v>117</v>
      </c>
      <c r="E59" s="3" t="str">
        <f>_xlfn.XLOOKUP(D59,[1]MAESTRA!D:D,[1]MAESTRA!A:A,"")</f>
        <v>BDS00001</v>
      </c>
      <c r="F59" s="2" t="s">
        <v>118</v>
      </c>
      <c r="G59" s="8">
        <v>155</v>
      </c>
      <c r="H59" s="3">
        <v>1</v>
      </c>
      <c r="I59" s="9">
        <f t="shared" si="0"/>
        <v>155</v>
      </c>
      <c r="J59" s="2" t="s">
        <v>14</v>
      </c>
    </row>
    <row r="60" spans="1:10" x14ac:dyDescent="0.3">
      <c r="A60" s="1">
        <v>2230649</v>
      </c>
      <c r="B60" s="2" t="s">
        <v>116</v>
      </c>
      <c r="C60" s="2" t="s">
        <v>11</v>
      </c>
      <c r="D60" s="3" t="s">
        <v>117</v>
      </c>
      <c r="E60" s="3" t="str">
        <f>_xlfn.XLOOKUP(D60,[1]MAESTRA!D:D,[1]MAESTRA!A:A,"")</f>
        <v>BDS00001</v>
      </c>
      <c r="F60" s="2" t="s">
        <v>119</v>
      </c>
      <c r="G60" s="8">
        <v>155</v>
      </c>
      <c r="H60" s="3">
        <v>1</v>
      </c>
      <c r="I60" s="9">
        <f t="shared" si="0"/>
        <v>155</v>
      </c>
      <c r="J60" s="2" t="s">
        <v>14</v>
      </c>
    </row>
    <row r="61" spans="1:10" x14ac:dyDescent="0.3">
      <c r="A61" s="1">
        <v>2230648</v>
      </c>
      <c r="B61" s="2" t="s">
        <v>116</v>
      </c>
      <c r="C61" s="2" t="s">
        <v>11</v>
      </c>
      <c r="D61" s="3" t="s">
        <v>117</v>
      </c>
      <c r="E61" s="3" t="str">
        <f>_xlfn.XLOOKUP(D61,[1]MAESTRA!D:D,[1]MAESTRA!A:A,"")</f>
        <v>BDS00001</v>
      </c>
      <c r="F61" s="2" t="s">
        <v>120</v>
      </c>
      <c r="G61" s="8">
        <v>3878</v>
      </c>
      <c r="H61" s="3">
        <v>25</v>
      </c>
      <c r="I61" s="9">
        <f t="shared" si="0"/>
        <v>155.12</v>
      </c>
      <c r="J61" s="2" t="s">
        <v>14</v>
      </c>
    </row>
    <row r="62" spans="1:10" x14ac:dyDescent="0.3">
      <c r="A62" s="1">
        <v>2230567</v>
      </c>
      <c r="B62" s="2" t="s">
        <v>121</v>
      </c>
      <c r="C62" s="2" t="s">
        <v>11</v>
      </c>
      <c r="D62" s="3" t="s">
        <v>117</v>
      </c>
      <c r="E62" s="3" t="str">
        <f>_xlfn.XLOOKUP(D62,[1]MAESTRA!D:D,[1]MAESTRA!A:A,"")</f>
        <v>BDS00001</v>
      </c>
      <c r="F62" s="2" t="s">
        <v>122</v>
      </c>
      <c r="G62" s="8">
        <v>3878</v>
      </c>
      <c r="H62" s="3">
        <v>25</v>
      </c>
      <c r="I62" s="9">
        <f t="shared" si="0"/>
        <v>155.12</v>
      </c>
      <c r="J62" s="2" t="s">
        <v>14</v>
      </c>
    </row>
    <row r="63" spans="1:10" x14ac:dyDescent="0.3">
      <c r="A63" s="1">
        <v>2230644</v>
      </c>
      <c r="B63" s="2" t="s">
        <v>116</v>
      </c>
      <c r="C63" s="2" t="s">
        <v>11</v>
      </c>
      <c r="D63" s="3" t="s">
        <v>117</v>
      </c>
      <c r="E63" s="3" t="str">
        <f>_xlfn.XLOOKUP(D63,[1]MAESTRA!D:D,[1]MAESTRA!A:A,"")</f>
        <v>BDS00001</v>
      </c>
      <c r="F63" s="2" t="s">
        <v>123</v>
      </c>
      <c r="G63" s="8">
        <v>3878</v>
      </c>
      <c r="H63" s="3">
        <v>25</v>
      </c>
      <c r="I63" s="9">
        <f t="shared" si="0"/>
        <v>155.12</v>
      </c>
      <c r="J63" s="2" t="s">
        <v>14</v>
      </c>
    </row>
    <row r="64" spans="1:10" x14ac:dyDescent="0.3">
      <c r="A64" s="3">
        <v>2231917</v>
      </c>
      <c r="B64" s="3" t="s">
        <v>81</v>
      </c>
      <c r="C64" s="3" t="s">
        <v>11</v>
      </c>
      <c r="D64" s="3" t="s">
        <v>109</v>
      </c>
      <c r="E64" s="3" t="str">
        <f>_xlfn.XLOOKUP(D64,[1]MAESTRA!D:D,[1]MAESTRA!A:A,"")</f>
        <v>LLA00003</v>
      </c>
      <c r="F64" s="3" t="s">
        <v>124</v>
      </c>
      <c r="G64" s="3">
        <v>163</v>
      </c>
      <c r="H64" s="3">
        <v>1</v>
      </c>
      <c r="I64" s="9">
        <f t="shared" si="0"/>
        <v>163</v>
      </c>
      <c r="J64" s="2" t="s">
        <v>14</v>
      </c>
    </row>
    <row r="65" spans="1:10" x14ac:dyDescent="0.3">
      <c r="A65" s="3">
        <v>2231918</v>
      </c>
      <c r="B65" s="3" t="s">
        <v>81</v>
      </c>
      <c r="C65" s="3" t="s">
        <v>11</v>
      </c>
      <c r="D65" s="3" t="s">
        <v>109</v>
      </c>
      <c r="E65" s="3" t="str">
        <f>_xlfn.XLOOKUP(D65,[1]MAESTRA!D:D,[1]MAESTRA!A:A,"")</f>
        <v>LLA00003</v>
      </c>
      <c r="F65" s="3" t="s">
        <v>125</v>
      </c>
      <c r="G65" s="3">
        <v>8162</v>
      </c>
      <c r="H65" s="3">
        <v>50</v>
      </c>
      <c r="I65" s="9">
        <f t="shared" si="0"/>
        <v>163.24</v>
      </c>
      <c r="J65" s="2" t="s">
        <v>14</v>
      </c>
    </row>
    <row r="66" spans="1:10" x14ac:dyDescent="0.3">
      <c r="A66" s="1">
        <v>2232538</v>
      </c>
      <c r="B66" s="2" t="s">
        <v>74</v>
      </c>
      <c r="C66" s="2" t="s">
        <v>11</v>
      </c>
      <c r="D66" s="3" t="s">
        <v>126</v>
      </c>
      <c r="E66" s="3" t="str">
        <f>_xlfn.XLOOKUP(D66,[1]MAESTRA!D:D,[1]MAESTRA!A:A,"")</f>
        <v>CRE00005</v>
      </c>
      <c r="F66" s="2" t="s">
        <v>127</v>
      </c>
      <c r="G66" s="8">
        <v>41322</v>
      </c>
      <c r="H66" s="3">
        <v>250</v>
      </c>
      <c r="I66" s="9">
        <f t="shared" ref="I66:I129" si="1">G66/H66</f>
        <v>165.28800000000001</v>
      </c>
      <c r="J66" s="2" t="s">
        <v>14</v>
      </c>
    </row>
    <row r="67" spans="1:10" x14ac:dyDescent="0.3">
      <c r="A67" s="1">
        <v>2230254</v>
      </c>
      <c r="B67" s="2" t="s">
        <v>128</v>
      </c>
      <c r="C67" s="2" t="s">
        <v>11</v>
      </c>
      <c r="D67" s="3" t="s">
        <v>129</v>
      </c>
      <c r="E67" s="3" t="str">
        <f>_xlfn.XLOOKUP(D67,[1]MAESTRA!D:D,[1]MAESTRA!A:A,"")</f>
        <v>LAP00001</v>
      </c>
      <c r="F67" s="2" t="s">
        <v>130</v>
      </c>
      <c r="G67" s="8">
        <v>172</v>
      </c>
      <c r="H67" s="3">
        <v>1</v>
      </c>
      <c r="I67" s="9">
        <f t="shared" si="1"/>
        <v>172</v>
      </c>
      <c r="J67" s="2" t="s">
        <v>14</v>
      </c>
    </row>
    <row r="68" spans="1:10" x14ac:dyDescent="0.3">
      <c r="A68" s="1">
        <v>2230652</v>
      </c>
      <c r="B68" s="2" t="s">
        <v>116</v>
      </c>
      <c r="C68" s="2" t="s">
        <v>11</v>
      </c>
      <c r="D68" s="3" t="s">
        <v>117</v>
      </c>
      <c r="E68" s="3" t="str">
        <f>_xlfn.XLOOKUP(D68,[1]MAESTRA!D:D,[1]MAESTRA!A:A,"")</f>
        <v>BDS00001</v>
      </c>
      <c r="F68" s="2" t="s">
        <v>131</v>
      </c>
      <c r="G68" s="8">
        <v>173</v>
      </c>
      <c r="H68" s="3">
        <v>1</v>
      </c>
      <c r="I68" s="9">
        <f t="shared" si="1"/>
        <v>173</v>
      </c>
      <c r="J68" s="2" t="s">
        <v>14</v>
      </c>
    </row>
    <row r="69" spans="1:10" x14ac:dyDescent="0.3">
      <c r="A69" s="1">
        <v>2230646</v>
      </c>
      <c r="B69" s="2" t="s">
        <v>116</v>
      </c>
      <c r="C69" s="2" t="s">
        <v>11</v>
      </c>
      <c r="D69" s="3" t="s">
        <v>117</v>
      </c>
      <c r="E69" s="3" t="str">
        <f>_xlfn.XLOOKUP(D69,[1]MAESTRA!D:D,[1]MAESTRA!A:A,"")</f>
        <v>BDS00001</v>
      </c>
      <c r="F69" s="2" t="s">
        <v>132</v>
      </c>
      <c r="G69" s="8">
        <v>4336</v>
      </c>
      <c r="H69" s="3">
        <v>25</v>
      </c>
      <c r="I69" s="9">
        <f t="shared" si="1"/>
        <v>173.44</v>
      </c>
      <c r="J69" s="2" t="s">
        <v>14</v>
      </c>
    </row>
    <row r="70" spans="1:10" x14ac:dyDescent="0.3">
      <c r="A70" s="1">
        <v>2230252</v>
      </c>
      <c r="B70" s="2" t="s">
        <v>128</v>
      </c>
      <c r="C70" s="2" t="s">
        <v>11</v>
      </c>
      <c r="D70" s="3" t="s">
        <v>129</v>
      </c>
      <c r="E70" s="3" t="str">
        <f>_xlfn.XLOOKUP(D70,[1]MAESTRA!D:D,[1]MAESTRA!A:A,"")</f>
        <v>LAP00001</v>
      </c>
      <c r="F70" s="2" t="s">
        <v>133</v>
      </c>
      <c r="G70" s="8">
        <v>17447</v>
      </c>
      <c r="H70" s="3">
        <v>100</v>
      </c>
      <c r="I70" s="9">
        <f t="shared" si="1"/>
        <v>174.47</v>
      </c>
      <c r="J70" s="2" t="s">
        <v>14</v>
      </c>
    </row>
    <row r="71" spans="1:10" x14ac:dyDescent="0.3">
      <c r="A71" s="1">
        <v>2234308</v>
      </c>
      <c r="B71" s="2" t="s">
        <v>106</v>
      </c>
      <c r="C71" s="2" t="s">
        <v>11</v>
      </c>
      <c r="D71" s="3" t="s">
        <v>134</v>
      </c>
      <c r="E71" s="3" t="str">
        <f>_xlfn.XLOOKUP(D71,[1]MAESTRA!D:D,[1]MAESTRA!A:A,"")</f>
        <v>VDA00004</v>
      </c>
      <c r="F71" s="2" t="s">
        <v>135</v>
      </c>
      <c r="G71" s="8">
        <v>3510</v>
      </c>
      <c r="H71" s="3">
        <v>20</v>
      </c>
      <c r="I71" s="9">
        <f t="shared" si="1"/>
        <v>175.5</v>
      </c>
      <c r="J71" s="2" t="s">
        <v>14</v>
      </c>
    </row>
    <row r="72" spans="1:10" x14ac:dyDescent="0.3">
      <c r="A72" s="1">
        <v>2230253</v>
      </c>
      <c r="B72" s="2" t="s">
        <v>128</v>
      </c>
      <c r="C72" s="2" t="s">
        <v>11</v>
      </c>
      <c r="D72" s="3" t="s">
        <v>129</v>
      </c>
      <c r="E72" s="3" t="str">
        <f>_xlfn.XLOOKUP(D72,[1]MAESTRA!D:D,[1]MAESTRA!A:A,"")</f>
        <v>LAP00001</v>
      </c>
      <c r="F72" s="2" t="s">
        <v>136</v>
      </c>
      <c r="G72" s="8">
        <v>35302</v>
      </c>
      <c r="H72" s="3">
        <v>200</v>
      </c>
      <c r="I72" s="9">
        <f t="shared" si="1"/>
        <v>176.51</v>
      </c>
      <c r="J72" s="2" t="s">
        <v>14</v>
      </c>
    </row>
    <row r="73" spans="1:10" x14ac:dyDescent="0.3">
      <c r="A73" s="1">
        <v>2232350</v>
      </c>
      <c r="B73" s="2" t="s">
        <v>84</v>
      </c>
      <c r="C73" s="2" t="s">
        <v>11</v>
      </c>
      <c r="D73" s="3" t="s">
        <v>85</v>
      </c>
      <c r="E73" s="3" t="str">
        <f>_xlfn.XLOOKUP(D73,[1]MAESTRA!D:D,[1]MAESTRA!A:A,"")</f>
        <v>EPP00006</v>
      </c>
      <c r="F73" s="2" t="s">
        <v>137</v>
      </c>
      <c r="G73" s="8">
        <v>17753</v>
      </c>
      <c r="H73" s="3">
        <v>100</v>
      </c>
      <c r="I73" s="9">
        <f t="shared" si="1"/>
        <v>177.53</v>
      </c>
      <c r="J73" s="2" t="s">
        <v>14</v>
      </c>
    </row>
    <row r="74" spans="1:10" x14ac:dyDescent="0.3">
      <c r="A74" s="1">
        <v>2230651</v>
      </c>
      <c r="B74" s="2" t="s">
        <v>116</v>
      </c>
      <c r="C74" s="2" t="s">
        <v>11</v>
      </c>
      <c r="D74" s="3" t="s">
        <v>117</v>
      </c>
      <c r="E74" s="3" t="str">
        <f>_xlfn.XLOOKUP(D74,[1]MAESTRA!D:D,[1]MAESTRA!A:A,"")</f>
        <v>BDS00001</v>
      </c>
      <c r="F74" s="2" t="s">
        <v>138</v>
      </c>
      <c r="G74" s="8">
        <v>89276</v>
      </c>
      <c r="H74" s="3">
        <v>500</v>
      </c>
      <c r="I74" s="9">
        <f t="shared" si="1"/>
        <v>178.55199999999999</v>
      </c>
      <c r="J74" s="2" t="s">
        <v>14</v>
      </c>
    </row>
    <row r="75" spans="1:10" x14ac:dyDescent="0.3">
      <c r="A75" s="1">
        <v>2230255</v>
      </c>
      <c r="B75" s="2" t="s">
        <v>128</v>
      </c>
      <c r="C75" s="2" t="s">
        <v>11</v>
      </c>
      <c r="D75" s="3" t="s">
        <v>139</v>
      </c>
      <c r="E75" s="3" t="str">
        <f>_xlfn.XLOOKUP(D75,[1]MAESTRA!D:D,[1]MAESTRA!A:A,"")</f>
        <v>LAG00001</v>
      </c>
      <c r="F75" s="2" t="s">
        <v>140</v>
      </c>
      <c r="G75" s="8">
        <v>90806</v>
      </c>
      <c r="H75" s="3">
        <v>500</v>
      </c>
      <c r="I75" s="9">
        <f t="shared" si="1"/>
        <v>181.61199999999999</v>
      </c>
      <c r="J75" s="2" t="s">
        <v>14</v>
      </c>
    </row>
    <row r="76" spans="1:10" x14ac:dyDescent="0.3">
      <c r="A76" s="1">
        <v>2230257</v>
      </c>
      <c r="B76" s="2" t="s">
        <v>128</v>
      </c>
      <c r="C76" s="2" t="s">
        <v>11</v>
      </c>
      <c r="D76" s="3" t="s">
        <v>139</v>
      </c>
      <c r="E76" s="3" t="str">
        <f>_xlfn.XLOOKUP(D76,[1]MAESTRA!D:D,[1]MAESTRA!A:A,"")</f>
        <v>LAG00001</v>
      </c>
      <c r="F76" s="2" t="s">
        <v>141</v>
      </c>
      <c r="G76" s="8">
        <v>183</v>
      </c>
      <c r="H76" s="3">
        <v>1</v>
      </c>
      <c r="I76" s="9">
        <f t="shared" si="1"/>
        <v>183</v>
      </c>
      <c r="J76" s="2" t="s">
        <v>14</v>
      </c>
    </row>
    <row r="77" spans="1:10" x14ac:dyDescent="0.3">
      <c r="A77" s="1">
        <v>2230653</v>
      </c>
      <c r="B77" s="2" t="s">
        <v>116</v>
      </c>
      <c r="C77" s="2" t="s">
        <v>11</v>
      </c>
      <c r="D77" s="3" t="s">
        <v>117</v>
      </c>
      <c r="E77" s="3" t="str">
        <f>_xlfn.XLOOKUP(D77,[1]MAESTRA!D:D,[1]MAESTRA!A:A,"")</f>
        <v>BDS00001</v>
      </c>
      <c r="F77" s="2" t="s">
        <v>142</v>
      </c>
      <c r="G77" s="8">
        <v>4592</v>
      </c>
      <c r="H77" s="3">
        <v>25</v>
      </c>
      <c r="I77" s="9">
        <f t="shared" si="1"/>
        <v>183.68</v>
      </c>
      <c r="J77" s="2" t="s">
        <v>14</v>
      </c>
    </row>
    <row r="78" spans="1:10" x14ac:dyDescent="0.3">
      <c r="A78" s="1">
        <v>2230251</v>
      </c>
      <c r="B78" s="2" t="s">
        <v>128</v>
      </c>
      <c r="C78" s="2" t="s">
        <v>11</v>
      </c>
      <c r="D78" s="3" t="s">
        <v>139</v>
      </c>
      <c r="E78" s="3" t="str">
        <f>_xlfn.XLOOKUP(D78,[1]MAESTRA!D:D,[1]MAESTRA!A:A,"")</f>
        <v>LAG00001</v>
      </c>
      <c r="F78" s="2" t="s">
        <v>143</v>
      </c>
      <c r="G78" s="8">
        <v>943</v>
      </c>
      <c r="H78" s="3">
        <v>5</v>
      </c>
      <c r="I78" s="9">
        <f t="shared" si="1"/>
        <v>188.6</v>
      </c>
      <c r="J78" s="2" t="s">
        <v>14</v>
      </c>
    </row>
    <row r="79" spans="1:10" x14ac:dyDescent="0.3">
      <c r="A79" s="1">
        <v>2232349</v>
      </c>
      <c r="B79" s="2" t="s">
        <v>84</v>
      </c>
      <c r="C79" s="2" t="s">
        <v>11</v>
      </c>
      <c r="D79" s="3" t="s">
        <v>85</v>
      </c>
      <c r="E79" s="3" t="str">
        <f>_xlfn.XLOOKUP(D79,[1]MAESTRA!D:D,[1]MAESTRA!A:A,"")</f>
        <v>EPP00006</v>
      </c>
      <c r="F79" s="2" t="s">
        <v>144</v>
      </c>
      <c r="G79" s="8">
        <v>1888</v>
      </c>
      <c r="H79" s="3">
        <v>10</v>
      </c>
      <c r="I79" s="9">
        <f t="shared" si="1"/>
        <v>188.8</v>
      </c>
      <c r="J79" s="2" t="s">
        <v>14</v>
      </c>
    </row>
    <row r="80" spans="1:10" x14ac:dyDescent="0.3">
      <c r="A80" s="1">
        <v>2234305</v>
      </c>
      <c r="B80" s="2" t="s">
        <v>106</v>
      </c>
      <c r="C80" s="2" t="s">
        <v>11</v>
      </c>
      <c r="D80" s="3" t="s">
        <v>145</v>
      </c>
      <c r="E80" s="3" t="str">
        <f>_xlfn.XLOOKUP(D80,[1]MAESTRA!D:D,[1]MAESTRA!A:A,"")</f>
        <v>VDA00001</v>
      </c>
      <c r="F80" s="2" t="s">
        <v>146</v>
      </c>
      <c r="G80" s="8">
        <v>3775</v>
      </c>
      <c r="H80" s="3">
        <v>20</v>
      </c>
      <c r="I80" s="9">
        <f t="shared" si="1"/>
        <v>188.75</v>
      </c>
      <c r="J80" s="2" t="s">
        <v>14</v>
      </c>
    </row>
    <row r="81" spans="1:10" x14ac:dyDescent="0.3">
      <c r="A81" s="1">
        <v>2232348</v>
      </c>
      <c r="B81" s="2" t="s">
        <v>84</v>
      </c>
      <c r="C81" s="2" t="s">
        <v>11</v>
      </c>
      <c r="D81" s="3" t="s">
        <v>85</v>
      </c>
      <c r="E81" s="3" t="str">
        <f>_xlfn.XLOOKUP(D81,[1]MAESTRA!D:D,[1]MAESTRA!A:A,"")</f>
        <v>EPP00006</v>
      </c>
      <c r="F81" s="2" t="s">
        <v>147</v>
      </c>
      <c r="G81" s="8">
        <v>193</v>
      </c>
      <c r="H81" s="3">
        <v>1</v>
      </c>
      <c r="I81" s="9">
        <f t="shared" si="1"/>
        <v>193</v>
      </c>
      <c r="J81" s="2" t="s">
        <v>14</v>
      </c>
    </row>
    <row r="82" spans="1:10" x14ac:dyDescent="0.3">
      <c r="A82" s="1">
        <v>2230650</v>
      </c>
      <c r="B82" s="2" t="s">
        <v>116</v>
      </c>
      <c r="C82" s="2" t="s">
        <v>11</v>
      </c>
      <c r="D82" s="3" t="s">
        <v>117</v>
      </c>
      <c r="E82" s="3" t="str">
        <f>_xlfn.XLOOKUP(D82,[1]MAESTRA!D:D,[1]MAESTRA!A:A,"")</f>
        <v>BDS00001</v>
      </c>
      <c r="F82" s="2" t="s">
        <v>148</v>
      </c>
      <c r="G82" s="8">
        <v>194</v>
      </c>
      <c r="H82" s="3">
        <v>1</v>
      </c>
      <c r="I82" s="9">
        <f t="shared" si="1"/>
        <v>194</v>
      </c>
      <c r="J82" s="2" t="s">
        <v>14</v>
      </c>
    </row>
    <row r="83" spans="1:10" x14ac:dyDescent="0.3">
      <c r="A83" s="1">
        <v>2230256</v>
      </c>
      <c r="B83" s="2" t="s">
        <v>128</v>
      </c>
      <c r="C83" s="2" t="s">
        <v>11</v>
      </c>
      <c r="D83" s="3" t="s">
        <v>139</v>
      </c>
      <c r="E83" s="3" t="str">
        <f>_xlfn.XLOOKUP(D83,[1]MAESTRA!D:D,[1]MAESTRA!A:A,"")</f>
        <v>LAG00001</v>
      </c>
      <c r="F83" s="2" t="s">
        <v>149</v>
      </c>
      <c r="G83" s="8">
        <v>48464</v>
      </c>
      <c r="H83" s="3">
        <v>250</v>
      </c>
      <c r="I83" s="9">
        <f t="shared" si="1"/>
        <v>193.85599999999999</v>
      </c>
      <c r="J83" s="2" t="s">
        <v>14</v>
      </c>
    </row>
    <row r="84" spans="1:10" x14ac:dyDescent="0.3">
      <c r="A84" s="13">
        <v>2230911</v>
      </c>
      <c r="B84" s="2" t="s">
        <v>31</v>
      </c>
      <c r="C84" s="2" t="s">
        <v>11</v>
      </c>
      <c r="D84" s="3" t="s">
        <v>150</v>
      </c>
      <c r="E84" s="3" t="str">
        <f>_xlfn.XLOOKUP(D84,[1]MAESTRA!D:D,[1]MAESTRA!A:A,"")</f>
        <v>ABS00005</v>
      </c>
      <c r="F84" s="14" t="s">
        <v>151</v>
      </c>
      <c r="G84" s="8">
        <v>209</v>
      </c>
      <c r="H84" s="3">
        <v>1</v>
      </c>
      <c r="I84" s="9">
        <f t="shared" si="1"/>
        <v>209</v>
      </c>
      <c r="J84" s="2" t="s">
        <v>14</v>
      </c>
    </row>
    <row r="85" spans="1:10" x14ac:dyDescent="0.3">
      <c r="A85" s="1">
        <v>2234306</v>
      </c>
      <c r="B85" s="2" t="s">
        <v>106</v>
      </c>
      <c r="C85" s="2" t="s">
        <v>11</v>
      </c>
      <c r="D85" s="3" t="s">
        <v>152</v>
      </c>
      <c r="E85" s="3" t="str">
        <f>_xlfn.XLOOKUP(D85,[1]MAESTRA!D:D,[1]MAESTRA!A:A,"")</f>
        <v>VDA00002</v>
      </c>
      <c r="F85" s="2" t="s">
        <v>153</v>
      </c>
      <c r="G85" s="8">
        <v>4469</v>
      </c>
      <c r="H85" s="3">
        <v>20</v>
      </c>
      <c r="I85" s="9">
        <f t="shared" si="1"/>
        <v>223.45</v>
      </c>
      <c r="J85" s="2" t="s">
        <v>14</v>
      </c>
    </row>
    <row r="86" spans="1:10" x14ac:dyDescent="0.3">
      <c r="A86" s="1">
        <v>2230645</v>
      </c>
      <c r="B86" s="2" t="s">
        <v>116</v>
      </c>
      <c r="C86" s="2" t="s">
        <v>11</v>
      </c>
      <c r="D86" s="3" t="s">
        <v>117</v>
      </c>
      <c r="E86" s="3" t="str">
        <f>_xlfn.XLOOKUP(D86,[1]MAESTRA!D:D,[1]MAESTRA!A:A,"")</f>
        <v>BDS00001</v>
      </c>
      <c r="F86" s="2" t="s">
        <v>154</v>
      </c>
      <c r="G86" s="8">
        <v>225</v>
      </c>
      <c r="H86" s="3">
        <v>1</v>
      </c>
      <c r="I86" s="9">
        <f t="shared" si="1"/>
        <v>225</v>
      </c>
      <c r="J86" s="2" t="s">
        <v>14</v>
      </c>
    </row>
    <row r="87" spans="1:10" x14ac:dyDescent="0.3">
      <c r="A87" s="1">
        <v>2232900</v>
      </c>
      <c r="B87" s="2" t="s">
        <v>155</v>
      </c>
      <c r="C87" s="2" t="s">
        <v>11</v>
      </c>
      <c r="D87" s="3" t="s">
        <v>156</v>
      </c>
      <c r="E87" s="3" t="str">
        <f>_xlfn.XLOOKUP(D87,[1]MAESTRA!D:D,[1]MAESTRA!A:A,"")</f>
        <v>BOR00003</v>
      </c>
      <c r="F87" s="2" t="s">
        <v>157</v>
      </c>
      <c r="G87" s="8">
        <v>2449</v>
      </c>
      <c r="H87" s="3">
        <v>10</v>
      </c>
      <c r="I87" s="9">
        <f t="shared" si="1"/>
        <v>244.9</v>
      </c>
      <c r="J87" s="2" t="s">
        <v>14</v>
      </c>
    </row>
    <row r="88" spans="1:10" x14ac:dyDescent="0.3">
      <c r="A88" s="1">
        <v>2232901</v>
      </c>
      <c r="B88" s="2" t="s">
        <v>155</v>
      </c>
      <c r="C88" s="2" t="s">
        <v>11</v>
      </c>
      <c r="D88" s="3" t="s">
        <v>156</v>
      </c>
      <c r="E88" s="3" t="str">
        <f>_xlfn.XLOOKUP(D88,[1]MAESTRA!D:D,[1]MAESTRA!A:A,"")</f>
        <v>BOR00003</v>
      </c>
      <c r="F88" s="2" t="s">
        <v>158</v>
      </c>
      <c r="G88" s="8">
        <v>245</v>
      </c>
      <c r="H88" s="3">
        <v>1</v>
      </c>
      <c r="I88" s="9">
        <f t="shared" si="1"/>
        <v>245</v>
      </c>
      <c r="J88" s="2" t="s">
        <v>14</v>
      </c>
    </row>
    <row r="89" spans="1:10" x14ac:dyDescent="0.3">
      <c r="A89" s="1">
        <v>2228387</v>
      </c>
      <c r="B89" s="2" t="s">
        <v>159</v>
      </c>
      <c r="C89" s="2" t="s">
        <v>11</v>
      </c>
      <c r="D89" s="3" t="s">
        <v>160</v>
      </c>
      <c r="E89" s="3" t="str">
        <f>_xlfn.XLOOKUP(D89,[1]MAESTRA!D:D,[1]MAESTRA!A:A,"")</f>
        <v>VEN00027</v>
      </c>
      <c r="F89" s="2" t="s">
        <v>161</v>
      </c>
      <c r="G89" s="8">
        <v>12499</v>
      </c>
      <c r="H89" s="3">
        <v>50</v>
      </c>
      <c r="I89" s="9">
        <f t="shared" si="1"/>
        <v>249.98</v>
      </c>
      <c r="J89" s="2" t="s">
        <v>14</v>
      </c>
    </row>
    <row r="90" spans="1:10" x14ac:dyDescent="0.3">
      <c r="A90" s="1">
        <v>2228388</v>
      </c>
      <c r="B90" s="2" t="s">
        <v>159</v>
      </c>
      <c r="C90" s="2" t="s">
        <v>11</v>
      </c>
      <c r="D90" s="3" t="s">
        <v>160</v>
      </c>
      <c r="E90" s="3" t="str">
        <f>_xlfn.XLOOKUP(D90,[1]MAESTRA!D:D,[1]MAESTRA!A:A,"")</f>
        <v>VEN00027</v>
      </c>
      <c r="F90" s="2" t="s">
        <v>162</v>
      </c>
      <c r="G90" s="8">
        <v>250</v>
      </c>
      <c r="H90" s="3">
        <v>1</v>
      </c>
      <c r="I90" s="9">
        <f t="shared" si="1"/>
        <v>250</v>
      </c>
      <c r="J90" s="2" t="s">
        <v>14</v>
      </c>
    </row>
    <row r="91" spans="1:10" x14ac:dyDescent="0.3">
      <c r="A91" s="1">
        <v>2228402</v>
      </c>
      <c r="B91" s="2" t="s">
        <v>159</v>
      </c>
      <c r="C91" s="2" t="s">
        <v>11</v>
      </c>
      <c r="D91" s="3" t="s">
        <v>163</v>
      </c>
      <c r="E91" s="3" t="str">
        <f>_xlfn.XLOOKUP(D91,[1]MAESTRA!D:D,[1]MAESTRA!A:A,"")</f>
        <v>VEN00001</v>
      </c>
      <c r="F91" s="2" t="s">
        <v>164</v>
      </c>
      <c r="G91" s="8">
        <v>51015</v>
      </c>
      <c r="H91" s="3">
        <v>200</v>
      </c>
      <c r="I91" s="9">
        <f t="shared" si="1"/>
        <v>255.07499999999999</v>
      </c>
      <c r="J91" s="2" t="s">
        <v>14</v>
      </c>
    </row>
    <row r="92" spans="1:10" x14ac:dyDescent="0.3">
      <c r="A92" s="1">
        <v>2228401</v>
      </c>
      <c r="B92" s="2" t="s">
        <v>159</v>
      </c>
      <c r="C92" s="2" t="s">
        <v>11</v>
      </c>
      <c r="D92" s="3" t="s">
        <v>165</v>
      </c>
      <c r="E92" s="3" t="str">
        <f>_xlfn.XLOOKUP(D92,[1]MAESTRA!D:D,[1]MAESTRA!A:A,"")</f>
        <v>VEN00016</v>
      </c>
      <c r="F92" s="2" t="s">
        <v>166</v>
      </c>
      <c r="G92" s="8">
        <v>25507</v>
      </c>
      <c r="H92" s="3">
        <v>100</v>
      </c>
      <c r="I92" s="9">
        <f t="shared" si="1"/>
        <v>255.07</v>
      </c>
      <c r="J92" s="2" t="s">
        <v>14</v>
      </c>
    </row>
    <row r="93" spans="1:10" x14ac:dyDescent="0.3">
      <c r="A93" s="13">
        <v>2228907</v>
      </c>
      <c r="B93" s="2" t="s">
        <v>87</v>
      </c>
      <c r="C93" s="2" t="s">
        <v>11</v>
      </c>
      <c r="D93" s="3" t="s">
        <v>167</v>
      </c>
      <c r="E93" s="3" t="str">
        <f>_xlfn.XLOOKUP(D93,[1]MAESTRA!D:D,[1]MAESTRA!A:A,"")</f>
        <v>ABS00004</v>
      </c>
      <c r="F93" s="14" t="s">
        <v>168</v>
      </c>
      <c r="G93" s="8">
        <v>257</v>
      </c>
      <c r="H93" s="3">
        <v>1</v>
      </c>
      <c r="I93" s="9">
        <f t="shared" si="1"/>
        <v>257</v>
      </c>
      <c r="J93" s="2" t="s">
        <v>14</v>
      </c>
    </row>
    <row r="94" spans="1:10" x14ac:dyDescent="0.3">
      <c r="A94" s="1">
        <v>2230499</v>
      </c>
      <c r="B94" s="2" t="s">
        <v>169</v>
      </c>
      <c r="C94" s="2" t="s">
        <v>11</v>
      </c>
      <c r="D94" s="3" t="s">
        <v>170</v>
      </c>
      <c r="E94" s="3" t="str">
        <f>_xlfn.XLOOKUP(D94,[1]MAESTRA!D:D,[1]MAESTRA!A:A,"")</f>
        <v>ENV00005</v>
      </c>
      <c r="F94" s="2" t="s">
        <v>171</v>
      </c>
      <c r="G94" s="8">
        <v>66319</v>
      </c>
      <c r="H94" s="3">
        <v>250</v>
      </c>
      <c r="I94" s="9">
        <f t="shared" si="1"/>
        <v>265.27600000000001</v>
      </c>
      <c r="J94" s="2" t="s">
        <v>14</v>
      </c>
    </row>
    <row r="95" spans="1:10" x14ac:dyDescent="0.3">
      <c r="A95" s="1">
        <v>2234412</v>
      </c>
      <c r="B95" s="2" t="s">
        <v>63</v>
      </c>
      <c r="C95" s="2" t="s">
        <v>11</v>
      </c>
      <c r="D95" s="3" t="s">
        <v>172</v>
      </c>
      <c r="E95" s="3" t="str">
        <f>_xlfn.XLOOKUP(D95,[1]MAESTRA!D:D,[1]MAESTRA!A:A,"")</f>
        <v>BQU00009</v>
      </c>
      <c r="F95" s="2" t="s">
        <v>173</v>
      </c>
      <c r="G95" s="8">
        <v>274</v>
      </c>
      <c r="H95" s="3">
        <v>1</v>
      </c>
      <c r="I95" s="9">
        <f t="shared" si="1"/>
        <v>274</v>
      </c>
      <c r="J95" s="2" t="s">
        <v>20</v>
      </c>
    </row>
    <row r="96" spans="1:10" x14ac:dyDescent="0.3">
      <c r="A96" s="1">
        <v>2232339</v>
      </c>
      <c r="B96" s="2" t="s">
        <v>84</v>
      </c>
      <c r="C96" s="2" t="s">
        <v>11</v>
      </c>
      <c r="D96" s="3" t="s">
        <v>172</v>
      </c>
      <c r="E96" s="3" t="str">
        <f>_xlfn.XLOOKUP(D96,[1]MAESTRA!D:D,[1]MAESTRA!A:A,"")</f>
        <v>BQU00009</v>
      </c>
      <c r="F96" s="2" t="s">
        <v>174</v>
      </c>
      <c r="G96" s="8">
        <v>27548</v>
      </c>
      <c r="H96" s="3">
        <v>100</v>
      </c>
      <c r="I96" s="9">
        <f t="shared" si="1"/>
        <v>275.48</v>
      </c>
      <c r="J96" s="2" t="s">
        <v>20</v>
      </c>
    </row>
    <row r="97" spans="1:10" x14ac:dyDescent="0.3">
      <c r="A97" s="1">
        <v>2228391</v>
      </c>
      <c r="B97" s="2" t="s">
        <v>159</v>
      </c>
      <c r="C97" s="2" t="s">
        <v>11</v>
      </c>
      <c r="D97" s="3" t="s">
        <v>175</v>
      </c>
      <c r="E97" s="3" t="str">
        <f>_xlfn.XLOOKUP(D97,[1]MAESTRA!D:D,[1]MAESTRA!A:A,"")</f>
        <v>VEN00033</v>
      </c>
      <c r="F97" s="2" t="s">
        <v>176</v>
      </c>
      <c r="G97" s="8">
        <v>11427</v>
      </c>
      <c r="H97" s="3">
        <v>40</v>
      </c>
      <c r="I97" s="9">
        <f t="shared" si="1"/>
        <v>285.67500000000001</v>
      </c>
      <c r="J97" s="2" t="s">
        <v>14</v>
      </c>
    </row>
    <row r="98" spans="1:10" x14ac:dyDescent="0.3">
      <c r="A98" s="1">
        <v>2228398</v>
      </c>
      <c r="B98" s="2" t="s">
        <v>159</v>
      </c>
      <c r="C98" s="2" t="s">
        <v>11</v>
      </c>
      <c r="D98" s="3" t="s">
        <v>177</v>
      </c>
      <c r="E98" s="3" t="str">
        <f>_xlfn.XLOOKUP(D98,[1]MAESTRA!D:D,[1]MAESTRA!A:A,"")</f>
        <v>VEN00012</v>
      </c>
      <c r="F98" s="2" t="s">
        <v>178</v>
      </c>
      <c r="G98" s="8">
        <v>14998</v>
      </c>
      <c r="H98" s="3">
        <v>50</v>
      </c>
      <c r="I98" s="9">
        <f t="shared" si="1"/>
        <v>299.95999999999998</v>
      </c>
      <c r="J98" s="2" t="s">
        <v>14</v>
      </c>
    </row>
    <row r="99" spans="1:10" x14ac:dyDescent="0.3">
      <c r="A99" s="1">
        <v>2232338</v>
      </c>
      <c r="B99" s="2" t="s">
        <v>84</v>
      </c>
      <c r="C99" s="2" t="s">
        <v>11</v>
      </c>
      <c r="D99" s="3" t="s">
        <v>172</v>
      </c>
      <c r="E99" s="3" t="str">
        <f>_xlfn.XLOOKUP(D99,[1]MAESTRA!D:D,[1]MAESTRA!A:A,"")</f>
        <v>BQU00009</v>
      </c>
      <c r="F99" s="2" t="s">
        <v>179</v>
      </c>
      <c r="G99" s="8">
        <v>321</v>
      </c>
      <c r="H99" s="3">
        <v>1</v>
      </c>
      <c r="I99" s="9">
        <f t="shared" si="1"/>
        <v>321</v>
      </c>
      <c r="J99" s="2" t="s">
        <v>14</v>
      </c>
    </row>
    <row r="100" spans="1:10" x14ac:dyDescent="0.3">
      <c r="A100" s="1">
        <v>2232337</v>
      </c>
      <c r="B100" s="2" t="s">
        <v>84</v>
      </c>
      <c r="C100" s="2" t="s">
        <v>11</v>
      </c>
      <c r="D100" s="3" t="s">
        <v>172</v>
      </c>
      <c r="E100" s="3" t="str">
        <f>_xlfn.XLOOKUP(D100,[1]MAESTRA!D:D,[1]MAESTRA!A:A,"")</f>
        <v>BQU00009</v>
      </c>
      <c r="F100" s="2" t="s">
        <v>180</v>
      </c>
      <c r="G100" s="8">
        <v>326</v>
      </c>
      <c r="H100" s="3">
        <v>1</v>
      </c>
      <c r="I100" s="9">
        <f t="shared" si="1"/>
        <v>326</v>
      </c>
      <c r="J100" s="2" t="s">
        <v>14</v>
      </c>
    </row>
    <row r="101" spans="1:10" x14ac:dyDescent="0.3">
      <c r="A101" s="1">
        <v>2228389</v>
      </c>
      <c r="B101" s="2" t="s">
        <v>159</v>
      </c>
      <c r="C101" s="2" t="s">
        <v>11</v>
      </c>
      <c r="D101" s="3" t="s">
        <v>181</v>
      </c>
      <c r="E101" s="3" t="str">
        <f>_xlfn.XLOOKUP(D101,[1]MAESTRA!D:D,[1]MAESTRA!A:A,"")</f>
        <v>VEN00036</v>
      </c>
      <c r="F101" s="2" t="s">
        <v>182</v>
      </c>
      <c r="G101" s="8">
        <v>13467</v>
      </c>
      <c r="H101" s="3">
        <v>40</v>
      </c>
      <c r="I101" s="9">
        <f t="shared" si="1"/>
        <v>336.67500000000001</v>
      </c>
      <c r="J101" s="2" t="s">
        <v>14</v>
      </c>
    </row>
    <row r="102" spans="1:10" x14ac:dyDescent="0.3">
      <c r="A102" s="1">
        <v>2232539</v>
      </c>
      <c r="B102" s="2" t="s">
        <v>74</v>
      </c>
      <c r="C102" s="2" t="s">
        <v>11</v>
      </c>
      <c r="D102" s="3" t="s">
        <v>183</v>
      </c>
      <c r="E102" s="3" t="str">
        <f>_xlfn.XLOOKUP(D102,[1]MAESTRA!D:D,[1]MAESTRA!A:A,"")</f>
        <v>CRE00008</v>
      </c>
      <c r="F102" s="2" t="s">
        <v>184</v>
      </c>
      <c r="G102" s="8">
        <v>33670</v>
      </c>
      <c r="H102" s="3">
        <v>100</v>
      </c>
      <c r="I102" s="9">
        <f t="shared" si="1"/>
        <v>336.7</v>
      </c>
      <c r="J102" s="2" t="s">
        <v>20</v>
      </c>
    </row>
    <row r="103" spans="1:10" x14ac:dyDescent="0.3">
      <c r="A103" s="1">
        <v>2228275</v>
      </c>
      <c r="B103" s="2" t="s">
        <v>185</v>
      </c>
      <c r="C103" s="2" t="s">
        <v>11</v>
      </c>
      <c r="D103" s="3" t="s">
        <v>186</v>
      </c>
      <c r="E103" s="3" t="str">
        <f>_xlfn.XLOOKUP(D103,[1]MAESTRA!D:D,[1]MAESTRA!A:A,"")</f>
        <v>ART00011</v>
      </c>
      <c r="F103" s="2" t="s">
        <v>187</v>
      </c>
      <c r="G103" s="8">
        <v>26936</v>
      </c>
      <c r="H103" s="3">
        <v>80</v>
      </c>
      <c r="I103" s="9">
        <f t="shared" si="1"/>
        <v>336.7</v>
      </c>
      <c r="J103" s="2" t="s">
        <v>14</v>
      </c>
    </row>
    <row r="104" spans="1:10" x14ac:dyDescent="0.3">
      <c r="A104" s="1">
        <v>2228390</v>
      </c>
      <c r="B104" s="2" t="s">
        <v>159</v>
      </c>
      <c r="C104" s="2" t="s">
        <v>11</v>
      </c>
      <c r="D104" s="3" t="s">
        <v>181</v>
      </c>
      <c r="E104" s="3" t="str">
        <f>_xlfn.XLOOKUP(D104,[1]MAESTRA!D:D,[1]MAESTRA!A:A,"")</f>
        <v>VEN00036</v>
      </c>
      <c r="F104" s="2" t="s">
        <v>188</v>
      </c>
      <c r="G104" s="8">
        <v>16835</v>
      </c>
      <c r="H104" s="3">
        <v>50</v>
      </c>
      <c r="I104" s="9">
        <f t="shared" si="1"/>
        <v>336.7</v>
      </c>
      <c r="J104" s="2" t="s">
        <v>14</v>
      </c>
    </row>
    <row r="105" spans="1:10" x14ac:dyDescent="0.3">
      <c r="A105" s="1">
        <v>2228270</v>
      </c>
      <c r="B105" s="2" t="s">
        <v>185</v>
      </c>
      <c r="C105" s="2" t="s">
        <v>11</v>
      </c>
      <c r="D105" s="3" t="s">
        <v>189</v>
      </c>
      <c r="E105" s="3" t="str">
        <f>_xlfn.XLOOKUP(D105,[1]MAESTRA!D:D,[1]MAESTRA!A:A,"")</f>
        <v>ART00014</v>
      </c>
      <c r="F105" s="2" t="s">
        <v>190</v>
      </c>
      <c r="G105" s="8">
        <v>17090</v>
      </c>
      <c r="H105" s="3">
        <v>50</v>
      </c>
      <c r="I105" s="9">
        <f t="shared" si="1"/>
        <v>341.8</v>
      </c>
      <c r="J105" s="2" t="s">
        <v>14</v>
      </c>
    </row>
    <row r="106" spans="1:10" x14ac:dyDescent="0.3">
      <c r="A106" s="13">
        <v>2228906</v>
      </c>
      <c r="B106" s="2" t="s">
        <v>87</v>
      </c>
      <c r="C106" s="2" t="s">
        <v>11</v>
      </c>
      <c r="D106" s="3" t="s">
        <v>191</v>
      </c>
      <c r="E106" s="3" t="str">
        <f>_xlfn.XLOOKUP(D106,[1]MAESTRA!D:D,[1]MAESTRA!A:A,"")</f>
        <v>ABS00006</v>
      </c>
      <c r="F106" s="14" t="s">
        <v>192</v>
      </c>
      <c r="G106" s="8">
        <v>370</v>
      </c>
      <c r="H106" s="3">
        <v>1</v>
      </c>
      <c r="I106" s="9">
        <f t="shared" si="1"/>
        <v>370</v>
      </c>
      <c r="J106" s="2" t="s">
        <v>14</v>
      </c>
    </row>
    <row r="107" spans="1:10" x14ac:dyDescent="0.3">
      <c r="A107" s="1">
        <v>2228276</v>
      </c>
      <c r="B107" s="2" t="s">
        <v>185</v>
      </c>
      <c r="C107" s="2" t="s">
        <v>11</v>
      </c>
      <c r="D107" s="3" t="s">
        <v>193</v>
      </c>
      <c r="E107" s="3" t="str">
        <f>_xlfn.XLOOKUP(D107,[1]MAESTRA!D:D,[1]MAESTRA!A:A,"")</f>
        <v>ART00012</v>
      </c>
      <c r="F107" s="2" t="s">
        <v>194</v>
      </c>
      <c r="G107" s="8">
        <v>22344</v>
      </c>
      <c r="H107" s="3">
        <v>60</v>
      </c>
      <c r="I107" s="9">
        <f t="shared" si="1"/>
        <v>372.4</v>
      </c>
      <c r="J107" s="2" t="s">
        <v>14</v>
      </c>
    </row>
    <row r="108" spans="1:10" x14ac:dyDescent="0.3">
      <c r="A108" s="1">
        <v>2228274</v>
      </c>
      <c r="B108" s="2" t="s">
        <v>185</v>
      </c>
      <c r="C108" s="2" t="s">
        <v>11</v>
      </c>
      <c r="D108" s="3" t="s">
        <v>186</v>
      </c>
      <c r="E108" s="3" t="str">
        <f>_xlfn.XLOOKUP(D108,[1]MAESTRA!D:D,[1]MAESTRA!A:A,"")</f>
        <v>ART00011</v>
      </c>
      <c r="F108" s="2" t="s">
        <v>195</v>
      </c>
      <c r="G108" s="8">
        <v>22650</v>
      </c>
      <c r="H108" s="3">
        <v>60</v>
      </c>
      <c r="I108" s="9">
        <f t="shared" si="1"/>
        <v>377.5</v>
      </c>
      <c r="J108" s="2" t="s">
        <v>14</v>
      </c>
    </row>
    <row r="109" spans="1:10" x14ac:dyDescent="0.3">
      <c r="A109" s="1">
        <v>2228273</v>
      </c>
      <c r="B109" s="2" t="s">
        <v>185</v>
      </c>
      <c r="C109" s="2" t="s">
        <v>11</v>
      </c>
      <c r="D109" s="3" t="s">
        <v>196</v>
      </c>
      <c r="E109" s="3" t="str">
        <f>_xlfn.XLOOKUP(D109,[1]MAESTRA!D:D,[1]MAESTRA!A:A,"")</f>
        <v>ART00009</v>
      </c>
      <c r="F109" s="2" t="s">
        <v>197</v>
      </c>
      <c r="G109" s="8">
        <v>33976</v>
      </c>
      <c r="H109" s="3">
        <v>90</v>
      </c>
      <c r="I109" s="9">
        <f t="shared" si="1"/>
        <v>377.51111111111112</v>
      </c>
      <c r="J109" s="2" t="s">
        <v>14</v>
      </c>
    </row>
    <row r="110" spans="1:10" x14ac:dyDescent="0.3">
      <c r="A110" s="1">
        <v>2228405</v>
      </c>
      <c r="B110" s="2" t="s">
        <v>159</v>
      </c>
      <c r="C110" s="2" t="s">
        <v>11</v>
      </c>
      <c r="D110" s="3" t="s">
        <v>198</v>
      </c>
      <c r="E110" s="3" t="str">
        <f>_xlfn.XLOOKUP(D110,[1]MAESTRA!D:D,[1]MAESTRA!A:A,"")</f>
        <v>MIN00007</v>
      </c>
      <c r="F110" s="2" t="s">
        <v>199</v>
      </c>
      <c r="G110" s="8">
        <v>39791</v>
      </c>
      <c r="H110" s="3">
        <v>100</v>
      </c>
      <c r="I110" s="9">
        <f t="shared" si="1"/>
        <v>397.91</v>
      </c>
      <c r="J110" s="2" t="s">
        <v>14</v>
      </c>
    </row>
    <row r="111" spans="1:10" x14ac:dyDescent="0.3">
      <c r="A111" s="1">
        <v>2230498</v>
      </c>
      <c r="B111" s="2" t="s">
        <v>169</v>
      </c>
      <c r="C111" s="2" t="s">
        <v>11</v>
      </c>
      <c r="D111" s="3" t="s">
        <v>200</v>
      </c>
      <c r="E111" s="3" t="str">
        <f>_xlfn.XLOOKUP(D111,[1]MAESTRA!D:D,[1]MAESTRA!A:A,"")</f>
        <v>ENV00007</v>
      </c>
      <c r="F111" s="2" t="s">
        <v>201</v>
      </c>
      <c r="G111" s="8">
        <v>99479</v>
      </c>
      <c r="H111" s="3">
        <v>250</v>
      </c>
      <c r="I111" s="9">
        <f t="shared" si="1"/>
        <v>397.916</v>
      </c>
      <c r="J111" s="2" t="s">
        <v>14</v>
      </c>
    </row>
    <row r="112" spans="1:10" x14ac:dyDescent="0.3">
      <c r="A112" s="1">
        <v>2232541</v>
      </c>
      <c r="B112" s="2" t="s">
        <v>74</v>
      </c>
      <c r="C112" s="2" t="s">
        <v>11</v>
      </c>
      <c r="D112" s="3" t="s">
        <v>202</v>
      </c>
      <c r="E112" s="3" t="str">
        <f>_xlfn.XLOOKUP(D112,[1]MAESTRA!D:D,[1]MAESTRA!A:A,"")</f>
        <v>CRE00007</v>
      </c>
      <c r="F112" s="2" t="s">
        <v>203</v>
      </c>
      <c r="G112" s="8">
        <v>102029</v>
      </c>
      <c r="H112" s="3">
        <v>250</v>
      </c>
      <c r="I112" s="9">
        <f t="shared" si="1"/>
        <v>408.11599999999999</v>
      </c>
      <c r="J112" s="2" t="s">
        <v>14</v>
      </c>
    </row>
    <row r="113" spans="1:10" x14ac:dyDescent="0.3">
      <c r="A113" s="1">
        <v>2232537</v>
      </c>
      <c r="B113" s="2" t="s">
        <v>74</v>
      </c>
      <c r="C113" s="2" t="s">
        <v>11</v>
      </c>
      <c r="D113" s="3" t="s">
        <v>183</v>
      </c>
      <c r="E113" s="3" t="str">
        <f>_xlfn.XLOOKUP(D113,[1]MAESTRA!D:D,[1]MAESTRA!A:A,"")</f>
        <v>CRE00008</v>
      </c>
      <c r="F113" s="2" t="s">
        <v>204</v>
      </c>
      <c r="G113" s="8">
        <v>51015</v>
      </c>
      <c r="H113" s="3">
        <v>125</v>
      </c>
      <c r="I113" s="9">
        <f t="shared" si="1"/>
        <v>408.12</v>
      </c>
      <c r="J113" s="2" t="s">
        <v>20</v>
      </c>
    </row>
    <row r="114" spans="1:10" x14ac:dyDescent="0.3">
      <c r="A114" s="1">
        <v>2228406</v>
      </c>
      <c r="B114" s="2" t="s">
        <v>159</v>
      </c>
      <c r="C114" s="2" t="s">
        <v>11</v>
      </c>
      <c r="D114" s="3" t="s">
        <v>205</v>
      </c>
      <c r="E114" s="3" t="str">
        <f>_xlfn.XLOOKUP(D114,[1]MAESTRA!D:D,[1]MAESTRA!A:A,"")</f>
        <v>MIN00005</v>
      </c>
      <c r="F114" s="2" t="s">
        <v>206</v>
      </c>
      <c r="G114" s="8">
        <v>32649</v>
      </c>
      <c r="H114" s="3">
        <v>80</v>
      </c>
      <c r="I114" s="9">
        <f t="shared" si="1"/>
        <v>408.11250000000001</v>
      </c>
      <c r="J114" s="2" t="s">
        <v>14</v>
      </c>
    </row>
    <row r="115" spans="1:10" x14ac:dyDescent="0.3">
      <c r="A115" s="1">
        <v>2232344</v>
      </c>
      <c r="B115" s="2" t="s">
        <v>84</v>
      </c>
      <c r="C115" s="2" t="s">
        <v>11</v>
      </c>
      <c r="D115" s="3" t="s">
        <v>207</v>
      </c>
      <c r="E115" s="3" t="str">
        <f>_xlfn.XLOOKUP(D115,[1]MAESTRA!D:D,[1]MAESTRA!A:A,"")</f>
        <v>BQU00007</v>
      </c>
      <c r="F115" s="2" t="s">
        <v>208</v>
      </c>
      <c r="G115" s="8">
        <v>408</v>
      </c>
      <c r="H115" s="3">
        <v>1</v>
      </c>
      <c r="I115" s="9">
        <f t="shared" si="1"/>
        <v>408</v>
      </c>
      <c r="J115" s="2" t="s">
        <v>14</v>
      </c>
    </row>
    <row r="116" spans="1:10" x14ac:dyDescent="0.3">
      <c r="A116" s="1">
        <v>2234413</v>
      </c>
      <c r="B116" s="2" t="s">
        <v>63</v>
      </c>
      <c r="C116" s="2" t="s">
        <v>11</v>
      </c>
      <c r="D116" s="3" t="s">
        <v>207</v>
      </c>
      <c r="E116" s="3" t="str">
        <f>_xlfn.XLOOKUP(D116,[1]MAESTRA!D:D,[1]MAESTRA!A:A,"")</f>
        <v>BQU00007</v>
      </c>
      <c r="F116" s="2" t="s">
        <v>209</v>
      </c>
      <c r="G116" s="8">
        <v>418</v>
      </c>
      <c r="H116" s="3">
        <v>1</v>
      </c>
      <c r="I116" s="9">
        <f t="shared" si="1"/>
        <v>418</v>
      </c>
      <c r="J116" s="2" t="s">
        <v>14</v>
      </c>
    </row>
    <row r="117" spans="1:10" x14ac:dyDescent="0.3">
      <c r="A117" s="1">
        <v>2229491</v>
      </c>
      <c r="B117" s="2" t="s">
        <v>210</v>
      </c>
      <c r="C117" s="2" t="s">
        <v>11</v>
      </c>
      <c r="D117" s="3" t="s">
        <v>211</v>
      </c>
      <c r="E117" s="3" t="str">
        <f>_xlfn.XLOOKUP(D117,[1]MAESTRA!D:D,[1]MAESTRA!A:A,"")</f>
        <v>CAN00001</v>
      </c>
      <c r="F117" s="2" t="s">
        <v>212</v>
      </c>
      <c r="G117" s="8">
        <v>429</v>
      </c>
      <c r="H117" s="3">
        <v>1</v>
      </c>
      <c r="I117" s="9">
        <f t="shared" si="1"/>
        <v>429</v>
      </c>
      <c r="J117" s="2" t="s">
        <v>14</v>
      </c>
    </row>
    <row r="118" spans="1:10" x14ac:dyDescent="0.3">
      <c r="A118" s="1">
        <v>2228404</v>
      </c>
      <c r="B118" s="2" t="s">
        <v>159</v>
      </c>
      <c r="C118" s="2" t="s">
        <v>11</v>
      </c>
      <c r="D118" s="3" t="s">
        <v>213</v>
      </c>
      <c r="E118" s="3" t="str">
        <f>_xlfn.XLOOKUP(D118,[1]MAESTRA!D:D,[1]MAESTRA!A:A,"")</f>
        <v>MIN00004</v>
      </c>
      <c r="F118" s="2" t="s">
        <v>214</v>
      </c>
      <c r="G118" s="8">
        <v>39485</v>
      </c>
      <c r="H118" s="3">
        <v>90</v>
      </c>
      <c r="I118" s="9">
        <f t="shared" si="1"/>
        <v>438.72222222222223</v>
      </c>
      <c r="J118" s="2" t="s">
        <v>14</v>
      </c>
    </row>
    <row r="119" spans="1:10" x14ac:dyDescent="0.3">
      <c r="A119" s="1">
        <v>2229065</v>
      </c>
      <c r="B119" s="2" t="s">
        <v>215</v>
      </c>
      <c r="C119" s="2" t="s">
        <v>11</v>
      </c>
      <c r="D119" s="3" t="s">
        <v>216</v>
      </c>
      <c r="E119" s="3" t="str">
        <f>_xlfn.XLOOKUP(D119,[1]MAESTRA!D:D,[1]MAESTRA!A:A,"")</f>
        <v>KNE00001</v>
      </c>
      <c r="F119" s="2" t="s">
        <v>217</v>
      </c>
      <c r="G119" s="8">
        <v>21937</v>
      </c>
      <c r="H119" s="3">
        <v>50</v>
      </c>
      <c r="I119" s="9">
        <f t="shared" si="1"/>
        <v>438.74</v>
      </c>
      <c r="J119" s="2" t="s">
        <v>14</v>
      </c>
    </row>
    <row r="120" spans="1:10" x14ac:dyDescent="0.3">
      <c r="A120" s="1">
        <v>2228403</v>
      </c>
      <c r="B120" s="2" t="s">
        <v>159</v>
      </c>
      <c r="C120" s="2" t="s">
        <v>11</v>
      </c>
      <c r="D120" s="3" t="s">
        <v>218</v>
      </c>
      <c r="E120" s="3" t="str">
        <f>_xlfn.XLOOKUP(D120,[1]MAESTRA!D:D,[1]MAESTRA!A:A,"")</f>
        <v>MIN00003</v>
      </c>
      <c r="F120" s="2" t="s">
        <v>219</v>
      </c>
      <c r="G120" s="8">
        <v>41322</v>
      </c>
      <c r="H120" s="3">
        <v>90</v>
      </c>
      <c r="I120" s="9">
        <f t="shared" si="1"/>
        <v>459.13333333333333</v>
      </c>
      <c r="J120" s="2" t="s">
        <v>14</v>
      </c>
    </row>
    <row r="121" spans="1:10" x14ac:dyDescent="0.3">
      <c r="A121" s="1">
        <v>2234268</v>
      </c>
      <c r="B121" s="2" t="s">
        <v>220</v>
      </c>
      <c r="C121" s="2" t="s">
        <v>11</v>
      </c>
      <c r="D121" s="3" t="s">
        <v>221</v>
      </c>
      <c r="E121" s="3" t="str">
        <f>_xlfn.XLOOKUP(D121,[1]MAESTRA!D:D,[1]MAESTRA!A:A,"")</f>
        <v>VDA00006</v>
      </c>
      <c r="F121" s="2" t="s">
        <v>222</v>
      </c>
      <c r="G121" s="8">
        <v>500</v>
      </c>
      <c r="H121" s="3">
        <v>1</v>
      </c>
      <c r="I121" s="9">
        <f t="shared" si="1"/>
        <v>500</v>
      </c>
      <c r="J121" s="2" t="s">
        <v>14</v>
      </c>
    </row>
    <row r="122" spans="1:10" x14ac:dyDescent="0.3">
      <c r="A122" s="1">
        <v>2229066</v>
      </c>
      <c r="B122" s="2" t="s">
        <v>215</v>
      </c>
      <c r="C122" s="2" t="s">
        <v>11</v>
      </c>
      <c r="D122" s="3" t="s">
        <v>216</v>
      </c>
      <c r="E122" s="3" t="str">
        <f>_xlfn.XLOOKUP(D122,[1]MAESTRA!D:D,[1]MAESTRA!A:A,"")</f>
        <v>KNE00001</v>
      </c>
      <c r="F122" s="2" t="s">
        <v>223</v>
      </c>
      <c r="G122" s="8">
        <v>511</v>
      </c>
      <c r="H122" s="3">
        <v>1</v>
      </c>
      <c r="I122" s="9">
        <f t="shared" si="1"/>
        <v>511</v>
      </c>
      <c r="J122" s="2" t="s">
        <v>14</v>
      </c>
    </row>
    <row r="123" spans="1:10" x14ac:dyDescent="0.3">
      <c r="A123" s="1">
        <v>2233870</v>
      </c>
      <c r="B123" s="2" t="s">
        <v>34</v>
      </c>
      <c r="C123" s="2" t="s">
        <v>11</v>
      </c>
      <c r="D123" s="3" t="s">
        <v>224</v>
      </c>
      <c r="E123" s="3" t="str">
        <f>_xlfn.XLOOKUP(D123,[1]MAESTRA!D:D,[1]MAESTRA!A:A,"")</f>
        <v>LIA00001</v>
      </c>
      <c r="F123" s="2" t="s">
        <v>225</v>
      </c>
      <c r="G123" s="8">
        <v>51831</v>
      </c>
      <c r="H123" s="3">
        <v>100</v>
      </c>
      <c r="I123" s="9">
        <f t="shared" si="1"/>
        <v>518.30999999999995</v>
      </c>
      <c r="J123" s="2" t="s">
        <v>20</v>
      </c>
    </row>
    <row r="124" spans="1:10" x14ac:dyDescent="0.3">
      <c r="A124" s="1">
        <v>2228277</v>
      </c>
      <c r="B124" s="2" t="s">
        <v>185</v>
      </c>
      <c r="C124" s="2" t="s">
        <v>11</v>
      </c>
      <c r="D124" s="3" t="s">
        <v>226</v>
      </c>
      <c r="E124" s="3" t="str">
        <f>_xlfn.XLOOKUP(D124,[1]MAESTRA!D:D,[1]MAESTRA!A:A,"")</f>
        <v>ART00030</v>
      </c>
      <c r="F124" s="2" t="s">
        <v>227</v>
      </c>
      <c r="G124" s="8">
        <v>21222</v>
      </c>
      <c r="H124" s="3">
        <v>40</v>
      </c>
      <c r="I124" s="9">
        <f t="shared" si="1"/>
        <v>530.54999999999995</v>
      </c>
      <c r="J124" s="2" t="s">
        <v>14</v>
      </c>
    </row>
    <row r="125" spans="1:10" x14ac:dyDescent="0.3">
      <c r="A125" s="1">
        <v>2228271</v>
      </c>
      <c r="B125" s="2" t="s">
        <v>185</v>
      </c>
      <c r="C125" s="2" t="s">
        <v>11</v>
      </c>
      <c r="D125" s="3" t="s">
        <v>228</v>
      </c>
      <c r="E125" s="3" t="str">
        <f>_xlfn.XLOOKUP(D125,[1]MAESTRA!D:D,[1]MAESTRA!A:A,"")</f>
        <v>ART00015</v>
      </c>
      <c r="F125" s="2" t="s">
        <v>229</v>
      </c>
      <c r="G125" s="8">
        <v>22038</v>
      </c>
      <c r="H125" s="3">
        <v>40</v>
      </c>
      <c r="I125" s="9">
        <f t="shared" si="1"/>
        <v>550.95000000000005</v>
      </c>
      <c r="J125" s="2" t="s">
        <v>14</v>
      </c>
    </row>
    <row r="126" spans="1:10" x14ac:dyDescent="0.3">
      <c r="A126" s="1">
        <v>2228268</v>
      </c>
      <c r="B126" s="2" t="s">
        <v>185</v>
      </c>
      <c r="C126" s="2" t="s">
        <v>11</v>
      </c>
      <c r="D126" s="3" t="s">
        <v>230</v>
      </c>
      <c r="E126" s="3" t="str">
        <f>_xlfn.XLOOKUP(D126,[1]MAESTRA!D:D,[1]MAESTRA!A:A,"")</f>
        <v>ART00013</v>
      </c>
      <c r="F126" s="2" t="s">
        <v>231</v>
      </c>
      <c r="G126" s="8">
        <v>27548</v>
      </c>
      <c r="H126" s="3">
        <v>50</v>
      </c>
      <c r="I126" s="9">
        <f t="shared" si="1"/>
        <v>550.96</v>
      </c>
      <c r="J126" s="2" t="s">
        <v>14</v>
      </c>
    </row>
    <row r="127" spans="1:10" x14ac:dyDescent="0.3">
      <c r="A127" s="1">
        <v>2233872</v>
      </c>
      <c r="B127" s="2" t="s">
        <v>34</v>
      </c>
      <c r="C127" s="2" t="s">
        <v>11</v>
      </c>
      <c r="D127" s="3" t="s">
        <v>224</v>
      </c>
      <c r="E127" s="3" t="str">
        <f>_xlfn.XLOOKUP(D127,[1]MAESTRA!D:D,[1]MAESTRA!A:A,"")</f>
        <v>LIA00001</v>
      </c>
      <c r="F127" s="2" t="s">
        <v>232</v>
      </c>
      <c r="G127" s="8">
        <v>27548</v>
      </c>
      <c r="H127" s="3">
        <v>50</v>
      </c>
      <c r="I127" s="9">
        <f t="shared" si="1"/>
        <v>550.96</v>
      </c>
      <c r="J127" s="2" t="s">
        <v>14</v>
      </c>
    </row>
    <row r="128" spans="1:10" x14ac:dyDescent="0.3">
      <c r="A128" s="1">
        <v>2228272</v>
      </c>
      <c r="B128" s="2" t="s">
        <v>185</v>
      </c>
      <c r="C128" s="2" t="s">
        <v>11</v>
      </c>
      <c r="D128" s="3" t="s">
        <v>233</v>
      </c>
      <c r="E128" s="3" t="str">
        <f>_xlfn.XLOOKUP(D128,[1]MAESTRA!D:D,[1]MAESTRA!A:A,"")</f>
        <v>ART00016</v>
      </c>
      <c r="F128" s="2" t="s">
        <v>234</v>
      </c>
      <c r="G128" s="8">
        <v>22446</v>
      </c>
      <c r="H128" s="3">
        <v>40</v>
      </c>
      <c r="I128" s="9">
        <f t="shared" si="1"/>
        <v>561.15</v>
      </c>
      <c r="J128" s="2" t="s">
        <v>14</v>
      </c>
    </row>
    <row r="129" spans="1:10" x14ac:dyDescent="0.3">
      <c r="A129" s="1">
        <v>2229545</v>
      </c>
      <c r="B129" s="2" t="s">
        <v>235</v>
      </c>
      <c r="C129" s="2" t="s">
        <v>11</v>
      </c>
      <c r="D129" s="3" t="s">
        <v>236</v>
      </c>
      <c r="E129" s="3" t="str">
        <f>_xlfn.XLOOKUP(D129,[1]MAESTRA!D:D,[1]MAESTRA!A:A,"")</f>
        <v>TAC00003</v>
      </c>
      <c r="F129" s="2" t="s">
        <v>237</v>
      </c>
      <c r="G129" s="8">
        <v>28059</v>
      </c>
      <c r="H129" s="3">
        <v>50</v>
      </c>
      <c r="I129" s="9">
        <f t="shared" si="1"/>
        <v>561.17999999999995</v>
      </c>
      <c r="J129" s="2" t="s">
        <v>14</v>
      </c>
    </row>
    <row r="130" spans="1:10" x14ac:dyDescent="0.3">
      <c r="A130" s="1">
        <v>2228399</v>
      </c>
      <c r="B130" s="2" t="s">
        <v>159</v>
      </c>
      <c r="C130" s="2" t="s">
        <v>11</v>
      </c>
      <c r="D130" s="3" t="s">
        <v>238</v>
      </c>
      <c r="E130" s="3" t="str">
        <f>_xlfn.XLOOKUP(D130,[1]MAESTRA!D:D,[1]MAESTRA!A:A,"")</f>
        <v>MIC00002</v>
      </c>
      <c r="F130" s="2" t="s">
        <v>239</v>
      </c>
      <c r="G130" s="8">
        <v>28059</v>
      </c>
      <c r="H130" s="3">
        <v>50</v>
      </c>
      <c r="I130" s="9">
        <f t="shared" ref="I130:I193" si="2">G130/H130</f>
        <v>561.17999999999995</v>
      </c>
      <c r="J130" s="2" t="s">
        <v>14</v>
      </c>
    </row>
    <row r="131" spans="1:10" x14ac:dyDescent="0.3">
      <c r="A131" s="1">
        <v>2233871</v>
      </c>
      <c r="B131" s="2" t="s">
        <v>34</v>
      </c>
      <c r="C131" s="2" t="s">
        <v>11</v>
      </c>
      <c r="D131" s="3" t="s">
        <v>224</v>
      </c>
      <c r="E131" s="3" t="str">
        <f>_xlfn.XLOOKUP(D131,[1]MAESTRA!D:D,[1]MAESTRA!A:A,"")</f>
        <v>LIA00001</v>
      </c>
      <c r="F131" s="2" t="s">
        <v>240</v>
      </c>
      <c r="G131" s="8">
        <v>602</v>
      </c>
      <c r="H131" s="3">
        <v>1</v>
      </c>
      <c r="I131" s="9">
        <f t="shared" si="2"/>
        <v>602</v>
      </c>
      <c r="J131" s="2" t="s">
        <v>14</v>
      </c>
    </row>
    <row r="132" spans="1:10" x14ac:dyDescent="0.3">
      <c r="A132" s="1">
        <v>2228397</v>
      </c>
      <c r="B132" s="2" t="s">
        <v>159</v>
      </c>
      <c r="C132" s="2" t="s">
        <v>11</v>
      </c>
      <c r="D132" s="3" t="s">
        <v>241</v>
      </c>
      <c r="E132" s="3" t="str">
        <f>_xlfn.XLOOKUP(D132,[1]MAESTRA!D:D,[1]MAESTRA!A:A,"")</f>
        <v>REG00001</v>
      </c>
      <c r="F132" s="2" t="s">
        <v>242</v>
      </c>
      <c r="G132" s="8">
        <v>30353</v>
      </c>
      <c r="H132" s="3">
        <v>50</v>
      </c>
      <c r="I132" s="9">
        <f t="shared" si="2"/>
        <v>607.05999999999995</v>
      </c>
      <c r="J132" s="2" t="s">
        <v>14</v>
      </c>
    </row>
    <row r="133" spans="1:10" x14ac:dyDescent="0.3">
      <c r="A133" s="1">
        <v>2230568</v>
      </c>
      <c r="B133" s="2" t="s">
        <v>121</v>
      </c>
      <c r="C133" s="2" t="s">
        <v>11</v>
      </c>
      <c r="D133" s="3" t="s">
        <v>243</v>
      </c>
      <c r="E133" s="3" t="str">
        <f>_xlfn.XLOOKUP(D133,[1]MAESTRA!D:D,[1]MAESTRA!A:A,"")</f>
        <v>BUR00001</v>
      </c>
      <c r="F133" s="2" t="s">
        <v>244</v>
      </c>
      <c r="G133" s="8">
        <v>60708</v>
      </c>
      <c r="H133" s="3">
        <v>100</v>
      </c>
      <c r="I133" s="9">
        <f t="shared" si="2"/>
        <v>607.08000000000004</v>
      </c>
      <c r="J133" s="2" t="s">
        <v>14</v>
      </c>
    </row>
    <row r="134" spans="1:10" x14ac:dyDescent="0.3">
      <c r="A134" s="15">
        <v>2229547</v>
      </c>
      <c r="B134" s="16" t="s">
        <v>235</v>
      </c>
      <c r="C134" s="16" t="s">
        <v>11</v>
      </c>
      <c r="D134" s="17" t="s">
        <v>236</v>
      </c>
      <c r="E134" s="17" t="str">
        <f>_xlfn.XLOOKUP(D134,[1]MAESTRA!D:D,[1]MAESTRA!A:A,"")</f>
        <v>TAC00003</v>
      </c>
      <c r="F134" s="16" t="s">
        <v>245</v>
      </c>
      <c r="G134" s="18">
        <v>61218</v>
      </c>
      <c r="H134" s="17">
        <v>100</v>
      </c>
      <c r="I134" s="11">
        <f t="shared" si="2"/>
        <v>612.17999999999995</v>
      </c>
      <c r="J134" s="16" t="s">
        <v>14</v>
      </c>
    </row>
    <row r="135" spans="1:10" x14ac:dyDescent="0.3">
      <c r="A135" s="1">
        <v>2228269</v>
      </c>
      <c r="B135" s="2" t="s">
        <v>185</v>
      </c>
      <c r="C135" s="2" t="s">
        <v>11</v>
      </c>
      <c r="D135" s="3" t="s">
        <v>230</v>
      </c>
      <c r="E135" s="3" t="str">
        <f>_xlfn.XLOOKUP(D135,[1]MAESTRA!D:D,[1]MAESTRA!A:A,"")</f>
        <v>ART00013</v>
      </c>
      <c r="F135" s="2" t="s">
        <v>246</v>
      </c>
      <c r="G135" s="8">
        <v>36731</v>
      </c>
      <c r="H135" s="3">
        <v>60</v>
      </c>
      <c r="I135" s="9">
        <f t="shared" si="2"/>
        <v>612.18333333333328</v>
      </c>
      <c r="J135" s="2" t="s">
        <v>14</v>
      </c>
    </row>
    <row r="136" spans="1:10" x14ac:dyDescent="0.3">
      <c r="A136" s="1">
        <v>2228395</v>
      </c>
      <c r="B136" s="2" t="s">
        <v>159</v>
      </c>
      <c r="C136" s="2" t="s">
        <v>11</v>
      </c>
      <c r="D136" s="3" t="s">
        <v>241</v>
      </c>
      <c r="E136" s="3" t="str">
        <f>_xlfn.XLOOKUP(D136,[1]MAESTRA!D:D,[1]MAESTRA!A:A,"")</f>
        <v>REG00001</v>
      </c>
      <c r="F136" s="2" t="s">
        <v>247</v>
      </c>
      <c r="G136" s="8">
        <v>622</v>
      </c>
      <c r="H136" s="3">
        <v>1</v>
      </c>
      <c r="I136" s="9">
        <f t="shared" si="2"/>
        <v>622</v>
      </c>
      <c r="J136" s="2" t="s">
        <v>14</v>
      </c>
    </row>
    <row r="137" spans="1:10" x14ac:dyDescent="0.3">
      <c r="A137" s="1">
        <v>2229059</v>
      </c>
      <c r="B137" s="2" t="s">
        <v>215</v>
      </c>
      <c r="C137" s="2" t="s">
        <v>11</v>
      </c>
      <c r="D137" s="3" t="s">
        <v>248</v>
      </c>
      <c r="E137" s="3" t="str">
        <f>_xlfn.XLOOKUP(D137,[1]MAESTRA!D:D,[1]MAESTRA!A:A,"")</f>
        <v>KNE00110</v>
      </c>
      <c r="F137" s="2" t="s">
        <v>249</v>
      </c>
      <c r="G137" s="8">
        <v>632</v>
      </c>
      <c r="H137" s="3">
        <v>1</v>
      </c>
      <c r="I137" s="9">
        <f t="shared" si="2"/>
        <v>632</v>
      </c>
      <c r="J137" s="2" t="s">
        <v>14</v>
      </c>
    </row>
    <row r="138" spans="1:10" x14ac:dyDescent="0.3">
      <c r="A138" s="1">
        <v>2228407</v>
      </c>
      <c r="B138" s="2" t="s">
        <v>159</v>
      </c>
      <c r="C138" s="2" t="s">
        <v>11</v>
      </c>
      <c r="D138" s="3" t="s">
        <v>250</v>
      </c>
      <c r="E138" s="3" t="str">
        <f>_xlfn.XLOOKUP(D138,[1]MAESTRA!D:D,[1]MAESTRA!A:A,"")</f>
        <v>MIF00001</v>
      </c>
      <c r="F138" s="2" t="s">
        <v>251</v>
      </c>
      <c r="G138" s="8">
        <v>53055</v>
      </c>
      <c r="H138" s="3">
        <v>80</v>
      </c>
      <c r="I138" s="9">
        <f t="shared" si="2"/>
        <v>663.1875</v>
      </c>
      <c r="J138" s="2" t="s">
        <v>14</v>
      </c>
    </row>
    <row r="139" spans="1:10" x14ac:dyDescent="0.3">
      <c r="A139" s="1">
        <v>2228394</v>
      </c>
      <c r="B139" s="2" t="s">
        <v>159</v>
      </c>
      <c r="C139" s="2" t="s">
        <v>11</v>
      </c>
      <c r="D139" s="3" t="s">
        <v>241</v>
      </c>
      <c r="E139" s="3" t="str">
        <f>_xlfn.XLOOKUP(D139,[1]MAESTRA!D:D,[1]MAESTRA!A:A,"")</f>
        <v>REG00001</v>
      </c>
      <c r="F139" s="2" t="s">
        <v>252</v>
      </c>
      <c r="G139" s="8">
        <v>19896</v>
      </c>
      <c r="H139" s="3">
        <v>30</v>
      </c>
      <c r="I139" s="9">
        <f t="shared" si="2"/>
        <v>663.2</v>
      </c>
      <c r="J139" s="2" t="s">
        <v>14</v>
      </c>
    </row>
    <row r="140" spans="1:10" x14ac:dyDescent="0.3">
      <c r="A140" s="1">
        <v>2228392</v>
      </c>
      <c r="B140" s="2" t="s">
        <v>159</v>
      </c>
      <c r="C140" s="2" t="s">
        <v>11</v>
      </c>
      <c r="D140" s="3" t="s">
        <v>241</v>
      </c>
      <c r="E140" s="3" t="str">
        <f>_xlfn.XLOOKUP(D140,[1]MAESTRA!D:D,[1]MAESTRA!A:A,"")</f>
        <v>REG00001</v>
      </c>
      <c r="F140" s="2" t="s">
        <v>253</v>
      </c>
      <c r="G140" s="8">
        <v>35098</v>
      </c>
      <c r="H140" s="3">
        <v>50</v>
      </c>
      <c r="I140" s="9">
        <f t="shared" si="2"/>
        <v>701.96</v>
      </c>
      <c r="J140" s="2" t="s">
        <v>14</v>
      </c>
    </row>
    <row r="141" spans="1:10" x14ac:dyDescent="0.3">
      <c r="A141" s="1">
        <v>2228396</v>
      </c>
      <c r="B141" s="2" t="s">
        <v>159</v>
      </c>
      <c r="C141" s="2" t="s">
        <v>11</v>
      </c>
      <c r="D141" s="3" t="s">
        <v>241</v>
      </c>
      <c r="E141" s="3" t="str">
        <f>_xlfn.XLOOKUP(D141,[1]MAESTRA!D:D,[1]MAESTRA!A:A,"")</f>
        <v>REG00001</v>
      </c>
      <c r="F141" s="2" t="s">
        <v>254</v>
      </c>
      <c r="G141" s="8">
        <v>704</v>
      </c>
      <c r="H141" s="3">
        <v>1</v>
      </c>
      <c r="I141" s="9">
        <f t="shared" si="2"/>
        <v>704</v>
      </c>
      <c r="J141" s="2" t="s">
        <v>14</v>
      </c>
    </row>
    <row r="142" spans="1:10" x14ac:dyDescent="0.3">
      <c r="A142" s="1">
        <v>2229058</v>
      </c>
      <c r="B142" s="2" t="s">
        <v>215</v>
      </c>
      <c r="C142" s="2" t="s">
        <v>11</v>
      </c>
      <c r="D142" s="3" t="s">
        <v>255</v>
      </c>
      <c r="E142" s="3" t="str">
        <f>_xlfn.XLOOKUP(D142,[1]MAESTRA!D:D,[1]MAESTRA!A:A,"")</f>
        <v>KNE00072</v>
      </c>
      <c r="F142" s="2" t="s">
        <v>256</v>
      </c>
      <c r="G142" s="8">
        <v>21273</v>
      </c>
      <c r="H142" s="3">
        <v>30</v>
      </c>
      <c r="I142" s="9">
        <f t="shared" si="2"/>
        <v>709.1</v>
      </c>
      <c r="J142" s="2" t="s">
        <v>14</v>
      </c>
    </row>
    <row r="143" spans="1:10" x14ac:dyDescent="0.3">
      <c r="A143" s="13">
        <v>2230912</v>
      </c>
      <c r="B143" s="2" t="s">
        <v>31</v>
      </c>
      <c r="C143" s="2" t="s">
        <v>11</v>
      </c>
      <c r="D143" s="3" t="s">
        <v>257</v>
      </c>
      <c r="E143" s="3" t="str">
        <f>_xlfn.XLOOKUP(D143,[1]MAESTRA!D:D,[1]MAESTRA!A:A,"")</f>
        <v>ABS00007</v>
      </c>
      <c r="F143" s="14" t="s">
        <v>258</v>
      </c>
      <c r="G143" s="8">
        <v>755</v>
      </c>
      <c r="H143" s="3">
        <v>1</v>
      </c>
      <c r="I143" s="9">
        <f t="shared" si="2"/>
        <v>755</v>
      </c>
      <c r="J143" s="2" t="s">
        <v>14</v>
      </c>
    </row>
    <row r="144" spans="1:10" x14ac:dyDescent="0.3">
      <c r="A144" s="1">
        <v>2228393</v>
      </c>
      <c r="B144" s="2" t="s">
        <v>159</v>
      </c>
      <c r="C144" s="2" t="s">
        <v>11</v>
      </c>
      <c r="D144" s="3" t="s">
        <v>241</v>
      </c>
      <c r="E144" s="3" t="str">
        <f>_xlfn.XLOOKUP(D144,[1]MAESTRA!D:D,[1]MAESTRA!A:A,"")</f>
        <v>REG00001</v>
      </c>
      <c r="F144" s="2" t="s">
        <v>259</v>
      </c>
      <c r="G144" s="8">
        <v>765</v>
      </c>
      <c r="H144" s="3">
        <v>1</v>
      </c>
      <c r="I144" s="9">
        <f t="shared" si="2"/>
        <v>765</v>
      </c>
      <c r="J144" s="2" t="s">
        <v>14</v>
      </c>
    </row>
    <row r="145" spans="1:10" x14ac:dyDescent="0.3">
      <c r="A145" s="1">
        <v>2229548</v>
      </c>
      <c r="B145" s="2" t="s">
        <v>235</v>
      </c>
      <c r="C145" s="2" t="s">
        <v>11</v>
      </c>
      <c r="D145" s="3" t="s">
        <v>260</v>
      </c>
      <c r="E145" s="3" t="str">
        <f>_xlfn.XLOOKUP(D145,[1]MAESTRA!D:D,[1]MAESTRA!A:A,"")</f>
        <v>TAC00008</v>
      </c>
      <c r="F145" s="2" t="s">
        <v>261</v>
      </c>
      <c r="G145" s="8">
        <v>45913</v>
      </c>
      <c r="H145" s="3">
        <v>60</v>
      </c>
      <c r="I145" s="9">
        <f t="shared" si="2"/>
        <v>765.2166666666667</v>
      </c>
      <c r="J145" s="2" t="s">
        <v>14</v>
      </c>
    </row>
    <row r="146" spans="1:10" x14ac:dyDescent="0.3">
      <c r="A146" s="1">
        <v>2229543</v>
      </c>
      <c r="B146" s="2" t="s">
        <v>235</v>
      </c>
      <c r="C146" s="2" t="s">
        <v>11</v>
      </c>
      <c r="D146" s="3" t="s">
        <v>260</v>
      </c>
      <c r="E146" s="3" t="str">
        <f>_xlfn.XLOOKUP(D146,[1]MAESTRA!D:D,[1]MAESTRA!A:A,"")</f>
        <v>TAC00008</v>
      </c>
      <c r="F146" s="2" t="s">
        <v>262</v>
      </c>
      <c r="G146" s="8">
        <v>775</v>
      </c>
      <c r="H146" s="3">
        <v>1</v>
      </c>
      <c r="I146" s="9">
        <f t="shared" si="2"/>
        <v>775</v>
      </c>
      <c r="J146" s="2" t="s">
        <v>14</v>
      </c>
    </row>
    <row r="147" spans="1:10" x14ac:dyDescent="0.3">
      <c r="A147" s="1">
        <v>2228386</v>
      </c>
      <c r="B147" s="2" t="s">
        <v>159</v>
      </c>
      <c r="C147" s="2" t="s">
        <v>11</v>
      </c>
      <c r="D147" s="3" t="s">
        <v>263</v>
      </c>
      <c r="E147" s="3" t="str">
        <f>_xlfn.XLOOKUP(D147,[1]MAESTRA!D:D,[1]MAESTRA!A:A,"")</f>
        <v>VEN00048</v>
      </c>
      <c r="F147" s="2" t="s">
        <v>264</v>
      </c>
      <c r="G147" s="8">
        <v>52035</v>
      </c>
      <c r="H147" s="3">
        <v>60</v>
      </c>
      <c r="I147" s="9">
        <f t="shared" si="2"/>
        <v>867.25</v>
      </c>
      <c r="J147" s="2" t="s">
        <v>14</v>
      </c>
    </row>
    <row r="148" spans="1:10" x14ac:dyDescent="0.3">
      <c r="A148" s="15">
        <v>2229546</v>
      </c>
      <c r="B148" s="16" t="s">
        <v>235</v>
      </c>
      <c r="C148" s="16" t="s">
        <v>11</v>
      </c>
      <c r="D148" s="17" t="s">
        <v>260</v>
      </c>
      <c r="E148" s="17" t="str">
        <f>_xlfn.XLOOKUP(D148,[1]MAESTRA!D:D,[1]MAESTRA!A:A,"")</f>
        <v>TAC00008</v>
      </c>
      <c r="F148" s="16" t="s">
        <v>265</v>
      </c>
      <c r="G148" s="18">
        <v>43363</v>
      </c>
      <c r="H148" s="17">
        <v>50</v>
      </c>
      <c r="I148" s="11">
        <f t="shared" si="2"/>
        <v>867.26</v>
      </c>
      <c r="J148" s="16" t="s">
        <v>14</v>
      </c>
    </row>
    <row r="149" spans="1:10" x14ac:dyDescent="0.3">
      <c r="A149" s="1">
        <v>2231797</v>
      </c>
      <c r="B149" s="2" t="s">
        <v>266</v>
      </c>
      <c r="C149" s="2" t="s">
        <v>11</v>
      </c>
      <c r="D149" s="3" t="s">
        <v>267</v>
      </c>
      <c r="E149" s="3" t="str">
        <f>_xlfn.XLOOKUP(D149,[1]MAESTRA!D:D,[1]MAESTRA!A:A,"")</f>
        <v>KNE00068</v>
      </c>
      <c r="F149" s="2" t="s">
        <v>268</v>
      </c>
      <c r="G149" s="8">
        <v>46933</v>
      </c>
      <c r="H149" s="3">
        <v>50</v>
      </c>
      <c r="I149" s="9">
        <f t="shared" si="2"/>
        <v>938.66</v>
      </c>
      <c r="J149" s="2" t="s">
        <v>14</v>
      </c>
    </row>
    <row r="150" spans="1:10" x14ac:dyDescent="0.3">
      <c r="A150" s="1">
        <v>2231792</v>
      </c>
      <c r="B150" s="2" t="s">
        <v>266</v>
      </c>
      <c r="C150" s="2" t="s">
        <v>11</v>
      </c>
      <c r="D150" s="3" t="s">
        <v>269</v>
      </c>
      <c r="E150" s="3" t="str">
        <f>_xlfn.XLOOKUP(D150,[1]MAESTRA!D:D,[1]MAESTRA!A:A,"")</f>
        <v>KNE00006</v>
      </c>
      <c r="F150" s="2" t="s">
        <v>270</v>
      </c>
      <c r="G150" s="8">
        <v>47342</v>
      </c>
      <c r="H150" s="3">
        <v>50</v>
      </c>
      <c r="I150" s="9">
        <f t="shared" si="2"/>
        <v>946.84</v>
      </c>
      <c r="J150" s="2" t="s">
        <v>14</v>
      </c>
    </row>
    <row r="151" spans="1:10" x14ac:dyDescent="0.3">
      <c r="A151" s="1">
        <v>2229061</v>
      </c>
      <c r="B151" s="2" t="s">
        <v>215</v>
      </c>
      <c r="C151" s="2" t="s">
        <v>11</v>
      </c>
      <c r="D151" s="3" t="s">
        <v>271</v>
      </c>
      <c r="E151" s="3" t="str">
        <f>_xlfn.XLOOKUP(D151,[1]MAESTRA!D:D,[1]MAESTRA!A:A,"")</f>
        <v>KNE00019</v>
      </c>
      <c r="F151" s="2" t="s">
        <v>272</v>
      </c>
      <c r="G151" s="8">
        <v>47954</v>
      </c>
      <c r="H151" s="3">
        <v>50</v>
      </c>
      <c r="I151" s="9">
        <f t="shared" si="2"/>
        <v>959.08</v>
      </c>
      <c r="J151" s="2" t="s">
        <v>14</v>
      </c>
    </row>
    <row r="152" spans="1:10" x14ac:dyDescent="0.3">
      <c r="A152" s="1">
        <v>2229062</v>
      </c>
      <c r="B152" s="2" t="s">
        <v>215</v>
      </c>
      <c r="C152" s="2" t="s">
        <v>11</v>
      </c>
      <c r="D152" s="3" t="s">
        <v>273</v>
      </c>
      <c r="E152" s="3" t="str">
        <f>_xlfn.XLOOKUP(D152,[1]MAESTRA!D:D,[1]MAESTRA!A:A,"")</f>
        <v>KNE00004</v>
      </c>
      <c r="F152" s="2" t="s">
        <v>274</v>
      </c>
      <c r="G152" s="8">
        <v>970</v>
      </c>
      <c r="H152" s="3">
        <v>1</v>
      </c>
      <c r="I152" s="9">
        <f t="shared" si="2"/>
        <v>970</v>
      </c>
      <c r="J152" s="2" t="s">
        <v>14</v>
      </c>
    </row>
    <row r="153" spans="1:10" x14ac:dyDescent="0.3">
      <c r="A153" s="1">
        <v>2231796</v>
      </c>
      <c r="B153" s="2" t="s">
        <v>266</v>
      </c>
      <c r="C153" s="2" t="s">
        <v>11</v>
      </c>
      <c r="D153" s="3" t="s">
        <v>267</v>
      </c>
      <c r="E153" s="3" t="str">
        <f>_xlfn.XLOOKUP(D153,[1]MAESTRA!D:D,[1]MAESTRA!A:A,"")</f>
        <v>KNE00068</v>
      </c>
      <c r="F153" s="2" t="s">
        <v>275</v>
      </c>
      <c r="G153" s="8">
        <v>118762</v>
      </c>
      <c r="H153" s="3">
        <v>120</v>
      </c>
      <c r="I153" s="9">
        <f t="shared" si="2"/>
        <v>989.68333333333328</v>
      </c>
      <c r="J153" s="2" t="s">
        <v>14</v>
      </c>
    </row>
    <row r="154" spans="1:10" x14ac:dyDescent="0.3">
      <c r="A154" s="1">
        <v>2228266</v>
      </c>
      <c r="B154" s="2" t="s">
        <v>185</v>
      </c>
      <c r="C154" s="2" t="s">
        <v>11</v>
      </c>
      <c r="D154" s="3" t="s">
        <v>276</v>
      </c>
      <c r="E154" s="3" t="str">
        <f>_xlfn.XLOOKUP(D154,[1]MAESTRA!D:D,[1]MAESTRA!A:A,"")</f>
        <v>ART00001</v>
      </c>
      <c r="F154" s="2" t="s">
        <v>277</v>
      </c>
      <c r="G154" s="8">
        <v>42852</v>
      </c>
      <c r="H154" s="3">
        <v>40</v>
      </c>
      <c r="I154" s="9">
        <f t="shared" si="2"/>
        <v>1071.3</v>
      </c>
      <c r="J154" s="2" t="s">
        <v>14</v>
      </c>
    </row>
    <row r="155" spans="1:10" x14ac:dyDescent="0.3">
      <c r="A155" s="1">
        <v>2228490</v>
      </c>
      <c r="B155" s="2" t="s">
        <v>278</v>
      </c>
      <c r="C155" s="2" t="s">
        <v>11</v>
      </c>
      <c r="D155" s="3" t="s">
        <v>279</v>
      </c>
      <c r="E155" s="3" t="str">
        <f>_xlfn.XLOOKUP(D155,[1]MAESTRA!D:D,[1]MAESTRA!A:A,"")</f>
        <v>GEL00002</v>
      </c>
      <c r="F155" s="2" t="s">
        <v>280</v>
      </c>
      <c r="G155" s="8">
        <v>33670</v>
      </c>
      <c r="H155" s="3">
        <v>30</v>
      </c>
      <c r="I155" s="9">
        <f t="shared" si="2"/>
        <v>1122.3333333333333</v>
      </c>
      <c r="J155" s="2" t="s">
        <v>14</v>
      </c>
    </row>
    <row r="156" spans="1:10" x14ac:dyDescent="0.3">
      <c r="A156" s="1">
        <v>2228491</v>
      </c>
      <c r="B156" s="2" t="s">
        <v>278</v>
      </c>
      <c r="C156" s="2" t="s">
        <v>11</v>
      </c>
      <c r="D156" s="3" t="s">
        <v>279</v>
      </c>
      <c r="E156" s="3" t="str">
        <f>_xlfn.XLOOKUP(D156,[1]MAESTRA!D:D,[1]MAESTRA!A:A,"")</f>
        <v>GEL00002</v>
      </c>
      <c r="F156" s="2" t="s">
        <v>281</v>
      </c>
      <c r="G156" s="8">
        <v>1214</v>
      </c>
      <c r="H156" s="3">
        <v>1</v>
      </c>
      <c r="I156" s="9">
        <f t="shared" si="2"/>
        <v>1214</v>
      </c>
      <c r="J156" s="2" t="s">
        <v>14</v>
      </c>
    </row>
    <row r="157" spans="1:10" x14ac:dyDescent="0.3">
      <c r="A157" s="1">
        <v>2228400</v>
      </c>
      <c r="B157" s="2" t="s">
        <v>159</v>
      </c>
      <c r="C157" s="2" t="s">
        <v>11</v>
      </c>
      <c r="D157" s="3" t="s">
        <v>282</v>
      </c>
      <c r="E157" s="3" t="str">
        <f>_xlfn.XLOOKUP(D157,[1]MAESTRA!D:D,[1]MAESTRA!A:A,"")</f>
        <v>VEN00057</v>
      </c>
      <c r="F157" s="2" t="s">
        <v>283</v>
      </c>
      <c r="G157" s="8">
        <v>63769</v>
      </c>
      <c r="H157" s="3">
        <v>50</v>
      </c>
      <c r="I157" s="9">
        <f t="shared" si="2"/>
        <v>1275.3800000000001</v>
      </c>
      <c r="J157" s="2" t="s">
        <v>14</v>
      </c>
    </row>
    <row r="158" spans="1:10" x14ac:dyDescent="0.3">
      <c r="A158" s="1">
        <v>2234419</v>
      </c>
      <c r="B158" s="2" t="s">
        <v>63</v>
      </c>
      <c r="C158" s="2" t="s">
        <v>11</v>
      </c>
      <c r="D158" s="3" t="s">
        <v>284</v>
      </c>
      <c r="E158" s="3" t="str">
        <f>_xlfn.XLOOKUP(D158,[1]MAESTRA!D:D,[1]MAESTRA!A:A,"")</f>
        <v>BQU00002</v>
      </c>
      <c r="F158" s="2" t="s">
        <v>285</v>
      </c>
      <c r="G158" s="8">
        <v>1324</v>
      </c>
      <c r="H158" s="3">
        <v>1</v>
      </c>
      <c r="I158" s="9">
        <f t="shared" si="2"/>
        <v>1324</v>
      </c>
      <c r="J158" s="2" t="s">
        <v>14</v>
      </c>
    </row>
    <row r="159" spans="1:10" x14ac:dyDescent="0.3">
      <c r="A159" s="1">
        <v>2234411</v>
      </c>
      <c r="B159" s="2" t="s">
        <v>63</v>
      </c>
      <c r="C159" s="2" t="s">
        <v>11</v>
      </c>
      <c r="D159" s="3" t="s">
        <v>286</v>
      </c>
      <c r="E159" s="3" t="str">
        <f>_xlfn.XLOOKUP(D159,[1]MAESTRA!D:D,[1]MAESTRA!A:A,"")</f>
        <v>BQU00008</v>
      </c>
      <c r="F159" s="2" t="s">
        <v>287</v>
      </c>
      <c r="G159" s="8">
        <v>1418</v>
      </c>
      <c r="H159" s="3">
        <v>1</v>
      </c>
      <c r="I159" s="9">
        <f t="shared" si="2"/>
        <v>1418</v>
      </c>
      <c r="J159" s="2" t="s">
        <v>20</v>
      </c>
    </row>
    <row r="160" spans="1:10" x14ac:dyDescent="0.3">
      <c r="A160" s="1">
        <v>2234420</v>
      </c>
      <c r="B160" s="2" t="s">
        <v>63</v>
      </c>
      <c r="C160" s="2" t="s">
        <v>11</v>
      </c>
      <c r="D160" s="3" t="s">
        <v>288</v>
      </c>
      <c r="E160" s="3" t="str">
        <f>_xlfn.XLOOKUP(D160,[1]MAESTRA!D:D,[1]MAESTRA!A:A,"")</f>
        <v>BQU00001</v>
      </c>
      <c r="F160" s="2" t="s">
        <v>289</v>
      </c>
      <c r="G160" s="8">
        <v>1429</v>
      </c>
      <c r="H160" s="3">
        <v>1</v>
      </c>
      <c r="I160" s="9">
        <f t="shared" si="2"/>
        <v>1429</v>
      </c>
      <c r="J160" s="2" t="s">
        <v>20</v>
      </c>
    </row>
    <row r="161" spans="1:10" x14ac:dyDescent="0.3">
      <c r="A161" s="1">
        <v>2228408</v>
      </c>
      <c r="B161" s="2" t="s">
        <v>159</v>
      </c>
      <c r="C161" s="2" t="s">
        <v>11</v>
      </c>
      <c r="D161" s="3" t="s">
        <v>282</v>
      </c>
      <c r="E161" s="3" t="str">
        <f>_xlfn.XLOOKUP(D161,[1]MAESTRA!D:D,[1]MAESTRA!A:A,"")</f>
        <v>VEN00057</v>
      </c>
      <c r="F161" s="2" t="s">
        <v>290</v>
      </c>
      <c r="G161" s="8">
        <v>73972</v>
      </c>
      <c r="H161" s="3">
        <v>50</v>
      </c>
      <c r="I161" s="9">
        <f t="shared" si="2"/>
        <v>1479.44</v>
      </c>
      <c r="J161" s="2" t="s">
        <v>14</v>
      </c>
    </row>
    <row r="162" spans="1:10" x14ac:dyDescent="0.3">
      <c r="A162" s="1">
        <v>2234418</v>
      </c>
      <c r="B162" s="2" t="s">
        <v>63</v>
      </c>
      <c r="C162" s="2" t="s">
        <v>11</v>
      </c>
      <c r="D162" s="3" t="s">
        <v>291</v>
      </c>
      <c r="E162" s="3" t="str">
        <f>_xlfn.XLOOKUP(D162,[1]MAESTRA!D:D,[1]MAESTRA!A:A,"")</f>
        <v>BQU00003</v>
      </c>
      <c r="F162" s="2" t="s">
        <v>292</v>
      </c>
      <c r="G162" s="8">
        <v>1489</v>
      </c>
      <c r="H162" s="3">
        <v>1</v>
      </c>
      <c r="I162" s="9">
        <f t="shared" si="2"/>
        <v>1489</v>
      </c>
      <c r="J162" s="2" t="s">
        <v>14</v>
      </c>
    </row>
    <row r="163" spans="1:10" x14ac:dyDescent="0.3">
      <c r="A163" s="1">
        <v>2232343</v>
      </c>
      <c r="B163" s="2" t="s">
        <v>84</v>
      </c>
      <c r="C163" s="2" t="s">
        <v>11</v>
      </c>
      <c r="D163" s="3" t="s">
        <v>293</v>
      </c>
      <c r="E163" s="3" t="str">
        <f>_xlfn.XLOOKUP(D163,[1]MAESTRA!D:D,[1]MAESTRA!A:A,"")</f>
        <v>BQU00004</v>
      </c>
      <c r="F163" s="2" t="s">
        <v>294</v>
      </c>
      <c r="G163" s="8">
        <v>149983</v>
      </c>
      <c r="H163" s="3">
        <v>100</v>
      </c>
      <c r="I163" s="9">
        <f t="shared" si="2"/>
        <v>1499.83</v>
      </c>
      <c r="J163" s="2" t="s">
        <v>14</v>
      </c>
    </row>
    <row r="164" spans="1:10" x14ac:dyDescent="0.3">
      <c r="A164" s="1">
        <v>2234415</v>
      </c>
      <c r="B164" s="2" t="s">
        <v>63</v>
      </c>
      <c r="C164" s="2" t="s">
        <v>11</v>
      </c>
      <c r="D164" s="3" t="s">
        <v>295</v>
      </c>
      <c r="E164" s="3" t="str">
        <f>_xlfn.XLOOKUP(D164,[1]MAESTRA!D:D,[1]MAESTRA!A:A,"")</f>
        <v>BQU00006</v>
      </c>
      <c r="F164" s="2" t="s">
        <v>296</v>
      </c>
      <c r="G164" s="8">
        <v>45577</v>
      </c>
      <c r="H164" s="3">
        <v>30</v>
      </c>
      <c r="I164" s="9">
        <f t="shared" si="2"/>
        <v>1519.2333333333333</v>
      </c>
      <c r="J164" s="2" t="s">
        <v>14</v>
      </c>
    </row>
    <row r="165" spans="1:10" x14ac:dyDescent="0.3">
      <c r="A165" s="1">
        <v>2234414</v>
      </c>
      <c r="B165" s="2" t="s">
        <v>63</v>
      </c>
      <c r="C165" s="2" t="s">
        <v>11</v>
      </c>
      <c r="D165" s="3" t="s">
        <v>297</v>
      </c>
      <c r="E165" s="3" t="str">
        <f>_xlfn.XLOOKUP(D165,[1]MAESTRA!D:D,[1]MAESTRA!A:A,"")</f>
        <v>BQU00005</v>
      </c>
      <c r="F165" s="2" t="s">
        <v>298</v>
      </c>
      <c r="G165" s="8">
        <v>1577</v>
      </c>
      <c r="H165" s="3">
        <v>1</v>
      </c>
      <c r="I165" s="9">
        <f t="shared" si="2"/>
        <v>1577</v>
      </c>
      <c r="J165" s="2" t="s">
        <v>14</v>
      </c>
    </row>
    <row r="166" spans="1:10" x14ac:dyDescent="0.3">
      <c r="A166" s="1">
        <v>2228267</v>
      </c>
      <c r="B166" s="2" t="s">
        <v>185</v>
      </c>
      <c r="C166" s="2" t="s">
        <v>11</v>
      </c>
      <c r="D166" s="3" t="s">
        <v>299</v>
      </c>
      <c r="E166" s="3" t="str">
        <f>_xlfn.XLOOKUP(D166,[1]MAESTRA!D:D,[1]MAESTRA!A:A,"")</f>
        <v>ART00003</v>
      </c>
      <c r="F166" s="2" t="s">
        <v>300</v>
      </c>
      <c r="G166" s="8">
        <v>47444</v>
      </c>
      <c r="H166" s="3">
        <v>30</v>
      </c>
      <c r="I166" s="9">
        <f t="shared" si="2"/>
        <v>1581.4666666666667</v>
      </c>
      <c r="J166" s="2" t="s">
        <v>14</v>
      </c>
    </row>
    <row r="167" spans="1:10" x14ac:dyDescent="0.3">
      <c r="A167" s="1">
        <v>2229549</v>
      </c>
      <c r="B167" s="2" t="s">
        <v>235</v>
      </c>
      <c r="C167" s="2" t="s">
        <v>11</v>
      </c>
      <c r="D167" s="3" t="s">
        <v>301</v>
      </c>
      <c r="E167" s="3" t="str">
        <f>_xlfn.XLOOKUP(D167,[1]MAESTRA!D:D,[1]MAESTRA!A:A,"")</f>
        <v>TAC00031</v>
      </c>
      <c r="F167" s="2" t="s">
        <v>302</v>
      </c>
      <c r="G167" s="8">
        <v>53259</v>
      </c>
      <c r="H167" s="3">
        <v>30</v>
      </c>
      <c r="I167" s="9">
        <f t="shared" si="2"/>
        <v>1775.3</v>
      </c>
      <c r="J167" s="2" t="s">
        <v>14</v>
      </c>
    </row>
    <row r="168" spans="1:10" x14ac:dyDescent="0.3">
      <c r="A168" s="1">
        <v>2236838</v>
      </c>
      <c r="B168" s="2" t="s">
        <v>303</v>
      </c>
      <c r="C168" s="2" t="s">
        <v>304</v>
      </c>
      <c r="D168" s="3" t="s">
        <v>305</v>
      </c>
      <c r="E168" s="3" t="s">
        <v>306</v>
      </c>
      <c r="F168" s="2" t="s">
        <v>307</v>
      </c>
      <c r="G168" s="8">
        <v>9250</v>
      </c>
      <c r="H168" s="3">
        <v>5</v>
      </c>
      <c r="I168" s="9">
        <f t="shared" si="2"/>
        <v>1850</v>
      </c>
      <c r="J168" s="2" t="s">
        <v>14</v>
      </c>
    </row>
    <row r="169" spans="1:10" x14ac:dyDescent="0.3">
      <c r="A169" s="1">
        <v>2236839</v>
      </c>
      <c r="B169" s="2" t="s">
        <v>303</v>
      </c>
      <c r="C169" s="2" t="s">
        <v>304</v>
      </c>
      <c r="D169" s="3" t="s">
        <v>305</v>
      </c>
      <c r="E169" s="3" t="s">
        <v>306</v>
      </c>
      <c r="F169" s="2" t="s">
        <v>308</v>
      </c>
      <c r="G169" s="8">
        <v>9250</v>
      </c>
      <c r="H169" s="3">
        <v>5</v>
      </c>
      <c r="I169" s="9">
        <f t="shared" si="2"/>
        <v>1850</v>
      </c>
      <c r="J169" s="2" t="s">
        <v>14</v>
      </c>
    </row>
    <row r="170" spans="1:10" x14ac:dyDescent="0.3">
      <c r="A170" s="1">
        <v>2228663</v>
      </c>
      <c r="B170" s="2" t="s">
        <v>87</v>
      </c>
      <c r="C170" s="2" t="s">
        <v>304</v>
      </c>
      <c r="D170" s="3" t="s">
        <v>309</v>
      </c>
      <c r="E170" s="3" t="str">
        <f>_xlfn.XLOOKUP(D170,[1]MAESTRA!D:D,[1]MAESTRA!A:A,"")</f>
        <v>URG02881</v>
      </c>
      <c r="F170" s="2" t="s">
        <v>310</v>
      </c>
      <c r="G170" s="8">
        <v>18499</v>
      </c>
      <c r="H170" s="3">
        <v>10</v>
      </c>
      <c r="I170" s="9">
        <f t="shared" si="2"/>
        <v>1849.9</v>
      </c>
      <c r="J170" s="2" t="s">
        <v>14</v>
      </c>
    </row>
    <row r="171" spans="1:10" x14ac:dyDescent="0.3">
      <c r="A171" s="1">
        <v>2228664</v>
      </c>
      <c r="B171" s="2" t="s">
        <v>87</v>
      </c>
      <c r="C171" s="2" t="s">
        <v>304</v>
      </c>
      <c r="D171" s="3" t="s">
        <v>309</v>
      </c>
      <c r="E171" s="3" t="str">
        <f>_xlfn.XLOOKUP(D171,[1]MAESTRA!D:D,[1]MAESTRA!A:A,"")</f>
        <v>URG02881</v>
      </c>
      <c r="F171" s="2" t="s">
        <v>311</v>
      </c>
      <c r="G171" s="8">
        <v>18499</v>
      </c>
      <c r="H171" s="3">
        <v>10</v>
      </c>
      <c r="I171" s="9">
        <f t="shared" si="2"/>
        <v>1849.9</v>
      </c>
      <c r="J171" s="2" t="s">
        <v>14</v>
      </c>
    </row>
    <row r="172" spans="1:10" x14ac:dyDescent="0.3">
      <c r="A172" s="1">
        <v>2236837</v>
      </c>
      <c r="B172" s="2" t="s">
        <v>303</v>
      </c>
      <c r="C172" s="2" t="s">
        <v>304</v>
      </c>
      <c r="D172" s="3" t="s">
        <v>305</v>
      </c>
      <c r="E172" s="3" t="s">
        <v>306</v>
      </c>
      <c r="F172" s="2" t="s">
        <v>312</v>
      </c>
      <c r="G172" s="8">
        <v>1850</v>
      </c>
      <c r="H172" s="3">
        <v>1</v>
      </c>
      <c r="I172" s="9">
        <f t="shared" si="2"/>
        <v>1850</v>
      </c>
      <c r="J172" s="2" t="s">
        <v>14</v>
      </c>
    </row>
    <row r="173" spans="1:10" x14ac:dyDescent="0.3">
      <c r="A173" s="1">
        <v>2228665</v>
      </c>
      <c r="B173" s="2" t="s">
        <v>87</v>
      </c>
      <c r="C173" s="2" t="s">
        <v>304</v>
      </c>
      <c r="D173" s="3" t="s">
        <v>313</v>
      </c>
      <c r="E173" s="3" t="str">
        <f>_xlfn.XLOOKUP(D173,[1]MAESTRA!D:D,[1]MAESTRA!A:A,"")</f>
        <v>URG02832</v>
      </c>
      <c r="F173" s="2" t="s">
        <v>314</v>
      </c>
      <c r="G173" s="8">
        <v>1882</v>
      </c>
      <c r="H173" s="3">
        <v>1</v>
      </c>
      <c r="I173" s="9">
        <f t="shared" si="2"/>
        <v>1882</v>
      </c>
      <c r="J173" s="2" t="s">
        <v>14</v>
      </c>
    </row>
    <row r="174" spans="1:10" x14ac:dyDescent="0.3">
      <c r="A174" s="1">
        <v>2228662</v>
      </c>
      <c r="B174" s="2" t="s">
        <v>87</v>
      </c>
      <c r="C174" s="2" t="s">
        <v>304</v>
      </c>
      <c r="D174" s="3" t="s">
        <v>313</v>
      </c>
      <c r="E174" s="3" t="str">
        <f>_xlfn.XLOOKUP(D174,[1]MAESTRA!D:D,[1]MAESTRA!A:A,"")</f>
        <v>URG02832</v>
      </c>
      <c r="F174" s="2" t="s">
        <v>315</v>
      </c>
      <c r="G174" s="8">
        <v>18818</v>
      </c>
      <c r="H174" s="3">
        <v>10</v>
      </c>
      <c r="I174" s="9">
        <f t="shared" si="2"/>
        <v>1881.8</v>
      </c>
      <c r="J174" s="2" t="s">
        <v>14</v>
      </c>
    </row>
    <row r="175" spans="1:10" x14ac:dyDescent="0.3">
      <c r="A175" s="1">
        <v>2236836</v>
      </c>
      <c r="B175" s="2" t="s">
        <v>303</v>
      </c>
      <c r="C175" s="2" t="s">
        <v>304</v>
      </c>
      <c r="D175" s="3" t="s">
        <v>305</v>
      </c>
      <c r="E175" s="3" t="s">
        <v>306</v>
      </c>
      <c r="F175" s="2" t="s">
        <v>316</v>
      </c>
      <c r="G175" s="8">
        <v>30110</v>
      </c>
      <c r="H175" s="3">
        <v>16</v>
      </c>
      <c r="I175" s="9">
        <f t="shared" si="2"/>
        <v>1881.875</v>
      </c>
      <c r="J175" s="2" t="s">
        <v>14</v>
      </c>
    </row>
    <row r="176" spans="1:10" x14ac:dyDescent="0.3">
      <c r="A176" s="1">
        <v>2231560</v>
      </c>
      <c r="B176" s="2" t="s">
        <v>317</v>
      </c>
      <c r="C176" s="2" t="s">
        <v>11</v>
      </c>
      <c r="D176" s="3" t="s">
        <v>318</v>
      </c>
      <c r="E176" s="3" t="str">
        <f>_xlfn.XLOOKUP(D176,[1]MAESTRA!D:D,[1]MAESTRA!A:A,"")</f>
        <v>IND00002</v>
      </c>
      <c r="F176" s="2" t="s">
        <v>319</v>
      </c>
      <c r="G176" s="8">
        <v>96928</v>
      </c>
      <c r="H176" s="3">
        <v>50</v>
      </c>
      <c r="I176" s="9">
        <f t="shared" si="2"/>
        <v>1938.56</v>
      </c>
      <c r="J176" s="2" t="s">
        <v>14</v>
      </c>
    </row>
    <row r="177" spans="1:10" x14ac:dyDescent="0.3">
      <c r="A177" s="1">
        <v>2229973</v>
      </c>
      <c r="B177" s="2" t="s">
        <v>44</v>
      </c>
      <c r="C177" s="2" t="s">
        <v>11</v>
      </c>
      <c r="D177" s="3" t="s">
        <v>320</v>
      </c>
      <c r="E177" s="3" t="str">
        <f>_xlfn.XLOOKUP(D177,[1]MAESTRA!D:D,[1]MAESTRA!A:A,"")</f>
        <v>IND00006</v>
      </c>
      <c r="F177" s="2" t="s">
        <v>321</v>
      </c>
      <c r="G177" s="8">
        <v>1967</v>
      </c>
      <c r="H177" s="3">
        <v>1</v>
      </c>
      <c r="I177" s="9">
        <f t="shared" si="2"/>
        <v>1967</v>
      </c>
      <c r="J177" s="2" t="s">
        <v>14</v>
      </c>
    </row>
    <row r="178" spans="1:10" x14ac:dyDescent="0.3">
      <c r="A178" s="1">
        <v>2229911</v>
      </c>
      <c r="B178" s="2" t="s">
        <v>47</v>
      </c>
      <c r="C178" s="2" t="s">
        <v>11</v>
      </c>
      <c r="D178" s="3" t="s">
        <v>320</v>
      </c>
      <c r="E178" s="3" t="str">
        <f>_xlfn.XLOOKUP(D178,[1]MAESTRA!D:D,[1]MAESTRA!A:A,"")</f>
        <v>IND00006</v>
      </c>
      <c r="F178" s="2" t="s">
        <v>322</v>
      </c>
      <c r="G178" s="8">
        <v>1967</v>
      </c>
      <c r="H178" s="3">
        <v>1</v>
      </c>
      <c r="I178" s="9">
        <f t="shared" si="2"/>
        <v>1967</v>
      </c>
      <c r="J178" s="2" t="s">
        <v>14</v>
      </c>
    </row>
    <row r="179" spans="1:10" x14ac:dyDescent="0.3">
      <c r="A179" s="1">
        <v>2229060</v>
      </c>
      <c r="B179" s="2" t="s">
        <v>215</v>
      </c>
      <c r="C179" s="2" t="s">
        <v>11</v>
      </c>
      <c r="D179" s="3" t="s">
        <v>323</v>
      </c>
      <c r="E179" s="3" t="s">
        <v>323</v>
      </c>
      <c r="F179" s="2" t="s">
        <v>324</v>
      </c>
      <c r="G179" s="8">
        <v>59381</v>
      </c>
      <c r="H179" s="3">
        <v>30</v>
      </c>
      <c r="I179" s="9">
        <f t="shared" si="2"/>
        <v>1979.3666666666666</v>
      </c>
      <c r="J179" s="2" t="s">
        <v>14</v>
      </c>
    </row>
    <row r="180" spans="1:10" x14ac:dyDescent="0.3">
      <c r="A180" s="1">
        <v>2231793</v>
      </c>
      <c r="B180" s="2" t="s">
        <v>266</v>
      </c>
      <c r="C180" s="2" t="s">
        <v>11</v>
      </c>
      <c r="D180" s="3" t="s">
        <v>325</v>
      </c>
      <c r="E180" s="3" t="str">
        <f>_xlfn.XLOOKUP(D180,[1]MAESTRA!D:D,[1]MAESTRA!A:A,"")</f>
        <v>KNE00012</v>
      </c>
      <c r="F180" s="2" t="s">
        <v>326</v>
      </c>
      <c r="G180" s="8">
        <v>41424</v>
      </c>
      <c r="H180" s="3">
        <v>20</v>
      </c>
      <c r="I180" s="9">
        <f t="shared" si="2"/>
        <v>2071.1999999999998</v>
      </c>
      <c r="J180" s="2" t="s">
        <v>14</v>
      </c>
    </row>
    <row r="181" spans="1:10" x14ac:dyDescent="0.3">
      <c r="A181" s="1">
        <v>2231794</v>
      </c>
      <c r="B181" s="2" t="s">
        <v>266</v>
      </c>
      <c r="C181" s="2" t="s">
        <v>11</v>
      </c>
      <c r="D181" s="3" t="s">
        <v>325</v>
      </c>
      <c r="E181" s="3" t="str">
        <f>_xlfn.XLOOKUP(D181,[1]MAESTRA!D:D,[1]MAESTRA!A:A,"")</f>
        <v>KNE00012</v>
      </c>
      <c r="F181" s="2" t="s">
        <v>327</v>
      </c>
      <c r="G181" s="8">
        <v>99417</v>
      </c>
      <c r="H181" s="3">
        <v>48</v>
      </c>
      <c r="I181" s="9">
        <f t="shared" si="2"/>
        <v>2071.1875</v>
      </c>
      <c r="J181" s="2" t="s">
        <v>14</v>
      </c>
    </row>
    <row r="182" spans="1:10" x14ac:dyDescent="0.3">
      <c r="A182" s="1">
        <v>2236967</v>
      </c>
      <c r="B182" s="2" t="s">
        <v>303</v>
      </c>
      <c r="C182" s="2" t="s">
        <v>328</v>
      </c>
      <c r="D182" s="3" t="s">
        <v>305</v>
      </c>
      <c r="E182" s="3" t="s">
        <v>306</v>
      </c>
      <c r="F182" s="2" t="s">
        <v>329</v>
      </c>
      <c r="G182" s="8">
        <v>20775</v>
      </c>
      <c r="H182" s="3">
        <v>10</v>
      </c>
      <c r="I182" s="9">
        <f t="shared" si="2"/>
        <v>2077.5</v>
      </c>
      <c r="J182" s="2" t="s">
        <v>14</v>
      </c>
    </row>
    <row r="183" spans="1:10" x14ac:dyDescent="0.3">
      <c r="A183" s="1">
        <v>2229064</v>
      </c>
      <c r="B183" s="2" t="s">
        <v>215</v>
      </c>
      <c r="C183" s="2" t="s">
        <v>11</v>
      </c>
      <c r="D183" s="3" t="s">
        <v>325</v>
      </c>
      <c r="E183" s="3" t="str">
        <f>_xlfn.XLOOKUP(D183,[1]MAESTRA!D:D,[1]MAESTRA!A:A,"")</f>
        <v>KNE00012</v>
      </c>
      <c r="F183" s="2" t="s">
        <v>330</v>
      </c>
      <c r="G183" s="8">
        <v>20917</v>
      </c>
      <c r="H183" s="3">
        <v>10</v>
      </c>
      <c r="I183" s="9">
        <f t="shared" si="2"/>
        <v>2091.6999999999998</v>
      </c>
      <c r="J183" s="2" t="s">
        <v>14</v>
      </c>
    </row>
    <row r="184" spans="1:10" x14ac:dyDescent="0.3">
      <c r="A184" s="1">
        <v>2231562</v>
      </c>
      <c r="B184" s="2" t="s">
        <v>317</v>
      </c>
      <c r="C184" s="2" t="s">
        <v>11</v>
      </c>
      <c r="D184" s="3" t="s">
        <v>318</v>
      </c>
      <c r="E184" s="3" t="str">
        <f>_xlfn.XLOOKUP(D184,[1]MAESTRA!D:D,[1]MAESTRA!A:A,"")</f>
        <v>IND00002</v>
      </c>
      <c r="F184" s="2" t="s">
        <v>331</v>
      </c>
      <c r="G184" s="8">
        <v>106621</v>
      </c>
      <c r="H184" s="3">
        <v>50</v>
      </c>
      <c r="I184" s="9">
        <f t="shared" si="2"/>
        <v>2132.42</v>
      </c>
      <c r="J184" s="2" t="s">
        <v>14</v>
      </c>
    </row>
    <row r="185" spans="1:10" x14ac:dyDescent="0.3">
      <c r="A185" s="1">
        <v>2228488</v>
      </c>
      <c r="B185" s="2" t="s">
        <v>278</v>
      </c>
      <c r="C185" s="2" t="s">
        <v>11</v>
      </c>
      <c r="D185" s="3" t="s">
        <v>332</v>
      </c>
      <c r="E185" s="3" t="str">
        <f>_xlfn.XLOOKUP(D185,[1]MAESTRA!D:D,[1]MAESTRA!A:A,"")</f>
        <v>GEL00001</v>
      </c>
      <c r="F185" s="2" t="s">
        <v>333</v>
      </c>
      <c r="G185" s="8">
        <v>21426</v>
      </c>
      <c r="H185" s="3">
        <v>10</v>
      </c>
      <c r="I185" s="9">
        <f t="shared" si="2"/>
        <v>2142.6</v>
      </c>
      <c r="J185" s="2" t="s">
        <v>14</v>
      </c>
    </row>
    <row r="186" spans="1:10" x14ac:dyDescent="0.3">
      <c r="A186" s="1">
        <v>2228489</v>
      </c>
      <c r="B186" s="2" t="s">
        <v>278</v>
      </c>
      <c r="C186" s="2" t="s">
        <v>11</v>
      </c>
      <c r="D186" s="3" t="s">
        <v>332</v>
      </c>
      <c r="E186" s="3" t="str">
        <f>_xlfn.XLOOKUP(D186,[1]MAESTRA!D:D,[1]MAESTRA!A:A,"")</f>
        <v>GEL00001</v>
      </c>
      <c r="F186" s="2" t="s">
        <v>334</v>
      </c>
      <c r="G186" s="8">
        <v>2143</v>
      </c>
      <c r="H186" s="3">
        <v>1</v>
      </c>
      <c r="I186" s="9">
        <f t="shared" si="2"/>
        <v>2143</v>
      </c>
      <c r="J186" s="2" t="s">
        <v>14</v>
      </c>
    </row>
    <row r="187" spans="1:10" x14ac:dyDescent="0.3">
      <c r="A187" s="1">
        <v>2231558</v>
      </c>
      <c r="B187" s="2" t="s">
        <v>317</v>
      </c>
      <c r="C187" s="2" t="s">
        <v>11</v>
      </c>
      <c r="D187" s="3" t="s">
        <v>318</v>
      </c>
      <c r="E187" s="3" t="str">
        <f>_xlfn.XLOOKUP(D187,[1]MAESTRA!D:D,[1]MAESTRA!A:A,"")</f>
        <v>IND00002</v>
      </c>
      <c r="F187" s="2" t="s">
        <v>335</v>
      </c>
      <c r="G187" s="8">
        <v>2143</v>
      </c>
      <c r="H187" s="3">
        <v>1</v>
      </c>
      <c r="I187" s="9">
        <f t="shared" si="2"/>
        <v>2143</v>
      </c>
      <c r="J187" s="2" t="s">
        <v>14</v>
      </c>
    </row>
    <row r="188" spans="1:10" x14ac:dyDescent="0.3">
      <c r="A188" s="1">
        <v>2231795</v>
      </c>
      <c r="B188" s="2" t="s">
        <v>266</v>
      </c>
      <c r="C188" s="2" t="s">
        <v>11</v>
      </c>
      <c r="D188" s="3" t="s">
        <v>325</v>
      </c>
      <c r="E188" s="3" t="str">
        <f>_xlfn.XLOOKUP(D188,[1]MAESTRA!D:D,[1]MAESTRA!A:A,"")</f>
        <v>KNE00012</v>
      </c>
      <c r="F188" s="2" t="s">
        <v>336</v>
      </c>
      <c r="G188" s="8">
        <v>86929</v>
      </c>
      <c r="H188" s="3">
        <v>40</v>
      </c>
      <c r="I188" s="9">
        <f t="shared" si="2"/>
        <v>2173.2249999999999</v>
      </c>
      <c r="J188" s="2" t="s">
        <v>14</v>
      </c>
    </row>
    <row r="189" spans="1:10" x14ac:dyDescent="0.3">
      <c r="A189" s="1">
        <v>2231561</v>
      </c>
      <c r="B189" s="2" t="s">
        <v>317</v>
      </c>
      <c r="C189" s="2" t="s">
        <v>11</v>
      </c>
      <c r="D189" s="3" t="s">
        <v>318</v>
      </c>
      <c r="E189" s="3" t="str">
        <f>_xlfn.XLOOKUP(D189,[1]MAESTRA!D:D,[1]MAESTRA!A:A,"")</f>
        <v>IND00002</v>
      </c>
      <c r="F189" s="2" t="s">
        <v>337</v>
      </c>
      <c r="G189" s="8">
        <v>67033</v>
      </c>
      <c r="H189" s="3">
        <v>30</v>
      </c>
      <c r="I189" s="9">
        <f t="shared" si="2"/>
        <v>2234.4333333333334</v>
      </c>
      <c r="J189" s="2" t="s">
        <v>14</v>
      </c>
    </row>
    <row r="190" spans="1:10" x14ac:dyDescent="0.3">
      <c r="A190" s="1">
        <v>2229068</v>
      </c>
      <c r="B190" s="2" t="s">
        <v>215</v>
      </c>
      <c r="C190" s="2" t="s">
        <v>11</v>
      </c>
      <c r="D190" s="3" t="s">
        <v>338</v>
      </c>
      <c r="E190" s="3" t="str">
        <f>_xlfn.XLOOKUP(D190,[1]MAESTRA!D:D,[1]MAESTRA!A:A,"")</f>
        <v>KNE00112</v>
      </c>
      <c r="F190" s="2" t="s">
        <v>339</v>
      </c>
      <c r="G190" s="8">
        <v>116824</v>
      </c>
      <c r="H190" s="3">
        <v>50</v>
      </c>
      <c r="I190" s="9">
        <f t="shared" si="2"/>
        <v>2336.48</v>
      </c>
      <c r="J190" s="2" t="s">
        <v>14</v>
      </c>
    </row>
    <row r="191" spans="1:10" x14ac:dyDescent="0.3">
      <c r="A191" s="1">
        <v>2229025</v>
      </c>
      <c r="B191" s="2" t="s">
        <v>87</v>
      </c>
      <c r="C191" s="2" t="s">
        <v>340</v>
      </c>
      <c r="D191" s="3" t="s">
        <v>341</v>
      </c>
      <c r="E191" s="3" t="str">
        <f>_xlfn.XLOOKUP(D191,[1]MAESTRA!D:D,[1]MAESTRA!A:A,"")</f>
        <v>URG01663</v>
      </c>
      <c r="F191" s="2" t="s">
        <v>342</v>
      </c>
      <c r="G191" s="8">
        <v>23651</v>
      </c>
      <c r="H191" s="3">
        <v>10</v>
      </c>
      <c r="I191" s="9">
        <f t="shared" si="2"/>
        <v>2365.1</v>
      </c>
      <c r="J191" s="2" t="s">
        <v>14</v>
      </c>
    </row>
    <row r="192" spans="1:10" x14ac:dyDescent="0.3">
      <c r="A192" s="1">
        <v>2231559</v>
      </c>
      <c r="B192" s="2" t="s">
        <v>317</v>
      </c>
      <c r="C192" s="2" t="s">
        <v>11</v>
      </c>
      <c r="D192" s="3" t="s">
        <v>318</v>
      </c>
      <c r="E192" s="3" t="str">
        <f>_xlfn.XLOOKUP(D192,[1]MAESTRA!D:D,[1]MAESTRA!A:A,"")</f>
        <v>IND00002</v>
      </c>
      <c r="F192" s="2" t="s">
        <v>343</v>
      </c>
      <c r="G192" s="8">
        <v>73155</v>
      </c>
      <c r="H192" s="3">
        <v>30</v>
      </c>
      <c r="I192" s="9">
        <f t="shared" si="2"/>
        <v>2438.5</v>
      </c>
      <c r="J192" s="2" t="s">
        <v>14</v>
      </c>
    </row>
    <row r="193" spans="1:10" x14ac:dyDescent="0.3">
      <c r="A193" s="1">
        <v>2236925</v>
      </c>
      <c r="B193" s="2" t="s">
        <v>303</v>
      </c>
      <c r="C193" s="2" t="s">
        <v>344</v>
      </c>
      <c r="D193" s="3" t="s">
        <v>305</v>
      </c>
      <c r="E193" s="3" t="s">
        <v>345</v>
      </c>
      <c r="F193" s="2" t="s">
        <v>346</v>
      </c>
      <c r="G193" s="8">
        <v>29161</v>
      </c>
      <c r="H193" s="3">
        <v>10</v>
      </c>
      <c r="I193" s="9">
        <f t="shared" si="2"/>
        <v>2916.1</v>
      </c>
      <c r="J193" s="2" t="s">
        <v>14</v>
      </c>
    </row>
    <row r="194" spans="1:10" x14ac:dyDescent="0.3">
      <c r="A194" s="1">
        <v>2229974</v>
      </c>
      <c r="B194" s="2" t="s">
        <v>44</v>
      </c>
      <c r="C194" s="2" t="s">
        <v>11</v>
      </c>
      <c r="D194" s="3" t="s">
        <v>347</v>
      </c>
      <c r="E194" s="3" t="str">
        <f>_xlfn.XLOOKUP(D194,[1]MAESTRA!D:D,[1]MAESTRA!A:A,"")</f>
        <v>IND00005</v>
      </c>
      <c r="F194" s="2" t="s">
        <v>348</v>
      </c>
      <c r="G194" s="8">
        <v>3064</v>
      </c>
      <c r="H194" s="3">
        <v>1</v>
      </c>
      <c r="I194" s="9">
        <f t="shared" ref="I194:I240" si="3">G194/H194</f>
        <v>3064</v>
      </c>
      <c r="J194" s="2" t="s">
        <v>14</v>
      </c>
    </row>
    <row r="195" spans="1:10" x14ac:dyDescent="0.3">
      <c r="A195" s="1">
        <v>2229912</v>
      </c>
      <c r="B195" s="2" t="s">
        <v>47</v>
      </c>
      <c r="C195" s="2" t="s">
        <v>11</v>
      </c>
      <c r="D195" s="3" t="s">
        <v>347</v>
      </c>
      <c r="E195" s="3" t="str">
        <f>_xlfn.XLOOKUP(D195,[1]MAESTRA!D:D,[1]MAESTRA!A:A,"")</f>
        <v>IND00005</v>
      </c>
      <c r="F195" s="2" t="s">
        <v>349</v>
      </c>
      <c r="G195" s="8">
        <v>85791</v>
      </c>
      <c r="H195" s="3">
        <v>28</v>
      </c>
      <c r="I195" s="9">
        <f t="shared" si="3"/>
        <v>3063.9642857142858</v>
      </c>
      <c r="J195" s="2" t="s">
        <v>14</v>
      </c>
    </row>
    <row r="196" spans="1:10" x14ac:dyDescent="0.3">
      <c r="A196" s="1">
        <v>2229914</v>
      </c>
      <c r="B196" s="2" t="s">
        <v>47</v>
      </c>
      <c r="C196" s="2" t="s">
        <v>11</v>
      </c>
      <c r="D196" s="3" t="s">
        <v>347</v>
      </c>
      <c r="E196" s="3" t="str">
        <f>_xlfn.XLOOKUP(D196,[1]MAESTRA!D:D,[1]MAESTRA!A:A,"")</f>
        <v>IND00005</v>
      </c>
      <c r="F196" s="2" t="s">
        <v>350</v>
      </c>
      <c r="G196" s="8">
        <v>3071</v>
      </c>
      <c r="H196" s="3">
        <v>1</v>
      </c>
      <c r="I196" s="9">
        <f t="shared" si="3"/>
        <v>3071</v>
      </c>
      <c r="J196" s="2" t="s">
        <v>14</v>
      </c>
    </row>
    <row r="197" spans="1:10" x14ac:dyDescent="0.3">
      <c r="A197" s="1">
        <v>2229913</v>
      </c>
      <c r="B197" s="2" t="s">
        <v>47</v>
      </c>
      <c r="C197" s="2" t="s">
        <v>11</v>
      </c>
      <c r="D197" s="3" t="s">
        <v>347</v>
      </c>
      <c r="E197" s="3" t="str">
        <f>_xlfn.XLOOKUP(D197,[1]MAESTRA!D:D,[1]MAESTRA!A:A,"")</f>
        <v>IND00005</v>
      </c>
      <c r="F197" s="2" t="s">
        <v>351</v>
      </c>
      <c r="G197" s="8">
        <v>3354</v>
      </c>
      <c r="H197" s="3">
        <v>1</v>
      </c>
      <c r="I197" s="9">
        <f t="shared" si="3"/>
        <v>3354</v>
      </c>
      <c r="J197" s="2" t="s">
        <v>14</v>
      </c>
    </row>
    <row r="198" spans="1:10" x14ac:dyDescent="0.3">
      <c r="A198" s="1">
        <v>2229396</v>
      </c>
      <c r="B198" s="2" t="s">
        <v>352</v>
      </c>
      <c r="C198" s="2" t="s">
        <v>11</v>
      </c>
      <c r="D198" s="3" t="s">
        <v>353</v>
      </c>
      <c r="E198" s="3" t="s">
        <v>353</v>
      </c>
      <c r="F198" s="2" t="s">
        <v>354</v>
      </c>
      <c r="G198" s="8">
        <v>4071</v>
      </c>
      <c r="H198" s="3">
        <v>1</v>
      </c>
      <c r="I198" s="9">
        <f t="shared" si="3"/>
        <v>4071</v>
      </c>
      <c r="J198" s="2" t="s">
        <v>14</v>
      </c>
    </row>
    <row r="199" spans="1:10" x14ac:dyDescent="0.3">
      <c r="A199" s="1">
        <v>2236840</v>
      </c>
      <c r="B199" s="2" t="s">
        <v>303</v>
      </c>
      <c r="C199" s="2" t="s">
        <v>304</v>
      </c>
      <c r="D199" s="3" t="s">
        <v>305</v>
      </c>
      <c r="E199" s="3" t="s">
        <v>306</v>
      </c>
      <c r="F199" s="2" t="s">
        <v>355</v>
      </c>
      <c r="G199" s="8">
        <v>25888</v>
      </c>
      <c r="H199" s="3">
        <v>6</v>
      </c>
      <c r="I199" s="9">
        <f t="shared" si="3"/>
        <v>4314.666666666667</v>
      </c>
      <c r="J199" s="2" t="s">
        <v>14</v>
      </c>
    </row>
    <row r="200" spans="1:10" x14ac:dyDescent="0.3">
      <c r="A200" s="1">
        <v>2229026</v>
      </c>
      <c r="B200" s="2" t="s">
        <v>87</v>
      </c>
      <c r="C200" s="2" t="s">
        <v>340</v>
      </c>
      <c r="D200" s="3" t="s">
        <v>356</v>
      </c>
      <c r="E200" s="3" t="str">
        <f>_xlfn.XLOOKUP(D200,[1]MAESTRA!D:D,[1]MAESTRA!A:A,"")</f>
        <v>URG53031</v>
      </c>
      <c r="F200" s="2" t="s">
        <v>357</v>
      </c>
      <c r="G200" s="8">
        <v>26153</v>
      </c>
      <c r="H200" s="3">
        <v>5</v>
      </c>
      <c r="I200" s="9">
        <f t="shared" si="3"/>
        <v>5230.6000000000004</v>
      </c>
      <c r="J200" s="2" t="s">
        <v>14</v>
      </c>
    </row>
    <row r="201" spans="1:10" x14ac:dyDescent="0.3">
      <c r="A201" s="1">
        <v>2229027</v>
      </c>
      <c r="B201" s="2" t="s">
        <v>87</v>
      </c>
      <c r="C201" s="2" t="s">
        <v>340</v>
      </c>
      <c r="D201" s="3" t="s">
        <v>356</v>
      </c>
      <c r="E201" s="3" t="str">
        <f>_xlfn.XLOOKUP(D201,[1]MAESTRA!D:D,[1]MAESTRA!A:A,"")</f>
        <v>URG53031</v>
      </c>
      <c r="F201" s="2" t="s">
        <v>358</v>
      </c>
      <c r="G201" s="8">
        <v>26153</v>
      </c>
      <c r="H201" s="3">
        <v>5</v>
      </c>
      <c r="I201" s="9">
        <f t="shared" si="3"/>
        <v>5230.6000000000004</v>
      </c>
      <c r="J201" s="2" t="s">
        <v>14</v>
      </c>
    </row>
    <row r="202" spans="1:10" x14ac:dyDescent="0.3">
      <c r="A202" s="1">
        <v>2228577</v>
      </c>
      <c r="B202" s="2" t="s">
        <v>10</v>
      </c>
      <c r="C202" s="2" t="s">
        <v>11</v>
      </c>
      <c r="D202" s="3" t="s">
        <v>359</v>
      </c>
      <c r="E202" s="3" t="str">
        <f>_xlfn.XLOOKUP(D202,[1]MAESTRA!D:D,[1]MAESTRA!A:A,"")</f>
        <v>ALG00001</v>
      </c>
      <c r="F202" s="2" t="s">
        <v>360</v>
      </c>
      <c r="G202" s="8">
        <v>5601</v>
      </c>
      <c r="H202" s="3">
        <v>1</v>
      </c>
      <c r="I202" s="9">
        <f t="shared" si="3"/>
        <v>5601</v>
      </c>
      <c r="J202" s="2" t="s">
        <v>14</v>
      </c>
    </row>
    <row r="203" spans="1:10" x14ac:dyDescent="0.3">
      <c r="A203" s="1">
        <v>2229067</v>
      </c>
      <c r="B203" s="2" t="s">
        <v>215</v>
      </c>
      <c r="C203" s="2" t="s">
        <v>11</v>
      </c>
      <c r="D203" s="3" t="s">
        <v>361</v>
      </c>
      <c r="E203" s="3" t="str">
        <f>_xlfn.XLOOKUP(D203,[1]MAESTRA!D:D,[1]MAESTRA!A:A,"")</f>
        <v>KNE00105</v>
      </c>
      <c r="F203" s="2" t="s">
        <v>362</v>
      </c>
      <c r="G203" s="8">
        <v>169879</v>
      </c>
      <c r="H203" s="3">
        <v>30</v>
      </c>
      <c r="I203" s="9">
        <f t="shared" si="3"/>
        <v>5662.6333333333332</v>
      </c>
      <c r="J203" s="2" t="s">
        <v>14</v>
      </c>
    </row>
    <row r="204" spans="1:10" x14ac:dyDescent="0.3">
      <c r="A204" s="1">
        <v>2229030</v>
      </c>
      <c r="B204" s="2" t="s">
        <v>87</v>
      </c>
      <c r="C204" s="2" t="s">
        <v>344</v>
      </c>
      <c r="D204" s="3" t="s">
        <v>363</v>
      </c>
      <c r="E204" s="3" t="str">
        <f>_xlfn.XLOOKUP(D204,[1]MAESTRA!D:D,[1]MAESTRA!A:A,"")</f>
        <v>URG08393</v>
      </c>
      <c r="F204" s="2" t="s">
        <v>364</v>
      </c>
      <c r="G204" s="8">
        <v>91843</v>
      </c>
      <c r="H204" s="3">
        <v>16</v>
      </c>
      <c r="I204" s="9">
        <f t="shared" si="3"/>
        <v>5740.1875</v>
      </c>
      <c r="J204" s="2" t="s">
        <v>14</v>
      </c>
    </row>
    <row r="205" spans="1:10" x14ac:dyDescent="0.3">
      <c r="A205" s="1">
        <v>2229239</v>
      </c>
      <c r="B205" s="2" t="s">
        <v>365</v>
      </c>
      <c r="C205" s="2" t="s">
        <v>11</v>
      </c>
      <c r="D205" s="3" t="s">
        <v>366</v>
      </c>
      <c r="E205" s="3" t="str">
        <f>_xlfn.XLOOKUP(D205,[1]MAESTRA!D:D,[1]MAESTRA!A:A,"")</f>
        <v>EST00009</v>
      </c>
      <c r="F205" s="2" t="s">
        <v>367</v>
      </c>
      <c r="G205" s="8">
        <v>6325</v>
      </c>
      <c r="H205" s="3">
        <v>1</v>
      </c>
      <c r="I205" s="9">
        <f t="shared" si="3"/>
        <v>6325</v>
      </c>
      <c r="J205" s="2" t="s">
        <v>14</v>
      </c>
    </row>
    <row r="206" spans="1:10" x14ac:dyDescent="0.3">
      <c r="A206" s="1">
        <v>2229233</v>
      </c>
      <c r="B206" s="2" t="s">
        <v>365</v>
      </c>
      <c r="C206" s="2" t="s">
        <v>11</v>
      </c>
      <c r="D206" s="3" t="s">
        <v>366</v>
      </c>
      <c r="E206" s="3" t="str">
        <f>_xlfn.XLOOKUP(D206,[1]MAESTRA!D:D,[1]MAESTRA!A:A,"")</f>
        <v>EST00009</v>
      </c>
      <c r="F206" s="2" t="s">
        <v>368</v>
      </c>
      <c r="G206" s="8">
        <v>7653</v>
      </c>
      <c r="H206" s="3">
        <v>1</v>
      </c>
      <c r="I206" s="9">
        <f t="shared" si="3"/>
        <v>7653</v>
      </c>
      <c r="J206" s="2" t="s">
        <v>14</v>
      </c>
    </row>
    <row r="207" spans="1:10" x14ac:dyDescent="0.3">
      <c r="A207" s="1">
        <v>2229240</v>
      </c>
      <c r="B207" s="2" t="s">
        <v>365</v>
      </c>
      <c r="C207" s="2" t="s">
        <v>11</v>
      </c>
      <c r="D207" s="3" t="s">
        <v>369</v>
      </c>
      <c r="E207" s="3" t="str">
        <f>_xlfn.XLOOKUP(D207,[1]MAESTRA!D:D,[1]MAESTRA!A:A,"")</f>
        <v>EST00010</v>
      </c>
      <c r="F207" s="2" t="s">
        <v>370</v>
      </c>
      <c r="G207" s="8">
        <v>8060</v>
      </c>
      <c r="H207" s="3">
        <v>1</v>
      </c>
      <c r="I207" s="9">
        <f t="shared" si="3"/>
        <v>8060</v>
      </c>
      <c r="J207" s="2" t="s">
        <v>14</v>
      </c>
    </row>
    <row r="208" spans="1:10" x14ac:dyDescent="0.3">
      <c r="A208" s="1">
        <v>2229063</v>
      </c>
      <c r="B208" s="2" t="s">
        <v>215</v>
      </c>
      <c r="C208" s="2" t="s">
        <v>11</v>
      </c>
      <c r="D208" s="3" t="s">
        <v>371</v>
      </c>
      <c r="E208" s="3" t="s">
        <v>306</v>
      </c>
      <c r="F208" s="2" t="s">
        <v>372</v>
      </c>
      <c r="G208" s="8">
        <v>162226</v>
      </c>
      <c r="H208" s="3">
        <v>20</v>
      </c>
      <c r="I208" s="9">
        <f t="shared" si="3"/>
        <v>8111.3</v>
      </c>
      <c r="J208" s="2" t="s">
        <v>20</v>
      </c>
    </row>
    <row r="209" spans="1:10" x14ac:dyDescent="0.3">
      <c r="A209" s="1">
        <v>2229227</v>
      </c>
      <c r="B209" s="2" t="s">
        <v>365</v>
      </c>
      <c r="C209" s="2" t="s">
        <v>11</v>
      </c>
      <c r="D209" s="3" t="s">
        <v>373</v>
      </c>
      <c r="E209" s="3" t="str">
        <f>_xlfn.XLOOKUP(D209,[1]MAESTRA!D:D,[1]MAESTRA!A:A,"")</f>
        <v>EST00002</v>
      </c>
      <c r="F209" s="2" t="s">
        <v>374</v>
      </c>
      <c r="G209" s="8">
        <v>10152</v>
      </c>
      <c r="H209" s="3">
        <v>1</v>
      </c>
      <c r="I209" s="9">
        <f t="shared" si="3"/>
        <v>10152</v>
      </c>
      <c r="J209" s="2" t="s">
        <v>20</v>
      </c>
    </row>
    <row r="210" spans="1:10" x14ac:dyDescent="0.3">
      <c r="A210" s="1">
        <v>2228493</v>
      </c>
      <c r="B210" s="2" t="s">
        <v>278</v>
      </c>
      <c r="C210" s="2" t="s">
        <v>11</v>
      </c>
      <c r="D210" s="3" t="s">
        <v>375</v>
      </c>
      <c r="E210" s="3" t="str">
        <f>_xlfn.XLOOKUP(D210,[1]MAESTRA!D:D,[1]MAESTRA!A:A,"")</f>
        <v>GEL00003</v>
      </c>
      <c r="F210" s="2" t="s">
        <v>376</v>
      </c>
      <c r="G210" s="8">
        <v>10193</v>
      </c>
      <c r="H210" s="3">
        <v>1</v>
      </c>
      <c r="I210" s="9">
        <f t="shared" si="3"/>
        <v>10193</v>
      </c>
      <c r="J210" s="2" t="s">
        <v>14</v>
      </c>
    </row>
    <row r="211" spans="1:10" x14ac:dyDescent="0.3">
      <c r="A211" s="1">
        <v>2228492</v>
      </c>
      <c r="B211" s="2" t="s">
        <v>278</v>
      </c>
      <c r="C211" s="2" t="s">
        <v>11</v>
      </c>
      <c r="D211" s="3" t="s">
        <v>375</v>
      </c>
      <c r="E211" s="3" t="str">
        <f>_xlfn.XLOOKUP(D211,[1]MAESTRA!D:D,[1]MAESTRA!A:A,"")</f>
        <v>GEL00003</v>
      </c>
      <c r="F211" s="2" t="s">
        <v>377</v>
      </c>
      <c r="G211" s="8">
        <v>21018</v>
      </c>
      <c r="H211" s="3">
        <v>2</v>
      </c>
      <c r="I211" s="9">
        <f t="shared" si="3"/>
        <v>10509</v>
      </c>
      <c r="J211" s="2" t="s">
        <v>14</v>
      </c>
    </row>
    <row r="212" spans="1:10" x14ac:dyDescent="0.3">
      <c r="A212" s="1">
        <v>2232755</v>
      </c>
      <c r="B212" s="2" t="s">
        <v>378</v>
      </c>
      <c r="C212" s="2" t="s">
        <v>11</v>
      </c>
      <c r="D212" s="3" t="s">
        <v>379</v>
      </c>
      <c r="E212" s="3" t="str">
        <f>_xlfn.XLOOKUP(D212,[1]MAESTRA!D:D,[1]MAESTRA!A:A,"")</f>
        <v>PAQ00001</v>
      </c>
      <c r="F212" s="2" t="s">
        <v>380</v>
      </c>
      <c r="G212" s="8">
        <v>11753</v>
      </c>
      <c r="H212" s="3">
        <v>1</v>
      </c>
      <c r="I212" s="9">
        <f t="shared" si="3"/>
        <v>11753</v>
      </c>
      <c r="J212" s="2" t="s">
        <v>14</v>
      </c>
    </row>
    <row r="213" spans="1:10" x14ac:dyDescent="0.3">
      <c r="A213" s="1">
        <v>2234421</v>
      </c>
      <c r="B213" s="2" t="s">
        <v>63</v>
      </c>
      <c r="C213" s="2" t="s">
        <v>11</v>
      </c>
      <c r="D213" s="3" t="s">
        <v>379</v>
      </c>
      <c r="E213" s="3" t="str">
        <f>_xlfn.XLOOKUP(D213,[1]MAESTRA!D:D,[1]MAESTRA!A:A,"")</f>
        <v>PAQ00001</v>
      </c>
      <c r="F213" s="2" t="s">
        <v>381</v>
      </c>
      <c r="G213" s="8">
        <v>36425</v>
      </c>
      <c r="H213" s="3">
        <v>3</v>
      </c>
      <c r="I213" s="9">
        <f t="shared" si="3"/>
        <v>12141.666666666666</v>
      </c>
      <c r="J213" s="2" t="s">
        <v>14</v>
      </c>
    </row>
    <row r="214" spans="1:10" x14ac:dyDescent="0.3">
      <c r="A214" s="1">
        <v>2230370</v>
      </c>
      <c r="B214" s="2" t="s">
        <v>382</v>
      </c>
      <c r="C214" s="2" t="s">
        <v>11</v>
      </c>
      <c r="D214" s="3" t="s">
        <v>383</v>
      </c>
      <c r="E214" s="3" t="str">
        <f>_xlfn.XLOOKUP(D214,[1]MAESTRA!D:D,[1]MAESTRA!A:A,"")</f>
        <v>DET00001</v>
      </c>
      <c r="F214" s="2" t="s">
        <v>384</v>
      </c>
      <c r="G214" s="8">
        <v>12642</v>
      </c>
      <c r="H214" s="3">
        <v>1</v>
      </c>
      <c r="I214" s="9">
        <f t="shared" si="3"/>
        <v>12642</v>
      </c>
      <c r="J214" s="2" t="s">
        <v>14</v>
      </c>
    </row>
    <row r="215" spans="1:10" x14ac:dyDescent="0.3">
      <c r="A215" s="1">
        <v>2234416</v>
      </c>
      <c r="B215" s="2" t="s">
        <v>63</v>
      </c>
      <c r="C215" s="2" t="s">
        <v>11</v>
      </c>
      <c r="D215" s="3" t="s">
        <v>379</v>
      </c>
      <c r="E215" s="3" t="str">
        <f>_xlfn.XLOOKUP(D215,[1]MAESTRA!D:D,[1]MAESTRA!A:A,"")</f>
        <v>PAQ00001</v>
      </c>
      <c r="F215" s="2" t="s">
        <v>385</v>
      </c>
      <c r="G215" s="8">
        <v>38230</v>
      </c>
      <c r="H215" s="3">
        <v>3</v>
      </c>
      <c r="I215" s="9">
        <f t="shared" si="3"/>
        <v>12743.333333333334</v>
      </c>
      <c r="J215" s="2" t="s">
        <v>14</v>
      </c>
    </row>
    <row r="216" spans="1:10" x14ac:dyDescent="0.3">
      <c r="A216" s="1">
        <v>2229232</v>
      </c>
      <c r="B216" s="2" t="s">
        <v>365</v>
      </c>
      <c r="C216" s="2" t="s">
        <v>11</v>
      </c>
      <c r="D216" s="3" t="s">
        <v>373</v>
      </c>
      <c r="E216" s="3" t="str">
        <f>_xlfn.XLOOKUP(D216,[1]MAESTRA!D:D,[1]MAESTRA!A:A,"")</f>
        <v>EST00002</v>
      </c>
      <c r="F216" s="2" t="s">
        <v>386</v>
      </c>
      <c r="G216" s="8">
        <v>38261</v>
      </c>
      <c r="H216" s="3">
        <v>3</v>
      </c>
      <c r="I216" s="9">
        <f t="shared" si="3"/>
        <v>12753.666666666666</v>
      </c>
      <c r="J216" s="2" t="s">
        <v>20</v>
      </c>
    </row>
    <row r="217" spans="1:10" x14ac:dyDescent="0.3">
      <c r="A217" s="1">
        <v>2232754</v>
      </c>
      <c r="B217" s="2" t="s">
        <v>378</v>
      </c>
      <c r="C217" s="2" t="s">
        <v>11</v>
      </c>
      <c r="D217" s="3" t="s">
        <v>379</v>
      </c>
      <c r="E217" s="3" t="str">
        <f>_xlfn.XLOOKUP(D217,[1]MAESTRA!D:D,[1]MAESTRA!A:A,"")</f>
        <v>PAQ00001</v>
      </c>
      <c r="F217" s="2" t="s">
        <v>387</v>
      </c>
      <c r="G217" s="8">
        <v>77073</v>
      </c>
      <c r="H217" s="3">
        <v>6</v>
      </c>
      <c r="I217" s="9">
        <f t="shared" si="3"/>
        <v>12845.5</v>
      </c>
      <c r="J217" s="2" t="s">
        <v>14</v>
      </c>
    </row>
    <row r="218" spans="1:10" x14ac:dyDescent="0.3">
      <c r="A218" s="1">
        <v>2229544</v>
      </c>
      <c r="B218" s="2" t="s">
        <v>235</v>
      </c>
      <c r="C218" s="2" t="s">
        <v>11</v>
      </c>
      <c r="D218" s="3" t="s">
        <v>388</v>
      </c>
      <c r="E218" s="3" t="str">
        <f>_xlfn.XLOOKUP(D218,[1]MAESTRA!D:D,[1]MAESTRA!A:A,"")</f>
        <v>TSI00005</v>
      </c>
      <c r="F218" s="2" t="s">
        <v>389</v>
      </c>
      <c r="G218" s="8">
        <v>13213</v>
      </c>
      <c r="H218" s="3">
        <v>1</v>
      </c>
      <c r="I218" s="9">
        <f t="shared" si="3"/>
        <v>13213</v>
      </c>
      <c r="J218" s="2" t="s">
        <v>14</v>
      </c>
    </row>
    <row r="219" spans="1:10" x14ac:dyDescent="0.3">
      <c r="A219" s="1">
        <v>2229234</v>
      </c>
      <c r="B219" s="2" t="s">
        <v>365</v>
      </c>
      <c r="C219" s="2" t="s">
        <v>11</v>
      </c>
      <c r="D219" s="3" t="s">
        <v>390</v>
      </c>
      <c r="E219" s="3" t="str">
        <f>_xlfn.XLOOKUP(D219,[1]MAESTRA!D:D,[1]MAESTRA!A:A,"")</f>
        <v>EST00011</v>
      </c>
      <c r="F219" s="2" t="s">
        <v>391</v>
      </c>
      <c r="G219" s="8">
        <v>13264</v>
      </c>
      <c r="H219" s="3">
        <v>1</v>
      </c>
      <c r="I219" s="9">
        <f t="shared" si="3"/>
        <v>13264</v>
      </c>
      <c r="J219" s="2" t="s">
        <v>14</v>
      </c>
    </row>
    <row r="220" spans="1:10" x14ac:dyDescent="0.3">
      <c r="A220" s="1">
        <v>2231880</v>
      </c>
      <c r="B220" s="2" t="s">
        <v>392</v>
      </c>
      <c r="C220" s="2" t="s">
        <v>393</v>
      </c>
      <c r="D220" s="3" t="s">
        <v>394</v>
      </c>
      <c r="E220" s="3" t="s">
        <v>394</v>
      </c>
      <c r="F220" s="2" t="s">
        <v>395</v>
      </c>
      <c r="G220" s="8">
        <v>343206</v>
      </c>
      <c r="H220" s="3">
        <v>24</v>
      </c>
      <c r="I220" s="9">
        <f t="shared" si="3"/>
        <v>14300.25</v>
      </c>
      <c r="J220" s="2" t="s">
        <v>14</v>
      </c>
    </row>
    <row r="221" spans="1:10" x14ac:dyDescent="0.3">
      <c r="A221" s="1">
        <v>2236863</v>
      </c>
      <c r="B221" s="2" t="s">
        <v>303</v>
      </c>
      <c r="C221" s="2" t="s">
        <v>396</v>
      </c>
      <c r="D221" s="3" t="s">
        <v>397</v>
      </c>
      <c r="E221" s="3" t="str">
        <f>_xlfn.XLOOKUP(D221,[1]MAESTRA!D:D,[1]MAESTRA!A:A,"")</f>
        <v>URG52155</v>
      </c>
      <c r="F221" s="2" t="s">
        <v>398</v>
      </c>
      <c r="G221" s="8">
        <v>144132</v>
      </c>
      <c r="H221" s="3">
        <v>10</v>
      </c>
      <c r="I221" s="9">
        <f t="shared" si="3"/>
        <v>14413.2</v>
      </c>
      <c r="J221" s="2" t="s">
        <v>14</v>
      </c>
    </row>
    <row r="222" spans="1:10" x14ac:dyDescent="0.3">
      <c r="A222" s="1">
        <v>2229228</v>
      </c>
      <c r="B222" s="2" t="s">
        <v>365</v>
      </c>
      <c r="C222" s="2" t="s">
        <v>11</v>
      </c>
      <c r="D222" s="3" t="s">
        <v>399</v>
      </c>
      <c r="E222" s="3" t="str">
        <f>_xlfn.XLOOKUP(D222,[1]MAESTRA!D:D,[1]MAESTRA!A:A,"")</f>
        <v>EST00003</v>
      </c>
      <c r="F222" s="2" t="s">
        <v>400</v>
      </c>
      <c r="G222" s="8">
        <v>14641</v>
      </c>
      <c r="H222" s="3">
        <v>1</v>
      </c>
      <c r="I222" s="9">
        <f t="shared" si="3"/>
        <v>14641</v>
      </c>
      <c r="J222" s="2" t="s">
        <v>14</v>
      </c>
    </row>
    <row r="223" spans="1:10" x14ac:dyDescent="0.3">
      <c r="A223" s="1">
        <v>2230369</v>
      </c>
      <c r="B223" s="2" t="s">
        <v>382</v>
      </c>
      <c r="C223" s="2" t="s">
        <v>11</v>
      </c>
      <c r="D223" s="3" t="s">
        <v>383</v>
      </c>
      <c r="E223" s="3" t="str">
        <f>_xlfn.XLOOKUP(D223,[1]MAESTRA!D:D,[1]MAESTRA!A:A,"")</f>
        <v>DET00001</v>
      </c>
      <c r="F223" s="2" t="s">
        <v>401</v>
      </c>
      <c r="G223" s="8">
        <v>61177</v>
      </c>
      <c r="H223" s="3">
        <v>4</v>
      </c>
      <c r="I223" s="9">
        <f t="shared" si="3"/>
        <v>15294.25</v>
      </c>
      <c r="J223" s="2" t="s">
        <v>14</v>
      </c>
    </row>
    <row r="224" spans="1:10" x14ac:dyDescent="0.3">
      <c r="A224" s="1">
        <v>2234321</v>
      </c>
      <c r="B224" s="2" t="s">
        <v>106</v>
      </c>
      <c r="C224" s="2" t="s">
        <v>402</v>
      </c>
      <c r="D224" s="3" t="s">
        <v>403</v>
      </c>
      <c r="E224" s="3" t="str">
        <f>_xlfn.XLOOKUP(D224,[1]MAESTRA!D:D,[1]MAESTRA!A:A,"")</f>
        <v>URG52916</v>
      </c>
      <c r="F224" s="2" t="s">
        <v>404</v>
      </c>
      <c r="G224" s="8">
        <v>17455</v>
      </c>
      <c r="H224" s="3">
        <v>1</v>
      </c>
      <c r="I224" s="9">
        <f t="shared" si="3"/>
        <v>17455</v>
      </c>
      <c r="J224" s="2" t="s">
        <v>14</v>
      </c>
    </row>
    <row r="225" spans="1:10" x14ac:dyDescent="0.3">
      <c r="A225" s="1">
        <v>2230308</v>
      </c>
      <c r="B225" s="2" t="s">
        <v>405</v>
      </c>
      <c r="C225" s="2" t="s">
        <v>11</v>
      </c>
      <c r="D225" s="3" t="s">
        <v>383</v>
      </c>
      <c r="E225" s="3" t="str">
        <f>_xlfn.XLOOKUP(D225,[1]MAESTRA!D:D,[1]MAESTRA!A:A,"")</f>
        <v>DET00001</v>
      </c>
      <c r="F225" s="2" t="s">
        <v>406</v>
      </c>
      <c r="G225" s="8">
        <v>18263</v>
      </c>
      <c r="H225" s="3">
        <v>1</v>
      </c>
      <c r="I225" s="9">
        <f t="shared" si="3"/>
        <v>18263</v>
      </c>
      <c r="J225" s="2" t="s">
        <v>14</v>
      </c>
    </row>
    <row r="226" spans="1:10" x14ac:dyDescent="0.3">
      <c r="A226" s="1">
        <v>2230367</v>
      </c>
      <c r="B226" s="2" t="s">
        <v>382</v>
      </c>
      <c r="C226" s="2" t="s">
        <v>11</v>
      </c>
      <c r="D226" s="3" t="s">
        <v>383</v>
      </c>
      <c r="E226" s="3" t="str">
        <f>_xlfn.XLOOKUP(D226,[1]MAESTRA!D:D,[1]MAESTRA!A:A,"")</f>
        <v>DET00001</v>
      </c>
      <c r="F226" s="2" t="s">
        <v>407</v>
      </c>
      <c r="G226" s="8">
        <v>18263</v>
      </c>
      <c r="H226" s="3">
        <v>1</v>
      </c>
      <c r="I226" s="9">
        <f t="shared" si="3"/>
        <v>18263</v>
      </c>
      <c r="J226" s="2" t="s">
        <v>14</v>
      </c>
    </row>
    <row r="227" spans="1:10" x14ac:dyDescent="0.3">
      <c r="A227" s="1">
        <v>2230368</v>
      </c>
      <c r="B227" s="2" t="s">
        <v>382</v>
      </c>
      <c r="C227" s="2" t="s">
        <v>11</v>
      </c>
      <c r="D227" s="3" t="s">
        <v>383</v>
      </c>
      <c r="E227" s="3" t="str">
        <f>_xlfn.XLOOKUP(D227,[1]MAESTRA!D:D,[1]MAESTRA!A:A,"")</f>
        <v>DET00001</v>
      </c>
      <c r="F227" s="2" t="s">
        <v>408</v>
      </c>
      <c r="G227" s="8">
        <v>18263</v>
      </c>
      <c r="H227" s="3">
        <v>1</v>
      </c>
      <c r="I227" s="9">
        <f t="shared" si="3"/>
        <v>18263</v>
      </c>
      <c r="J227" s="2" t="s">
        <v>14</v>
      </c>
    </row>
    <row r="228" spans="1:10" x14ac:dyDescent="0.3">
      <c r="A228" s="1">
        <v>2230310</v>
      </c>
      <c r="B228" s="2" t="s">
        <v>405</v>
      </c>
      <c r="C228" s="2" t="s">
        <v>11</v>
      </c>
      <c r="D228" s="3" t="s">
        <v>383</v>
      </c>
      <c r="E228" s="3" t="str">
        <f>_xlfn.XLOOKUP(D228,[1]MAESTRA!D:D,[1]MAESTRA!A:A,"")</f>
        <v>DET00001</v>
      </c>
      <c r="F228" s="2" t="s">
        <v>409</v>
      </c>
      <c r="G228" s="8">
        <v>18263</v>
      </c>
      <c r="H228" s="3">
        <v>1</v>
      </c>
      <c r="I228" s="9">
        <f t="shared" si="3"/>
        <v>18263</v>
      </c>
      <c r="J228" s="2" t="s">
        <v>14</v>
      </c>
    </row>
    <row r="229" spans="1:10" x14ac:dyDescent="0.3">
      <c r="A229" s="1">
        <v>2230371</v>
      </c>
      <c r="B229" s="2" t="s">
        <v>382</v>
      </c>
      <c r="C229" s="2" t="s">
        <v>11</v>
      </c>
      <c r="D229" s="3" t="s">
        <v>383</v>
      </c>
      <c r="E229" s="3" t="str">
        <f>_xlfn.XLOOKUP(D229,[1]MAESTRA!D:D,[1]MAESTRA!A:A,"")</f>
        <v>DET00001</v>
      </c>
      <c r="F229" s="2" t="s">
        <v>410</v>
      </c>
      <c r="G229" s="8">
        <v>18263</v>
      </c>
      <c r="H229" s="3">
        <v>1</v>
      </c>
      <c r="I229" s="9">
        <f t="shared" si="3"/>
        <v>18263</v>
      </c>
      <c r="J229" s="2" t="s">
        <v>14</v>
      </c>
    </row>
    <row r="230" spans="1:10" x14ac:dyDescent="0.3">
      <c r="A230" s="1">
        <v>2230372</v>
      </c>
      <c r="B230" s="2" t="s">
        <v>382</v>
      </c>
      <c r="C230" s="2" t="s">
        <v>11</v>
      </c>
      <c r="D230" s="3" t="s">
        <v>383</v>
      </c>
      <c r="E230" s="3" t="str">
        <f>_xlfn.XLOOKUP(D230,[1]MAESTRA!D:D,[1]MAESTRA!A:A,"")</f>
        <v>DET00001</v>
      </c>
      <c r="F230" s="2" t="s">
        <v>411</v>
      </c>
      <c r="G230" s="8">
        <v>18263</v>
      </c>
      <c r="H230" s="3">
        <v>1</v>
      </c>
      <c r="I230" s="9">
        <f t="shared" si="3"/>
        <v>18263</v>
      </c>
      <c r="J230" s="2" t="s">
        <v>14</v>
      </c>
    </row>
    <row r="231" spans="1:10" x14ac:dyDescent="0.3">
      <c r="A231" s="1">
        <v>2230309</v>
      </c>
      <c r="B231" s="2" t="s">
        <v>405</v>
      </c>
      <c r="C231" s="2" t="s">
        <v>11</v>
      </c>
      <c r="D231" s="3" t="s">
        <v>383</v>
      </c>
      <c r="E231" s="3" t="str">
        <f>_xlfn.XLOOKUP(D231,[1]MAESTRA!D:D,[1]MAESTRA!A:A,"")</f>
        <v>DET00001</v>
      </c>
      <c r="F231" s="2" t="s">
        <v>401</v>
      </c>
      <c r="G231" s="8">
        <v>73053</v>
      </c>
      <c r="H231" s="3">
        <v>4</v>
      </c>
      <c r="I231" s="9">
        <f t="shared" si="3"/>
        <v>18263.25</v>
      </c>
      <c r="J231" s="2" t="s">
        <v>14</v>
      </c>
    </row>
    <row r="232" spans="1:10" x14ac:dyDescent="0.3">
      <c r="A232" s="1">
        <v>2229229</v>
      </c>
      <c r="B232" s="2" t="s">
        <v>365</v>
      </c>
      <c r="C232" s="2" t="s">
        <v>11</v>
      </c>
      <c r="D232" s="3" t="s">
        <v>412</v>
      </c>
      <c r="E232" s="3" t="str">
        <f>_xlfn.XLOOKUP(D232,[1]MAESTRA!D:D,[1]MAESTRA!A:A,"")</f>
        <v>EST00004</v>
      </c>
      <c r="F232" s="2" t="s">
        <v>413</v>
      </c>
      <c r="G232" s="8">
        <v>18365</v>
      </c>
      <c r="H232" s="3">
        <v>1</v>
      </c>
      <c r="I232" s="9">
        <f t="shared" si="3"/>
        <v>18365</v>
      </c>
      <c r="J232" s="2" t="s">
        <v>14</v>
      </c>
    </row>
    <row r="233" spans="1:10" x14ac:dyDescent="0.3">
      <c r="A233" s="1">
        <v>2229235</v>
      </c>
      <c r="B233" s="2" t="s">
        <v>365</v>
      </c>
      <c r="C233" s="2" t="s">
        <v>11</v>
      </c>
      <c r="D233" s="3" t="s">
        <v>414</v>
      </c>
      <c r="E233" s="3" t="str">
        <f>_xlfn.XLOOKUP(D233,[1]MAESTRA!D:D,[1]MAESTRA!A:A,"")</f>
        <v>EST00012</v>
      </c>
      <c r="F233" s="2" t="s">
        <v>415</v>
      </c>
      <c r="G233" s="8">
        <v>21008</v>
      </c>
      <c r="H233" s="3">
        <v>1</v>
      </c>
      <c r="I233" s="9">
        <f t="shared" si="3"/>
        <v>21008</v>
      </c>
      <c r="J233" s="2" t="s">
        <v>14</v>
      </c>
    </row>
    <row r="234" spans="1:10" x14ac:dyDescent="0.3">
      <c r="A234" s="1">
        <v>2229550</v>
      </c>
      <c r="B234" s="2" t="s">
        <v>235</v>
      </c>
      <c r="C234" s="2" t="s">
        <v>11</v>
      </c>
      <c r="D234" s="3" t="s">
        <v>416</v>
      </c>
      <c r="E234" s="3" t="str">
        <f>_xlfn.XLOOKUP(D234,[1]MAESTRA!D:D,[1]MAESTRA!A:A,"")</f>
        <v>TSI00009</v>
      </c>
      <c r="F234" s="2" t="s">
        <v>417</v>
      </c>
      <c r="G234" s="8">
        <v>22957</v>
      </c>
      <c r="H234" s="3">
        <v>1</v>
      </c>
      <c r="I234" s="9">
        <f t="shared" si="3"/>
        <v>22957</v>
      </c>
      <c r="J234" s="2" t="s">
        <v>14</v>
      </c>
    </row>
    <row r="235" spans="1:10" x14ac:dyDescent="0.3">
      <c r="A235" s="1">
        <v>2229230</v>
      </c>
      <c r="B235" s="2" t="s">
        <v>365</v>
      </c>
      <c r="C235" s="2" t="s">
        <v>11</v>
      </c>
      <c r="D235" s="3" t="s">
        <v>418</v>
      </c>
      <c r="E235" s="3" t="str">
        <f>_xlfn.XLOOKUP(D235,[1]MAESTRA!D:D,[1]MAESTRA!A:A,"")</f>
        <v>EST00005</v>
      </c>
      <c r="F235" s="2" t="s">
        <v>419</v>
      </c>
      <c r="G235" s="8">
        <v>23467</v>
      </c>
      <c r="H235" s="3">
        <v>1</v>
      </c>
      <c r="I235" s="9">
        <f t="shared" si="3"/>
        <v>23467</v>
      </c>
      <c r="J235" s="2" t="s">
        <v>14</v>
      </c>
    </row>
    <row r="236" spans="1:10" x14ac:dyDescent="0.3">
      <c r="A236" s="1">
        <v>2229236</v>
      </c>
      <c r="B236" s="2" t="s">
        <v>365</v>
      </c>
      <c r="C236" s="2" t="s">
        <v>11</v>
      </c>
      <c r="D236" s="3" t="s">
        <v>420</v>
      </c>
      <c r="E236" s="3" t="str">
        <f>_xlfn.XLOOKUP(D236,[1]MAESTRA!D:D,[1]MAESTRA!A:A,"")</f>
        <v>EST00013</v>
      </c>
      <c r="F236" s="2" t="s">
        <v>421</v>
      </c>
      <c r="G236" s="8">
        <v>27425</v>
      </c>
      <c r="H236" s="3">
        <v>1</v>
      </c>
      <c r="I236" s="9">
        <f t="shared" si="3"/>
        <v>27425</v>
      </c>
      <c r="J236" s="2" t="s">
        <v>14</v>
      </c>
    </row>
    <row r="237" spans="1:10" x14ac:dyDescent="0.3">
      <c r="A237" s="1">
        <v>2229231</v>
      </c>
      <c r="B237" s="2" t="s">
        <v>365</v>
      </c>
      <c r="C237" s="2" t="s">
        <v>11</v>
      </c>
      <c r="D237" s="3" t="s">
        <v>422</v>
      </c>
      <c r="E237" s="3" t="str">
        <f>_xlfn.XLOOKUP(D237,[1]MAESTRA!D:D,[1]MAESTRA!A:A,"")</f>
        <v>EST00006</v>
      </c>
      <c r="F237" s="2" t="s">
        <v>423</v>
      </c>
      <c r="G237" s="8">
        <v>28059</v>
      </c>
      <c r="H237" s="3">
        <v>1</v>
      </c>
      <c r="I237" s="9">
        <f t="shared" si="3"/>
        <v>28059</v>
      </c>
      <c r="J237" s="2" t="s">
        <v>14</v>
      </c>
    </row>
    <row r="238" spans="1:10" x14ac:dyDescent="0.3">
      <c r="A238" s="1">
        <v>2229237</v>
      </c>
      <c r="B238" s="2" t="s">
        <v>365</v>
      </c>
      <c r="C238" s="2" t="s">
        <v>11</v>
      </c>
      <c r="D238" s="3" t="s">
        <v>424</v>
      </c>
      <c r="E238" s="3" t="str">
        <f>_xlfn.XLOOKUP(D238,[1]MAESTRA!D:D,[1]MAESTRA!A:A,"")</f>
        <v>EST00014</v>
      </c>
      <c r="F238" s="2" t="s">
        <v>425</v>
      </c>
      <c r="G238" s="8">
        <v>31823</v>
      </c>
      <c r="H238" s="3">
        <v>1</v>
      </c>
      <c r="I238" s="9">
        <f t="shared" si="3"/>
        <v>31823</v>
      </c>
      <c r="J238" s="2" t="s">
        <v>14</v>
      </c>
    </row>
    <row r="239" spans="1:10" x14ac:dyDescent="0.3">
      <c r="A239" s="1">
        <v>2229238</v>
      </c>
      <c r="B239" s="2" t="s">
        <v>365</v>
      </c>
      <c r="C239" s="2" t="s">
        <v>11</v>
      </c>
      <c r="D239" s="3" t="s">
        <v>426</v>
      </c>
      <c r="E239" s="3" t="str">
        <f>_xlfn.XLOOKUP(D239,[1]MAESTRA!D:D,[1]MAESTRA!A:A,"")</f>
        <v>EST00015</v>
      </c>
      <c r="F239" s="2" t="s">
        <v>427</v>
      </c>
      <c r="G239" s="8">
        <v>39791</v>
      </c>
      <c r="H239" s="3">
        <v>1</v>
      </c>
      <c r="I239" s="11">
        <f t="shared" si="3"/>
        <v>39791</v>
      </c>
      <c r="J239" s="2" t="s">
        <v>14</v>
      </c>
    </row>
    <row r="240" spans="1:10" x14ac:dyDescent="0.3">
      <c r="A240" s="1">
        <v>2231180</v>
      </c>
      <c r="B240" s="2" t="s">
        <v>21</v>
      </c>
      <c r="C240" s="2" t="s">
        <v>22</v>
      </c>
      <c r="D240" s="3" t="s">
        <v>25</v>
      </c>
      <c r="E240" s="3" t="str">
        <f>_xlfn.XLOOKUP(D240,[1]MAESTRA!D:D,[1]MAESTRA!A:A,"")</f>
        <v>GNP00003</v>
      </c>
      <c r="F240" s="2" t="s">
        <v>428</v>
      </c>
      <c r="G240" s="8">
        <v>2143</v>
      </c>
      <c r="H240" s="3">
        <v>100</v>
      </c>
      <c r="I240" s="9">
        <f>G240/H240</f>
        <v>21.43</v>
      </c>
      <c r="J240" s="2" t="s">
        <v>14</v>
      </c>
    </row>
  </sheetData>
  <conditionalFormatting sqref="A240">
    <cfRule type="duplicateValues" dxfId="1" priority="1"/>
  </conditionalFormatting>
  <conditionalFormatting sqref="A1:A23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Belmar</dc:creator>
  <cp:lastModifiedBy>Samuel Belmar</cp:lastModifiedBy>
  <dcterms:created xsi:type="dcterms:W3CDTF">2015-06-05T18:17:20Z</dcterms:created>
  <dcterms:modified xsi:type="dcterms:W3CDTF">2026-03-20T03:22:52Z</dcterms:modified>
</cp:coreProperties>
</file>